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D:\DATA ANALYTICS\"/>
    </mc:Choice>
  </mc:AlternateContent>
  <xr:revisionPtr revIDLastSave="0" documentId="13_ncr:1_{C5F5E18D-34B9-43DD-90B5-23C3B33D3BEE}" xr6:coauthVersionLast="47" xr6:coauthVersionMax="47" xr10:uidLastSave="{00000000-0000-0000-0000-000000000000}"/>
  <bookViews>
    <workbookView xWindow="-110" yWindow="-110" windowWidth="19420" windowHeight="11500" activeTab="2" xr2:uid="{3643ED32-74E6-4BBF-A6F8-72F1AA4AF33A}"/>
  </bookViews>
  <sheets>
    <sheet name="student-scores" sheetId="2" r:id="rId1"/>
    <sheet name="Record" sheetId="4" r:id="rId2"/>
    <sheet name="Dashboard" sheetId="3" r:id="rId3"/>
  </sheets>
  <definedNames>
    <definedName name="ExternalData_1" localSheetId="0" hidden="1">'student-scores'!$A$1:$Q$2001</definedName>
    <definedName name="Slicer_career_aspiration">#N/A</definedName>
    <definedName name="Slicer_extracurricular_activities">#N/A</definedName>
    <definedName name="Slicer_gender">#N/A</definedName>
    <definedName name="Slicer_part_time_job">#N/A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3" i="4" l="1"/>
  <c r="V2001" i="2"/>
  <c r="U2001" i="2"/>
  <c r="U2001" i="2" a="1"/>
  <c r="T2001" i="2"/>
  <c r="T2001" i="2" a="1"/>
  <c r="S2001" i="2"/>
  <c r="R2001" i="2"/>
  <c r="V2000" i="2"/>
  <c r="U2000" i="2"/>
  <c r="U2000" i="2" a="1"/>
  <c r="T2000" i="2"/>
  <c r="T2000" i="2" a="1"/>
  <c r="S2000" i="2"/>
  <c r="R2000" i="2"/>
  <c r="V1999" i="2"/>
  <c r="U1999" i="2"/>
  <c r="U1999" i="2" a="1"/>
  <c r="T1999" i="2"/>
  <c r="T1999" i="2" a="1"/>
  <c r="S1999" i="2"/>
  <c r="R1999" i="2"/>
  <c r="V1998" i="2"/>
  <c r="U1998" i="2"/>
  <c r="U1998" i="2" a="1"/>
  <c r="T1998" i="2"/>
  <c r="T1998" i="2" a="1"/>
  <c r="S1998" i="2"/>
  <c r="R1998" i="2"/>
  <c r="V1997" i="2"/>
  <c r="U1997" i="2"/>
  <c r="U1997" i="2" a="1"/>
  <c r="T1997" i="2"/>
  <c r="T1997" i="2" a="1"/>
  <c r="S1997" i="2"/>
  <c r="R1997" i="2"/>
  <c r="V1996" i="2"/>
  <c r="U1996" i="2"/>
  <c r="U1996" i="2" a="1"/>
  <c r="T1996" i="2"/>
  <c r="T1996" i="2" a="1"/>
  <c r="S1996" i="2"/>
  <c r="R1996" i="2"/>
  <c r="V1995" i="2"/>
  <c r="U1995" i="2"/>
  <c r="U1995" i="2" a="1"/>
  <c r="T1995" i="2"/>
  <c r="T1995" i="2" a="1"/>
  <c r="S1995" i="2"/>
  <c r="R1995" i="2"/>
  <c r="V1994" i="2"/>
  <c r="U1994" i="2"/>
  <c r="U1994" i="2" a="1"/>
  <c r="T1994" i="2"/>
  <c r="T1994" i="2" a="1"/>
  <c r="S1994" i="2"/>
  <c r="R1994" i="2"/>
  <c r="V1993" i="2"/>
  <c r="U1993" i="2"/>
  <c r="U1993" i="2" a="1"/>
  <c r="T1993" i="2"/>
  <c r="T1993" i="2" a="1"/>
  <c r="S1993" i="2"/>
  <c r="R1993" i="2"/>
  <c r="V1992" i="2"/>
  <c r="U1992" i="2"/>
  <c r="U1992" i="2" a="1"/>
  <c r="T1992" i="2"/>
  <c r="T1992" i="2" a="1"/>
  <c r="S1992" i="2"/>
  <c r="R1992" i="2"/>
  <c r="V1991" i="2"/>
  <c r="U1991" i="2"/>
  <c r="U1991" i="2" a="1"/>
  <c r="T1991" i="2"/>
  <c r="T1991" i="2" a="1"/>
  <c r="S1991" i="2"/>
  <c r="R1991" i="2"/>
  <c r="V1990" i="2"/>
  <c r="U1990" i="2"/>
  <c r="U1990" i="2" a="1"/>
  <c r="T1990" i="2"/>
  <c r="T1990" i="2" a="1"/>
  <c r="S1990" i="2"/>
  <c r="R1990" i="2"/>
  <c r="V1989" i="2"/>
  <c r="U1989" i="2"/>
  <c r="U1989" i="2" a="1"/>
  <c r="T1989" i="2"/>
  <c r="T1989" i="2" a="1"/>
  <c r="S1989" i="2"/>
  <c r="R1989" i="2"/>
  <c r="V1988" i="2"/>
  <c r="U1988" i="2"/>
  <c r="U1988" i="2" a="1"/>
  <c r="T1988" i="2"/>
  <c r="T1988" i="2" a="1"/>
  <c r="S1988" i="2"/>
  <c r="R1988" i="2"/>
  <c r="V1987" i="2"/>
  <c r="U1987" i="2"/>
  <c r="U1987" i="2" a="1"/>
  <c r="T1987" i="2"/>
  <c r="T1987" i="2" a="1"/>
  <c r="S1987" i="2"/>
  <c r="R1987" i="2"/>
  <c r="V1986" i="2"/>
  <c r="U1986" i="2"/>
  <c r="U1986" i="2" a="1"/>
  <c r="T1986" i="2"/>
  <c r="T1986" i="2" a="1"/>
  <c r="S1986" i="2"/>
  <c r="R1986" i="2"/>
  <c r="V1985" i="2"/>
  <c r="U1985" i="2"/>
  <c r="U1985" i="2" a="1"/>
  <c r="T1985" i="2"/>
  <c r="T1985" i="2" a="1"/>
  <c r="S1985" i="2"/>
  <c r="R1985" i="2"/>
  <c r="V1984" i="2"/>
  <c r="U1984" i="2"/>
  <c r="U1984" i="2" a="1"/>
  <c r="T1984" i="2"/>
  <c r="T1984" i="2" a="1"/>
  <c r="S1984" i="2"/>
  <c r="R1984" i="2"/>
  <c r="V1983" i="2"/>
  <c r="U1983" i="2"/>
  <c r="U1983" i="2" a="1"/>
  <c r="T1983" i="2"/>
  <c r="T1983" i="2" a="1"/>
  <c r="S1983" i="2"/>
  <c r="R1983" i="2"/>
  <c r="V1982" i="2"/>
  <c r="U1982" i="2"/>
  <c r="U1982" i="2" a="1"/>
  <c r="T1982" i="2"/>
  <c r="T1982" i="2" a="1"/>
  <c r="S1982" i="2"/>
  <c r="R1982" i="2"/>
  <c r="V1981" i="2"/>
  <c r="U1981" i="2"/>
  <c r="U1981" i="2" a="1"/>
  <c r="T1981" i="2"/>
  <c r="T1981" i="2" a="1"/>
  <c r="S1981" i="2"/>
  <c r="R1981" i="2"/>
  <c r="V1980" i="2"/>
  <c r="U1980" i="2"/>
  <c r="U1980" i="2" a="1"/>
  <c r="T1980" i="2"/>
  <c r="T1980" i="2" a="1"/>
  <c r="S1980" i="2"/>
  <c r="R1980" i="2"/>
  <c r="V1979" i="2"/>
  <c r="U1979" i="2"/>
  <c r="U1979" i="2" a="1"/>
  <c r="T1979" i="2"/>
  <c r="T1979" i="2" a="1"/>
  <c r="S1979" i="2"/>
  <c r="R1979" i="2"/>
  <c r="V1978" i="2"/>
  <c r="U1978" i="2"/>
  <c r="U1978" i="2" a="1"/>
  <c r="T1978" i="2"/>
  <c r="T1978" i="2" a="1"/>
  <c r="S1978" i="2"/>
  <c r="R1978" i="2"/>
  <c r="V1977" i="2"/>
  <c r="U1977" i="2"/>
  <c r="U1977" i="2" a="1"/>
  <c r="T1977" i="2"/>
  <c r="T1977" i="2" a="1"/>
  <c r="S1977" i="2"/>
  <c r="R1977" i="2"/>
  <c r="V1976" i="2"/>
  <c r="U1976" i="2"/>
  <c r="U1976" i="2" a="1"/>
  <c r="T1976" i="2"/>
  <c r="T1976" i="2" a="1"/>
  <c r="S1976" i="2"/>
  <c r="R1976" i="2"/>
  <c r="V1975" i="2"/>
  <c r="U1975" i="2"/>
  <c r="U1975" i="2" a="1"/>
  <c r="T1975" i="2"/>
  <c r="T1975" i="2" a="1"/>
  <c r="S1975" i="2"/>
  <c r="R1975" i="2"/>
  <c r="V1974" i="2"/>
  <c r="U1974" i="2"/>
  <c r="U1974" i="2" a="1"/>
  <c r="T1974" i="2"/>
  <c r="T1974" i="2" a="1"/>
  <c r="S1974" i="2"/>
  <c r="R1974" i="2"/>
  <c r="V1973" i="2"/>
  <c r="U1973" i="2"/>
  <c r="U1973" i="2" a="1"/>
  <c r="T1973" i="2"/>
  <c r="T1973" i="2" a="1"/>
  <c r="S1973" i="2"/>
  <c r="R1973" i="2"/>
  <c r="V1972" i="2"/>
  <c r="U1972" i="2"/>
  <c r="U1972" i="2" a="1"/>
  <c r="T1972" i="2"/>
  <c r="T1972" i="2" a="1"/>
  <c r="S1972" i="2"/>
  <c r="R1972" i="2"/>
  <c r="V1971" i="2"/>
  <c r="U1971" i="2"/>
  <c r="U1971" i="2" a="1"/>
  <c r="T1971" i="2"/>
  <c r="T1971" i="2" a="1"/>
  <c r="S1971" i="2"/>
  <c r="R1971" i="2"/>
  <c r="V1970" i="2"/>
  <c r="U1970" i="2"/>
  <c r="U1970" i="2" a="1"/>
  <c r="T1970" i="2"/>
  <c r="T1970" i="2" a="1"/>
  <c r="S1970" i="2"/>
  <c r="R1970" i="2"/>
  <c r="V1969" i="2"/>
  <c r="U1969" i="2"/>
  <c r="U1969" i="2" a="1"/>
  <c r="T1969" i="2"/>
  <c r="T1969" i="2" a="1"/>
  <c r="S1969" i="2"/>
  <c r="R1969" i="2"/>
  <c r="V1968" i="2"/>
  <c r="U1968" i="2"/>
  <c r="U1968" i="2" a="1"/>
  <c r="T1968" i="2"/>
  <c r="T1968" i="2" a="1"/>
  <c r="S1968" i="2"/>
  <c r="R1968" i="2"/>
  <c r="V1967" i="2"/>
  <c r="U1967" i="2"/>
  <c r="U1967" i="2" a="1"/>
  <c r="T1967" i="2"/>
  <c r="T1967" i="2" a="1"/>
  <c r="S1967" i="2"/>
  <c r="R1967" i="2"/>
  <c r="V1966" i="2"/>
  <c r="U1966" i="2"/>
  <c r="U1966" i="2" a="1"/>
  <c r="T1966" i="2"/>
  <c r="T1966" i="2" a="1"/>
  <c r="S1966" i="2"/>
  <c r="R1966" i="2"/>
  <c r="V1965" i="2"/>
  <c r="U1965" i="2"/>
  <c r="U1965" i="2" a="1"/>
  <c r="T1965" i="2"/>
  <c r="T1965" i="2" a="1"/>
  <c r="S1965" i="2"/>
  <c r="R1965" i="2"/>
  <c r="V1964" i="2"/>
  <c r="U1964" i="2"/>
  <c r="U1964" i="2" a="1"/>
  <c r="T1964" i="2"/>
  <c r="T1964" i="2" a="1"/>
  <c r="S1964" i="2"/>
  <c r="R1964" i="2"/>
  <c r="V1963" i="2"/>
  <c r="U1963" i="2"/>
  <c r="U1963" i="2" a="1"/>
  <c r="T1963" i="2"/>
  <c r="T1963" i="2" a="1"/>
  <c r="S1963" i="2"/>
  <c r="R1963" i="2"/>
  <c r="V1962" i="2"/>
  <c r="U1962" i="2"/>
  <c r="U1962" i="2" a="1"/>
  <c r="T1962" i="2"/>
  <c r="T1962" i="2" a="1"/>
  <c r="S1962" i="2"/>
  <c r="R1962" i="2"/>
  <c r="V1961" i="2"/>
  <c r="U1961" i="2"/>
  <c r="U1961" i="2" a="1"/>
  <c r="T1961" i="2"/>
  <c r="T1961" i="2" a="1"/>
  <c r="S1961" i="2"/>
  <c r="R1961" i="2"/>
  <c r="V1960" i="2"/>
  <c r="U1960" i="2"/>
  <c r="U1960" i="2" a="1"/>
  <c r="T1960" i="2"/>
  <c r="T1960" i="2" a="1"/>
  <c r="S1960" i="2"/>
  <c r="R1960" i="2"/>
  <c r="V1959" i="2"/>
  <c r="U1959" i="2"/>
  <c r="U1959" i="2" a="1"/>
  <c r="T1959" i="2"/>
  <c r="T1959" i="2" a="1"/>
  <c r="S1959" i="2"/>
  <c r="R1959" i="2"/>
  <c r="V1958" i="2"/>
  <c r="U1958" i="2"/>
  <c r="U1958" i="2" a="1"/>
  <c r="T1958" i="2"/>
  <c r="T1958" i="2" a="1"/>
  <c r="S1958" i="2"/>
  <c r="R1958" i="2"/>
  <c r="V1957" i="2"/>
  <c r="U1957" i="2"/>
  <c r="U1957" i="2" a="1"/>
  <c r="T1957" i="2"/>
  <c r="T1957" i="2" a="1"/>
  <c r="S1957" i="2"/>
  <c r="R1957" i="2"/>
  <c r="V1956" i="2"/>
  <c r="U1956" i="2"/>
  <c r="U1956" i="2" a="1"/>
  <c r="T1956" i="2"/>
  <c r="T1956" i="2" a="1"/>
  <c r="S1956" i="2"/>
  <c r="R1956" i="2"/>
  <c r="V1955" i="2"/>
  <c r="U1955" i="2"/>
  <c r="U1955" i="2" a="1"/>
  <c r="T1955" i="2"/>
  <c r="T1955" i="2" a="1"/>
  <c r="S1955" i="2"/>
  <c r="R1955" i="2"/>
  <c r="V1954" i="2"/>
  <c r="U1954" i="2"/>
  <c r="U1954" i="2" a="1"/>
  <c r="T1954" i="2"/>
  <c r="T1954" i="2" a="1"/>
  <c r="S1954" i="2"/>
  <c r="R1954" i="2"/>
  <c r="V1953" i="2"/>
  <c r="U1953" i="2"/>
  <c r="U1953" i="2" a="1"/>
  <c r="T1953" i="2"/>
  <c r="T1953" i="2" a="1"/>
  <c r="S1953" i="2"/>
  <c r="R1953" i="2"/>
  <c r="V1952" i="2"/>
  <c r="U1952" i="2"/>
  <c r="U1952" i="2" a="1"/>
  <c r="T1952" i="2"/>
  <c r="T1952" i="2" a="1"/>
  <c r="S1952" i="2"/>
  <c r="R1952" i="2"/>
  <c r="V1951" i="2"/>
  <c r="U1951" i="2"/>
  <c r="U1951" i="2" a="1"/>
  <c r="T1951" i="2"/>
  <c r="T1951" i="2" a="1"/>
  <c r="S1951" i="2"/>
  <c r="R1951" i="2"/>
  <c r="V1950" i="2"/>
  <c r="U1950" i="2"/>
  <c r="U1950" i="2" a="1"/>
  <c r="T1950" i="2"/>
  <c r="T1950" i="2" a="1"/>
  <c r="S1950" i="2"/>
  <c r="R1950" i="2"/>
  <c r="V1949" i="2"/>
  <c r="U1949" i="2"/>
  <c r="U1949" i="2" a="1"/>
  <c r="T1949" i="2"/>
  <c r="T1949" i="2" a="1"/>
  <c r="S1949" i="2"/>
  <c r="R1949" i="2"/>
  <c r="V1948" i="2"/>
  <c r="U1948" i="2"/>
  <c r="U1948" i="2" a="1"/>
  <c r="T1948" i="2"/>
  <c r="T1948" i="2" a="1"/>
  <c r="S1948" i="2"/>
  <c r="R1948" i="2"/>
  <c r="V1947" i="2"/>
  <c r="U1947" i="2"/>
  <c r="U1947" i="2" a="1"/>
  <c r="T1947" i="2"/>
  <c r="T1947" i="2" a="1"/>
  <c r="S1947" i="2"/>
  <c r="R1947" i="2"/>
  <c r="V1946" i="2"/>
  <c r="U1946" i="2"/>
  <c r="U1946" i="2" a="1"/>
  <c r="T1946" i="2"/>
  <c r="T1946" i="2" a="1"/>
  <c r="S1946" i="2"/>
  <c r="R1946" i="2"/>
  <c r="V1945" i="2"/>
  <c r="U1945" i="2"/>
  <c r="U1945" i="2" a="1"/>
  <c r="T1945" i="2"/>
  <c r="T1945" i="2" a="1"/>
  <c r="S1945" i="2"/>
  <c r="R1945" i="2"/>
  <c r="V1944" i="2"/>
  <c r="U1944" i="2"/>
  <c r="U1944" i="2" a="1"/>
  <c r="T1944" i="2"/>
  <c r="T1944" i="2" a="1"/>
  <c r="S1944" i="2"/>
  <c r="R1944" i="2"/>
  <c r="V1943" i="2"/>
  <c r="U1943" i="2"/>
  <c r="U1943" i="2" a="1"/>
  <c r="T1943" i="2"/>
  <c r="T1943" i="2" a="1"/>
  <c r="S1943" i="2"/>
  <c r="R1943" i="2"/>
  <c r="V1942" i="2"/>
  <c r="U1942" i="2"/>
  <c r="U1942" i="2" a="1"/>
  <c r="T1942" i="2"/>
  <c r="T1942" i="2" a="1"/>
  <c r="S1942" i="2"/>
  <c r="R1942" i="2"/>
  <c r="V1941" i="2"/>
  <c r="U1941" i="2"/>
  <c r="U1941" i="2" a="1"/>
  <c r="T1941" i="2"/>
  <c r="T1941" i="2" a="1"/>
  <c r="S1941" i="2"/>
  <c r="R1941" i="2"/>
  <c r="V1940" i="2"/>
  <c r="U1940" i="2"/>
  <c r="U1940" i="2" a="1"/>
  <c r="T1940" i="2"/>
  <c r="T1940" i="2" a="1"/>
  <c r="S1940" i="2"/>
  <c r="R1940" i="2"/>
  <c r="V1939" i="2"/>
  <c r="U1939" i="2"/>
  <c r="U1939" i="2" a="1"/>
  <c r="T1939" i="2"/>
  <c r="T1939" i="2" a="1"/>
  <c r="S1939" i="2"/>
  <c r="R1939" i="2"/>
  <c r="V1938" i="2"/>
  <c r="U1938" i="2"/>
  <c r="U1938" i="2" a="1"/>
  <c r="T1938" i="2"/>
  <c r="T1938" i="2" a="1"/>
  <c r="S1938" i="2"/>
  <c r="R1938" i="2"/>
  <c r="V1937" i="2"/>
  <c r="U1937" i="2"/>
  <c r="U1937" i="2" a="1"/>
  <c r="T1937" i="2"/>
  <c r="T1937" i="2" a="1"/>
  <c r="S1937" i="2"/>
  <c r="R1937" i="2"/>
  <c r="V1936" i="2"/>
  <c r="U1936" i="2"/>
  <c r="U1936" i="2" a="1"/>
  <c r="T1936" i="2"/>
  <c r="T1936" i="2" a="1"/>
  <c r="S1936" i="2"/>
  <c r="R1936" i="2"/>
  <c r="V1935" i="2"/>
  <c r="U1935" i="2"/>
  <c r="U1935" i="2" a="1"/>
  <c r="T1935" i="2"/>
  <c r="T1935" i="2" a="1"/>
  <c r="S1935" i="2"/>
  <c r="R1935" i="2"/>
  <c r="V1934" i="2"/>
  <c r="U1934" i="2"/>
  <c r="U1934" i="2" a="1"/>
  <c r="T1934" i="2"/>
  <c r="T1934" i="2" a="1"/>
  <c r="S1934" i="2"/>
  <c r="R1934" i="2"/>
  <c r="V1933" i="2"/>
  <c r="U1933" i="2"/>
  <c r="U1933" i="2" a="1"/>
  <c r="T1933" i="2"/>
  <c r="T1933" i="2" a="1"/>
  <c r="S1933" i="2"/>
  <c r="R1933" i="2"/>
  <c r="V1932" i="2"/>
  <c r="U1932" i="2"/>
  <c r="U1932" i="2" a="1"/>
  <c r="T1932" i="2"/>
  <c r="T1932" i="2" a="1"/>
  <c r="S1932" i="2"/>
  <c r="R1932" i="2"/>
  <c r="V1931" i="2"/>
  <c r="U1931" i="2"/>
  <c r="U1931" i="2" a="1"/>
  <c r="T1931" i="2"/>
  <c r="T1931" i="2" a="1"/>
  <c r="S1931" i="2"/>
  <c r="R1931" i="2"/>
  <c r="V1930" i="2"/>
  <c r="U1930" i="2"/>
  <c r="U1930" i="2" a="1"/>
  <c r="T1930" i="2"/>
  <c r="T1930" i="2" a="1"/>
  <c r="S1930" i="2"/>
  <c r="R1930" i="2"/>
  <c r="V1929" i="2"/>
  <c r="U1929" i="2"/>
  <c r="U1929" i="2" a="1"/>
  <c r="T1929" i="2"/>
  <c r="T1929" i="2" a="1"/>
  <c r="S1929" i="2"/>
  <c r="R1929" i="2"/>
  <c r="V1928" i="2"/>
  <c r="U1928" i="2"/>
  <c r="U1928" i="2" a="1"/>
  <c r="T1928" i="2"/>
  <c r="T1928" i="2" a="1"/>
  <c r="S1928" i="2"/>
  <c r="R1928" i="2"/>
  <c r="V1927" i="2"/>
  <c r="U1927" i="2"/>
  <c r="U1927" i="2" a="1"/>
  <c r="T1927" i="2"/>
  <c r="T1927" i="2" a="1"/>
  <c r="S1927" i="2"/>
  <c r="R1927" i="2"/>
  <c r="V1926" i="2"/>
  <c r="U1926" i="2"/>
  <c r="U1926" i="2" a="1"/>
  <c r="T1926" i="2"/>
  <c r="T1926" i="2" a="1"/>
  <c r="S1926" i="2"/>
  <c r="R1926" i="2"/>
  <c r="V1925" i="2"/>
  <c r="U1925" i="2"/>
  <c r="U1925" i="2" a="1"/>
  <c r="T1925" i="2"/>
  <c r="T1925" i="2" a="1"/>
  <c r="S1925" i="2"/>
  <c r="R1925" i="2"/>
  <c r="V1924" i="2"/>
  <c r="U1924" i="2"/>
  <c r="U1924" i="2" a="1"/>
  <c r="T1924" i="2"/>
  <c r="T1924" i="2" a="1"/>
  <c r="S1924" i="2"/>
  <c r="R1924" i="2"/>
  <c r="V1923" i="2"/>
  <c r="U1923" i="2"/>
  <c r="U1923" i="2" a="1"/>
  <c r="T1923" i="2"/>
  <c r="T1923" i="2" a="1"/>
  <c r="S1923" i="2"/>
  <c r="R1923" i="2"/>
  <c r="V1922" i="2"/>
  <c r="U1922" i="2"/>
  <c r="U1922" i="2" a="1"/>
  <c r="T1922" i="2"/>
  <c r="T1922" i="2" a="1"/>
  <c r="S1922" i="2"/>
  <c r="R1922" i="2"/>
  <c r="V1921" i="2"/>
  <c r="U1921" i="2"/>
  <c r="U1921" i="2" a="1"/>
  <c r="T1921" i="2"/>
  <c r="T1921" i="2" a="1"/>
  <c r="S1921" i="2"/>
  <c r="R1921" i="2"/>
  <c r="V1920" i="2"/>
  <c r="U1920" i="2"/>
  <c r="U1920" i="2" a="1"/>
  <c r="T1920" i="2"/>
  <c r="T1920" i="2" a="1"/>
  <c r="S1920" i="2"/>
  <c r="R1920" i="2"/>
  <c r="V1919" i="2"/>
  <c r="U1919" i="2"/>
  <c r="U1919" i="2" a="1"/>
  <c r="T1919" i="2"/>
  <c r="T1919" i="2" a="1"/>
  <c r="S1919" i="2"/>
  <c r="R1919" i="2"/>
  <c r="V1918" i="2"/>
  <c r="U1918" i="2"/>
  <c r="U1918" i="2" a="1"/>
  <c r="T1918" i="2"/>
  <c r="T1918" i="2" a="1"/>
  <c r="S1918" i="2"/>
  <c r="R1918" i="2"/>
  <c r="V1917" i="2"/>
  <c r="U1917" i="2"/>
  <c r="U1917" i="2" a="1"/>
  <c r="T1917" i="2"/>
  <c r="T1917" i="2" a="1"/>
  <c r="S1917" i="2"/>
  <c r="R1917" i="2"/>
  <c r="V1916" i="2"/>
  <c r="U1916" i="2"/>
  <c r="U1916" i="2" a="1"/>
  <c r="T1916" i="2"/>
  <c r="T1916" i="2" a="1"/>
  <c r="S1916" i="2"/>
  <c r="R1916" i="2"/>
  <c r="V1915" i="2"/>
  <c r="U1915" i="2"/>
  <c r="U1915" i="2" a="1"/>
  <c r="T1915" i="2"/>
  <c r="T1915" i="2" a="1"/>
  <c r="S1915" i="2"/>
  <c r="R1915" i="2"/>
  <c r="V1914" i="2"/>
  <c r="U1914" i="2"/>
  <c r="U1914" i="2" a="1"/>
  <c r="T1914" i="2"/>
  <c r="T1914" i="2" a="1"/>
  <c r="S1914" i="2"/>
  <c r="R1914" i="2"/>
  <c r="V1913" i="2"/>
  <c r="U1913" i="2"/>
  <c r="U1913" i="2" a="1"/>
  <c r="T1913" i="2"/>
  <c r="T1913" i="2" a="1"/>
  <c r="S1913" i="2"/>
  <c r="R1913" i="2"/>
  <c r="V1912" i="2"/>
  <c r="U1912" i="2"/>
  <c r="U1912" i="2" a="1"/>
  <c r="T1912" i="2"/>
  <c r="T1912" i="2" a="1"/>
  <c r="S1912" i="2"/>
  <c r="R1912" i="2"/>
  <c r="V1911" i="2"/>
  <c r="U1911" i="2"/>
  <c r="U1911" i="2" a="1"/>
  <c r="T1911" i="2"/>
  <c r="T1911" i="2" a="1"/>
  <c r="S1911" i="2"/>
  <c r="R1911" i="2"/>
  <c r="V1910" i="2"/>
  <c r="U1910" i="2"/>
  <c r="U1910" i="2" a="1"/>
  <c r="T1910" i="2"/>
  <c r="T1910" i="2" a="1"/>
  <c r="S1910" i="2"/>
  <c r="R1910" i="2"/>
  <c r="V1909" i="2"/>
  <c r="U1909" i="2"/>
  <c r="U1909" i="2" a="1"/>
  <c r="T1909" i="2"/>
  <c r="T1909" i="2" a="1"/>
  <c r="S1909" i="2"/>
  <c r="R1909" i="2"/>
  <c r="V1908" i="2"/>
  <c r="U1908" i="2"/>
  <c r="U1908" i="2" a="1"/>
  <c r="T1908" i="2"/>
  <c r="T1908" i="2" a="1"/>
  <c r="S1908" i="2"/>
  <c r="R1908" i="2"/>
  <c r="V1907" i="2"/>
  <c r="U1907" i="2"/>
  <c r="U1907" i="2" a="1"/>
  <c r="T1907" i="2"/>
  <c r="T1907" i="2" a="1"/>
  <c r="S1907" i="2"/>
  <c r="R1907" i="2"/>
  <c r="V1906" i="2"/>
  <c r="U1906" i="2"/>
  <c r="U1906" i="2" a="1"/>
  <c r="T1906" i="2"/>
  <c r="T1906" i="2" a="1"/>
  <c r="S1906" i="2"/>
  <c r="R1906" i="2"/>
  <c r="V1905" i="2"/>
  <c r="U1905" i="2"/>
  <c r="U1905" i="2" a="1"/>
  <c r="T1905" i="2"/>
  <c r="T1905" i="2" a="1"/>
  <c r="S1905" i="2"/>
  <c r="R1905" i="2"/>
  <c r="V1904" i="2"/>
  <c r="U1904" i="2"/>
  <c r="U1904" i="2" a="1"/>
  <c r="T1904" i="2"/>
  <c r="T1904" i="2" a="1"/>
  <c r="S1904" i="2"/>
  <c r="R1904" i="2"/>
  <c r="V1903" i="2"/>
  <c r="U1903" i="2"/>
  <c r="U1903" i="2" a="1"/>
  <c r="T1903" i="2"/>
  <c r="T1903" i="2" a="1"/>
  <c r="S1903" i="2"/>
  <c r="R1903" i="2"/>
  <c r="V1902" i="2"/>
  <c r="U1902" i="2"/>
  <c r="U1902" i="2" a="1"/>
  <c r="T1902" i="2"/>
  <c r="T1902" i="2" a="1"/>
  <c r="S1902" i="2"/>
  <c r="R1902" i="2"/>
  <c r="V1901" i="2"/>
  <c r="U1901" i="2"/>
  <c r="U1901" i="2" a="1"/>
  <c r="T1901" i="2"/>
  <c r="T1901" i="2" a="1"/>
  <c r="S1901" i="2"/>
  <c r="R1901" i="2"/>
  <c r="V1900" i="2"/>
  <c r="U1900" i="2"/>
  <c r="U1900" i="2" a="1"/>
  <c r="T1900" i="2"/>
  <c r="T1900" i="2" a="1"/>
  <c r="S1900" i="2"/>
  <c r="R1900" i="2"/>
  <c r="V1899" i="2"/>
  <c r="U1899" i="2"/>
  <c r="U1899" i="2" a="1"/>
  <c r="T1899" i="2"/>
  <c r="T1899" i="2" a="1"/>
  <c r="S1899" i="2"/>
  <c r="R1899" i="2"/>
  <c r="V1898" i="2"/>
  <c r="U1898" i="2"/>
  <c r="U1898" i="2" a="1"/>
  <c r="T1898" i="2"/>
  <c r="T1898" i="2" a="1"/>
  <c r="S1898" i="2"/>
  <c r="R1898" i="2"/>
  <c r="V1897" i="2"/>
  <c r="U1897" i="2"/>
  <c r="U1897" i="2" a="1"/>
  <c r="T1897" i="2"/>
  <c r="T1897" i="2" a="1"/>
  <c r="S1897" i="2"/>
  <c r="R1897" i="2"/>
  <c r="V1896" i="2"/>
  <c r="U1896" i="2"/>
  <c r="U1896" i="2" a="1"/>
  <c r="T1896" i="2"/>
  <c r="T1896" i="2" a="1"/>
  <c r="S1896" i="2"/>
  <c r="R1896" i="2"/>
  <c r="V1895" i="2"/>
  <c r="U1895" i="2"/>
  <c r="U1895" i="2" a="1"/>
  <c r="T1895" i="2"/>
  <c r="T1895" i="2" a="1"/>
  <c r="S1895" i="2"/>
  <c r="R1895" i="2"/>
  <c r="V1894" i="2"/>
  <c r="U1894" i="2"/>
  <c r="U1894" i="2" a="1"/>
  <c r="T1894" i="2"/>
  <c r="T1894" i="2" a="1"/>
  <c r="S1894" i="2"/>
  <c r="R1894" i="2"/>
  <c r="V1893" i="2"/>
  <c r="U1893" i="2"/>
  <c r="U1893" i="2" a="1"/>
  <c r="T1893" i="2"/>
  <c r="T1893" i="2" a="1"/>
  <c r="S1893" i="2"/>
  <c r="R1893" i="2"/>
  <c r="V1892" i="2"/>
  <c r="U1892" i="2"/>
  <c r="U1892" i="2" a="1"/>
  <c r="T1892" i="2"/>
  <c r="T1892" i="2" a="1"/>
  <c r="S1892" i="2"/>
  <c r="R1892" i="2"/>
  <c r="V1891" i="2"/>
  <c r="U1891" i="2"/>
  <c r="U1891" i="2" a="1"/>
  <c r="T1891" i="2"/>
  <c r="T1891" i="2" a="1"/>
  <c r="S1891" i="2"/>
  <c r="R1891" i="2"/>
  <c r="V1890" i="2"/>
  <c r="U1890" i="2"/>
  <c r="U1890" i="2" a="1"/>
  <c r="T1890" i="2"/>
  <c r="T1890" i="2" a="1"/>
  <c r="S1890" i="2"/>
  <c r="R1890" i="2"/>
  <c r="V1889" i="2"/>
  <c r="U1889" i="2"/>
  <c r="U1889" i="2" a="1"/>
  <c r="T1889" i="2"/>
  <c r="T1889" i="2" a="1"/>
  <c r="S1889" i="2"/>
  <c r="R1889" i="2"/>
  <c r="V1888" i="2"/>
  <c r="U1888" i="2"/>
  <c r="U1888" i="2" a="1"/>
  <c r="T1888" i="2"/>
  <c r="T1888" i="2" a="1"/>
  <c r="S1888" i="2"/>
  <c r="R1888" i="2"/>
  <c r="V1887" i="2"/>
  <c r="U1887" i="2"/>
  <c r="U1887" i="2" a="1"/>
  <c r="T1887" i="2"/>
  <c r="T1887" i="2" a="1"/>
  <c r="S1887" i="2"/>
  <c r="R1887" i="2"/>
  <c r="V1886" i="2"/>
  <c r="U1886" i="2"/>
  <c r="U1886" i="2" a="1"/>
  <c r="T1886" i="2"/>
  <c r="T1886" i="2" a="1"/>
  <c r="S1886" i="2"/>
  <c r="R1886" i="2"/>
  <c r="V1885" i="2"/>
  <c r="U1885" i="2"/>
  <c r="U1885" i="2" a="1"/>
  <c r="T1885" i="2"/>
  <c r="T1885" i="2" a="1"/>
  <c r="S1885" i="2"/>
  <c r="R1885" i="2"/>
  <c r="V1884" i="2"/>
  <c r="U1884" i="2"/>
  <c r="U1884" i="2" a="1"/>
  <c r="T1884" i="2"/>
  <c r="T1884" i="2" a="1"/>
  <c r="S1884" i="2"/>
  <c r="R1884" i="2"/>
  <c r="V1883" i="2"/>
  <c r="U1883" i="2"/>
  <c r="U1883" i="2" a="1"/>
  <c r="T1883" i="2"/>
  <c r="T1883" i="2" a="1"/>
  <c r="S1883" i="2"/>
  <c r="R1883" i="2"/>
  <c r="V1882" i="2"/>
  <c r="U1882" i="2"/>
  <c r="U1882" i="2" a="1"/>
  <c r="T1882" i="2"/>
  <c r="T1882" i="2" a="1"/>
  <c r="S1882" i="2"/>
  <c r="R1882" i="2"/>
  <c r="V1881" i="2"/>
  <c r="U1881" i="2"/>
  <c r="U1881" i="2" a="1"/>
  <c r="T1881" i="2"/>
  <c r="T1881" i="2" a="1"/>
  <c r="S1881" i="2"/>
  <c r="R1881" i="2"/>
  <c r="V1880" i="2"/>
  <c r="U1880" i="2"/>
  <c r="U1880" i="2" a="1"/>
  <c r="T1880" i="2"/>
  <c r="T1880" i="2" a="1"/>
  <c r="S1880" i="2"/>
  <c r="R1880" i="2"/>
  <c r="V1879" i="2"/>
  <c r="U1879" i="2"/>
  <c r="U1879" i="2" a="1"/>
  <c r="T1879" i="2"/>
  <c r="T1879" i="2" a="1"/>
  <c r="S1879" i="2"/>
  <c r="R1879" i="2"/>
  <c r="V1878" i="2"/>
  <c r="U1878" i="2"/>
  <c r="U1878" i="2" a="1"/>
  <c r="T1878" i="2"/>
  <c r="T1878" i="2" a="1"/>
  <c r="S1878" i="2"/>
  <c r="R1878" i="2"/>
  <c r="V1877" i="2"/>
  <c r="U1877" i="2"/>
  <c r="U1877" i="2" a="1"/>
  <c r="T1877" i="2"/>
  <c r="T1877" i="2" a="1"/>
  <c r="S1877" i="2"/>
  <c r="R1877" i="2"/>
  <c r="V1876" i="2"/>
  <c r="U1876" i="2"/>
  <c r="U1876" i="2" a="1"/>
  <c r="T1876" i="2"/>
  <c r="T1876" i="2" a="1"/>
  <c r="S1876" i="2"/>
  <c r="R1876" i="2"/>
  <c r="V1875" i="2"/>
  <c r="U1875" i="2"/>
  <c r="U1875" i="2" a="1"/>
  <c r="T1875" i="2"/>
  <c r="T1875" i="2" a="1"/>
  <c r="S1875" i="2"/>
  <c r="R1875" i="2"/>
  <c r="V1874" i="2"/>
  <c r="U1874" i="2"/>
  <c r="U1874" i="2" a="1"/>
  <c r="T1874" i="2"/>
  <c r="T1874" i="2" a="1"/>
  <c r="S1874" i="2"/>
  <c r="R1874" i="2"/>
  <c r="V1873" i="2"/>
  <c r="U1873" i="2"/>
  <c r="U1873" i="2" a="1"/>
  <c r="T1873" i="2"/>
  <c r="T1873" i="2" a="1"/>
  <c r="S1873" i="2"/>
  <c r="R1873" i="2"/>
  <c r="V1872" i="2"/>
  <c r="U1872" i="2"/>
  <c r="U1872" i="2" a="1"/>
  <c r="T1872" i="2"/>
  <c r="T1872" i="2" a="1"/>
  <c r="S1872" i="2"/>
  <c r="R1872" i="2"/>
  <c r="V1871" i="2"/>
  <c r="U1871" i="2"/>
  <c r="U1871" i="2" a="1"/>
  <c r="T1871" i="2"/>
  <c r="T1871" i="2" a="1"/>
  <c r="S1871" i="2"/>
  <c r="R1871" i="2"/>
  <c r="V1870" i="2"/>
  <c r="U1870" i="2"/>
  <c r="U1870" i="2" a="1"/>
  <c r="T1870" i="2"/>
  <c r="T1870" i="2" a="1"/>
  <c r="S1870" i="2"/>
  <c r="R1870" i="2"/>
  <c r="V1869" i="2"/>
  <c r="U1869" i="2"/>
  <c r="U1869" i="2" a="1"/>
  <c r="T1869" i="2"/>
  <c r="T1869" i="2" a="1"/>
  <c r="S1869" i="2"/>
  <c r="R1869" i="2"/>
  <c r="V1868" i="2"/>
  <c r="U1868" i="2"/>
  <c r="U1868" i="2" a="1"/>
  <c r="T1868" i="2"/>
  <c r="T1868" i="2" a="1"/>
  <c r="S1868" i="2"/>
  <c r="R1868" i="2"/>
  <c r="V1867" i="2"/>
  <c r="U1867" i="2"/>
  <c r="U1867" i="2" a="1"/>
  <c r="T1867" i="2"/>
  <c r="T1867" i="2" a="1"/>
  <c r="S1867" i="2"/>
  <c r="R1867" i="2"/>
  <c r="V1866" i="2"/>
  <c r="U1866" i="2"/>
  <c r="U1866" i="2" a="1"/>
  <c r="T1866" i="2"/>
  <c r="T1866" i="2" a="1"/>
  <c r="S1866" i="2"/>
  <c r="R1866" i="2"/>
  <c r="V1865" i="2"/>
  <c r="U1865" i="2"/>
  <c r="U1865" i="2" a="1"/>
  <c r="T1865" i="2"/>
  <c r="T1865" i="2" a="1"/>
  <c r="S1865" i="2"/>
  <c r="R1865" i="2"/>
  <c r="V1864" i="2"/>
  <c r="U1864" i="2"/>
  <c r="U1864" i="2" a="1"/>
  <c r="T1864" i="2"/>
  <c r="T1864" i="2" a="1"/>
  <c r="S1864" i="2"/>
  <c r="R1864" i="2"/>
  <c r="V1863" i="2"/>
  <c r="U1863" i="2"/>
  <c r="U1863" i="2" a="1"/>
  <c r="T1863" i="2"/>
  <c r="T1863" i="2" a="1"/>
  <c r="S1863" i="2"/>
  <c r="R1863" i="2"/>
  <c r="V1862" i="2"/>
  <c r="U1862" i="2"/>
  <c r="U1862" i="2" a="1"/>
  <c r="T1862" i="2"/>
  <c r="T1862" i="2" a="1"/>
  <c r="S1862" i="2"/>
  <c r="R1862" i="2"/>
  <c r="V1861" i="2"/>
  <c r="U1861" i="2"/>
  <c r="U1861" i="2" a="1"/>
  <c r="T1861" i="2"/>
  <c r="T1861" i="2" a="1"/>
  <c r="S1861" i="2"/>
  <c r="R1861" i="2"/>
  <c r="V1860" i="2"/>
  <c r="U1860" i="2"/>
  <c r="U1860" i="2" a="1"/>
  <c r="T1860" i="2"/>
  <c r="T1860" i="2" a="1"/>
  <c r="S1860" i="2"/>
  <c r="R1860" i="2"/>
  <c r="V1859" i="2"/>
  <c r="U1859" i="2"/>
  <c r="U1859" i="2" a="1"/>
  <c r="T1859" i="2"/>
  <c r="T1859" i="2" a="1"/>
  <c r="S1859" i="2"/>
  <c r="R1859" i="2"/>
  <c r="V1858" i="2"/>
  <c r="U1858" i="2"/>
  <c r="U1858" i="2" a="1"/>
  <c r="T1858" i="2"/>
  <c r="T1858" i="2" a="1"/>
  <c r="S1858" i="2"/>
  <c r="R1858" i="2"/>
  <c r="V1857" i="2"/>
  <c r="U1857" i="2"/>
  <c r="U1857" i="2" a="1"/>
  <c r="T1857" i="2"/>
  <c r="T1857" i="2" a="1"/>
  <c r="S1857" i="2"/>
  <c r="R1857" i="2"/>
  <c r="V1856" i="2"/>
  <c r="U1856" i="2"/>
  <c r="U1856" i="2" a="1"/>
  <c r="T1856" i="2"/>
  <c r="T1856" i="2" a="1"/>
  <c r="S1856" i="2"/>
  <c r="R1856" i="2"/>
  <c r="V1855" i="2"/>
  <c r="U1855" i="2"/>
  <c r="U1855" i="2" a="1"/>
  <c r="T1855" i="2"/>
  <c r="T1855" i="2" a="1"/>
  <c r="S1855" i="2"/>
  <c r="R1855" i="2"/>
  <c r="V1854" i="2"/>
  <c r="U1854" i="2"/>
  <c r="U1854" i="2" a="1"/>
  <c r="T1854" i="2"/>
  <c r="T1854" i="2" a="1"/>
  <c r="S1854" i="2"/>
  <c r="R1854" i="2"/>
  <c r="V1853" i="2"/>
  <c r="U1853" i="2"/>
  <c r="U1853" i="2" a="1"/>
  <c r="T1853" i="2"/>
  <c r="T1853" i="2" a="1"/>
  <c r="S1853" i="2"/>
  <c r="R1853" i="2"/>
  <c r="V1852" i="2"/>
  <c r="U1852" i="2"/>
  <c r="U1852" i="2" a="1"/>
  <c r="T1852" i="2"/>
  <c r="T1852" i="2" a="1"/>
  <c r="S1852" i="2"/>
  <c r="R1852" i="2"/>
  <c r="V1851" i="2"/>
  <c r="U1851" i="2"/>
  <c r="U1851" i="2" a="1"/>
  <c r="T1851" i="2"/>
  <c r="T1851" i="2" a="1"/>
  <c r="S1851" i="2"/>
  <c r="R1851" i="2"/>
  <c r="V1850" i="2"/>
  <c r="U1850" i="2"/>
  <c r="U1850" i="2" a="1"/>
  <c r="T1850" i="2"/>
  <c r="T1850" i="2" a="1"/>
  <c r="S1850" i="2"/>
  <c r="R1850" i="2"/>
  <c r="V1849" i="2"/>
  <c r="U1849" i="2"/>
  <c r="U1849" i="2" a="1"/>
  <c r="T1849" i="2"/>
  <c r="T1849" i="2" a="1"/>
  <c r="S1849" i="2"/>
  <c r="R1849" i="2"/>
  <c r="V1848" i="2"/>
  <c r="U1848" i="2"/>
  <c r="U1848" i="2" a="1"/>
  <c r="T1848" i="2"/>
  <c r="T1848" i="2" a="1"/>
  <c r="S1848" i="2"/>
  <c r="R1848" i="2"/>
  <c r="V1847" i="2"/>
  <c r="U1847" i="2"/>
  <c r="U1847" i="2" a="1"/>
  <c r="T1847" i="2"/>
  <c r="T1847" i="2" a="1"/>
  <c r="S1847" i="2"/>
  <c r="R1847" i="2"/>
  <c r="V1846" i="2"/>
  <c r="U1846" i="2"/>
  <c r="U1846" i="2" a="1"/>
  <c r="T1846" i="2"/>
  <c r="T1846" i="2" a="1"/>
  <c r="S1846" i="2"/>
  <c r="R1846" i="2"/>
  <c r="V1845" i="2"/>
  <c r="U1845" i="2"/>
  <c r="U1845" i="2" a="1"/>
  <c r="T1845" i="2"/>
  <c r="T1845" i="2" a="1"/>
  <c r="S1845" i="2"/>
  <c r="R1845" i="2"/>
  <c r="V1844" i="2"/>
  <c r="U1844" i="2"/>
  <c r="U1844" i="2" a="1"/>
  <c r="T1844" i="2"/>
  <c r="T1844" i="2" a="1"/>
  <c r="S1844" i="2"/>
  <c r="R1844" i="2"/>
  <c r="V1843" i="2"/>
  <c r="U1843" i="2"/>
  <c r="U1843" i="2" a="1"/>
  <c r="T1843" i="2"/>
  <c r="T1843" i="2" a="1"/>
  <c r="S1843" i="2"/>
  <c r="R1843" i="2"/>
  <c r="V1842" i="2"/>
  <c r="U1842" i="2"/>
  <c r="U1842" i="2" a="1"/>
  <c r="T1842" i="2"/>
  <c r="T1842" i="2" a="1"/>
  <c r="S1842" i="2"/>
  <c r="R1842" i="2"/>
  <c r="V1841" i="2"/>
  <c r="U1841" i="2"/>
  <c r="U1841" i="2" a="1"/>
  <c r="T1841" i="2"/>
  <c r="T1841" i="2" a="1"/>
  <c r="S1841" i="2"/>
  <c r="R1841" i="2"/>
  <c r="V1840" i="2"/>
  <c r="U1840" i="2"/>
  <c r="U1840" i="2" a="1"/>
  <c r="T1840" i="2"/>
  <c r="T1840" i="2" a="1"/>
  <c r="S1840" i="2"/>
  <c r="R1840" i="2"/>
  <c r="V1839" i="2"/>
  <c r="U1839" i="2"/>
  <c r="U1839" i="2" a="1"/>
  <c r="T1839" i="2"/>
  <c r="T1839" i="2" a="1"/>
  <c r="S1839" i="2"/>
  <c r="R1839" i="2"/>
  <c r="V1838" i="2"/>
  <c r="U1838" i="2"/>
  <c r="U1838" i="2" a="1"/>
  <c r="T1838" i="2"/>
  <c r="T1838" i="2" a="1"/>
  <c r="S1838" i="2"/>
  <c r="R1838" i="2"/>
  <c r="V1837" i="2"/>
  <c r="U1837" i="2"/>
  <c r="U1837" i="2" a="1"/>
  <c r="T1837" i="2"/>
  <c r="T1837" i="2" a="1"/>
  <c r="S1837" i="2"/>
  <c r="R1837" i="2"/>
  <c r="V1836" i="2"/>
  <c r="U1836" i="2"/>
  <c r="U1836" i="2" a="1"/>
  <c r="T1836" i="2"/>
  <c r="T1836" i="2" a="1"/>
  <c r="S1836" i="2"/>
  <c r="R1836" i="2"/>
  <c r="V1835" i="2"/>
  <c r="U1835" i="2"/>
  <c r="U1835" i="2" a="1"/>
  <c r="T1835" i="2"/>
  <c r="T1835" i="2" a="1"/>
  <c r="S1835" i="2"/>
  <c r="R1835" i="2"/>
  <c r="V1834" i="2"/>
  <c r="U1834" i="2"/>
  <c r="U1834" i="2" a="1"/>
  <c r="T1834" i="2"/>
  <c r="T1834" i="2" a="1"/>
  <c r="S1834" i="2"/>
  <c r="R1834" i="2"/>
  <c r="V1833" i="2"/>
  <c r="U1833" i="2"/>
  <c r="U1833" i="2" a="1"/>
  <c r="T1833" i="2"/>
  <c r="T1833" i="2" a="1"/>
  <c r="S1833" i="2"/>
  <c r="R1833" i="2"/>
  <c r="V1832" i="2"/>
  <c r="U1832" i="2"/>
  <c r="U1832" i="2" a="1"/>
  <c r="T1832" i="2"/>
  <c r="T1832" i="2" a="1"/>
  <c r="S1832" i="2"/>
  <c r="R1832" i="2"/>
  <c r="V1831" i="2"/>
  <c r="U1831" i="2"/>
  <c r="U1831" i="2" a="1"/>
  <c r="T1831" i="2"/>
  <c r="T1831" i="2" a="1"/>
  <c r="S1831" i="2"/>
  <c r="R1831" i="2"/>
  <c r="V1830" i="2"/>
  <c r="U1830" i="2"/>
  <c r="U1830" i="2" a="1"/>
  <c r="T1830" i="2"/>
  <c r="T1830" i="2" a="1"/>
  <c r="S1830" i="2"/>
  <c r="R1830" i="2"/>
  <c r="V1829" i="2"/>
  <c r="U1829" i="2"/>
  <c r="U1829" i="2" a="1"/>
  <c r="T1829" i="2"/>
  <c r="T1829" i="2" a="1"/>
  <c r="S1829" i="2"/>
  <c r="R1829" i="2"/>
  <c r="V1828" i="2"/>
  <c r="U1828" i="2"/>
  <c r="U1828" i="2" a="1"/>
  <c r="T1828" i="2"/>
  <c r="T1828" i="2" a="1"/>
  <c r="S1828" i="2"/>
  <c r="R1828" i="2"/>
  <c r="V1827" i="2"/>
  <c r="U1827" i="2"/>
  <c r="U1827" i="2" a="1"/>
  <c r="T1827" i="2"/>
  <c r="T1827" i="2" a="1"/>
  <c r="S1827" i="2"/>
  <c r="R1827" i="2"/>
  <c r="V1826" i="2"/>
  <c r="U1826" i="2"/>
  <c r="U1826" i="2" a="1"/>
  <c r="T1826" i="2"/>
  <c r="T1826" i="2" a="1"/>
  <c r="S1826" i="2"/>
  <c r="R1826" i="2"/>
  <c r="V1825" i="2"/>
  <c r="U1825" i="2"/>
  <c r="U1825" i="2" a="1"/>
  <c r="T1825" i="2"/>
  <c r="T1825" i="2" a="1"/>
  <c r="S1825" i="2"/>
  <c r="R1825" i="2"/>
  <c r="V1824" i="2"/>
  <c r="U1824" i="2"/>
  <c r="U1824" i="2" a="1"/>
  <c r="T1824" i="2"/>
  <c r="T1824" i="2" a="1"/>
  <c r="S1824" i="2"/>
  <c r="R1824" i="2"/>
  <c r="V1823" i="2"/>
  <c r="U1823" i="2"/>
  <c r="U1823" i="2" a="1"/>
  <c r="T1823" i="2"/>
  <c r="T1823" i="2" a="1"/>
  <c r="S1823" i="2"/>
  <c r="R1823" i="2"/>
  <c r="V1822" i="2"/>
  <c r="U1822" i="2"/>
  <c r="U1822" i="2" a="1"/>
  <c r="T1822" i="2"/>
  <c r="T1822" i="2" a="1"/>
  <c r="S1822" i="2"/>
  <c r="R1822" i="2"/>
  <c r="V1821" i="2"/>
  <c r="U1821" i="2"/>
  <c r="U1821" i="2" a="1"/>
  <c r="T1821" i="2"/>
  <c r="T1821" i="2" a="1"/>
  <c r="S1821" i="2"/>
  <c r="R1821" i="2"/>
  <c r="V1820" i="2"/>
  <c r="U1820" i="2"/>
  <c r="U1820" i="2" a="1"/>
  <c r="T1820" i="2"/>
  <c r="T1820" i="2" a="1"/>
  <c r="S1820" i="2"/>
  <c r="R1820" i="2"/>
  <c r="V1819" i="2"/>
  <c r="U1819" i="2"/>
  <c r="U1819" i="2" a="1"/>
  <c r="T1819" i="2"/>
  <c r="T1819" i="2" a="1"/>
  <c r="S1819" i="2"/>
  <c r="R1819" i="2"/>
  <c r="V1818" i="2"/>
  <c r="U1818" i="2"/>
  <c r="U1818" i="2" a="1"/>
  <c r="T1818" i="2"/>
  <c r="T1818" i="2" a="1"/>
  <c r="S1818" i="2"/>
  <c r="R1818" i="2"/>
  <c r="V1817" i="2"/>
  <c r="U1817" i="2"/>
  <c r="U1817" i="2" a="1"/>
  <c r="T1817" i="2"/>
  <c r="T1817" i="2" a="1"/>
  <c r="S1817" i="2"/>
  <c r="R1817" i="2"/>
  <c r="V1816" i="2"/>
  <c r="U1816" i="2"/>
  <c r="U1816" i="2" a="1"/>
  <c r="T1816" i="2"/>
  <c r="T1816" i="2" a="1"/>
  <c r="S1816" i="2"/>
  <c r="R1816" i="2"/>
  <c r="V1815" i="2"/>
  <c r="U1815" i="2"/>
  <c r="U1815" i="2" a="1"/>
  <c r="T1815" i="2"/>
  <c r="T1815" i="2" a="1"/>
  <c r="S1815" i="2"/>
  <c r="R1815" i="2"/>
  <c r="V1814" i="2"/>
  <c r="U1814" i="2"/>
  <c r="U1814" i="2" a="1"/>
  <c r="T1814" i="2"/>
  <c r="T1814" i="2" a="1"/>
  <c r="S1814" i="2"/>
  <c r="R1814" i="2"/>
  <c r="V1813" i="2"/>
  <c r="U1813" i="2"/>
  <c r="U1813" i="2" a="1"/>
  <c r="T1813" i="2"/>
  <c r="T1813" i="2" a="1"/>
  <c r="S1813" i="2"/>
  <c r="R1813" i="2"/>
  <c r="V1812" i="2"/>
  <c r="U1812" i="2"/>
  <c r="U1812" i="2" a="1"/>
  <c r="T1812" i="2"/>
  <c r="T1812" i="2" a="1"/>
  <c r="S1812" i="2"/>
  <c r="R1812" i="2"/>
  <c r="V1811" i="2"/>
  <c r="U1811" i="2"/>
  <c r="U1811" i="2" a="1"/>
  <c r="T1811" i="2"/>
  <c r="T1811" i="2" a="1"/>
  <c r="S1811" i="2"/>
  <c r="R1811" i="2"/>
  <c r="V1810" i="2"/>
  <c r="U1810" i="2"/>
  <c r="U1810" i="2" a="1"/>
  <c r="T1810" i="2"/>
  <c r="T1810" i="2" a="1"/>
  <c r="S1810" i="2"/>
  <c r="R1810" i="2"/>
  <c r="V1809" i="2"/>
  <c r="U1809" i="2"/>
  <c r="U1809" i="2" a="1"/>
  <c r="T1809" i="2"/>
  <c r="T1809" i="2" a="1"/>
  <c r="S1809" i="2"/>
  <c r="R1809" i="2"/>
  <c r="V1808" i="2"/>
  <c r="U1808" i="2"/>
  <c r="U1808" i="2" a="1"/>
  <c r="T1808" i="2"/>
  <c r="T1808" i="2" a="1"/>
  <c r="S1808" i="2"/>
  <c r="R1808" i="2"/>
  <c r="V1807" i="2"/>
  <c r="U1807" i="2"/>
  <c r="U1807" i="2" a="1"/>
  <c r="T1807" i="2"/>
  <c r="T1807" i="2" a="1"/>
  <c r="S1807" i="2"/>
  <c r="R1807" i="2"/>
  <c r="V1806" i="2"/>
  <c r="U1806" i="2"/>
  <c r="U1806" i="2" a="1"/>
  <c r="T1806" i="2"/>
  <c r="T1806" i="2" a="1"/>
  <c r="S1806" i="2"/>
  <c r="R1806" i="2"/>
  <c r="V1805" i="2"/>
  <c r="U1805" i="2"/>
  <c r="U1805" i="2" a="1"/>
  <c r="T1805" i="2"/>
  <c r="T1805" i="2" a="1"/>
  <c r="S1805" i="2"/>
  <c r="R1805" i="2"/>
  <c r="V1804" i="2"/>
  <c r="U1804" i="2"/>
  <c r="U1804" i="2" a="1"/>
  <c r="T1804" i="2"/>
  <c r="T1804" i="2" a="1"/>
  <c r="S1804" i="2"/>
  <c r="R1804" i="2"/>
  <c r="V1803" i="2"/>
  <c r="U1803" i="2"/>
  <c r="U1803" i="2" a="1"/>
  <c r="T1803" i="2"/>
  <c r="T1803" i="2" a="1"/>
  <c r="S1803" i="2"/>
  <c r="R1803" i="2"/>
  <c r="V1802" i="2"/>
  <c r="U1802" i="2"/>
  <c r="U1802" i="2" a="1"/>
  <c r="T1802" i="2"/>
  <c r="T1802" i="2" a="1"/>
  <c r="S1802" i="2"/>
  <c r="R1802" i="2"/>
  <c r="V1801" i="2"/>
  <c r="U1801" i="2"/>
  <c r="U1801" i="2" a="1"/>
  <c r="T1801" i="2"/>
  <c r="T1801" i="2" a="1"/>
  <c r="S1801" i="2"/>
  <c r="R1801" i="2"/>
  <c r="V1800" i="2"/>
  <c r="U1800" i="2"/>
  <c r="U1800" i="2" a="1"/>
  <c r="T1800" i="2"/>
  <c r="T1800" i="2" a="1"/>
  <c r="S1800" i="2"/>
  <c r="R1800" i="2"/>
  <c r="V1799" i="2"/>
  <c r="U1799" i="2"/>
  <c r="U1799" i="2" a="1"/>
  <c r="T1799" i="2"/>
  <c r="T1799" i="2" a="1"/>
  <c r="S1799" i="2"/>
  <c r="R1799" i="2"/>
  <c r="V1798" i="2"/>
  <c r="U1798" i="2"/>
  <c r="U1798" i="2" a="1"/>
  <c r="T1798" i="2"/>
  <c r="T1798" i="2" a="1"/>
  <c r="S1798" i="2"/>
  <c r="R1798" i="2"/>
  <c r="V1797" i="2"/>
  <c r="U1797" i="2"/>
  <c r="U1797" i="2" a="1"/>
  <c r="T1797" i="2"/>
  <c r="T1797" i="2" a="1"/>
  <c r="S1797" i="2"/>
  <c r="R1797" i="2"/>
  <c r="V1796" i="2"/>
  <c r="U1796" i="2"/>
  <c r="U1796" i="2" a="1"/>
  <c r="T1796" i="2"/>
  <c r="T1796" i="2" a="1"/>
  <c r="S1796" i="2"/>
  <c r="R1796" i="2"/>
  <c r="V1795" i="2"/>
  <c r="U1795" i="2"/>
  <c r="U1795" i="2" a="1"/>
  <c r="T1795" i="2"/>
  <c r="T1795" i="2" a="1"/>
  <c r="S1795" i="2"/>
  <c r="R1795" i="2"/>
  <c r="V1794" i="2"/>
  <c r="U1794" i="2"/>
  <c r="U1794" i="2" a="1"/>
  <c r="T1794" i="2"/>
  <c r="T1794" i="2" a="1"/>
  <c r="S1794" i="2"/>
  <c r="R1794" i="2"/>
  <c r="V1793" i="2"/>
  <c r="U1793" i="2"/>
  <c r="U1793" i="2" a="1"/>
  <c r="T1793" i="2"/>
  <c r="T1793" i="2" a="1"/>
  <c r="S1793" i="2"/>
  <c r="R1793" i="2"/>
  <c r="V1792" i="2"/>
  <c r="U1792" i="2"/>
  <c r="U1792" i="2" a="1"/>
  <c r="T1792" i="2"/>
  <c r="T1792" i="2" a="1"/>
  <c r="S1792" i="2"/>
  <c r="R1792" i="2"/>
  <c r="V1791" i="2"/>
  <c r="U1791" i="2"/>
  <c r="U1791" i="2" a="1"/>
  <c r="T1791" i="2"/>
  <c r="T1791" i="2" a="1"/>
  <c r="S1791" i="2"/>
  <c r="R1791" i="2"/>
  <c r="V1790" i="2"/>
  <c r="U1790" i="2"/>
  <c r="U1790" i="2" a="1"/>
  <c r="T1790" i="2"/>
  <c r="T1790" i="2" a="1"/>
  <c r="S1790" i="2"/>
  <c r="R1790" i="2"/>
  <c r="V1789" i="2"/>
  <c r="U1789" i="2"/>
  <c r="U1789" i="2" a="1"/>
  <c r="T1789" i="2"/>
  <c r="T1789" i="2" a="1"/>
  <c r="S1789" i="2"/>
  <c r="R1789" i="2"/>
  <c r="V1788" i="2"/>
  <c r="U1788" i="2"/>
  <c r="U1788" i="2" a="1"/>
  <c r="T1788" i="2"/>
  <c r="T1788" i="2" a="1"/>
  <c r="S1788" i="2"/>
  <c r="R1788" i="2"/>
  <c r="V1787" i="2"/>
  <c r="U1787" i="2"/>
  <c r="U1787" i="2" a="1"/>
  <c r="T1787" i="2"/>
  <c r="T1787" i="2" a="1"/>
  <c r="S1787" i="2"/>
  <c r="R1787" i="2"/>
  <c r="V1786" i="2"/>
  <c r="U1786" i="2"/>
  <c r="U1786" i="2" a="1"/>
  <c r="T1786" i="2"/>
  <c r="T1786" i="2" a="1"/>
  <c r="S1786" i="2"/>
  <c r="R1786" i="2"/>
  <c r="V1785" i="2"/>
  <c r="U1785" i="2"/>
  <c r="U1785" i="2" a="1"/>
  <c r="T1785" i="2"/>
  <c r="T1785" i="2" a="1"/>
  <c r="S1785" i="2"/>
  <c r="R1785" i="2"/>
  <c r="V1784" i="2"/>
  <c r="U1784" i="2"/>
  <c r="U1784" i="2" a="1"/>
  <c r="T1784" i="2"/>
  <c r="T1784" i="2" a="1"/>
  <c r="S1784" i="2"/>
  <c r="R1784" i="2"/>
  <c r="V1783" i="2"/>
  <c r="U1783" i="2"/>
  <c r="U1783" i="2" a="1"/>
  <c r="T1783" i="2"/>
  <c r="T1783" i="2" a="1"/>
  <c r="S1783" i="2"/>
  <c r="R1783" i="2"/>
  <c r="V1782" i="2"/>
  <c r="U1782" i="2"/>
  <c r="U1782" i="2" a="1"/>
  <c r="T1782" i="2"/>
  <c r="T1782" i="2" a="1"/>
  <c r="S1782" i="2"/>
  <c r="R1782" i="2"/>
  <c r="V1781" i="2"/>
  <c r="U1781" i="2"/>
  <c r="U1781" i="2" a="1"/>
  <c r="T1781" i="2"/>
  <c r="T1781" i="2" a="1"/>
  <c r="S1781" i="2"/>
  <c r="R1781" i="2"/>
  <c r="V1780" i="2"/>
  <c r="U1780" i="2"/>
  <c r="U1780" i="2" a="1"/>
  <c r="T1780" i="2"/>
  <c r="T1780" i="2" a="1"/>
  <c r="S1780" i="2"/>
  <c r="R1780" i="2"/>
  <c r="V1779" i="2"/>
  <c r="U1779" i="2"/>
  <c r="U1779" i="2" a="1"/>
  <c r="T1779" i="2"/>
  <c r="T1779" i="2" a="1"/>
  <c r="S1779" i="2"/>
  <c r="R1779" i="2"/>
  <c r="V1778" i="2"/>
  <c r="U1778" i="2"/>
  <c r="U1778" i="2" a="1"/>
  <c r="T1778" i="2"/>
  <c r="T1778" i="2" a="1"/>
  <c r="S1778" i="2"/>
  <c r="R1778" i="2"/>
  <c r="V1777" i="2"/>
  <c r="U1777" i="2"/>
  <c r="U1777" i="2" a="1"/>
  <c r="T1777" i="2"/>
  <c r="T1777" i="2" a="1"/>
  <c r="S1777" i="2"/>
  <c r="R1777" i="2"/>
  <c r="V1776" i="2"/>
  <c r="U1776" i="2"/>
  <c r="U1776" i="2" a="1"/>
  <c r="T1776" i="2"/>
  <c r="T1776" i="2" a="1"/>
  <c r="S1776" i="2"/>
  <c r="R1776" i="2"/>
  <c r="V1775" i="2"/>
  <c r="U1775" i="2"/>
  <c r="U1775" i="2" a="1"/>
  <c r="T1775" i="2"/>
  <c r="T1775" i="2" a="1"/>
  <c r="S1775" i="2"/>
  <c r="R1775" i="2"/>
  <c r="V1774" i="2"/>
  <c r="U1774" i="2"/>
  <c r="U1774" i="2" a="1"/>
  <c r="T1774" i="2"/>
  <c r="T1774" i="2" a="1"/>
  <c r="S1774" i="2"/>
  <c r="R1774" i="2"/>
  <c r="V1773" i="2"/>
  <c r="U1773" i="2"/>
  <c r="U1773" i="2" a="1"/>
  <c r="T1773" i="2"/>
  <c r="T1773" i="2" a="1"/>
  <c r="S1773" i="2"/>
  <c r="R1773" i="2"/>
  <c r="V1772" i="2"/>
  <c r="U1772" i="2"/>
  <c r="U1772" i="2" a="1"/>
  <c r="T1772" i="2"/>
  <c r="T1772" i="2" a="1"/>
  <c r="S1772" i="2"/>
  <c r="R1772" i="2"/>
  <c r="V1771" i="2"/>
  <c r="U1771" i="2"/>
  <c r="U1771" i="2" a="1"/>
  <c r="T1771" i="2"/>
  <c r="T1771" i="2" a="1"/>
  <c r="S1771" i="2"/>
  <c r="R1771" i="2"/>
  <c r="V1770" i="2"/>
  <c r="U1770" i="2"/>
  <c r="U1770" i="2" a="1"/>
  <c r="T1770" i="2"/>
  <c r="T1770" i="2" a="1"/>
  <c r="S1770" i="2"/>
  <c r="R1770" i="2"/>
  <c r="V1769" i="2"/>
  <c r="U1769" i="2"/>
  <c r="U1769" i="2" a="1"/>
  <c r="T1769" i="2"/>
  <c r="T1769" i="2" a="1"/>
  <c r="S1769" i="2"/>
  <c r="R1769" i="2"/>
  <c r="V1768" i="2"/>
  <c r="U1768" i="2"/>
  <c r="U1768" i="2" a="1"/>
  <c r="T1768" i="2"/>
  <c r="T1768" i="2" a="1"/>
  <c r="S1768" i="2"/>
  <c r="R1768" i="2"/>
  <c r="V1767" i="2"/>
  <c r="U1767" i="2"/>
  <c r="U1767" i="2" a="1"/>
  <c r="T1767" i="2"/>
  <c r="T1767" i="2" a="1"/>
  <c r="S1767" i="2"/>
  <c r="R1767" i="2"/>
  <c r="V1766" i="2"/>
  <c r="U1766" i="2"/>
  <c r="U1766" i="2" a="1"/>
  <c r="T1766" i="2"/>
  <c r="T1766" i="2" a="1"/>
  <c r="S1766" i="2"/>
  <c r="R1766" i="2"/>
  <c r="V1765" i="2"/>
  <c r="U1765" i="2"/>
  <c r="U1765" i="2" a="1"/>
  <c r="T1765" i="2"/>
  <c r="T1765" i="2" a="1"/>
  <c r="S1765" i="2"/>
  <c r="R1765" i="2"/>
  <c r="V1764" i="2"/>
  <c r="U1764" i="2"/>
  <c r="U1764" i="2" a="1"/>
  <c r="T1764" i="2"/>
  <c r="T1764" i="2" a="1"/>
  <c r="S1764" i="2"/>
  <c r="R1764" i="2"/>
  <c r="V1763" i="2"/>
  <c r="U1763" i="2"/>
  <c r="U1763" i="2" a="1"/>
  <c r="T1763" i="2"/>
  <c r="T1763" i="2" a="1"/>
  <c r="S1763" i="2"/>
  <c r="R1763" i="2"/>
  <c r="V1762" i="2"/>
  <c r="U1762" i="2"/>
  <c r="U1762" i="2" a="1"/>
  <c r="T1762" i="2"/>
  <c r="T1762" i="2" a="1"/>
  <c r="S1762" i="2"/>
  <c r="R1762" i="2"/>
  <c r="V1761" i="2"/>
  <c r="U1761" i="2"/>
  <c r="U1761" i="2" a="1"/>
  <c r="T1761" i="2"/>
  <c r="T1761" i="2" a="1"/>
  <c r="S1761" i="2"/>
  <c r="R1761" i="2"/>
  <c r="V1760" i="2"/>
  <c r="U1760" i="2"/>
  <c r="U1760" i="2" a="1"/>
  <c r="T1760" i="2"/>
  <c r="T1760" i="2" a="1"/>
  <c r="S1760" i="2"/>
  <c r="R1760" i="2"/>
  <c r="V1759" i="2"/>
  <c r="U1759" i="2"/>
  <c r="U1759" i="2" a="1"/>
  <c r="T1759" i="2"/>
  <c r="T1759" i="2" a="1"/>
  <c r="S1759" i="2"/>
  <c r="R1759" i="2"/>
  <c r="V1758" i="2"/>
  <c r="U1758" i="2"/>
  <c r="U1758" i="2" a="1"/>
  <c r="T1758" i="2"/>
  <c r="T1758" i="2" a="1"/>
  <c r="S1758" i="2"/>
  <c r="R1758" i="2"/>
  <c r="V1757" i="2"/>
  <c r="U1757" i="2"/>
  <c r="U1757" i="2" a="1"/>
  <c r="T1757" i="2"/>
  <c r="T1757" i="2" a="1"/>
  <c r="S1757" i="2"/>
  <c r="R1757" i="2"/>
  <c r="V1756" i="2"/>
  <c r="U1756" i="2"/>
  <c r="U1756" i="2" a="1"/>
  <c r="T1756" i="2"/>
  <c r="T1756" i="2" a="1"/>
  <c r="S1756" i="2"/>
  <c r="R1756" i="2"/>
  <c r="V1755" i="2"/>
  <c r="U1755" i="2"/>
  <c r="U1755" i="2" a="1"/>
  <c r="T1755" i="2"/>
  <c r="T1755" i="2" a="1"/>
  <c r="S1755" i="2"/>
  <c r="R1755" i="2"/>
  <c r="V1754" i="2"/>
  <c r="U1754" i="2"/>
  <c r="U1754" i="2" a="1"/>
  <c r="T1754" i="2"/>
  <c r="T1754" i="2" a="1"/>
  <c r="S1754" i="2"/>
  <c r="R1754" i="2"/>
  <c r="V1753" i="2"/>
  <c r="U1753" i="2"/>
  <c r="U1753" i="2" a="1"/>
  <c r="T1753" i="2"/>
  <c r="T1753" i="2" a="1"/>
  <c r="S1753" i="2"/>
  <c r="R1753" i="2"/>
  <c r="V1752" i="2"/>
  <c r="U1752" i="2"/>
  <c r="U1752" i="2" a="1"/>
  <c r="T1752" i="2"/>
  <c r="T1752" i="2" a="1"/>
  <c r="S1752" i="2"/>
  <c r="R1752" i="2"/>
  <c r="V1751" i="2"/>
  <c r="U1751" i="2"/>
  <c r="U1751" i="2" a="1"/>
  <c r="T1751" i="2"/>
  <c r="T1751" i="2" a="1"/>
  <c r="S1751" i="2"/>
  <c r="R1751" i="2"/>
  <c r="V1750" i="2"/>
  <c r="U1750" i="2"/>
  <c r="U1750" i="2" a="1"/>
  <c r="T1750" i="2"/>
  <c r="T1750" i="2" a="1"/>
  <c r="S1750" i="2"/>
  <c r="R1750" i="2"/>
  <c r="V1749" i="2"/>
  <c r="U1749" i="2"/>
  <c r="U1749" i="2" a="1"/>
  <c r="T1749" i="2"/>
  <c r="T1749" i="2" a="1"/>
  <c r="S1749" i="2"/>
  <c r="R1749" i="2"/>
  <c r="V1748" i="2"/>
  <c r="U1748" i="2"/>
  <c r="U1748" i="2" a="1"/>
  <c r="T1748" i="2"/>
  <c r="T1748" i="2" a="1"/>
  <c r="S1748" i="2"/>
  <c r="R1748" i="2"/>
  <c r="V1747" i="2"/>
  <c r="U1747" i="2"/>
  <c r="U1747" i="2" a="1"/>
  <c r="T1747" i="2"/>
  <c r="T1747" i="2" a="1"/>
  <c r="S1747" i="2"/>
  <c r="R1747" i="2"/>
  <c r="V1746" i="2"/>
  <c r="U1746" i="2"/>
  <c r="U1746" i="2" a="1"/>
  <c r="T1746" i="2"/>
  <c r="T1746" i="2" a="1"/>
  <c r="S1746" i="2"/>
  <c r="R1746" i="2"/>
  <c r="V1745" i="2"/>
  <c r="U1745" i="2"/>
  <c r="U1745" i="2" a="1"/>
  <c r="T1745" i="2"/>
  <c r="T1745" i="2" a="1"/>
  <c r="S1745" i="2"/>
  <c r="R1745" i="2"/>
  <c r="V1744" i="2"/>
  <c r="U1744" i="2"/>
  <c r="U1744" i="2" a="1"/>
  <c r="T1744" i="2"/>
  <c r="T1744" i="2" a="1"/>
  <c r="S1744" i="2"/>
  <c r="R1744" i="2"/>
  <c r="V1743" i="2"/>
  <c r="U1743" i="2"/>
  <c r="U1743" i="2" a="1"/>
  <c r="T1743" i="2"/>
  <c r="T1743" i="2" a="1"/>
  <c r="S1743" i="2"/>
  <c r="R1743" i="2"/>
  <c r="V1742" i="2"/>
  <c r="U1742" i="2"/>
  <c r="U1742" i="2" a="1"/>
  <c r="T1742" i="2"/>
  <c r="T1742" i="2" a="1"/>
  <c r="S1742" i="2"/>
  <c r="R1742" i="2"/>
  <c r="V1741" i="2"/>
  <c r="U1741" i="2"/>
  <c r="U1741" i="2" a="1"/>
  <c r="T1741" i="2"/>
  <c r="T1741" i="2" a="1"/>
  <c r="S1741" i="2"/>
  <c r="R1741" i="2"/>
  <c r="V1740" i="2"/>
  <c r="U1740" i="2"/>
  <c r="U1740" i="2" a="1"/>
  <c r="T1740" i="2"/>
  <c r="T1740" i="2" a="1"/>
  <c r="S1740" i="2"/>
  <c r="R1740" i="2"/>
  <c r="V1739" i="2"/>
  <c r="U1739" i="2"/>
  <c r="U1739" i="2" a="1"/>
  <c r="T1739" i="2"/>
  <c r="T1739" i="2" a="1"/>
  <c r="S1739" i="2"/>
  <c r="R1739" i="2"/>
  <c r="V1738" i="2"/>
  <c r="U1738" i="2"/>
  <c r="U1738" i="2" a="1"/>
  <c r="T1738" i="2"/>
  <c r="T1738" i="2" a="1"/>
  <c r="S1738" i="2"/>
  <c r="R1738" i="2"/>
  <c r="V1737" i="2"/>
  <c r="U1737" i="2"/>
  <c r="U1737" i="2" a="1"/>
  <c r="T1737" i="2"/>
  <c r="T1737" i="2" a="1"/>
  <c r="S1737" i="2"/>
  <c r="R1737" i="2"/>
  <c r="V1736" i="2"/>
  <c r="U1736" i="2"/>
  <c r="U1736" i="2" a="1"/>
  <c r="T1736" i="2"/>
  <c r="T1736" i="2" a="1"/>
  <c r="S1736" i="2"/>
  <c r="R1736" i="2"/>
  <c r="V1735" i="2"/>
  <c r="U1735" i="2"/>
  <c r="U1735" i="2" a="1"/>
  <c r="T1735" i="2"/>
  <c r="T1735" i="2" a="1"/>
  <c r="S1735" i="2"/>
  <c r="R1735" i="2"/>
  <c r="V1734" i="2"/>
  <c r="U1734" i="2"/>
  <c r="U1734" i="2" a="1"/>
  <c r="T1734" i="2"/>
  <c r="T1734" i="2" a="1"/>
  <c r="S1734" i="2"/>
  <c r="R1734" i="2"/>
  <c r="V1733" i="2"/>
  <c r="U1733" i="2"/>
  <c r="U1733" i="2" a="1"/>
  <c r="T1733" i="2"/>
  <c r="T1733" i="2" a="1"/>
  <c r="S1733" i="2"/>
  <c r="R1733" i="2"/>
  <c r="V1732" i="2"/>
  <c r="U1732" i="2"/>
  <c r="U1732" i="2" a="1"/>
  <c r="T1732" i="2"/>
  <c r="T1732" i="2" a="1"/>
  <c r="S1732" i="2"/>
  <c r="R1732" i="2"/>
  <c r="V1731" i="2"/>
  <c r="U1731" i="2"/>
  <c r="U1731" i="2" a="1"/>
  <c r="T1731" i="2"/>
  <c r="T1731" i="2" a="1"/>
  <c r="S1731" i="2"/>
  <c r="R1731" i="2"/>
  <c r="V1730" i="2"/>
  <c r="U1730" i="2"/>
  <c r="U1730" i="2" a="1"/>
  <c r="T1730" i="2"/>
  <c r="T1730" i="2" a="1"/>
  <c r="S1730" i="2"/>
  <c r="R1730" i="2"/>
  <c r="V1729" i="2"/>
  <c r="U1729" i="2"/>
  <c r="U1729" i="2" a="1"/>
  <c r="T1729" i="2"/>
  <c r="T1729" i="2" a="1"/>
  <c r="S1729" i="2"/>
  <c r="R1729" i="2"/>
  <c r="V1728" i="2"/>
  <c r="U1728" i="2"/>
  <c r="U1728" i="2" a="1"/>
  <c r="T1728" i="2"/>
  <c r="T1728" i="2" a="1"/>
  <c r="S1728" i="2"/>
  <c r="R1728" i="2"/>
  <c r="V1727" i="2"/>
  <c r="U1727" i="2"/>
  <c r="U1727" i="2" a="1"/>
  <c r="T1727" i="2"/>
  <c r="T1727" i="2" a="1"/>
  <c r="S1727" i="2"/>
  <c r="R1727" i="2"/>
  <c r="V1726" i="2"/>
  <c r="U1726" i="2"/>
  <c r="U1726" i="2" a="1"/>
  <c r="T1726" i="2"/>
  <c r="T1726" i="2" a="1"/>
  <c r="S1726" i="2"/>
  <c r="R1726" i="2"/>
  <c r="V1725" i="2"/>
  <c r="U1725" i="2"/>
  <c r="U1725" i="2" a="1"/>
  <c r="T1725" i="2"/>
  <c r="T1725" i="2" a="1"/>
  <c r="S1725" i="2"/>
  <c r="R1725" i="2"/>
  <c r="V1724" i="2"/>
  <c r="U1724" i="2"/>
  <c r="U1724" i="2" a="1"/>
  <c r="T1724" i="2"/>
  <c r="T1724" i="2" a="1"/>
  <c r="S1724" i="2"/>
  <c r="R1724" i="2"/>
  <c r="V1723" i="2"/>
  <c r="U1723" i="2"/>
  <c r="U1723" i="2" a="1"/>
  <c r="T1723" i="2"/>
  <c r="T1723" i="2" a="1"/>
  <c r="S1723" i="2"/>
  <c r="R1723" i="2"/>
  <c r="V1722" i="2"/>
  <c r="U1722" i="2"/>
  <c r="U1722" i="2" a="1"/>
  <c r="T1722" i="2"/>
  <c r="T1722" i="2" a="1"/>
  <c r="S1722" i="2"/>
  <c r="R1722" i="2"/>
  <c r="V1721" i="2"/>
  <c r="U1721" i="2"/>
  <c r="U1721" i="2" a="1"/>
  <c r="T1721" i="2"/>
  <c r="T1721" i="2" a="1"/>
  <c r="S1721" i="2"/>
  <c r="R1721" i="2"/>
  <c r="V1720" i="2"/>
  <c r="U1720" i="2"/>
  <c r="U1720" i="2" a="1"/>
  <c r="T1720" i="2"/>
  <c r="T1720" i="2" a="1"/>
  <c r="S1720" i="2"/>
  <c r="R1720" i="2"/>
  <c r="V1719" i="2"/>
  <c r="U1719" i="2"/>
  <c r="U1719" i="2" a="1"/>
  <c r="T1719" i="2"/>
  <c r="T1719" i="2" a="1"/>
  <c r="S1719" i="2"/>
  <c r="R1719" i="2"/>
  <c r="V1718" i="2"/>
  <c r="U1718" i="2"/>
  <c r="U1718" i="2" a="1"/>
  <c r="T1718" i="2"/>
  <c r="T1718" i="2" a="1"/>
  <c r="S1718" i="2"/>
  <c r="R1718" i="2"/>
  <c r="V1717" i="2"/>
  <c r="U1717" i="2"/>
  <c r="U1717" i="2" a="1"/>
  <c r="T1717" i="2"/>
  <c r="T1717" i="2" a="1"/>
  <c r="S1717" i="2"/>
  <c r="R1717" i="2"/>
  <c r="V1716" i="2"/>
  <c r="U1716" i="2"/>
  <c r="U1716" i="2" a="1"/>
  <c r="T1716" i="2"/>
  <c r="T1716" i="2" a="1"/>
  <c r="S1716" i="2"/>
  <c r="R1716" i="2"/>
  <c r="V1715" i="2"/>
  <c r="U1715" i="2"/>
  <c r="U1715" i="2" a="1"/>
  <c r="T1715" i="2"/>
  <c r="T1715" i="2" a="1"/>
  <c r="S1715" i="2"/>
  <c r="R1715" i="2"/>
  <c r="V1714" i="2"/>
  <c r="U1714" i="2"/>
  <c r="U1714" i="2" a="1"/>
  <c r="T1714" i="2"/>
  <c r="T1714" i="2" a="1"/>
  <c r="S1714" i="2"/>
  <c r="R1714" i="2"/>
  <c r="V1713" i="2"/>
  <c r="U1713" i="2"/>
  <c r="U1713" i="2" a="1"/>
  <c r="T1713" i="2"/>
  <c r="T1713" i="2" a="1"/>
  <c r="S1713" i="2"/>
  <c r="R1713" i="2"/>
  <c r="V1712" i="2"/>
  <c r="U1712" i="2"/>
  <c r="U1712" i="2" a="1"/>
  <c r="T1712" i="2"/>
  <c r="T1712" i="2" a="1"/>
  <c r="S1712" i="2"/>
  <c r="R1712" i="2"/>
  <c r="V1711" i="2"/>
  <c r="U1711" i="2"/>
  <c r="U1711" i="2" a="1"/>
  <c r="T1711" i="2"/>
  <c r="T1711" i="2" a="1"/>
  <c r="S1711" i="2"/>
  <c r="R1711" i="2"/>
  <c r="V1710" i="2"/>
  <c r="U1710" i="2"/>
  <c r="U1710" i="2" a="1"/>
  <c r="T1710" i="2"/>
  <c r="T1710" i="2" a="1"/>
  <c r="S1710" i="2"/>
  <c r="R1710" i="2"/>
  <c r="V1709" i="2"/>
  <c r="U1709" i="2"/>
  <c r="U1709" i="2" a="1"/>
  <c r="T1709" i="2"/>
  <c r="T1709" i="2" a="1"/>
  <c r="S1709" i="2"/>
  <c r="R1709" i="2"/>
  <c r="V1708" i="2"/>
  <c r="U1708" i="2"/>
  <c r="U1708" i="2" a="1"/>
  <c r="T1708" i="2"/>
  <c r="T1708" i="2" a="1"/>
  <c r="S1708" i="2"/>
  <c r="R1708" i="2"/>
  <c r="V1707" i="2"/>
  <c r="U1707" i="2"/>
  <c r="U1707" i="2" a="1"/>
  <c r="T1707" i="2"/>
  <c r="T1707" i="2" a="1"/>
  <c r="S1707" i="2"/>
  <c r="R1707" i="2"/>
  <c r="V1706" i="2"/>
  <c r="U1706" i="2"/>
  <c r="U1706" i="2" a="1"/>
  <c r="T1706" i="2"/>
  <c r="T1706" i="2" a="1"/>
  <c r="S1706" i="2"/>
  <c r="R1706" i="2"/>
  <c r="V1705" i="2"/>
  <c r="U1705" i="2"/>
  <c r="U1705" i="2" a="1"/>
  <c r="T1705" i="2"/>
  <c r="T1705" i="2" a="1"/>
  <c r="S1705" i="2"/>
  <c r="R1705" i="2"/>
  <c r="V1704" i="2"/>
  <c r="U1704" i="2"/>
  <c r="U1704" i="2" a="1"/>
  <c r="T1704" i="2"/>
  <c r="T1704" i="2" a="1"/>
  <c r="S1704" i="2"/>
  <c r="R1704" i="2"/>
  <c r="V1703" i="2"/>
  <c r="U1703" i="2"/>
  <c r="U1703" i="2" a="1"/>
  <c r="T1703" i="2"/>
  <c r="T1703" i="2" a="1"/>
  <c r="S1703" i="2"/>
  <c r="R1703" i="2"/>
  <c r="V1702" i="2"/>
  <c r="U1702" i="2"/>
  <c r="U1702" i="2" a="1"/>
  <c r="T1702" i="2"/>
  <c r="T1702" i="2" a="1"/>
  <c r="S1702" i="2"/>
  <c r="R1702" i="2"/>
  <c r="V1701" i="2"/>
  <c r="U1701" i="2"/>
  <c r="U1701" i="2" a="1"/>
  <c r="T1701" i="2"/>
  <c r="T1701" i="2" a="1"/>
  <c r="S1701" i="2"/>
  <c r="R1701" i="2"/>
  <c r="V1700" i="2"/>
  <c r="U1700" i="2"/>
  <c r="U1700" i="2" a="1"/>
  <c r="T1700" i="2"/>
  <c r="T1700" i="2" a="1"/>
  <c r="S1700" i="2"/>
  <c r="R1700" i="2"/>
  <c r="V1699" i="2"/>
  <c r="U1699" i="2"/>
  <c r="U1699" i="2" a="1"/>
  <c r="T1699" i="2"/>
  <c r="T1699" i="2" a="1"/>
  <c r="S1699" i="2"/>
  <c r="R1699" i="2"/>
  <c r="V1698" i="2"/>
  <c r="U1698" i="2"/>
  <c r="U1698" i="2" a="1"/>
  <c r="T1698" i="2"/>
  <c r="T1698" i="2" a="1"/>
  <c r="S1698" i="2"/>
  <c r="R1698" i="2"/>
  <c r="V1697" i="2"/>
  <c r="U1697" i="2"/>
  <c r="U1697" i="2" a="1"/>
  <c r="T1697" i="2"/>
  <c r="T1697" i="2" a="1"/>
  <c r="S1697" i="2"/>
  <c r="R1697" i="2"/>
  <c r="V1696" i="2"/>
  <c r="U1696" i="2"/>
  <c r="U1696" i="2" a="1"/>
  <c r="T1696" i="2"/>
  <c r="T1696" i="2" a="1"/>
  <c r="S1696" i="2"/>
  <c r="R1696" i="2"/>
  <c r="V1695" i="2"/>
  <c r="U1695" i="2"/>
  <c r="U1695" i="2" a="1"/>
  <c r="T1695" i="2"/>
  <c r="T1695" i="2" a="1"/>
  <c r="S1695" i="2"/>
  <c r="R1695" i="2"/>
  <c r="V1694" i="2"/>
  <c r="U1694" i="2"/>
  <c r="U1694" i="2" a="1"/>
  <c r="T1694" i="2"/>
  <c r="T1694" i="2" a="1"/>
  <c r="S1694" i="2"/>
  <c r="R1694" i="2"/>
  <c r="V1693" i="2"/>
  <c r="U1693" i="2"/>
  <c r="U1693" i="2" a="1"/>
  <c r="T1693" i="2"/>
  <c r="T1693" i="2" a="1"/>
  <c r="S1693" i="2"/>
  <c r="R1693" i="2"/>
  <c r="V1692" i="2"/>
  <c r="U1692" i="2"/>
  <c r="U1692" i="2" a="1"/>
  <c r="T1692" i="2"/>
  <c r="T1692" i="2" a="1"/>
  <c r="S1692" i="2"/>
  <c r="R1692" i="2"/>
  <c r="V1691" i="2"/>
  <c r="U1691" i="2"/>
  <c r="U1691" i="2" a="1"/>
  <c r="T1691" i="2"/>
  <c r="T1691" i="2" a="1"/>
  <c r="S1691" i="2"/>
  <c r="R1691" i="2"/>
  <c r="V1690" i="2"/>
  <c r="U1690" i="2"/>
  <c r="U1690" i="2" a="1"/>
  <c r="T1690" i="2"/>
  <c r="T1690" i="2" a="1"/>
  <c r="S1690" i="2"/>
  <c r="R1690" i="2"/>
  <c r="V1689" i="2"/>
  <c r="U1689" i="2"/>
  <c r="U1689" i="2" a="1"/>
  <c r="T1689" i="2"/>
  <c r="T1689" i="2" a="1"/>
  <c r="S1689" i="2"/>
  <c r="R1689" i="2"/>
  <c r="V1688" i="2"/>
  <c r="U1688" i="2"/>
  <c r="U1688" i="2" a="1"/>
  <c r="T1688" i="2"/>
  <c r="T1688" i="2" a="1"/>
  <c r="S1688" i="2"/>
  <c r="R1688" i="2"/>
  <c r="V1687" i="2"/>
  <c r="U1687" i="2"/>
  <c r="U1687" i="2" a="1"/>
  <c r="T1687" i="2"/>
  <c r="T1687" i="2" a="1"/>
  <c r="S1687" i="2"/>
  <c r="R1687" i="2"/>
  <c r="V1686" i="2"/>
  <c r="U1686" i="2"/>
  <c r="U1686" i="2" a="1"/>
  <c r="T1686" i="2"/>
  <c r="T1686" i="2" a="1"/>
  <c r="S1686" i="2"/>
  <c r="R1686" i="2"/>
  <c r="V1685" i="2"/>
  <c r="U1685" i="2"/>
  <c r="U1685" i="2" a="1"/>
  <c r="T1685" i="2"/>
  <c r="T1685" i="2" a="1"/>
  <c r="S1685" i="2"/>
  <c r="R1685" i="2"/>
  <c r="V1684" i="2"/>
  <c r="U1684" i="2"/>
  <c r="U1684" i="2" a="1"/>
  <c r="T1684" i="2"/>
  <c r="T1684" i="2" a="1"/>
  <c r="S1684" i="2"/>
  <c r="R1684" i="2"/>
  <c r="V1683" i="2"/>
  <c r="U1683" i="2"/>
  <c r="U1683" i="2" a="1"/>
  <c r="T1683" i="2"/>
  <c r="T1683" i="2" a="1"/>
  <c r="S1683" i="2"/>
  <c r="R1683" i="2"/>
  <c r="V1682" i="2"/>
  <c r="U1682" i="2"/>
  <c r="U1682" i="2" a="1"/>
  <c r="T1682" i="2"/>
  <c r="T1682" i="2" a="1"/>
  <c r="S1682" i="2"/>
  <c r="R1682" i="2"/>
  <c r="V1681" i="2"/>
  <c r="U1681" i="2"/>
  <c r="U1681" i="2" a="1"/>
  <c r="T1681" i="2"/>
  <c r="T1681" i="2" a="1"/>
  <c r="S1681" i="2"/>
  <c r="R1681" i="2"/>
  <c r="V1680" i="2"/>
  <c r="U1680" i="2"/>
  <c r="U1680" i="2" a="1"/>
  <c r="T1680" i="2"/>
  <c r="T1680" i="2" a="1"/>
  <c r="S1680" i="2"/>
  <c r="R1680" i="2"/>
  <c r="V1679" i="2"/>
  <c r="U1679" i="2"/>
  <c r="U1679" i="2" a="1"/>
  <c r="T1679" i="2"/>
  <c r="T1679" i="2" a="1"/>
  <c r="S1679" i="2"/>
  <c r="R1679" i="2"/>
  <c r="V1678" i="2"/>
  <c r="U1678" i="2"/>
  <c r="U1678" i="2" a="1"/>
  <c r="T1678" i="2"/>
  <c r="T1678" i="2" a="1"/>
  <c r="S1678" i="2"/>
  <c r="R1678" i="2"/>
  <c r="V1677" i="2"/>
  <c r="U1677" i="2"/>
  <c r="U1677" i="2" a="1"/>
  <c r="T1677" i="2"/>
  <c r="T1677" i="2" a="1"/>
  <c r="S1677" i="2"/>
  <c r="R1677" i="2"/>
  <c r="V1676" i="2"/>
  <c r="U1676" i="2"/>
  <c r="U1676" i="2" a="1"/>
  <c r="T1676" i="2"/>
  <c r="T1676" i="2" a="1"/>
  <c r="S1676" i="2"/>
  <c r="R1676" i="2"/>
  <c r="V1675" i="2"/>
  <c r="U1675" i="2"/>
  <c r="U1675" i="2" a="1"/>
  <c r="T1675" i="2"/>
  <c r="T1675" i="2" a="1"/>
  <c r="S1675" i="2"/>
  <c r="R1675" i="2"/>
  <c r="V1674" i="2"/>
  <c r="U1674" i="2"/>
  <c r="U1674" i="2" a="1"/>
  <c r="T1674" i="2"/>
  <c r="T1674" i="2" a="1"/>
  <c r="S1674" i="2"/>
  <c r="R1674" i="2"/>
  <c r="V1673" i="2"/>
  <c r="U1673" i="2"/>
  <c r="U1673" i="2" a="1"/>
  <c r="T1673" i="2"/>
  <c r="T1673" i="2" a="1"/>
  <c r="S1673" i="2"/>
  <c r="R1673" i="2"/>
  <c r="V1672" i="2"/>
  <c r="U1672" i="2"/>
  <c r="U1672" i="2" a="1"/>
  <c r="T1672" i="2"/>
  <c r="T1672" i="2" a="1"/>
  <c r="S1672" i="2"/>
  <c r="R1672" i="2"/>
  <c r="V1671" i="2"/>
  <c r="U1671" i="2"/>
  <c r="U1671" i="2" a="1"/>
  <c r="T1671" i="2"/>
  <c r="T1671" i="2" a="1"/>
  <c r="S1671" i="2"/>
  <c r="R1671" i="2"/>
  <c r="V1670" i="2"/>
  <c r="U1670" i="2"/>
  <c r="U1670" i="2" a="1"/>
  <c r="T1670" i="2"/>
  <c r="T1670" i="2" a="1"/>
  <c r="S1670" i="2"/>
  <c r="R1670" i="2"/>
  <c r="V1669" i="2"/>
  <c r="U1669" i="2"/>
  <c r="U1669" i="2" a="1"/>
  <c r="T1669" i="2"/>
  <c r="T1669" i="2" a="1"/>
  <c r="S1669" i="2"/>
  <c r="R1669" i="2"/>
  <c r="V1668" i="2"/>
  <c r="U1668" i="2"/>
  <c r="U1668" i="2" a="1"/>
  <c r="T1668" i="2"/>
  <c r="T1668" i="2" a="1"/>
  <c r="S1668" i="2"/>
  <c r="R1668" i="2"/>
  <c r="V1667" i="2"/>
  <c r="U1667" i="2"/>
  <c r="U1667" i="2" a="1"/>
  <c r="T1667" i="2"/>
  <c r="T1667" i="2" a="1"/>
  <c r="S1667" i="2"/>
  <c r="R1667" i="2"/>
  <c r="V1666" i="2"/>
  <c r="U1666" i="2"/>
  <c r="U1666" i="2" a="1"/>
  <c r="T1666" i="2"/>
  <c r="T1666" i="2" a="1"/>
  <c r="S1666" i="2"/>
  <c r="R1666" i="2"/>
  <c r="V1665" i="2"/>
  <c r="U1665" i="2"/>
  <c r="U1665" i="2" a="1"/>
  <c r="T1665" i="2"/>
  <c r="T1665" i="2" a="1"/>
  <c r="S1665" i="2"/>
  <c r="R1665" i="2"/>
  <c r="V1664" i="2"/>
  <c r="U1664" i="2"/>
  <c r="U1664" i="2" a="1"/>
  <c r="T1664" i="2"/>
  <c r="T1664" i="2" a="1"/>
  <c r="S1664" i="2"/>
  <c r="R1664" i="2"/>
  <c r="V1663" i="2"/>
  <c r="U1663" i="2"/>
  <c r="U1663" i="2" a="1"/>
  <c r="T1663" i="2"/>
  <c r="T1663" i="2" a="1"/>
  <c r="S1663" i="2"/>
  <c r="R1663" i="2"/>
  <c r="V1662" i="2"/>
  <c r="U1662" i="2"/>
  <c r="U1662" i="2" a="1"/>
  <c r="T1662" i="2"/>
  <c r="T1662" i="2" a="1"/>
  <c r="S1662" i="2"/>
  <c r="R1662" i="2"/>
  <c r="V1661" i="2"/>
  <c r="U1661" i="2"/>
  <c r="U1661" i="2" a="1"/>
  <c r="T1661" i="2"/>
  <c r="T1661" i="2" a="1"/>
  <c r="S1661" i="2"/>
  <c r="R1661" i="2"/>
  <c r="V1660" i="2"/>
  <c r="U1660" i="2"/>
  <c r="U1660" i="2" a="1"/>
  <c r="T1660" i="2"/>
  <c r="T1660" i="2" a="1"/>
  <c r="S1660" i="2"/>
  <c r="R1660" i="2"/>
  <c r="V1659" i="2"/>
  <c r="U1659" i="2"/>
  <c r="U1659" i="2" a="1"/>
  <c r="T1659" i="2"/>
  <c r="T1659" i="2" a="1"/>
  <c r="S1659" i="2"/>
  <c r="R1659" i="2"/>
  <c r="V1658" i="2"/>
  <c r="U1658" i="2"/>
  <c r="U1658" i="2" a="1"/>
  <c r="T1658" i="2"/>
  <c r="T1658" i="2" a="1"/>
  <c r="S1658" i="2"/>
  <c r="R1658" i="2"/>
  <c r="V1657" i="2"/>
  <c r="U1657" i="2"/>
  <c r="U1657" i="2" a="1"/>
  <c r="T1657" i="2"/>
  <c r="T1657" i="2" a="1"/>
  <c r="S1657" i="2"/>
  <c r="R1657" i="2"/>
  <c r="V1656" i="2"/>
  <c r="U1656" i="2"/>
  <c r="U1656" i="2" a="1"/>
  <c r="T1656" i="2"/>
  <c r="T1656" i="2" a="1"/>
  <c r="S1656" i="2"/>
  <c r="R1656" i="2"/>
  <c r="V1655" i="2"/>
  <c r="U1655" i="2"/>
  <c r="U1655" i="2" a="1"/>
  <c r="T1655" i="2"/>
  <c r="T1655" i="2" a="1"/>
  <c r="S1655" i="2"/>
  <c r="R1655" i="2"/>
  <c r="V1654" i="2"/>
  <c r="U1654" i="2"/>
  <c r="U1654" i="2" a="1"/>
  <c r="T1654" i="2"/>
  <c r="T1654" i="2" a="1"/>
  <c r="S1654" i="2"/>
  <c r="R1654" i="2"/>
  <c r="V1653" i="2"/>
  <c r="U1653" i="2"/>
  <c r="U1653" i="2" a="1"/>
  <c r="T1653" i="2"/>
  <c r="T1653" i="2" a="1"/>
  <c r="S1653" i="2"/>
  <c r="R1653" i="2"/>
  <c r="V1652" i="2"/>
  <c r="U1652" i="2"/>
  <c r="U1652" i="2" a="1"/>
  <c r="T1652" i="2"/>
  <c r="T1652" i="2" a="1"/>
  <c r="S1652" i="2"/>
  <c r="R1652" i="2"/>
  <c r="V1651" i="2"/>
  <c r="U1651" i="2"/>
  <c r="U1651" i="2" a="1"/>
  <c r="T1651" i="2"/>
  <c r="T1651" i="2" a="1"/>
  <c r="S1651" i="2"/>
  <c r="R1651" i="2"/>
  <c r="V1650" i="2"/>
  <c r="U1650" i="2"/>
  <c r="U1650" i="2" a="1"/>
  <c r="T1650" i="2"/>
  <c r="T1650" i="2" a="1"/>
  <c r="S1650" i="2"/>
  <c r="R1650" i="2"/>
  <c r="V1649" i="2"/>
  <c r="U1649" i="2"/>
  <c r="U1649" i="2" a="1"/>
  <c r="T1649" i="2"/>
  <c r="T1649" i="2" a="1"/>
  <c r="S1649" i="2"/>
  <c r="R1649" i="2"/>
  <c r="V1648" i="2"/>
  <c r="U1648" i="2"/>
  <c r="U1648" i="2" a="1"/>
  <c r="T1648" i="2"/>
  <c r="T1648" i="2" a="1"/>
  <c r="S1648" i="2"/>
  <c r="R1648" i="2"/>
  <c r="V1647" i="2"/>
  <c r="U1647" i="2"/>
  <c r="U1647" i="2" a="1"/>
  <c r="T1647" i="2"/>
  <c r="T1647" i="2" a="1"/>
  <c r="S1647" i="2"/>
  <c r="R1647" i="2"/>
  <c r="V1646" i="2"/>
  <c r="U1646" i="2"/>
  <c r="U1646" i="2" a="1"/>
  <c r="T1646" i="2"/>
  <c r="T1646" i="2" a="1"/>
  <c r="S1646" i="2"/>
  <c r="R1646" i="2"/>
  <c r="V1645" i="2"/>
  <c r="U1645" i="2"/>
  <c r="U1645" i="2" a="1"/>
  <c r="T1645" i="2"/>
  <c r="T1645" i="2" a="1"/>
  <c r="S1645" i="2"/>
  <c r="R1645" i="2"/>
  <c r="V1644" i="2"/>
  <c r="U1644" i="2"/>
  <c r="U1644" i="2" a="1"/>
  <c r="T1644" i="2"/>
  <c r="T1644" i="2" a="1"/>
  <c r="S1644" i="2"/>
  <c r="R1644" i="2"/>
  <c r="V1643" i="2"/>
  <c r="U1643" i="2"/>
  <c r="U1643" i="2" a="1"/>
  <c r="T1643" i="2"/>
  <c r="T1643" i="2" a="1"/>
  <c r="S1643" i="2"/>
  <c r="R1643" i="2"/>
  <c r="V1642" i="2"/>
  <c r="U1642" i="2"/>
  <c r="U1642" i="2" a="1"/>
  <c r="T1642" i="2"/>
  <c r="T1642" i="2" a="1"/>
  <c r="S1642" i="2"/>
  <c r="R1642" i="2"/>
  <c r="V1641" i="2"/>
  <c r="U1641" i="2"/>
  <c r="U1641" i="2" a="1"/>
  <c r="T1641" i="2"/>
  <c r="T1641" i="2" a="1"/>
  <c r="S1641" i="2"/>
  <c r="R1641" i="2"/>
  <c r="V1640" i="2"/>
  <c r="U1640" i="2"/>
  <c r="U1640" i="2" a="1"/>
  <c r="T1640" i="2"/>
  <c r="T1640" i="2" a="1"/>
  <c r="S1640" i="2"/>
  <c r="R1640" i="2"/>
  <c r="V1639" i="2"/>
  <c r="U1639" i="2"/>
  <c r="U1639" i="2" a="1"/>
  <c r="T1639" i="2"/>
  <c r="T1639" i="2" a="1"/>
  <c r="S1639" i="2"/>
  <c r="R1639" i="2"/>
  <c r="V1638" i="2"/>
  <c r="U1638" i="2"/>
  <c r="U1638" i="2" a="1"/>
  <c r="T1638" i="2"/>
  <c r="T1638" i="2" a="1"/>
  <c r="S1638" i="2"/>
  <c r="R1638" i="2"/>
  <c r="V1637" i="2"/>
  <c r="U1637" i="2"/>
  <c r="U1637" i="2" a="1"/>
  <c r="T1637" i="2"/>
  <c r="T1637" i="2" a="1"/>
  <c r="S1637" i="2"/>
  <c r="R1637" i="2"/>
  <c r="V1636" i="2"/>
  <c r="U1636" i="2"/>
  <c r="U1636" i="2" a="1"/>
  <c r="T1636" i="2"/>
  <c r="T1636" i="2" a="1"/>
  <c r="S1636" i="2"/>
  <c r="R1636" i="2"/>
  <c r="V1635" i="2"/>
  <c r="U1635" i="2"/>
  <c r="U1635" i="2" a="1"/>
  <c r="T1635" i="2"/>
  <c r="T1635" i="2" a="1"/>
  <c r="S1635" i="2"/>
  <c r="R1635" i="2"/>
  <c r="V1634" i="2"/>
  <c r="U1634" i="2"/>
  <c r="U1634" i="2" a="1"/>
  <c r="T1634" i="2"/>
  <c r="T1634" i="2" a="1"/>
  <c r="S1634" i="2"/>
  <c r="R1634" i="2"/>
  <c r="V1633" i="2"/>
  <c r="U1633" i="2"/>
  <c r="U1633" i="2" a="1"/>
  <c r="T1633" i="2"/>
  <c r="T1633" i="2" a="1"/>
  <c r="S1633" i="2"/>
  <c r="R1633" i="2"/>
  <c r="V1632" i="2"/>
  <c r="U1632" i="2"/>
  <c r="U1632" i="2" a="1"/>
  <c r="T1632" i="2"/>
  <c r="T1632" i="2" a="1"/>
  <c r="S1632" i="2"/>
  <c r="R1632" i="2"/>
  <c r="V1631" i="2"/>
  <c r="U1631" i="2"/>
  <c r="U1631" i="2" a="1"/>
  <c r="T1631" i="2"/>
  <c r="T1631" i="2" a="1"/>
  <c r="S1631" i="2"/>
  <c r="R1631" i="2"/>
  <c r="V1630" i="2"/>
  <c r="U1630" i="2"/>
  <c r="U1630" i="2" a="1"/>
  <c r="T1630" i="2"/>
  <c r="T1630" i="2" a="1"/>
  <c r="S1630" i="2"/>
  <c r="R1630" i="2"/>
  <c r="V1629" i="2"/>
  <c r="U1629" i="2"/>
  <c r="U1629" i="2" a="1"/>
  <c r="T1629" i="2"/>
  <c r="T1629" i="2" a="1"/>
  <c r="S1629" i="2"/>
  <c r="R1629" i="2"/>
  <c r="V1628" i="2"/>
  <c r="U1628" i="2"/>
  <c r="U1628" i="2" a="1"/>
  <c r="T1628" i="2"/>
  <c r="T1628" i="2" a="1"/>
  <c r="S1628" i="2"/>
  <c r="R1628" i="2"/>
  <c r="V1627" i="2"/>
  <c r="U1627" i="2"/>
  <c r="U1627" i="2" a="1"/>
  <c r="T1627" i="2"/>
  <c r="T1627" i="2" a="1"/>
  <c r="S1627" i="2"/>
  <c r="R1627" i="2"/>
  <c r="V1626" i="2"/>
  <c r="U1626" i="2"/>
  <c r="U1626" i="2" a="1"/>
  <c r="T1626" i="2"/>
  <c r="T1626" i="2" a="1"/>
  <c r="S1626" i="2"/>
  <c r="R1626" i="2"/>
  <c r="V1625" i="2"/>
  <c r="U1625" i="2"/>
  <c r="U1625" i="2" a="1"/>
  <c r="T1625" i="2"/>
  <c r="T1625" i="2" a="1"/>
  <c r="S1625" i="2"/>
  <c r="R1625" i="2"/>
  <c r="V1624" i="2"/>
  <c r="U1624" i="2"/>
  <c r="U1624" i="2" a="1"/>
  <c r="T1624" i="2"/>
  <c r="T1624" i="2" a="1"/>
  <c r="S1624" i="2"/>
  <c r="R1624" i="2"/>
  <c r="V1623" i="2"/>
  <c r="U1623" i="2"/>
  <c r="U1623" i="2" a="1"/>
  <c r="T1623" i="2"/>
  <c r="T1623" i="2" a="1"/>
  <c r="S1623" i="2"/>
  <c r="R1623" i="2"/>
  <c r="V1622" i="2"/>
  <c r="U1622" i="2"/>
  <c r="U1622" i="2" a="1"/>
  <c r="T1622" i="2"/>
  <c r="T1622" i="2" a="1"/>
  <c r="S1622" i="2"/>
  <c r="R1622" i="2"/>
  <c r="V1621" i="2"/>
  <c r="U1621" i="2"/>
  <c r="U1621" i="2" a="1"/>
  <c r="T1621" i="2"/>
  <c r="T1621" i="2" a="1"/>
  <c r="S1621" i="2"/>
  <c r="R1621" i="2"/>
  <c r="V1620" i="2"/>
  <c r="U1620" i="2"/>
  <c r="U1620" i="2" a="1"/>
  <c r="T1620" i="2"/>
  <c r="T1620" i="2" a="1"/>
  <c r="S1620" i="2"/>
  <c r="R1620" i="2"/>
  <c r="V1619" i="2"/>
  <c r="U1619" i="2"/>
  <c r="U1619" i="2" a="1"/>
  <c r="T1619" i="2"/>
  <c r="T1619" i="2" a="1"/>
  <c r="S1619" i="2"/>
  <c r="R1619" i="2"/>
  <c r="V1618" i="2"/>
  <c r="U1618" i="2"/>
  <c r="U1618" i="2" a="1"/>
  <c r="T1618" i="2"/>
  <c r="T1618" i="2" a="1"/>
  <c r="S1618" i="2"/>
  <c r="R1618" i="2"/>
  <c r="V1617" i="2"/>
  <c r="U1617" i="2"/>
  <c r="U1617" i="2" a="1"/>
  <c r="T1617" i="2"/>
  <c r="T1617" i="2" a="1"/>
  <c r="S1617" i="2"/>
  <c r="R1617" i="2"/>
  <c r="V1616" i="2"/>
  <c r="U1616" i="2"/>
  <c r="U1616" i="2" a="1"/>
  <c r="T1616" i="2"/>
  <c r="T1616" i="2" a="1"/>
  <c r="S1616" i="2"/>
  <c r="R1616" i="2"/>
  <c r="V1615" i="2"/>
  <c r="U1615" i="2"/>
  <c r="U1615" i="2" a="1"/>
  <c r="T1615" i="2"/>
  <c r="T1615" i="2" a="1"/>
  <c r="S1615" i="2"/>
  <c r="R1615" i="2"/>
  <c r="V1614" i="2"/>
  <c r="U1614" i="2"/>
  <c r="U1614" i="2" a="1"/>
  <c r="T1614" i="2"/>
  <c r="T1614" i="2" a="1"/>
  <c r="S1614" i="2"/>
  <c r="R1614" i="2"/>
  <c r="V1613" i="2"/>
  <c r="U1613" i="2"/>
  <c r="U1613" i="2" a="1"/>
  <c r="T1613" i="2"/>
  <c r="T1613" i="2" a="1"/>
  <c r="S1613" i="2"/>
  <c r="R1613" i="2"/>
  <c r="V1612" i="2"/>
  <c r="U1612" i="2"/>
  <c r="U1612" i="2" a="1"/>
  <c r="T1612" i="2"/>
  <c r="T1612" i="2" a="1"/>
  <c r="S1612" i="2"/>
  <c r="R1612" i="2"/>
  <c r="V1611" i="2"/>
  <c r="U1611" i="2"/>
  <c r="U1611" i="2" a="1"/>
  <c r="T1611" i="2"/>
  <c r="T1611" i="2" a="1"/>
  <c r="S1611" i="2"/>
  <c r="R1611" i="2"/>
  <c r="V1610" i="2"/>
  <c r="U1610" i="2"/>
  <c r="U1610" i="2" a="1"/>
  <c r="T1610" i="2"/>
  <c r="T1610" i="2" a="1"/>
  <c r="S1610" i="2"/>
  <c r="R1610" i="2"/>
  <c r="V1609" i="2"/>
  <c r="U1609" i="2"/>
  <c r="U1609" i="2" a="1"/>
  <c r="T1609" i="2"/>
  <c r="T1609" i="2" a="1"/>
  <c r="S1609" i="2"/>
  <c r="R1609" i="2"/>
  <c r="V1608" i="2"/>
  <c r="U1608" i="2"/>
  <c r="U1608" i="2" a="1"/>
  <c r="T1608" i="2"/>
  <c r="T1608" i="2" a="1"/>
  <c r="S1608" i="2"/>
  <c r="R1608" i="2"/>
  <c r="V1607" i="2"/>
  <c r="U1607" i="2"/>
  <c r="U1607" i="2" a="1"/>
  <c r="T1607" i="2"/>
  <c r="T1607" i="2" a="1"/>
  <c r="S1607" i="2"/>
  <c r="R1607" i="2"/>
  <c r="V1606" i="2"/>
  <c r="U1606" i="2"/>
  <c r="U1606" i="2" a="1"/>
  <c r="T1606" i="2"/>
  <c r="T1606" i="2" a="1"/>
  <c r="S1606" i="2"/>
  <c r="R1606" i="2"/>
  <c r="V1605" i="2"/>
  <c r="U1605" i="2"/>
  <c r="U1605" i="2" a="1"/>
  <c r="T1605" i="2"/>
  <c r="T1605" i="2" a="1"/>
  <c r="S1605" i="2"/>
  <c r="R1605" i="2"/>
  <c r="V1604" i="2"/>
  <c r="U1604" i="2"/>
  <c r="U1604" i="2" a="1"/>
  <c r="T1604" i="2"/>
  <c r="T1604" i="2" a="1"/>
  <c r="S1604" i="2"/>
  <c r="R1604" i="2"/>
  <c r="V1603" i="2"/>
  <c r="U1603" i="2"/>
  <c r="U1603" i="2" a="1"/>
  <c r="T1603" i="2"/>
  <c r="T1603" i="2" a="1"/>
  <c r="S1603" i="2"/>
  <c r="R1603" i="2"/>
  <c r="V1602" i="2"/>
  <c r="U1602" i="2"/>
  <c r="U1602" i="2" a="1"/>
  <c r="T1602" i="2"/>
  <c r="T1602" i="2" a="1"/>
  <c r="S1602" i="2"/>
  <c r="R1602" i="2"/>
  <c r="V1601" i="2"/>
  <c r="U1601" i="2"/>
  <c r="U1601" i="2" a="1"/>
  <c r="T1601" i="2"/>
  <c r="T1601" i="2" a="1"/>
  <c r="S1601" i="2"/>
  <c r="R1601" i="2"/>
  <c r="V1600" i="2"/>
  <c r="U1600" i="2"/>
  <c r="U1600" i="2" a="1"/>
  <c r="T1600" i="2"/>
  <c r="T1600" i="2" a="1"/>
  <c r="S1600" i="2"/>
  <c r="R1600" i="2"/>
  <c r="V1599" i="2"/>
  <c r="U1599" i="2"/>
  <c r="U1599" i="2" a="1"/>
  <c r="T1599" i="2"/>
  <c r="T1599" i="2" a="1"/>
  <c r="S1599" i="2"/>
  <c r="R1599" i="2"/>
  <c r="V1598" i="2"/>
  <c r="U1598" i="2"/>
  <c r="U1598" i="2" a="1"/>
  <c r="T1598" i="2"/>
  <c r="T1598" i="2" a="1"/>
  <c r="S1598" i="2"/>
  <c r="R1598" i="2"/>
  <c r="V1597" i="2"/>
  <c r="U1597" i="2"/>
  <c r="U1597" i="2" a="1"/>
  <c r="T1597" i="2"/>
  <c r="T1597" i="2" a="1"/>
  <c r="S1597" i="2"/>
  <c r="R1597" i="2"/>
  <c r="V1596" i="2"/>
  <c r="U1596" i="2"/>
  <c r="U1596" i="2" a="1"/>
  <c r="T1596" i="2"/>
  <c r="T1596" i="2" a="1"/>
  <c r="S1596" i="2"/>
  <c r="R1596" i="2"/>
  <c r="V1595" i="2"/>
  <c r="U1595" i="2"/>
  <c r="U1595" i="2" a="1"/>
  <c r="T1595" i="2"/>
  <c r="T1595" i="2" a="1"/>
  <c r="S1595" i="2"/>
  <c r="R1595" i="2"/>
  <c r="V1594" i="2"/>
  <c r="U1594" i="2"/>
  <c r="U1594" i="2" a="1"/>
  <c r="T1594" i="2"/>
  <c r="T1594" i="2" a="1"/>
  <c r="S1594" i="2"/>
  <c r="R1594" i="2"/>
  <c r="V1593" i="2"/>
  <c r="U1593" i="2"/>
  <c r="U1593" i="2" a="1"/>
  <c r="T1593" i="2"/>
  <c r="T1593" i="2" a="1"/>
  <c r="S1593" i="2"/>
  <c r="R1593" i="2"/>
  <c r="V1592" i="2"/>
  <c r="U1592" i="2"/>
  <c r="U1592" i="2" a="1"/>
  <c r="T1592" i="2"/>
  <c r="T1592" i="2" a="1"/>
  <c r="S1592" i="2"/>
  <c r="R1592" i="2"/>
  <c r="V1591" i="2"/>
  <c r="U1591" i="2"/>
  <c r="U1591" i="2" a="1"/>
  <c r="T1591" i="2"/>
  <c r="T1591" i="2" a="1"/>
  <c r="S1591" i="2"/>
  <c r="R1591" i="2"/>
  <c r="V1590" i="2"/>
  <c r="U1590" i="2"/>
  <c r="U1590" i="2" a="1"/>
  <c r="T1590" i="2"/>
  <c r="T1590" i="2" a="1"/>
  <c r="S1590" i="2"/>
  <c r="R1590" i="2"/>
  <c r="V1589" i="2"/>
  <c r="U1589" i="2"/>
  <c r="U1589" i="2" a="1"/>
  <c r="T1589" i="2"/>
  <c r="T1589" i="2" a="1"/>
  <c r="S1589" i="2"/>
  <c r="R1589" i="2"/>
  <c r="V1588" i="2"/>
  <c r="U1588" i="2"/>
  <c r="U1588" i="2" a="1"/>
  <c r="T1588" i="2"/>
  <c r="T1588" i="2" a="1"/>
  <c r="S1588" i="2"/>
  <c r="R1588" i="2"/>
  <c r="V1587" i="2"/>
  <c r="U1587" i="2"/>
  <c r="U1587" i="2" a="1"/>
  <c r="T1587" i="2"/>
  <c r="T1587" i="2" a="1"/>
  <c r="S1587" i="2"/>
  <c r="R1587" i="2"/>
  <c r="V1586" i="2"/>
  <c r="U1586" i="2"/>
  <c r="U1586" i="2" a="1"/>
  <c r="T1586" i="2"/>
  <c r="T1586" i="2" a="1"/>
  <c r="S1586" i="2"/>
  <c r="R1586" i="2"/>
  <c r="V1585" i="2"/>
  <c r="U1585" i="2"/>
  <c r="U1585" i="2" a="1"/>
  <c r="T1585" i="2"/>
  <c r="T1585" i="2" a="1"/>
  <c r="S1585" i="2"/>
  <c r="R1585" i="2"/>
  <c r="V1584" i="2"/>
  <c r="U1584" i="2"/>
  <c r="U1584" i="2" a="1"/>
  <c r="T1584" i="2"/>
  <c r="T1584" i="2" a="1"/>
  <c r="S1584" i="2"/>
  <c r="R1584" i="2"/>
  <c r="V1583" i="2"/>
  <c r="U1583" i="2"/>
  <c r="U1583" i="2" a="1"/>
  <c r="T1583" i="2"/>
  <c r="T1583" i="2" a="1"/>
  <c r="S1583" i="2"/>
  <c r="R1583" i="2"/>
  <c r="V1582" i="2"/>
  <c r="U1582" i="2"/>
  <c r="U1582" i="2" a="1"/>
  <c r="T1582" i="2"/>
  <c r="T1582" i="2" a="1"/>
  <c r="S1582" i="2"/>
  <c r="R1582" i="2"/>
  <c r="V1581" i="2"/>
  <c r="U1581" i="2"/>
  <c r="U1581" i="2" a="1"/>
  <c r="T1581" i="2"/>
  <c r="T1581" i="2" a="1"/>
  <c r="S1581" i="2"/>
  <c r="R1581" i="2"/>
  <c r="V1580" i="2"/>
  <c r="U1580" i="2"/>
  <c r="U1580" i="2" a="1"/>
  <c r="T1580" i="2"/>
  <c r="T1580" i="2" a="1"/>
  <c r="S1580" i="2"/>
  <c r="R1580" i="2"/>
  <c r="V1579" i="2"/>
  <c r="U1579" i="2"/>
  <c r="U1579" i="2" a="1"/>
  <c r="T1579" i="2"/>
  <c r="T1579" i="2" a="1"/>
  <c r="S1579" i="2"/>
  <c r="R1579" i="2"/>
  <c r="V1578" i="2"/>
  <c r="U1578" i="2"/>
  <c r="U1578" i="2" a="1"/>
  <c r="T1578" i="2"/>
  <c r="T1578" i="2" a="1"/>
  <c r="S1578" i="2"/>
  <c r="R1578" i="2"/>
  <c r="V1577" i="2"/>
  <c r="U1577" i="2"/>
  <c r="U1577" i="2" a="1"/>
  <c r="T1577" i="2"/>
  <c r="T1577" i="2" a="1"/>
  <c r="S1577" i="2"/>
  <c r="R1577" i="2"/>
  <c r="V1576" i="2"/>
  <c r="U1576" i="2"/>
  <c r="U1576" i="2" a="1"/>
  <c r="T1576" i="2"/>
  <c r="T1576" i="2" a="1"/>
  <c r="S1576" i="2"/>
  <c r="R1576" i="2"/>
  <c r="V1575" i="2"/>
  <c r="U1575" i="2"/>
  <c r="U1575" i="2" a="1"/>
  <c r="T1575" i="2"/>
  <c r="T1575" i="2" a="1"/>
  <c r="S1575" i="2"/>
  <c r="R1575" i="2"/>
  <c r="V1574" i="2"/>
  <c r="U1574" i="2"/>
  <c r="U1574" i="2" a="1"/>
  <c r="T1574" i="2"/>
  <c r="T1574" i="2" a="1"/>
  <c r="S1574" i="2"/>
  <c r="R1574" i="2"/>
  <c r="V1573" i="2"/>
  <c r="U1573" i="2"/>
  <c r="U1573" i="2" a="1"/>
  <c r="T1573" i="2"/>
  <c r="T1573" i="2" a="1"/>
  <c r="S1573" i="2"/>
  <c r="R1573" i="2"/>
  <c r="V1572" i="2"/>
  <c r="U1572" i="2"/>
  <c r="U1572" i="2" a="1"/>
  <c r="T1572" i="2"/>
  <c r="T1572" i="2" a="1"/>
  <c r="S1572" i="2"/>
  <c r="R1572" i="2"/>
  <c r="V1571" i="2"/>
  <c r="U1571" i="2"/>
  <c r="U1571" i="2" a="1"/>
  <c r="T1571" i="2"/>
  <c r="T1571" i="2" a="1"/>
  <c r="S1571" i="2"/>
  <c r="R1571" i="2"/>
  <c r="V1570" i="2"/>
  <c r="U1570" i="2"/>
  <c r="U1570" i="2" a="1"/>
  <c r="T1570" i="2"/>
  <c r="T1570" i="2" a="1"/>
  <c r="S1570" i="2"/>
  <c r="R1570" i="2"/>
  <c r="V1569" i="2"/>
  <c r="U1569" i="2"/>
  <c r="U1569" i="2" a="1"/>
  <c r="T1569" i="2"/>
  <c r="T1569" i="2" a="1"/>
  <c r="S1569" i="2"/>
  <c r="R1569" i="2"/>
  <c r="V1568" i="2"/>
  <c r="U1568" i="2"/>
  <c r="U1568" i="2" a="1"/>
  <c r="T1568" i="2"/>
  <c r="T1568" i="2" a="1"/>
  <c r="S1568" i="2"/>
  <c r="R1568" i="2"/>
  <c r="V1567" i="2"/>
  <c r="U1567" i="2"/>
  <c r="U1567" i="2" a="1"/>
  <c r="T1567" i="2"/>
  <c r="T1567" i="2" a="1"/>
  <c r="S1567" i="2"/>
  <c r="R1567" i="2"/>
  <c r="V1566" i="2"/>
  <c r="U1566" i="2"/>
  <c r="U1566" i="2" a="1"/>
  <c r="T1566" i="2"/>
  <c r="T1566" i="2" a="1"/>
  <c r="S1566" i="2"/>
  <c r="R1566" i="2"/>
  <c r="V1565" i="2"/>
  <c r="U1565" i="2"/>
  <c r="U1565" i="2" a="1"/>
  <c r="T1565" i="2"/>
  <c r="T1565" i="2" a="1"/>
  <c r="S1565" i="2"/>
  <c r="R1565" i="2"/>
  <c r="V1564" i="2"/>
  <c r="U1564" i="2"/>
  <c r="U1564" i="2" a="1"/>
  <c r="T1564" i="2"/>
  <c r="T1564" i="2" a="1"/>
  <c r="S1564" i="2"/>
  <c r="R1564" i="2"/>
  <c r="V1563" i="2"/>
  <c r="U1563" i="2"/>
  <c r="U1563" i="2" a="1"/>
  <c r="T1563" i="2"/>
  <c r="T1563" i="2" a="1"/>
  <c r="S1563" i="2"/>
  <c r="R1563" i="2"/>
  <c r="V1562" i="2"/>
  <c r="U1562" i="2"/>
  <c r="U1562" i="2" a="1"/>
  <c r="T1562" i="2"/>
  <c r="T1562" i="2" a="1"/>
  <c r="S1562" i="2"/>
  <c r="R1562" i="2"/>
  <c r="V1561" i="2"/>
  <c r="U1561" i="2"/>
  <c r="U1561" i="2" a="1"/>
  <c r="T1561" i="2"/>
  <c r="T1561" i="2" a="1"/>
  <c r="S1561" i="2"/>
  <c r="R1561" i="2"/>
  <c r="V1560" i="2"/>
  <c r="U1560" i="2"/>
  <c r="U1560" i="2" a="1"/>
  <c r="T1560" i="2"/>
  <c r="T1560" i="2" a="1"/>
  <c r="S1560" i="2"/>
  <c r="R1560" i="2"/>
  <c r="V1559" i="2"/>
  <c r="U1559" i="2"/>
  <c r="U1559" i="2" a="1"/>
  <c r="T1559" i="2"/>
  <c r="T1559" i="2" a="1"/>
  <c r="S1559" i="2"/>
  <c r="R1559" i="2"/>
  <c r="V1558" i="2"/>
  <c r="U1558" i="2"/>
  <c r="U1558" i="2" a="1"/>
  <c r="T1558" i="2"/>
  <c r="T1558" i="2" a="1"/>
  <c r="S1558" i="2"/>
  <c r="R1558" i="2"/>
  <c r="V1557" i="2"/>
  <c r="U1557" i="2"/>
  <c r="U1557" i="2" a="1"/>
  <c r="T1557" i="2"/>
  <c r="T1557" i="2" a="1"/>
  <c r="S1557" i="2"/>
  <c r="R1557" i="2"/>
  <c r="V1556" i="2"/>
  <c r="U1556" i="2"/>
  <c r="U1556" i="2" a="1"/>
  <c r="T1556" i="2"/>
  <c r="T1556" i="2" a="1"/>
  <c r="S1556" i="2"/>
  <c r="R1556" i="2"/>
  <c r="V1555" i="2"/>
  <c r="U1555" i="2"/>
  <c r="U1555" i="2" a="1"/>
  <c r="T1555" i="2"/>
  <c r="T1555" i="2" a="1"/>
  <c r="S1555" i="2"/>
  <c r="R1555" i="2"/>
  <c r="V1554" i="2"/>
  <c r="U1554" i="2"/>
  <c r="U1554" i="2" a="1"/>
  <c r="T1554" i="2"/>
  <c r="T1554" i="2" a="1"/>
  <c r="S1554" i="2"/>
  <c r="R1554" i="2"/>
  <c r="V1553" i="2"/>
  <c r="U1553" i="2"/>
  <c r="U1553" i="2" a="1"/>
  <c r="T1553" i="2"/>
  <c r="T1553" i="2" a="1"/>
  <c r="S1553" i="2"/>
  <c r="R1553" i="2"/>
  <c r="V1552" i="2"/>
  <c r="U1552" i="2"/>
  <c r="U1552" i="2" a="1"/>
  <c r="T1552" i="2"/>
  <c r="T1552" i="2" a="1"/>
  <c r="S1552" i="2"/>
  <c r="R1552" i="2"/>
  <c r="V1551" i="2"/>
  <c r="U1551" i="2"/>
  <c r="U1551" i="2" a="1"/>
  <c r="T1551" i="2"/>
  <c r="T1551" i="2" a="1"/>
  <c r="S1551" i="2"/>
  <c r="R1551" i="2"/>
  <c r="V1550" i="2"/>
  <c r="U1550" i="2"/>
  <c r="U1550" i="2" a="1"/>
  <c r="T1550" i="2"/>
  <c r="T1550" i="2" a="1"/>
  <c r="S1550" i="2"/>
  <c r="R1550" i="2"/>
  <c r="V1549" i="2"/>
  <c r="U1549" i="2"/>
  <c r="U1549" i="2" a="1"/>
  <c r="T1549" i="2"/>
  <c r="T1549" i="2" a="1"/>
  <c r="S1549" i="2"/>
  <c r="R1549" i="2"/>
  <c r="V1548" i="2"/>
  <c r="U1548" i="2"/>
  <c r="U1548" i="2" a="1"/>
  <c r="T1548" i="2"/>
  <c r="T1548" i="2" a="1"/>
  <c r="S1548" i="2"/>
  <c r="R1548" i="2"/>
  <c r="V1547" i="2"/>
  <c r="U1547" i="2"/>
  <c r="U1547" i="2" a="1"/>
  <c r="T1547" i="2"/>
  <c r="T1547" i="2" a="1"/>
  <c r="S1547" i="2"/>
  <c r="R1547" i="2"/>
  <c r="V1546" i="2"/>
  <c r="U1546" i="2"/>
  <c r="U1546" i="2" a="1"/>
  <c r="T1546" i="2"/>
  <c r="T1546" i="2" a="1"/>
  <c r="S1546" i="2"/>
  <c r="R1546" i="2"/>
  <c r="V1545" i="2"/>
  <c r="U1545" i="2"/>
  <c r="U1545" i="2" a="1"/>
  <c r="T1545" i="2"/>
  <c r="T1545" i="2" a="1"/>
  <c r="S1545" i="2"/>
  <c r="R1545" i="2"/>
  <c r="V1544" i="2"/>
  <c r="U1544" i="2"/>
  <c r="U1544" i="2" a="1"/>
  <c r="T1544" i="2"/>
  <c r="T1544" i="2" a="1"/>
  <c r="S1544" i="2"/>
  <c r="R1544" i="2"/>
  <c r="V1543" i="2"/>
  <c r="U1543" i="2"/>
  <c r="U1543" i="2" a="1"/>
  <c r="T1543" i="2"/>
  <c r="T1543" i="2" a="1"/>
  <c r="S1543" i="2"/>
  <c r="R1543" i="2"/>
  <c r="V1542" i="2"/>
  <c r="U1542" i="2"/>
  <c r="U1542" i="2" a="1"/>
  <c r="T1542" i="2"/>
  <c r="T1542" i="2" a="1"/>
  <c r="S1542" i="2"/>
  <c r="R1542" i="2"/>
  <c r="V1541" i="2"/>
  <c r="U1541" i="2"/>
  <c r="U1541" i="2" a="1"/>
  <c r="T1541" i="2"/>
  <c r="T1541" i="2" a="1"/>
  <c r="S1541" i="2"/>
  <c r="R1541" i="2"/>
  <c r="V1540" i="2"/>
  <c r="U1540" i="2"/>
  <c r="U1540" i="2" a="1"/>
  <c r="T1540" i="2"/>
  <c r="T1540" i="2" a="1"/>
  <c r="S1540" i="2"/>
  <c r="R1540" i="2"/>
  <c r="V1539" i="2"/>
  <c r="U1539" i="2"/>
  <c r="U1539" i="2" a="1"/>
  <c r="T1539" i="2"/>
  <c r="T1539" i="2" a="1"/>
  <c r="S1539" i="2"/>
  <c r="R1539" i="2"/>
  <c r="V1538" i="2"/>
  <c r="U1538" i="2"/>
  <c r="U1538" i="2" a="1"/>
  <c r="T1538" i="2"/>
  <c r="T1538" i="2" a="1"/>
  <c r="S1538" i="2"/>
  <c r="R1538" i="2"/>
  <c r="V1537" i="2"/>
  <c r="U1537" i="2"/>
  <c r="U1537" i="2" a="1"/>
  <c r="T1537" i="2"/>
  <c r="T1537" i="2" a="1"/>
  <c r="S1537" i="2"/>
  <c r="R1537" i="2"/>
  <c r="V1536" i="2"/>
  <c r="U1536" i="2"/>
  <c r="U1536" i="2" a="1"/>
  <c r="T1536" i="2"/>
  <c r="T1536" i="2" a="1"/>
  <c r="S1536" i="2"/>
  <c r="R1536" i="2"/>
  <c r="V1535" i="2"/>
  <c r="U1535" i="2"/>
  <c r="U1535" i="2" a="1"/>
  <c r="T1535" i="2"/>
  <c r="T1535" i="2" a="1"/>
  <c r="S1535" i="2"/>
  <c r="R1535" i="2"/>
  <c r="V1534" i="2"/>
  <c r="U1534" i="2"/>
  <c r="U1534" i="2" a="1"/>
  <c r="T1534" i="2"/>
  <c r="T1534" i="2" a="1"/>
  <c r="S1534" i="2"/>
  <c r="R1534" i="2"/>
  <c r="V1533" i="2"/>
  <c r="U1533" i="2"/>
  <c r="U1533" i="2" a="1"/>
  <c r="T1533" i="2"/>
  <c r="T1533" i="2" a="1"/>
  <c r="S1533" i="2"/>
  <c r="R1533" i="2"/>
  <c r="V1532" i="2"/>
  <c r="U1532" i="2"/>
  <c r="U1532" i="2" a="1"/>
  <c r="T1532" i="2"/>
  <c r="T1532" i="2" a="1"/>
  <c r="S1532" i="2"/>
  <c r="R1532" i="2"/>
  <c r="V1531" i="2"/>
  <c r="U1531" i="2"/>
  <c r="U1531" i="2" a="1"/>
  <c r="T1531" i="2"/>
  <c r="T1531" i="2" a="1"/>
  <c r="S1531" i="2"/>
  <c r="R1531" i="2"/>
  <c r="V1530" i="2"/>
  <c r="U1530" i="2"/>
  <c r="U1530" i="2" a="1"/>
  <c r="T1530" i="2"/>
  <c r="T1530" i="2" a="1"/>
  <c r="S1530" i="2"/>
  <c r="R1530" i="2"/>
  <c r="V1529" i="2"/>
  <c r="U1529" i="2"/>
  <c r="U1529" i="2" a="1"/>
  <c r="T1529" i="2"/>
  <c r="T1529" i="2" a="1"/>
  <c r="S1529" i="2"/>
  <c r="R1529" i="2"/>
  <c r="V1528" i="2"/>
  <c r="U1528" i="2"/>
  <c r="U1528" i="2" a="1"/>
  <c r="T1528" i="2"/>
  <c r="T1528" i="2" a="1"/>
  <c r="S1528" i="2"/>
  <c r="R1528" i="2"/>
  <c r="V1527" i="2"/>
  <c r="U1527" i="2"/>
  <c r="U1527" i="2" a="1"/>
  <c r="T1527" i="2"/>
  <c r="T1527" i="2" a="1"/>
  <c r="S1527" i="2"/>
  <c r="R1527" i="2"/>
  <c r="V1526" i="2"/>
  <c r="U1526" i="2"/>
  <c r="U1526" i="2" a="1"/>
  <c r="T1526" i="2"/>
  <c r="T1526" i="2" a="1"/>
  <c r="S1526" i="2"/>
  <c r="R1526" i="2"/>
  <c r="V1525" i="2"/>
  <c r="U1525" i="2"/>
  <c r="U1525" i="2" a="1"/>
  <c r="T1525" i="2"/>
  <c r="T1525" i="2" a="1"/>
  <c r="S1525" i="2"/>
  <c r="R1525" i="2"/>
  <c r="V1524" i="2"/>
  <c r="U1524" i="2"/>
  <c r="U1524" i="2" a="1"/>
  <c r="T1524" i="2"/>
  <c r="T1524" i="2" a="1"/>
  <c r="S1524" i="2"/>
  <c r="R1524" i="2"/>
  <c r="V1523" i="2"/>
  <c r="U1523" i="2"/>
  <c r="U1523" i="2" a="1"/>
  <c r="T1523" i="2"/>
  <c r="T1523" i="2" a="1"/>
  <c r="S1523" i="2"/>
  <c r="R1523" i="2"/>
  <c r="V1522" i="2"/>
  <c r="U1522" i="2"/>
  <c r="U1522" i="2" a="1"/>
  <c r="T1522" i="2"/>
  <c r="T1522" i="2" a="1"/>
  <c r="S1522" i="2"/>
  <c r="R1522" i="2"/>
  <c r="V1521" i="2"/>
  <c r="U1521" i="2"/>
  <c r="U1521" i="2" a="1"/>
  <c r="T1521" i="2"/>
  <c r="T1521" i="2" a="1"/>
  <c r="S1521" i="2"/>
  <c r="R1521" i="2"/>
  <c r="V1520" i="2"/>
  <c r="U1520" i="2"/>
  <c r="U1520" i="2" a="1"/>
  <c r="T1520" i="2"/>
  <c r="T1520" i="2" a="1"/>
  <c r="S1520" i="2"/>
  <c r="R1520" i="2"/>
  <c r="V1519" i="2"/>
  <c r="U1519" i="2"/>
  <c r="U1519" i="2" a="1"/>
  <c r="T1519" i="2"/>
  <c r="T1519" i="2" a="1"/>
  <c r="S1519" i="2"/>
  <c r="R1519" i="2"/>
  <c r="V1518" i="2"/>
  <c r="U1518" i="2"/>
  <c r="U1518" i="2" a="1"/>
  <c r="T1518" i="2"/>
  <c r="T1518" i="2" a="1"/>
  <c r="S1518" i="2"/>
  <c r="R1518" i="2"/>
  <c r="V1517" i="2"/>
  <c r="U1517" i="2"/>
  <c r="U1517" i="2" a="1"/>
  <c r="T1517" i="2"/>
  <c r="T1517" i="2" a="1"/>
  <c r="S1517" i="2"/>
  <c r="R1517" i="2"/>
  <c r="V1516" i="2"/>
  <c r="U1516" i="2"/>
  <c r="U1516" i="2" a="1"/>
  <c r="T1516" i="2"/>
  <c r="T1516" i="2" a="1"/>
  <c r="S1516" i="2"/>
  <c r="R1516" i="2"/>
  <c r="V1515" i="2"/>
  <c r="U1515" i="2"/>
  <c r="U1515" i="2" a="1"/>
  <c r="T1515" i="2"/>
  <c r="T1515" i="2" a="1"/>
  <c r="S1515" i="2"/>
  <c r="R1515" i="2"/>
  <c r="V1514" i="2"/>
  <c r="U1514" i="2"/>
  <c r="U1514" i="2" a="1"/>
  <c r="T1514" i="2"/>
  <c r="T1514" i="2" a="1"/>
  <c r="S1514" i="2"/>
  <c r="R1514" i="2"/>
  <c r="V1513" i="2"/>
  <c r="U1513" i="2"/>
  <c r="U1513" i="2" a="1"/>
  <c r="T1513" i="2"/>
  <c r="T1513" i="2" a="1"/>
  <c r="S1513" i="2"/>
  <c r="R1513" i="2"/>
  <c r="V1512" i="2"/>
  <c r="U1512" i="2"/>
  <c r="U1512" i="2" a="1"/>
  <c r="T1512" i="2"/>
  <c r="T1512" i="2" a="1"/>
  <c r="S1512" i="2"/>
  <c r="R1512" i="2"/>
  <c r="V1511" i="2"/>
  <c r="U1511" i="2"/>
  <c r="U1511" i="2" a="1"/>
  <c r="T1511" i="2"/>
  <c r="T1511" i="2" a="1"/>
  <c r="S1511" i="2"/>
  <c r="R1511" i="2"/>
  <c r="V1510" i="2"/>
  <c r="U1510" i="2"/>
  <c r="U1510" i="2" a="1"/>
  <c r="T1510" i="2"/>
  <c r="T1510" i="2" a="1"/>
  <c r="S1510" i="2"/>
  <c r="R1510" i="2"/>
  <c r="V1509" i="2"/>
  <c r="U1509" i="2"/>
  <c r="U1509" i="2" a="1"/>
  <c r="T1509" i="2"/>
  <c r="T1509" i="2" a="1"/>
  <c r="S1509" i="2"/>
  <c r="R1509" i="2"/>
  <c r="V1508" i="2"/>
  <c r="U1508" i="2"/>
  <c r="U1508" i="2" a="1"/>
  <c r="T1508" i="2"/>
  <c r="T1508" i="2" a="1"/>
  <c r="S1508" i="2"/>
  <c r="R1508" i="2"/>
  <c r="V1507" i="2"/>
  <c r="U1507" i="2"/>
  <c r="U1507" i="2" a="1"/>
  <c r="T1507" i="2"/>
  <c r="T1507" i="2" a="1"/>
  <c r="S1507" i="2"/>
  <c r="R1507" i="2"/>
  <c r="V1506" i="2"/>
  <c r="U1506" i="2"/>
  <c r="U1506" i="2" a="1"/>
  <c r="T1506" i="2"/>
  <c r="T1506" i="2" a="1"/>
  <c r="S1506" i="2"/>
  <c r="R1506" i="2"/>
  <c r="V1505" i="2"/>
  <c r="U1505" i="2"/>
  <c r="U1505" i="2" a="1"/>
  <c r="T1505" i="2"/>
  <c r="T1505" i="2" a="1"/>
  <c r="S1505" i="2"/>
  <c r="R1505" i="2"/>
  <c r="V1504" i="2"/>
  <c r="U1504" i="2"/>
  <c r="U1504" i="2" a="1"/>
  <c r="T1504" i="2"/>
  <c r="T1504" i="2" a="1"/>
  <c r="S1504" i="2"/>
  <c r="R1504" i="2"/>
  <c r="V1503" i="2"/>
  <c r="U1503" i="2"/>
  <c r="U1503" i="2" a="1"/>
  <c r="T1503" i="2"/>
  <c r="T1503" i="2" a="1"/>
  <c r="S1503" i="2"/>
  <c r="R1503" i="2"/>
  <c r="V1502" i="2"/>
  <c r="U1502" i="2"/>
  <c r="U1502" i="2" a="1"/>
  <c r="T1502" i="2"/>
  <c r="T1502" i="2" a="1"/>
  <c r="S1502" i="2"/>
  <c r="R1502" i="2"/>
  <c r="V1501" i="2"/>
  <c r="U1501" i="2"/>
  <c r="U1501" i="2" a="1"/>
  <c r="T1501" i="2"/>
  <c r="T1501" i="2" a="1"/>
  <c r="S1501" i="2"/>
  <c r="R1501" i="2"/>
  <c r="V1500" i="2"/>
  <c r="U1500" i="2"/>
  <c r="U1500" i="2" a="1"/>
  <c r="T1500" i="2"/>
  <c r="T1500" i="2" a="1"/>
  <c r="S1500" i="2"/>
  <c r="R1500" i="2"/>
  <c r="V1499" i="2"/>
  <c r="U1499" i="2"/>
  <c r="U1499" i="2" a="1"/>
  <c r="T1499" i="2"/>
  <c r="T1499" i="2" a="1"/>
  <c r="S1499" i="2"/>
  <c r="R1499" i="2"/>
  <c r="V1498" i="2"/>
  <c r="U1498" i="2"/>
  <c r="U1498" i="2" a="1"/>
  <c r="T1498" i="2"/>
  <c r="T1498" i="2" a="1"/>
  <c r="S1498" i="2"/>
  <c r="R1498" i="2"/>
  <c r="V1497" i="2"/>
  <c r="U1497" i="2"/>
  <c r="U1497" i="2" a="1"/>
  <c r="T1497" i="2"/>
  <c r="T1497" i="2" a="1"/>
  <c r="S1497" i="2"/>
  <c r="R1497" i="2"/>
  <c r="V1496" i="2"/>
  <c r="U1496" i="2"/>
  <c r="U1496" i="2" a="1"/>
  <c r="T1496" i="2"/>
  <c r="T1496" i="2" a="1"/>
  <c r="S1496" i="2"/>
  <c r="R1496" i="2"/>
  <c r="V1495" i="2"/>
  <c r="U1495" i="2"/>
  <c r="U1495" i="2" a="1"/>
  <c r="T1495" i="2"/>
  <c r="T1495" i="2" a="1"/>
  <c r="S1495" i="2"/>
  <c r="R1495" i="2"/>
  <c r="V1494" i="2"/>
  <c r="U1494" i="2"/>
  <c r="U1494" i="2" a="1"/>
  <c r="T1494" i="2"/>
  <c r="T1494" i="2" a="1"/>
  <c r="S1494" i="2"/>
  <c r="R1494" i="2"/>
  <c r="V1493" i="2"/>
  <c r="U1493" i="2"/>
  <c r="U1493" i="2" a="1"/>
  <c r="T1493" i="2"/>
  <c r="T1493" i="2" a="1"/>
  <c r="S1493" i="2"/>
  <c r="R1493" i="2"/>
  <c r="V1492" i="2"/>
  <c r="U1492" i="2"/>
  <c r="U1492" i="2" a="1"/>
  <c r="T1492" i="2"/>
  <c r="T1492" i="2" a="1"/>
  <c r="S1492" i="2"/>
  <c r="R1492" i="2"/>
  <c r="V1491" i="2"/>
  <c r="U1491" i="2"/>
  <c r="U1491" i="2" a="1"/>
  <c r="T1491" i="2"/>
  <c r="T1491" i="2" a="1"/>
  <c r="S1491" i="2"/>
  <c r="R1491" i="2"/>
  <c r="V1490" i="2"/>
  <c r="U1490" i="2"/>
  <c r="U1490" i="2" a="1"/>
  <c r="T1490" i="2"/>
  <c r="T1490" i="2" a="1"/>
  <c r="S1490" i="2"/>
  <c r="R1490" i="2"/>
  <c r="V1489" i="2"/>
  <c r="U1489" i="2"/>
  <c r="U1489" i="2" a="1"/>
  <c r="T1489" i="2"/>
  <c r="T1489" i="2" a="1"/>
  <c r="S1489" i="2"/>
  <c r="R1489" i="2"/>
  <c r="V1488" i="2"/>
  <c r="U1488" i="2"/>
  <c r="U1488" i="2" a="1"/>
  <c r="T1488" i="2"/>
  <c r="T1488" i="2" a="1"/>
  <c r="S1488" i="2"/>
  <c r="R1488" i="2"/>
  <c r="V1487" i="2"/>
  <c r="U1487" i="2"/>
  <c r="U1487" i="2" a="1"/>
  <c r="T1487" i="2"/>
  <c r="T1487" i="2" a="1"/>
  <c r="S1487" i="2"/>
  <c r="R1487" i="2"/>
  <c r="V1486" i="2"/>
  <c r="U1486" i="2"/>
  <c r="U1486" i="2" a="1"/>
  <c r="T1486" i="2"/>
  <c r="T1486" i="2" a="1"/>
  <c r="S1486" i="2"/>
  <c r="R1486" i="2"/>
  <c r="V1485" i="2"/>
  <c r="U1485" i="2"/>
  <c r="U1485" i="2" a="1"/>
  <c r="T1485" i="2"/>
  <c r="T1485" i="2" a="1"/>
  <c r="S1485" i="2"/>
  <c r="R1485" i="2"/>
  <c r="V1484" i="2"/>
  <c r="U1484" i="2"/>
  <c r="U1484" i="2" a="1"/>
  <c r="T1484" i="2"/>
  <c r="T1484" i="2" a="1"/>
  <c r="S1484" i="2"/>
  <c r="R1484" i="2"/>
  <c r="V1483" i="2"/>
  <c r="U1483" i="2"/>
  <c r="U1483" i="2" a="1"/>
  <c r="T1483" i="2"/>
  <c r="T1483" i="2" a="1"/>
  <c r="S1483" i="2"/>
  <c r="R1483" i="2"/>
  <c r="V1482" i="2"/>
  <c r="U1482" i="2"/>
  <c r="U1482" i="2" a="1"/>
  <c r="T1482" i="2"/>
  <c r="T1482" i="2" a="1"/>
  <c r="S1482" i="2"/>
  <c r="R1482" i="2"/>
  <c r="V1481" i="2"/>
  <c r="U1481" i="2"/>
  <c r="U1481" i="2" a="1"/>
  <c r="T1481" i="2"/>
  <c r="T1481" i="2" a="1"/>
  <c r="S1481" i="2"/>
  <c r="R1481" i="2"/>
  <c r="V1480" i="2"/>
  <c r="U1480" i="2"/>
  <c r="U1480" i="2" a="1"/>
  <c r="T1480" i="2"/>
  <c r="T1480" i="2" a="1"/>
  <c r="S1480" i="2"/>
  <c r="R1480" i="2"/>
  <c r="V1479" i="2"/>
  <c r="U1479" i="2"/>
  <c r="U1479" i="2" a="1"/>
  <c r="T1479" i="2"/>
  <c r="T1479" i="2" a="1"/>
  <c r="S1479" i="2"/>
  <c r="R1479" i="2"/>
  <c r="V1478" i="2"/>
  <c r="U1478" i="2"/>
  <c r="U1478" i="2" a="1"/>
  <c r="T1478" i="2"/>
  <c r="T1478" i="2" a="1"/>
  <c r="S1478" i="2"/>
  <c r="R1478" i="2"/>
  <c r="V1477" i="2"/>
  <c r="U1477" i="2"/>
  <c r="U1477" i="2" a="1"/>
  <c r="T1477" i="2"/>
  <c r="T1477" i="2" a="1"/>
  <c r="S1477" i="2"/>
  <c r="R1477" i="2"/>
  <c r="V1476" i="2"/>
  <c r="U1476" i="2"/>
  <c r="U1476" i="2" a="1"/>
  <c r="T1476" i="2"/>
  <c r="T1476" i="2" a="1"/>
  <c r="S1476" i="2"/>
  <c r="R1476" i="2"/>
  <c r="V1475" i="2"/>
  <c r="U1475" i="2"/>
  <c r="U1475" i="2" a="1"/>
  <c r="T1475" i="2"/>
  <c r="T1475" i="2" a="1"/>
  <c r="S1475" i="2"/>
  <c r="R1475" i="2"/>
  <c r="V1474" i="2"/>
  <c r="U1474" i="2"/>
  <c r="U1474" i="2" a="1"/>
  <c r="T1474" i="2"/>
  <c r="T1474" i="2" a="1"/>
  <c r="S1474" i="2"/>
  <c r="R1474" i="2"/>
  <c r="V1473" i="2"/>
  <c r="U1473" i="2"/>
  <c r="U1473" i="2" a="1"/>
  <c r="T1473" i="2"/>
  <c r="T1473" i="2" a="1"/>
  <c r="S1473" i="2"/>
  <c r="R1473" i="2"/>
  <c r="V1472" i="2"/>
  <c r="U1472" i="2"/>
  <c r="U1472" i="2" a="1"/>
  <c r="T1472" i="2"/>
  <c r="T1472" i="2" a="1"/>
  <c r="S1472" i="2"/>
  <c r="R1472" i="2"/>
  <c r="V1471" i="2"/>
  <c r="U1471" i="2"/>
  <c r="U1471" i="2" a="1"/>
  <c r="T1471" i="2"/>
  <c r="T1471" i="2" a="1"/>
  <c r="S1471" i="2"/>
  <c r="R1471" i="2"/>
  <c r="V1470" i="2"/>
  <c r="U1470" i="2"/>
  <c r="U1470" i="2" a="1"/>
  <c r="T1470" i="2"/>
  <c r="T1470" i="2" a="1"/>
  <c r="S1470" i="2"/>
  <c r="R1470" i="2"/>
  <c r="V1469" i="2"/>
  <c r="U1469" i="2"/>
  <c r="U1469" i="2" a="1"/>
  <c r="T1469" i="2"/>
  <c r="T1469" i="2" a="1"/>
  <c r="S1469" i="2"/>
  <c r="R1469" i="2"/>
  <c r="V1468" i="2"/>
  <c r="U1468" i="2"/>
  <c r="U1468" i="2" a="1"/>
  <c r="T1468" i="2"/>
  <c r="T1468" i="2" a="1"/>
  <c r="S1468" i="2"/>
  <c r="R1468" i="2"/>
  <c r="V1467" i="2"/>
  <c r="U1467" i="2"/>
  <c r="U1467" i="2" a="1"/>
  <c r="T1467" i="2"/>
  <c r="T1467" i="2" a="1"/>
  <c r="S1467" i="2"/>
  <c r="R1467" i="2"/>
  <c r="V1466" i="2"/>
  <c r="U1466" i="2"/>
  <c r="U1466" i="2" a="1"/>
  <c r="T1466" i="2"/>
  <c r="T1466" i="2" a="1"/>
  <c r="S1466" i="2"/>
  <c r="R1466" i="2"/>
  <c r="V1465" i="2"/>
  <c r="U1465" i="2"/>
  <c r="U1465" i="2" a="1"/>
  <c r="T1465" i="2"/>
  <c r="T1465" i="2" a="1"/>
  <c r="S1465" i="2"/>
  <c r="R1465" i="2"/>
  <c r="V1464" i="2"/>
  <c r="U1464" i="2"/>
  <c r="U1464" i="2" a="1"/>
  <c r="T1464" i="2"/>
  <c r="T1464" i="2" a="1"/>
  <c r="S1464" i="2"/>
  <c r="R1464" i="2"/>
  <c r="V1463" i="2"/>
  <c r="U1463" i="2"/>
  <c r="U1463" i="2" a="1"/>
  <c r="T1463" i="2"/>
  <c r="T1463" i="2" a="1"/>
  <c r="S1463" i="2"/>
  <c r="R1463" i="2"/>
  <c r="V1462" i="2"/>
  <c r="U1462" i="2"/>
  <c r="U1462" i="2" a="1"/>
  <c r="T1462" i="2"/>
  <c r="T1462" i="2" a="1"/>
  <c r="S1462" i="2"/>
  <c r="R1462" i="2"/>
  <c r="V1461" i="2"/>
  <c r="U1461" i="2"/>
  <c r="U1461" i="2" a="1"/>
  <c r="T1461" i="2"/>
  <c r="T1461" i="2" a="1"/>
  <c r="S1461" i="2"/>
  <c r="R1461" i="2"/>
  <c r="V1460" i="2"/>
  <c r="U1460" i="2"/>
  <c r="U1460" i="2" a="1"/>
  <c r="T1460" i="2"/>
  <c r="T1460" i="2" a="1"/>
  <c r="S1460" i="2"/>
  <c r="R1460" i="2"/>
  <c r="V1459" i="2"/>
  <c r="U1459" i="2"/>
  <c r="U1459" i="2" a="1"/>
  <c r="T1459" i="2"/>
  <c r="T1459" i="2" a="1"/>
  <c r="S1459" i="2"/>
  <c r="R1459" i="2"/>
  <c r="V1458" i="2"/>
  <c r="U1458" i="2"/>
  <c r="U1458" i="2" a="1"/>
  <c r="T1458" i="2"/>
  <c r="T1458" i="2" a="1"/>
  <c r="S1458" i="2"/>
  <c r="R1458" i="2"/>
  <c r="V1457" i="2"/>
  <c r="U1457" i="2"/>
  <c r="U1457" i="2" a="1"/>
  <c r="T1457" i="2"/>
  <c r="T1457" i="2" a="1"/>
  <c r="S1457" i="2"/>
  <c r="R1457" i="2"/>
  <c r="V1456" i="2"/>
  <c r="U1456" i="2"/>
  <c r="U1456" i="2" a="1"/>
  <c r="T1456" i="2"/>
  <c r="T1456" i="2" a="1"/>
  <c r="S1456" i="2"/>
  <c r="R1456" i="2"/>
  <c r="V1455" i="2"/>
  <c r="U1455" i="2"/>
  <c r="U1455" i="2" a="1"/>
  <c r="T1455" i="2"/>
  <c r="T1455" i="2" a="1"/>
  <c r="S1455" i="2"/>
  <c r="R1455" i="2"/>
  <c r="V1454" i="2"/>
  <c r="U1454" i="2"/>
  <c r="U1454" i="2" a="1"/>
  <c r="T1454" i="2"/>
  <c r="T1454" i="2" a="1"/>
  <c r="S1454" i="2"/>
  <c r="R1454" i="2"/>
  <c r="V1453" i="2"/>
  <c r="U1453" i="2"/>
  <c r="U1453" i="2" a="1"/>
  <c r="T1453" i="2"/>
  <c r="T1453" i="2" a="1"/>
  <c r="S1453" i="2"/>
  <c r="R1453" i="2"/>
  <c r="V1452" i="2"/>
  <c r="U1452" i="2"/>
  <c r="U1452" i="2" a="1"/>
  <c r="T1452" i="2"/>
  <c r="T1452" i="2" a="1"/>
  <c r="S1452" i="2"/>
  <c r="R1452" i="2"/>
  <c r="V1451" i="2"/>
  <c r="U1451" i="2"/>
  <c r="U1451" i="2" a="1"/>
  <c r="T1451" i="2"/>
  <c r="T1451" i="2" a="1"/>
  <c r="S1451" i="2"/>
  <c r="R1451" i="2"/>
  <c r="V1450" i="2"/>
  <c r="U1450" i="2"/>
  <c r="U1450" i="2" a="1"/>
  <c r="T1450" i="2"/>
  <c r="T1450" i="2" a="1"/>
  <c r="S1450" i="2"/>
  <c r="R1450" i="2"/>
  <c r="V1449" i="2"/>
  <c r="U1449" i="2"/>
  <c r="U1449" i="2" a="1"/>
  <c r="T1449" i="2"/>
  <c r="T1449" i="2" a="1"/>
  <c r="S1449" i="2"/>
  <c r="R1449" i="2"/>
  <c r="V1448" i="2"/>
  <c r="U1448" i="2"/>
  <c r="U1448" i="2" a="1"/>
  <c r="T1448" i="2"/>
  <c r="T1448" i="2" a="1"/>
  <c r="S1448" i="2"/>
  <c r="R1448" i="2"/>
  <c r="V1447" i="2"/>
  <c r="U1447" i="2"/>
  <c r="U1447" i="2" a="1"/>
  <c r="T1447" i="2"/>
  <c r="T1447" i="2" a="1"/>
  <c r="S1447" i="2"/>
  <c r="R1447" i="2"/>
  <c r="V1446" i="2"/>
  <c r="U1446" i="2"/>
  <c r="U1446" i="2" a="1"/>
  <c r="T1446" i="2"/>
  <c r="T1446" i="2" a="1"/>
  <c r="S1446" i="2"/>
  <c r="R1446" i="2"/>
  <c r="V1445" i="2"/>
  <c r="U1445" i="2"/>
  <c r="U1445" i="2" a="1"/>
  <c r="T1445" i="2"/>
  <c r="T1445" i="2" a="1"/>
  <c r="S1445" i="2"/>
  <c r="R1445" i="2"/>
  <c r="V1444" i="2"/>
  <c r="U1444" i="2"/>
  <c r="U1444" i="2" a="1"/>
  <c r="T1444" i="2"/>
  <c r="T1444" i="2" a="1"/>
  <c r="S1444" i="2"/>
  <c r="R1444" i="2"/>
  <c r="V1443" i="2"/>
  <c r="U1443" i="2"/>
  <c r="U1443" i="2" a="1"/>
  <c r="T1443" i="2"/>
  <c r="T1443" i="2" a="1"/>
  <c r="S1443" i="2"/>
  <c r="R1443" i="2"/>
  <c r="V1442" i="2"/>
  <c r="U1442" i="2"/>
  <c r="U1442" i="2" a="1"/>
  <c r="T1442" i="2"/>
  <c r="T1442" i="2" a="1"/>
  <c r="S1442" i="2"/>
  <c r="R1442" i="2"/>
  <c r="V1441" i="2"/>
  <c r="U1441" i="2"/>
  <c r="U1441" i="2" a="1"/>
  <c r="T1441" i="2"/>
  <c r="T1441" i="2" a="1"/>
  <c r="S1441" i="2"/>
  <c r="R1441" i="2"/>
  <c r="V1440" i="2"/>
  <c r="U1440" i="2"/>
  <c r="U1440" i="2" a="1"/>
  <c r="T1440" i="2"/>
  <c r="T1440" i="2" a="1"/>
  <c r="S1440" i="2"/>
  <c r="R1440" i="2"/>
  <c r="V1439" i="2"/>
  <c r="U1439" i="2"/>
  <c r="U1439" i="2" a="1"/>
  <c r="T1439" i="2"/>
  <c r="T1439" i="2" a="1"/>
  <c r="S1439" i="2"/>
  <c r="R1439" i="2"/>
  <c r="V1438" i="2"/>
  <c r="U1438" i="2"/>
  <c r="U1438" i="2" a="1"/>
  <c r="T1438" i="2"/>
  <c r="T1438" i="2" a="1"/>
  <c r="S1438" i="2"/>
  <c r="R1438" i="2"/>
  <c r="V1437" i="2"/>
  <c r="U1437" i="2"/>
  <c r="U1437" i="2" a="1"/>
  <c r="T1437" i="2"/>
  <c r="T1437" i="2" a="1"/>
  <c r="S1437" i="2"/>
  <c r="R1437" i="2"/>
  <c r="V1436" i="2"/>
  <c r="U1436" i="2"/>
  <c r="U1436" i="2" a="1"/>
  <c r="T1436" i="2"/>
  <c r="T1436" i="2" a="1"/>
  <c r="S1436" i="2"/>
  <c r="R1436" i="2"/>
  <c r="V1435" i="2"/>
  <c r="U1435" i="2"/>
  <c r="U1435" i="2" a="1"/>
  <c r="T1435" i="2"/>
  <c r="T1435" i="2" a="1"/>
  <c r="S1435" i="2"/>
  <c r="R1435" i="2"/>
  <c r="V1434" i="2"/>
  <c r="U1434" i="2"/>
  <c r="U1434" i="2" a="1"/>
  <c r="T1434" i="2"/>
  <c r="T1434" i="2" a="1"/>
  <c r="S1434" i="2"/>
  <c r="R1434" i="2"/>
  <c r="V1433" i="2"/>
  <c r="U1433" i="2"/>
  <c r="U1433" i="2" a="1"/>
  <c r="T1433" i="2"/>
  <c r="T1433" i="2" a="1"/>
  <c r="S1433" i="2"/>
  <c r="R1433" i="2"/>
  <c r="V1432" i="2"/>
  <c r="U1432" i="2"/>
  <c r="U1432" i="2" a="1"/>
  <c r="T1432" i="2"/>
  <c r="T1432" i="2" a="1"/>
  <c r="S1432" i="2"/>
  <c r="R1432" i="2"/>
  <c r="V1431" i="2"/>
  <c r="U1431" i="2"/>
  <c r="U1431" i="2" a="1"/>
  <c r="T1431" i="2"/>
  <c r="T1431" i="2" a="1"/>
  <c r="S1431" i="2"/>
  <c r="R1431" i="2"/>
  <c r="V1430" i="2"/>
  <c r="U1430" i="2"/>
  <c r="U1430" i="2" a="1"/>
  <c r="T1430" i="2"/>
  <c r="T1430" i="2" a="1"/>
  <c r="S1430" i="2"/>
  <c r="R1430" i="2"/>
  <c r="V1429" i="2"/>
  <c r="U1429" i="2"/>
  <c r="U1429" i="2" a="1"/>
  <c r="T1429" i="2"/>
  <c r="T1429" i="2" a="1"/>
  <c r="S1429" i="2"/>
  <c r="R1429" i="2"/>
  <c r="V1428" i="2"/>
  <c r="U1428" i="2"/>
  <c r="U1428" i="2" a="1"/>
  <c r="T1428" i="2"/>
  <c r="T1428" i="2" a="1"/>
  <c r="S1428" i="2"/>
  <c r="R1428" i="2"/>
  <c r="V1427" i="2"/>
  <c r="U1427" i="2"/>
  <c r="U1427" i="2" a="1"/>
  <c r="T1427" i="2"/>
  <c r="T1427" i="2" a="1"/>
  <c r="S1427" i="2"/>
  <c r="R1427" i="2"/>
  <c r="V1426" i="2"/>
  <c r="U1426" i="2"/>
  <c r="U1426" i="2" a="1"/>
  <c r="T1426" i="2"/>
  <c r="T1426" i="2" a="1"/>
  <c r="S1426" i="2"/>
  <c r="R1426" i="2"/>
  <c r="V1425" i="2"/>
  <c r="U1425" i="2"/>
  <c r="U1425" i="2" a="1"/>
  <c r="T1425" i="2"/>
  <c r="T1425" i="2" a="1"/>
  <c r="S1425" i="2"/>
  <c r="R1425" i="2"/>
  <c r="V1424" i="2"/>
  <c r="U1424" i="2"/>
  <c r="U1424" i="2" a="1"/>
  <c r="T1424" i="2"/>
  <c r="T1424" i="2" a="1"/>
  <c r="S1424" i="2"/>
  <c r="R1424" i="2"/>
  <c r="V1423" i="2"/>
  <c r="U1423" i="2"/>
  <c r="U1423" i="2" a="1"/>
  <c r="T1423" i="2"/>
  <c r="T1423" i="2" a="1"/>
  <c r="S1423" i="2"/>
  <c r="R1423" i="2"/>
  <c r="V1422" i="2"/>
  <c r="U1422" i="2"/>
  <c r="U1422" i="2" a="1"/>
  <c r="T1422" i="2"/>
  <c r="T1422" i="2" a="1"/>
  <c r="S1422" i="2"/>
  <c r="R1422" i="2"/>
  <c r="V1421" i="2"/>
  <c r="U1421" i="2"/>
  <c r="U1421" i="2" a="1"/>
  <c r="T1421" i="2"/>
  <c r="T1421" i="2" a="1"/>
  <c r="S1421" i="2"/>
  <c r="R1421" i="2"/>
  <c r="V1420" i="2"/>
  <c r="U1420" i="2"/>
  <c r="U1420" i="2" a="1"/>
  <c r="T1420" i="2"/>
  <c r="T1420" i="2" a="1"/>
  <c r="S1420" i="2"/>
  <c r="R1420" i="2"/>
  <c r="V1419" i="2"/>
  <c r="U1419" i="2"/>
  <c r="U1419" i="2" a="1"/>
  <c r="T1419" i="2"/>
  <c r="T1419" i="2" a="1"/>
  <c r="S1419" i="2"/>
  <c r="R1419" i="2"/>
  <c r="V1418" i="2"/>
  <c r="U1418" i="2"/>
  <c r="U1418" i="2" a="1"/>
  <c r="T1418" i="2"/>
  <c r="T1418" i="2" a="1"/>
  <c r="S1418" i="2"/>
  <c r="R1418" i="2"/>
  <c r="V1417" i="2"/>
  <c r="U1417" i="2"/>
  <c r="U1417" i="2" a="1"/>
  <c r="T1417" i="2"/>
  <c r="T1417" i="2" a="1"/>
  <c r="S1417" i="2"/>
  <c r="R1417" i="2"/>
  <c r="V1416" i="2"/>
  <c r="U1416" i="2"/>
  <c r="U1416" i="2" a="1"/>
  <c r="T1416" i="2"/>
  <c r="T1416" i="2" a="1"/>
  <c r="S1416" i="2"/>
  <c r="R1416" i="2"/>
  <c r="V1415" i="2"/>
  <c r="U1415" i="2"/>
  <c r="U1415" i="2" a="1"/>
  <c r="T1415" i="2"/>
  <c r="T1415" i="2" a="1"/>
  <c r="S1415" i="2"/>
  <c r="R1415" i="2"/>
  <c r="V1414" i="2"/>
  <c r="U1414" i="2"/>
  <c r="U1414" i="2" a="1"/>
  <c r="T1414" i="2"/>
  <c r="T1414" i="2" a="1"/>
  <c r="S1414" i="2"/>
  <c r="R1414" i="2"/>
  <c r="V1413" i="2"/>
  <c r="U1413" i="2"/>
  <c r="U1413" i="2" a="1"/>
  <c r="T1413" i="2"/>
  <c r="T1413" i="2" a="1"/>
  <c r="S1413" i="2"/>
  <c r="R1413" i="2"/>
  <c r="V1412" i="2"/>
  <c r="U1412" i="2"/>
  <c r="U1412" i="2" a="1"/>
  <c r="T1412" i="2"/>
  <c r="T1412" i="2" a="1"/>
  <c r="S1412" i="2"/>
  <c r="R1412" i="2"/>
  <c r="V1411" i="2"/>
  <c r="U1411" i="2"/>
  <c r="U1411" i="2" a="1"/>
  <c r="T1411" i="2"/>
  <c r="T1411" i="2" a="1"/>
  <c r="S1411" i="2"/>
  <c r="R1411" i="2"/>
  <c r="V1410" i="2"/>
  <c r="U1410" i="2"/>
  <c r="U1410" i="2" a="1"/>
  <c r="T1410" i="2"/>
  <c r="T1410" i="2" a="1"/>
  <c r="S1410" i="2"/>
  <c r="R1410" i="2"/>
  <c r="V1409" i="2"/>
  <c r="U1409" i="2"/>
  <c r="U1409" i="2" a="1"/>
  <c r="T1409" i="2"/>
  <c r="T1409" i="2" a="1"/>
  <c r="S1409" i="2"/>
  <c r="R1409" i="2"/>
  <c r="V1408" i="2"/>
  <c r="U1408" i="2"/>
  <c r="U1408" i="2" a="1"/>
  <c r="T1408" i="2"/>
  <c r="T1408" i="2" a="1"/>
  <c r="S1408" i="2"/>
  <c r="R1408" i="2"/>
  <c r="V1407" i="2"/>
  <c r="U1407" i="2"/>
  <c r="U1407" i="2" a="1"/>
  <c r="T1407" i="2"/>
  <c r="T1407" i="2" a="1"/>
  <c r="S1407" i="2"/>
  <c r="R1407" i="2"/>
  <c r="V1406" i="2"/>
  <c r="U1406" i="2"/>
  <c r="U1406" i="2" a="1"/>
  <c r="T1406" i="2"/>
  <c r="T1406" i="2" a="1"/>
  <c r="S1406" i="2"/>
  <c r="R1406" i="2"/>
  <c r="V1405" i="2"/>
  <c r="U1405" i="2"/>
  <c r="U1405" i="2" a="1"/>
  <c r="T1405" i="2"/>
  <c r="T1405" i="2" a="1"/>
  <c r="S1405" i="2"/>
  <c r="R1405" i="2"/>
  <c r="V1404" i="2"/>
  <c r="U1404" i="2"/>
  <c r="U1404" i="2" a="1"/>
  <c r="T1404" i="2"/>
  <c r="T1404" i="2" a="1"/>
  <c r="S1404" i="2"/>
  <c r="R1404" i="2"/>
  <c r="V1403" i="2"/>
  <c r="U1403" i="2"/>
  <c r="U1403" i="2" a="1"/>
  <c r="T1403" i="2"/>
  <c r="T1403" i="2" a="1"/>
  <c r="S1403" i="2"/>
  <c r="R1403" i="2"/>
  <c r="V1402" i="2"/>
  <c r="U1402" i="2"/>
  <c r="U1402" i="2" a="1"/>
  <c r="T1402" i="2"/>
  <c r="T1402" i="2" a="1"/>
  <c r="S1402" i="2"/>
  <c r="R1402" i="2"/>
  <c r="V1401" i="2"/>
  <c r="U1401" i="2"/>
  <c r="U1401" i="2" a="1"/>
  <c r="T1401" i="2"/>
  <c r="T1401" i="2" a="1"/>
  <c r="S1401" i="2"/>
  <c r="R1401" i="2"/>
  <c r="V1400" i="2"/>
  <c r="U1400" i="2"/>
  <c r="U1400" i="2" a="1"/>
  <c r="T1400" i="2"/>
  <c r="T1400" i="2" a="1"/>
  <c r="S1400" i="2"/>
  <c r="R1400" i="2"/>
  <c r="V1399" i="2"/>
  <c r="U1399" i="2"/>
  <c r="U1399" i="2" a="1"/>
  <c r="T1399" i="2"/>
  <c r="T1399" i="2" a="1"/>
  <c r="S1399" i="2"/>
  <c r="R1399" i="2"/>
  <c r="V1398" i="2"/>
  <c r="U1398" i="2"/>
  <c r="U1398" i="2" a="1"/>
  <c r="T1398" i="2"/>
  <c r="T1398" i="2" a="1"/>
  <c r="S1398" i="2"/>
  <c r="R1398" i="2"/>
  <c r="V1397" i="2"/>
  <c r="U1397" i="2"/>
  <c r="U1397" i="2" a="1"/>
  <c r="T1397" i="2"/>
  <c r="T1397" i="2" a="1"/>
  <c r="S1397" i="2"/>
  <c r="R1397" i="2"/>
  <c r="V1396" i="2"/>
  <c r="U1396" i="2"/>
  <c r="U1396" i="2" a="1"/>
  <c r="T1396" i="2"/>
  <c r="T1396" i="2" a="1"/>
  <c r="S1396" i="2"/>
  <c r="R1396" i="2"/>
  <c r="V1395" i="2"/>
  <c r="U1395" i="2"/>
  <c r="U1395" i="2" a="1"/>
  <c r="T1395" i="2"/>
  <c r="T1395" i="2" a="1"/>
  <c r="S1395" i="2"/>
  <c r="R1395" i="2"/>
  <c r="V1394" i="2"/>
  <c r="U1394" i="2"/>
  <c r="U1394" i="2" a="1"/>
  <c r="T1394" i="2"/>
  <c r="T1394" i="2" a="1"/>
  <c r="S1394" i="2"/>
  <c r="R1394" i="2"/>
  <c r="V1393" i="2"/>
  <c r="U1393" i="2"/>
  <c r="U1393" i="2" a="1"/>
  <c r="T1393" i="2"/>
  <c r="T1393" i="2" a="1"/>
  <c r="S1393" i="2"/>
  <c r="R1393" i="2"/>
  <c r="V1392" i="2"/>
  <c r="U1392" i="2"/>
  <c r="U1392" i="2" a="1"/>
  <c r="T1392" i="2"/>
  <c r="T1392" i="2" a="1"/>
  <c r="S1392" i="2"/>
  <c r="R1392" i="2"/>
  <c r="V1391" i="2"/>
  <c r="U1391" i="2"/>
  <c r="U1391" i="2" a="1"/>
  <c r="T1391" i="2"/>
  <c r="T1391" i="2" a="1"/>
  <c r="S1391" i="2"/>
  <c r="R1391" i="2"/>
  <c r="V1390" i="2"/>
  <c r="U1390" i="2"/>
  <c r="U1390" i="2" a="1"/>
  <c r="T1390" i="2"/>
  <c r="T1390" i="2" a="1"/>
  <c r="S1390" i="2"/>
  <c r="R1390" i="2"/>
  <c r="V1389" i="2"/>
  <c r="U1389" i="2"/>
  <c r="U1389" i="2" a="1"/>
  <c r="T1389" i="2"/>
  <c r="T1389" i="2" a="1"/>
  <c r="S1389" i="2"/>
  <c r="R1389" i="2"/>
  <c r="V1388" i="2"/>
  <c r="U1388" i="2"/>
  <c r="U1388" i="2" a="1"/>
  <c r="T1388" i="2"/>
  <c r="T1388" i="2" a="1"/>
  <c r="S1388" i="2"/>
  <c r="R1388" i="2"/>
  <c r="V1387" i="2"/>
  <c r="U1387" i="2"/>
  <c r="U1387" i="2" a="1"/>
  <c r="T1387" i="2"/>
  <c r="T1387" i="2" a="1"/>
  <c r="S1387" i="2"/>
  <c r="R1387" i="2"/>
  <c r="V1386" i="2"/>
  <c r="U1386" i="2"/>
  <c r="U1386" i="2" a="1"/>
  <c r="T1386" i="2"/>
  <c r="T1386" i="2" a="1"/>
  <c r="S1386" i="2"/>
  <c r="R1386" i="2"/>
  <c r="V1385" i="2"/>
  <c r="U1385" i="2"/>
  <c r="U1385" i="2" a="1"/>
  <c r="T1385" i="2"/>
  <c r="T1385" i="2" a="1"/>
  <c r="S1385" i="2"/>
  <c r="R1385" i="2"/>
  <c r="V1384" i="2"/>
  <c r="U1384" i="2"/>
  <c r="U1384" i="2" a="1"/>
  <c r="T1384" i="2"/>
  <c r="T1384" i="2" a="1"/>
  <c r="S1384" i="2"/>
  <c r="R1384" i="2"/>
  <c r="V1383" i="2"/>
  <c r="U1383" i="2"/>
  <c r="U1383" i="2" a="1"/>
  <c r="T1383" i="2"/>
  <c r="T1383" i="2" a="1"/>
  <c r="S1383" i="2"/>
  <c r="R1383" i="2"/>
  <c r="V1382" i="2"/>
  <c r="U1382" i="2"/>
  <c r="U1382" i="2" a="1"/>
  <c r="T1382" i="2"/>
  <c r="T1382" i="2" a="1"/>
  <c r="S1382" i="2"/>
  <c r="R1382" i="2"/>
  <c r="V1381" i="2"/>
  <c r="U1381" i="2"/>
  <c r="U1381" i="2" a="1"/>
  <c r="T1381" i="2"/>
  <c r="T1381" i="2" a="1"/>
  <c r="S1381" i="2"/>
  <c r="R1381" i="2"/>
  <c r="V1380" i="2"/>
  <c r="U1380" i="2"/>
  <c r="U1380" i="2" a="1"/>
  <c r="T1380" i="2"/>
  <c r="T1380" i="2" a="1"/>
  <c r="S1380" i="2"/>
  <c r="R1380" i="2"/>
  <c r="V1379" i="2"/>
  <c r="U1379" i="2"/>
  <c r="U1379" i="2" a="1"/>
  <c r="T1379" i="2"/>
  <c r="T1379" i="2" a="1"/>
  <c r="S1379" i="2"/>
  <c r="R1379" i="2"/>
  <c r="V1378" i="2"/>
  <c r="U1378" i="2"/>
  <c r="U1378" i="2" a="1"/>
  <c r="T1378" i="2"/>
  <c r="T1378" i="2" a="1"/>
  <c r="S1378" i="2"/>
  <c r="R1378" i="2"/>
  <c r="V1377" i="2"/>
  <c r="U1377" i="2"/>
  <c r="U1377" i="2" a="1"/>
  <c r="T1377" i="2"/>
  <c r="T1377" i="2" a="1"/>
  <c r="S1377" i="2"/>
  <c r="R1377" i="2"/>
  <c r="V1376" i="2"/>
  <c r="U1376" i="2"/>
  <c r="U1376" i="2" a="1"/>
  <c r="T1376" i="2"/>
  <c r="T1376" i="2" a="1"/>
  <c r="S1376" i="2"/>
  <c r="R1376" i="2"/>
  <c r="V1375" i="2"/>
  <c r="U1375" i="2"/>
  <c r="U1375" i="2" a="1"/>
  <c r="T1375" i="2"/>
  <c r="T1375" i="2" a="1"/>
  <c r="S1375" i="2"/>
  <c r="R1375" i="2"/>
  <c r="V1374" i="2"/>
  <c r="U1374" i="2"/>
  <c r="U1374" i="2" a="1"/>
  <c r="T1374" i="2"/>
  <c r="T1374" i="2" a="1"/>
  <c r="S1374" i="2"/>
  <c r="R1374" i="2"/>
  <c r="V1373" i="2"/>
  <c r="U1373" i="2"/>
  <c r="U1373" i="2" a="1"/>
  <c r="T1373" i="2"/>
  <c r="T1373" i="2" a="1"/>
  <c r="S1373" i="2"/>
  <c r="R1373" i="2"/>
  <c r="V1372" i="2"/>
  <c r="U1372" i="2"/>
  <c r="U1372" i="2" a="1"/>
  <c r="T1372" i="2"/>
  <c r="T1372" i="2" a="1"/>
  <c r="S1372" i="2"/>
  <c r="R1372" i="2"/>
  <c r="V1371" i="2"/>
  <c r="U1371" i="2"/>
  <c r="U1371" i="2" a="1"/>
  <c r="T1371" i="2"/>
  <c r="T1371" i="2" a="1"/>
  <c r="S1371" i="2"/>
  <c r="R1371" i="2"/>
  <c r="V1370" i="2"/>
  <c r="U1370" i="2"/>
  <c r="U1370" i="2" a="1"/>
  <c r="T1370" i="2"/>
  <c r="T1370" i="2" a="1"/>
  <c r="S1370" i="2"/>
  <c r="R1370" i="2"/>
  <c r="V1369" i="2"/>
  <c r="U1369" i="2"/>
  <c r="U1369" i="2" a="1"/>
  <c r="T1369" i="2"/>
  <c r="T1369" i="2" a="1"/>
  <c r="S1369" i="2"/>
  <c r="R1369" i="2"/>
  <c r="V1368" i="2"/>
  <c r="U1368" i="2"/>
  <c r="U1368" i="2" a="1"/>
  <c r="T1368" i="2"/>
  <c r="T1368" i="2" a="1"/>
  <c r="S1368" i="2"/>
  <c r="R1368" i="2"/>
  <c r="V1367" i="2"/>
  <c r="U1367" i="2"/>
  <c r="U1367" i="2" a="1"/>
  <c r="T1367" i="2"/>
  <c r="T1367" i="2" a="1"/>
  <c r="S1367" i="2"/>
  <c r="R1367" i="2"/>
  <c r="V1366" i="2"/>
  <c r="U1366" i="2"/>
  <c r="U1366" i="2" a="1"/>
  <c r="T1366" i="2"/>
  <c r="T1366" i="2" a="1"/>
  <c r="S1366" i="2"/>
  <c r="R1366" i="2"/>
  <c r="V1365" i="2"/>
  <c r="U1365" i="2"/>
  <c r="U1365" i="2" a="1"/>
  <c r="T1365" i="2"/>
  <c r="T1365" i="2" a="1"/>
  <c r="S1365" i="2"/>
  <c r="R1365" i="2"/>
  <c r="V1364" i="2"/>
  <c r="U1364" i="2"/>
  <c r="U1364" i="2" a="1"/>
  <c r="T1364" i="2"/>
  <c r="T1364" i="2" a="1"/>
  <c r="S1364" i="2"/>
  <c r="R1364" i="2"/>
  <c r="V1363" i="2"/>
  <c r="U1363" i="2"/>
  <c r="U1363" i="2" a="1"/>
  <c r="T1363" i="2"/>
  <c r="T1363" i="2" a="1"/>
  <c r="S1363" i="2"/>
  <c r="R1363" i="2"/>
  <c r="V1362" i="2"/>
  <c r="U1362" i="2"/>
  <c r="U1362" i="2" a="1"/>
  <c r="T1362" i="2"/>
  <c r="T1362" i="2" a="1"/>
  <c r="S1362" i="2"/>
  <c r="R1362" i="2"/>
  <c r="V1361" i="2"/>
  <c r="U1361" i="2"/>
  <c r="U1361" i="2" a="1"/>
  <c r="T1361" i="2"/>
  <c r="T1361" i="2" a="1"/>
  <c r="S1361" i="2"/>
  <c r="R1361" i="2"/>
  <c r="V1360" i="2"/>
  <c r="U1360" i="2"/>
  <c r="U1360" i="2" a="1"/>
  <c r="T1360" i="2"/>
  <c r="T1360" i="2" a="1"/>
  <c r="S1360" i="2"/>
  <c r="R1360" i="2"/>
  <c r="V1359" i="2"/>
  <c r="U1359" i="2"/>
  <c r="U1359" i="2" a="1"/>
  <c r="T1359" i="2"/>
  <c r="T1359" i="2" a="1"/>
  <c r="S1359" i="2"/>
  <c r="R1359" i="2"/>
  <c r="V1358" i="2"/>
  <c r="U1358" i="2"/>
  <c r="U1358" i="2" a="1"/>
  <c r="T1358" i="2"/>
  <c r="T1358" i="2" a="1"/>
  <c r="S1358" i="2"/>
  <c r="R1358" i="2"/>
  <c r="V1357" i="2"/>
  <c r="U1357" i="2"/>
  <c r="U1357" i="2" a="1"/>
  <c r="T1357" i="2"/>
  <c r="T1357" i="2" a="1"/>
  <c r="S1357" i="2"/>
  <c r="R1357" i="2"/>
  <c r="V1356" i="2"/>
  <c r="U1356" i="2"/>
  <c r="U1356" i="2" a="1"/>
  <c r="T1356" i="2"/>
  <c r="T1356" i="2" a="1"/>
  <c r="S1356" i="2"/>
  <c r="R1356" i="2"/>
  <c r="V1355" i="2"/>
  <c r="U1355" i="2"/>
  <c r="U1355" i="2" a="1"/>
  <c r="T1355" i="2"/>
  <c r="T1355" i="2" a="1"/>
  <c r="S1355" i="2"/>
  <c r="R1355" i="2"/>
  <c r="V1354" i="2"/>
  <c r="U1354" i="2"/>
  <c r="U1354" i="2" a="1"/>
  <c r="T1354" i="2"/>
  <c r="T1354" i="2" a="1"/>
  <c r="S1354" i="2"/>
  <c r="R1354" i="2"/>
  <c r="V1353" i="2"/>
  <c r="U1353" i="2"/>
  <c r="U1353" i="2" a="1"/>
  <c r="T1353" i="2"/>
  <c r="T1353" i="2" a="1"/>
  <c r="S1353" i="2"/>
  <c r="R1353" i="2"/>
  <c r="V1352" i="2"/>
  <c r="U1352" i="2"/>
  <c r="U1352" i="2" a="1"/>
  <c r="T1352" i="2"/>
  <c r="T1352" i="2" a="1"/>
  <c r="S1352" i="2"/>
  <c r="R1352" i="2"/>
  <c r="V1351" i="2"/>
  <c r="U1351" i="2"/>
  <c r="U1351" i="2" a="1"/>
  <c r="T1351" i="2"/>
  <c r="T1351" i="2" a="1"/>
  <c r="S1351" i="2"/>
  <c r="R1351" i="2"/>
  <c r="V1350" i="2"/>
  <c r="U1350" i="2"/>
  <c r="U1350" i="2" a="1"/>
  <c r="T1350" i="2"/>
  <c r="T1350" i="2" a="1"/>
  <c r="S1350" i="2"/>
  <c r="R1350" i="2"/>
  <c r="V1349" i="2"/>
  <c r="U1349" i="2"/>
  <c r="U1349" i="2" a="1"/>
  <c r="T1349" i="2"/>
  <c r="T1349" i="2" a="1"/>
  <c r="S1349" i="2"/>
  <c r="R1349" i="2"/>
  <c r="V1348" i="2"/>
  <c r="U1348" i="2"/>
  <c r="U1348" i="2" a="1"/>
  <c r="T1348" i="2"/>
  <c r="T1348" i="2" a="1"/>
  <c r="S1348" i="2"/>
  <c r="R1348" i="2"/>
  <c r="V1347" i="2"/>
  <c r="U1347" i="2"/>
  <c r="U1347" i="2" a="1"/>
  <c r="T1347" i="2"/>
  <c r="T1347" i="2" a="1"/>
  <c r="S1347" i="2"/>
  <c r="R1347" i="2"/>
  <c r="V1346" i="2"/>
  <c r="U1346" i="2"/>
  <c r="U1346" i="2" a="1"/>
  <c r="T1346" i="2"/>
  <c r="T1346" i="2" a="1"/>
  <c r="S1346" i="2"/>
  <c r="R1346" i="2"/>
  <c r="V1345" i="2"/>
  <c r="U1345" i="2"/>
  <c r="U1345" i="2" a="1"/>
  <c r="T1345" i="2"/>
  <c r="T1345" i="2" a="1"/>
  <c r="S1345" i="2"/>
  <c r="R1345" i="2"/>
  <c r="V1344" i="2"/>
  <c r="U1344" i="2"/>
  <c r="U1344" i="2" a="1"/>
  <c r="T1344" i="2"/>
  <c r="T1344" i="2" a="1"/>
  <c r="S1344" i="2"/>
  <c r="R1344" i="2"/>
  <c r="V1343" i="2"/>
  <c r="U1343" i="2"/>
  <c r="U1343" i="2" a="1"/>
  <c r="T1343" i="2"/>
  <c r="T1343" i="2" a="1"/>
  <c r="S1343" i="2"/>
  <c r="R1343" i="2"/>
  <c r="V1342" i="2"/>
  <c r="U1342" i="2"/>
  <c r="U1342" i="2" a="1"/>
  <c r="T1342" i="2"/>
  <c r="T1342" i="2" a="1"/>
  <c r="S1342" i="2"/>
  <c r="R1342" i="2"/>
  <c r="V1341" i="2"/>
  <c r="U1341" i="2"/>
  <c r="U1341" i="2" a="1"/>
  <c r="T1341" i="2"/>
  <c r="T1341" i="2" a="1"/>
  <c r="S1341" i="2"/>
  <c r="R1341" i="2"/>
  <c r="V1340" i="2"/>
  <c r="U1340" i="2"/>
  <c r="U1340" i="2" a="1"/>
  <c r="T1340" i="2"/>
  <c r="T1340" i="2" a="1"/>
  <c r="S1340" i="2"/>
  <c r="R1340" i="2"/>
  <c r="V1339" i="2"/>
  <c r="U1339" i="2"/>
  <c r="U1339" i="2" a="1"/>
  <c r="T1339" i="2"/>
  <c r="T1339" i="2" a="1"/>
  <c r="S1339" i="2"/>
  <c r="R1339" i="2"/>
  <c r="V1338" i="2"/>
  <c r="U1338" i="2"/>
  <c r="U1338" i="2" a="1"/>
  <c r="T1338" i="2"/>
  <c r="T1338" i="2" a="1"/>
  <c r="S1338" i="2"/>
  <c r="R1338" i="2"/>
  <c r="V1337" i="2"/>
  <c r="U1337" i="2"/>
  <c r="U1337" i="2" a="1"/>
  <c r="T1337" i="2"/>
  <c r="T1337" i="2" a="1"/>
  <c r="S1337" i="2"/>
  <c r="R1337" i="2"/>
  <c r="V1336" i="2"/>
  <c r="U1336" i="2"/>
  <c r="U1336" i="2" a="1"/>
  <c r="T1336" i="2"/>
  <c r="T1336" i="2" a="1"/>
  <c r="S1336" i="2"/>
  <c r="R1336" i="2"/>
  <c r="V1335" i="2"/>
  <c r="U1335" i="2"/>
  <c r="U1335" i="2" a="1"/>
  <c r="T1335" i="2"/>
  <c r="T1335" i="2" a="1"/>
  <c r="S1335" i="2"/>
  <c r="R1335" i="2"/>
  <c r="V1334" i="2"/>
  <c r="U1334" i="2"/>
  <c r="U1334" i="2" a="1"/>
  <c r="T1334" i="2"/>
  <c r="T1334" i="2" a="1"/>
  <c r="S1334" i="2"/>
  <c r="R1334" i="2"/>
  <c r="V1333" i="2"/>
  <c r="U1333" i="2"/>
  <c r="U1333" i="2" a="1"/>
  <c r="T1333" i="2"/>
  <c r="T1333" i="2" a="1"/>
  <c r="S1333" i="2"/>
  <c r="R1333" i="2"/>
  <c r="V1332" i="2"/>
  <c r="U1332" i="2"/>
  <c r="U1332" i="2" a="1"/>
  <c r="T1332" i="2"/>
  <c r="T1332" i="2" a="1"/>
  <c r="S1332" i="2"/>
  <c r="R1332" i="2"/>
  <c r="V1331" i="2"/>
  <c r="U1331" i="2"/>
  <c r="U1331" i="2" a="1"/>
  <c r="T1331" i="2"/>
  <c r="T1331" i="2" a="1"/>
  <c r="S1331" i="2"/>
  <c r="R1331" i="2"/>
  <c r="V1330" i="2"/>
  <c r="U1330" i="2"/>
  <c r="U1330" i="2" a="1"/>
  <c r="T1330" i="2"/>
  <c r="T1330" i="2" a="1"/>
  <c r="S1330" i="2"/>
  <c r="R1330" i="2"/>
  <c r="V1329" i="2"/>
  <c r="U1329" i="2"/>
  <c r="U1329" i="2" a="1"/>
  <c r="T1329" i="2"/>
  <c r="T1329" i="2" a="1"/>
  <c r="S1329" i="2"/>
  <c r="R1329" i="2"/>
  <c r="V1328" i="2"/>
  <c r="U1328" i="2"/>
  <c r="U1328" i="2" a="1"/>
  <c r="T1328" i="2"/>
  <c r="T1328" i="2" a="1"/>
  <c r="S1328" i="2"/>
  <c r="R1328" i="2"/>
  <c r="V1327" i="2"/>
  <c r="U1327" i="2"/>
  <c r="U1327" i="2" a="1"/>
  <c r="T1327" i="2"/>
  <c r="T1327" i="2" a="1"/>
  <c r="S1327" i="2"/>
  <c r="R1327" i="2"/>
  <c r="V1326" i="2"/>
  <c r="U1326" i="2"/>
  <c r="U1326" i="2" a="1"/>
  <c r="T1326" i="2"/>
  <c r="T1326" i="2" a="1"/>
  <c r="S1326" i="2"/>
  <c r="R1326" i="2"/>
  <c r="V1325" i="2"/>
  <c r="U1325" i="2"/>
  <c r="U1325" i="2" a="1"/>
  <c r="T1325" i="2"/>
  <c r="T1325" i="2" a="1"/>
  <c r="S1325" i="2"/>
  <c r="R1325" i="2"/>
  <c r="V1324" i="2"/>
  <c r="U1324" i="2"/>
  <c r="U1324" i="2" a="1"/>
  <c r="T1324" i="2"/>
  <c r="T1324" i="2" a="1"/>
  <c r="S1324" i="2"/>
  <c r="R1324" i="2"/>
  <c r="V1323" i="2"/>
  <c r="U1323" i="2"/>
  <c r="U1323" i="2" a="1"/>
  <c r="T1323" i="2"/>
  <c r="T1323" i="2" a="1"/>
  <c r="S1323" i="2"/>
  <c r="R1323" i="2"/>
  <c r="V1322" i="2"/>
  <c r="U1322" i="2"/>
  <c r="U1322" i="2" a="1"/>
  <c r="T1322" i="2"/>
  <c r="T1322" i="2" a="1"/>
  <c r="S1322" i="2"/>
  <c r="R1322" i="2"/>
  <c r="V1321" i="2"/>
  <c r="U1321" i="2"/>
  <c r="U1321" i="2" a="1"/>
  <c r="T1321" i="2"/>
  <c r="T1321" i="2" a="1"/>
  <c r="S1321" i="2"/>
  <c r="R1321" i="2"/>
  <c r="V1320" i="2"/>
  <c r="U1320" i="2"/>
  <c r="U1320" i="2" a="1"/>
  <c r="T1320" i="2"/>
  <c r="T1320" i="2" a="1"/>
  <c r="S1320" i="2"/>
  <c r="R1320" i="2"/>
  <c r="V1319" i="2"/>
  <c r="U1319" i="2"/>
  <c r="U1319" i="2" a="1"/>
  <c r="T1319" i="2"/>
  <c r="T1319" i="2" a="1"/>
  <c r="S1319" i="2"/>
  <c r="R1319" i="2"/>
  <c r="V1318" i="2"/>
  <c r="U1318" i="2"/>
  <c r="U1318" i="2" a="1"/>
  <c r="T1318" i="2"/>
  <c r="T1318" i="2" a="1"/>
  <c r="S1318" i="2"/>
  <c r="R1318" i="2"/>
  <c r="V1317" i="2"/>
  <c r="U1317" i="2"/>
  <c r="U1317" i="2" a="1"/>
  <c r="T1317" i="2"/>
  <c r="T1317" i="2" a="1"/>
  <c r="S1317" i="2"/>
  <c r="R1317" i="2"/>
  <c r="V1316" i="2"/>
  <c r="U1316" i="2"/>
  <c r="U1316" i="2" a="1"/>
  <c r="T1316" i="2"/>
  <c r="T1316" i="2" a="1"/>
  <c r="S1316" i="2"/>
  <c r="R1316" i="2"/>
  <c r="V1315" i="2"/>
  <c r="U1315" i="2"/>
  <c r="U1315" i="2" a="1"/>
  <c r="T1315" i="2"/>
  <c r="T1315" i="2" a="1"/>
  <c r="S1315" i="2"/>
  <c r="R1315" i="2"/>
  <c r="V1314" i="2"/>
  <c r="U1314" i="2"/>
  <c r="U1314" i="2" a="1"/>
  <c r="T1314" i="2"/>
  <c r="T1314" i="2" a="1"/>
  <c r="S1314" i="2"/>
  <c r="R1314" i="2"/>
  <c r="V1313" i="2"/>
  <c r="U1313" i="2"/>
  <c r="U1313" i="2" a="1"/>
  <c r="T1313" i="2"/>
  <c r="T1313" i="2" a="1"/>
  <c r="S1313" i="2"/>
  <c r="R1313" i="2"/>
  <c r="V1312" i="2"/>
  <c r="U1312" i="2"/>
  <c r="U1312" i="2" a="1"/>
  <c r="T1312" i="2"/>
  <c r="T1312" i="2" a="1"/>
  <c r="S1312" i="2"/>
  <c r="R1312" i="2"/>
  <c r="V1311" i="2"/>
  <c r="U1311" i="2"/>
  <c r="U1311" i="2" a="1"/>
  <c r="T1311" i="2"/>
  <c r="T1311" i="2" a="1"/>
  <c r="S1311" i="2"/>
  <c r="R1311" i="2"/>
  <c r="V1310" i="2"/>
  <c r="U1310" i="2"/>
  <c r="U1310" i="2" a="1"/>
  <c r="T1310" i="2"/>
  <c r="T1310" i="2" a="1"/>
  <c r="S1310" i="2"/>
  <c r="R1310" i="2"/>
  <c r="V1309" i="2"/>
  <c r="U1309" i="2"/>
  <c r="U1309" i="2" a="1"/>
  <c r="T1309" i="2"/>
  <c r="T1309" i="2" a="1"/>
  <c r="S1309" i="2"/>
  <c r="R1309" i="2"/>
  <c r="V1308" i="2"/>
  <c r="U1308" i="2"/>
  <c r="U1308" i="2" a="1"/>
  <c r="T1308" i="2"/>
  <c r="T1308" i="2" a="1"/>
  <c r="S1308" i="2"/>
  <c r="R1308" i="2"/>
  <c r="V1307" i="2"/>
  <c r="U1307" i="2"/>
  <c r="U1307" i="2" a="1"/>
  <c r="T1307" i="2"/>
  <c r="T1307" i="2" a="1"/>
  <c r="S1307" i="2"/>
  <c r="R1307" i="2"/>
  <c r="V1306" i="2"/>
  <c r="U1306" i="2"/>
  <c r="U1306" i="2" a="1"/>
  <c r="T1306" i="2"/>
  <c r="T1306" i="2" a="1"/>
  <c r="S1306" i="2"/>
  <c r="R1306" i="2"/>
  <c r="V1305" i="2"/>
  <c r="U1305" i="2"/>
  <c r="U1305" i="2" a="1"/>
  <c r="T1305" i="2"/>
  <c r="T1305" i="2" a="1"/>
  <c r="S1305" i="2"/>
  <c r="R1305" i="2"/>
  <c r="V1304" i="2"/>
  <c r="U1304" i="2"/>
  <c r="U1304" i="2" a="1"/>
  <c r="T1304" i="2"/>
  <c r="T1304" i="2" a="1"/>
  <c r="S1304" i="2"/>
  <c r="R1304" i="2"/>
  <c r="V1303" i="2"/>
  <c r="U1303" i="2"/>
  <c r="U1303" i="2" a="1"/>
  <c r="T1303" i="2"/>
  <c r="T1303" i="2" a="1"/>
  <c r="S1303" i="2"/>
  <c r="R1303" i="2"/>
  <c r="V1302" i="2"/>
  <c r="U1302" i="2"/>
  <c r="U1302" i="2" a="1"/>
  <c r="T1302" i="2"/>
  <c r="T1302" i="2" a="1"/>
  <c r="S1302" i="2"/>
  <c r="R1302" i="2"/>
  <c r="V1301" i="2"/>
  <c r="U1301" i="2"/>
  <c r="U1301" i="2" a="1"/>
  <c r="T1301" i="2"/>
  <c r="T1301" i="2" a="1"/>
  <c r="S1301" i="2"/>
  <c r="R1301" i="2"/>
  <c r="V1300" i="2"/>
  <c r="U1300" i="2"/>
  <c r="U1300" i="2" a="1"/>
  <c r="T1300" i="2"/>
  <c r="T1300" i="2" a="1"/>
  <c r="S1300" i="2"/>
  <c r="R1300" i="2"/>
  <c r="V1299" i="2"/>
  <c r="U1299" i="2"/>
  <c r="U1299" i="2" a="1"/>
  <c r="T1299" i="2"/>
  <c r="T1299" i="2" a="1"/>
  <c r="S1299" i="2"/>
  <c r="R1299" i="2"/>
  <c r="V1298" i="2"/>
  <c r="U1298" i="2"/>
  <c r="U1298" i="2" a="1"/>
  <c r="T1298" i="2"/>
  <c r="T1298" i="2" a="1"/>
  <c r="S1298" i="2"/>
  <c r="R1298" i="2"/>
  <c r="V1297" i="2"/>
  <c r="U1297" i="2"/>
  <c r="U1297" i="2" a="1"/>
  <c r="T1297" i="2"/>
  <c r="T1297" i="2" a="1"/>
  <c r="S1297" i="2"/>
  <c r="R1297" i="2"/>
  <c r="V1296" i="2"/>
  <c r="U1296" i="2"/>
  <c r="U1296" i="2" a="1"/>
  <c r="T1296" i="2"/>
  <c r="T1296" i="2" a="1"/>
  <c r="S1296" i="2"/>
  <c r="R1296" i="2"/>
  <c r="V1295" i="2"/>
  <c r="U1295" i="2"/>
  <c r="U1295" i="2" a="1"/>
  <c r="T1295" i="2"/>
  <c r="T1295" i="2" a="1"/>
  <c r="S1295" i="2"/>
  <c r="R1295" i="2"/>
  <c r="V1294" i="2"/>
  <c r="U1294" i="2"/>
  <c r="U1294" i="2" a="1"/>
  <c r="T1294" i="2"/>
  <c r="T1294" i="2" a="1"/>
  <c r="S1294" i="2"/>
  <c r="R1294" i="2"/>
  <c r="V1293" i="2"/>
  <c r="U1293" i="2"/>
  <c r="U1293" i="2" a="1"/>
  <c r="T1293" i="2"/>
  <c r="T1293" i="2" a="1"/>
  <c r="S1293" i="2"/>
  <c r="R1293" i="2"/>
  <c r="V1292" i="2"/>
  <c r="U1292" i="2"/>
  <c r="U1292" i="2" a="1"/>
  <c r="T1292" i="2"/>
  <c r="T1292" i="2" a="1"/>
  <c r="S1292" i="2"/>
  <c r="R1292" i="2"/>
  <c r="V1291" i="2"/>
  <c r="U1291" i="2"/>
  <c r="U1291" i="2" a="1"/>
  <c r="T1291" i="2"/>
  <c r="T1291" i="2" a="1"/>
  <c r="S1291" i="2"/>
  <c r="R1291" i="2"/>
  <c r="V1290" i="2"/>
  <c r="U1290" i="2"/>
  <c r="U1290" i="2" a="1"/>
  <c r="T1290" i="2"/>
  <c r="T1290" i="2" a="1"/>
  <c r="S1290" i="2"/>
  <c r="R1290" i="2"/>
  <c r="V1289" i="2"/>
  <c r="U1289" i="2"/>
  <c r="U1289" i="2" a="1"/>
  <c r="T1289" i="2"/>
  <c r="T1289" i="2" a="1"/>
  <c r="S1289" i="2"/>
  <c r="R1289" i="2"/>
  <c r="V1288" i="2"/>
  <c r="U1288" i="2"/>
  <c r="U1288" i="2" a="1"/>
  <c r="T1288" i="2"/>
  <c r="T1288" i="2" a="1"/>
  <c r="S1288" i="2"/>
  <c r="R1288" i="2"/>
  <c r="V1287" i="2"/>
  <c r="U1287" i="2"/>
  <c r="U1287" i="2" a="1"/>
  <c r="T1287" i="2"/>
  <c r="T1287" i="2" a="1"/>
  <c r="S1287" i="2"/>
  <c r="R1287" i="2"/>
  <c r="V1286" i="2"/>
  <c r="U1286" i="2"/>
  <c r="U1286" i="2" a="1"/>
  <c r="T1286" i="2"/>
  <c r="T1286" i="2" a="1"/>
  <c r="S1286" i="2"/>
  <c r="R1286" i="2"/>
  <c r="V1285" i="2"/>
  <c r="U1285" i="2"/>
  <c r="U1285" i="2" a="1"/>
  <c r="T1285" i="2"/>
  <c r="T1285" i="2" a="1"/>
  <c r="S1285" i="2"/>
  <c r="R1285" i="2"/>
  <c r="V1284" i="2"/>
  <c r="U1284" i="2"/>
  <c r="U1284" i="2" a="1"/>
  <c r="T1284" i="2"/>
  <c r="T1284" i="2" a="1"/>
  <c r="S1284" i="2"/>
  <c r="R1284" i="2"/>
  <c r="V1283" i="2"/>
  <c r="U1283" i="2"/>
  <c r="U1283" i="2" a="1"/>
  <c r="T1283" i="2"/>
  <c r="T1283" i="2" a="1"/>
  <c r="S1283" i="2"/>
  <c r="R1283" i="2"/>
  <c r="V1282" i="2"/>
  <c r="U1282" i="2"/>
  <c r="U1282" i="2" a="1"/>
  <c r="T1282" i="2"/>
  <c r="T1282" i="2" a="1"/>
  <c r="S1282" i="2"/>
  <c r="R1282" i="2"/>
  <c r="V1281" i="2"/>
  <c r="U1281" i="2"/>
  <c r="U1281" i="2" a="1"/>
  <c r="T1281" i="2"/>
  <c r="T1281" i="2" a="1"/>
  <c r="S1281" i="2"/>
  <c r="R1281" i="2"/>
  <c r="V1280" i="2"/>
  <c r="U1280" i="2"/>
  <c r="U1280" i="2" a="1"/>
  <c r="T1280" i="2"/>
  <c r="T1280" i="2" a="1"/>
  <c r="S1280" i="2"/>
  <c r="R1280" i="2"/>
  <c r="V1279" i="2"/>
  <c r="U1279" i="2"/>
  <c r="U1279" i="2" a="1"/>
  <c r="T1279" i="2"/>
  <c r="T1279" i="2" a="1"/>
  <c r="S1279" i="2"/>
  <c r="R1279" i="2"/>
  <c r="V1278" i="2"/>
  <c r="U1278" i="2"/>
  <c r="U1278" i="2" a="1"/>
  <c r="T1278" i="2"/>
  <c r="T1278" i="2" a="1"/>
  <c r="S1278" i="2"/>
  <c r="R1278" i="2"/>
  <c r="V1277" i="2"/>
  <c r="U1277" i="2"/>
  <c r="U1277" i="2" a="1"/>
  <c r="T1277" i="2"/>
  <c r="T1277" i="2" a="1"/>
  <c r="S1277" i="2"/>
  <c r="R1277" i="2"/>
  <c r="V1276" i="2"/>
  <c r="U1276" i="2"/>
  <c r="U1276" i="2" a="1"/>
  <c r="T1276" i="2"/>
  <c r="T1276" i="2" a="1"/>
  <c r="S1276" i="2"/>
  <c r="R1276" i="2"/>
  <c r="V1275" i="2"/>
  <c r="U1275" i="2"/>
  <c r="U1275" i="2" a="1"/>
  <c r="T1275" i="2"/>
  <c r="T1275" i="2" a="1"/>
  <c r="S1275" i="2"/>
  <c r="R1275" i="2"/>
  <c r="V1274" i="2"/>
  <c r="U1274" i="2"/>
  <c r="U1274" i="2" a="1"/>
  <c r="T1274" i="2"/>
  <c r="T1274" i="2" a="1"/>
  <c r="S1274" i="2"/>
  <c r="R1274" i="2"/>
  <c r="V1273" i="2"/>
  <c r="U1273" i="2"/>
  <c r="U1273" i="2" a="1"/>
  <c r="T1273" i="2"/>
  <c r="T1273" i="2" a="1"/>
  <c r="S1273" i="2"/>
  <c r="R1273" i="2"/>
  <c r="V1272" i="2"/>
  <c r="U1272" i="2"/>
  <c r="U1272" i="2" a="1"/>
  <c r="T1272" i="2"/>
  <c r="T1272" i="2" a="1"/>
  <c r="S1272" i="2"/>
  <c r="R1272" i="2"/>
  <c r="V1271" i="2"/>
  <c r="U1271" i="2"/>
  <c r="U1271" i="2" a="1"/>
  <c r="T1271" i="2"/>
  <c r="T1271" i="2" a="1"/>
  <c r="S1271" i="2"/>
  <c r="R1271" i="2"/>
  <c r="V1270" i="2"/>
  <c r="U1270" i="2"/>
  <c r="U1270" i="2" a="1"/>
  <c r="T1270" i="2"/>
  <c r="T1270" i="2" a="1"/>
  <c r="S1270" i="2"/>
  <c r="R1270" i="2"/>
  <c r="V1269" i="2"/>
  <c r="U1269" i="2"/>
  <c r="U1269" i="2" a="1"/>
  <c r="T1269" i="2"/>
  <c r="T1269" i="2" a="1"/>
  <c r="S1269" i="2"/>
  <c r="R1269" i="2"/>
  <c r="V1268" i="2"/>
  <c r="U1268" i="2"/>
  <c r="U1268" i="2" a="1"/>
  <c r="T1268" i="2"/>
  <c r="T1268" i="2" a="1"/>
  <c r="S1268" i="2"/>
  <c r="R1268" i="2"/>
  <c r="V1267" i="2"/>
  <c r="U1267" i="2"/>
  <c r="U1267" i="2" a="1"/>
  <c r="T1267" i="2"/>
  <c r="T1267" i="2" a="1"/>
  <c r="S1267" i="2"/>
  <c r="R1267" i="2"/>
  <c r="V1266" i="2"/>
  <c r="U1266" i="2"/>
  <c r="U1266" i="2" a="1"/>
  <c r="T1266" i="2"/>
  <c r="T1266" i="2" a="1"/>
  <c r="S1266" i="2"/>
  <c r="R1266" i="2"/>
  <c r="V1265" i="2"/>
  <c r="U1265" i="2"/>
  <c r="U1265" i="2" a="1"/>
  <c r="T1265" i="2"/>
  <c r="T1265" i="2" a="1"/>
  <c r="S1265" i="2"/>
  <c r="R1265" i="2"/>
  <c r="V1264" i="2"/>
  <c r="U1264" i="2"/>
  <c r="U1264" i="2" a="1"/>
  <c r="T1264" i="2"/>
  <c r="T1264" i="2" a="1"/>
  <c r="S1264" i="2"/>
  <c r="R1264" i="2"/>
  <c r="V1263" i="2"/>
  <c r="U1263" i="2"/>
  <c r="U1263" i="2" a="1"/>
  <c r="T1263" i="2"/>
  <c r="T1263" i="2" a="1"/>
  <c r="S1263" i="2"/>
  <c r="R1263" i="2"/>
  <c r="V1262" i="2"/>
  <c r="U1262" i="2"/>
  <c r="U1262" i="2" a="1"/>
  <c r="T1262" i="2"/>
  <c r="T1262" i="2" a="1"/>
  <c r="S1262" i="2"/>
  <c r="R1262" i="2"/>
  <c r="V1261" i="2"/>
  <c r="U1261" i="2"/>
  <c r="U1261" i="2" a="1"/>
  <c r="T1261" i="2"/>
  <c r="T1261" i="2" a="1"/>
  <c r="S1261" i="2"/>
  <c r="R1261" i="2"/>
  <c r="V1260" i="2"/>
  <c r="U1260" i="2"/>
  <c r="U1260" i="2" a="1"/>
  <c r="T1260" i="2"/>
  <c r="T1260" i="2" a="1"/>
  <c r="S1260" i="2"/>
  <c r="R1260" i="2"/>
  <c r="V1259" i="2"/>
  <c r="U1259" i="2"/>
  <c r="U1259" i="2" a="1"/>
  <c r="T1259" i="2"/>
  <c r="T1259" i="2" a="1"/>
  <c r="S1259" i="2"/>
  <c r="R1259" i="2"/>
  <c r="V1258" i="2"/>
  <c r="U1258" i="2"/>
  <c r="U1258" i="2" a="1"/>
  <c r="T1258" i="2"/>
  <c r="T1258" i="2" a="1"/>
  <c r="S1258" i="2"/>
  <c r="R1258" i="2"/>
  <c r="V1257" i="2"/>
  <c r="U1257" i="2"/>
  <c r="U1257" i="2" a="1"/>
  <c r="T1257" i="2"/>
  <c r="T1257" i="2" a="1"/>
  <c r="S1257" i="2"/>
  <c r="R1257" i="2"/>
  <c r="V1256" i="2"/>
  <c r="U1256" i="2"/>
  <c r="U1256" i="2" a="1"/>
  <c r="T1256" i="2"/>
  <c r="T1256" i="2" a="1"/>
  <c r="S1256" i="2"/>
  <c r="R1256" i="2"/>
  <c r="V1255" i="2"/>
  <c r="U1255" i="2"/>
  <c r="U1255" i="2" a="1"/>
  <c r="T1255" i="2"/>
  <c r="T1255" i="2" a="1"/>
  <c r="S1255" i="2"/>
  <c r="R1255" i="2"/>
  <c r="V1254" i="2"/>
  <c r="U1254" i="2"/>
  <c r="U1254" i="2" a="1"/>
  <c r="T1254" i="2"/>
  <c r="T1254" i="2" a="1"/>
  <c r="S1254" i="2"/>
  <c r="R1254" i="2"/>
  <c r="V1253" i="2"/>
  <c r="U1253" i="2"/>
  <c r="U1253" i="2" a="1"/>
  <c r="T1253" i="2"/>
  <c r="T1253" i="2" a="1"/>
  <c r="S1253" i="2"/>
  <c r="R1253" i="2"/>
  <c r="V1252" i="2"/>
  <c r="U1252" i="2"/>
  <c r="U1252" i="2" a="1"/>
  <c r="T1252" i="2"/>
  <c r="T1252" i="2" a="1"/>
  <c r="S1252" i="2"/>
  <c r="R1252" i="2"/>
  <c r="V1251" i="2"/>
  <c r="U1251" i="2"/>
  <c r="U1251" i="2" a="1"/>
  <c r="T1251" i="2"/>
  <c r="T1251" i="2" a="1"/>
  <c r="S1251" i="2"/>
  <c r="R1251" i="2"/>
  <c r="V1250" i="2"/>
  <c r="U1250" i="2"/>
  <c r="U1250" i="2" a="1"/>
  <c r="T1250" i="2"/>
  <c r="T1250" i="2" a="1"/>
  <c r="S1250" i="2"/>
  <c r="R1250" i="2"/>
  <c r="V1249" i="2"/>
  <c r="U1249" i="2"/>
  <c r="U1249" i="2" a="1"/>
  <c r="T1249" i="2"/>
  <c r="T1249" i="2" a="1"/>
  <c r="S1249" i="2"/>
  <c r="R1249" i="2"/>
  <c r="V1248" i="2"/>
  <c r="U1248" i="2"/>
  <c r="U1248" i="2" a="1"/>
  <c r="T1248" i="2"/>
  <c r="T1248" i="2" a="1"/>
  <c r="S1248" i="2"/>
  <c r="R1248" i="2"/>
  <c r="V1247" i="2"/>
  <c r="U1247" i="2"/>
  <c r="U1247" i="2" a="1"/>
  <c r="T1247" i="2"/>
  <c r="T1247" i="2" a="1"/>
  <c r="S1247" i="2"/>
  <c r="R1247" i="2"/>
  <c r="V1246" i="2"/>
  <c r="U1246" i="2"/>
  <c r="U1246" i="2" a="1"/>
  <c r="T1246" i="2"/>
  <c r="T1246" i="2" a="1"/>
  <c r="S1246" i="2"/>
  <c r="R1246" i="2"/>
  <c r="V1245" i="2"/>
  <c r="U1245" i="2"/>
  <c r="U1245" i="2" a="1"/>
  <c r="T1245" i="2"/>
  <c r="T1245" i="2" a="1"/>
  <c r="S1245" i="2"/>
  <c r="R1245" i="2"/>
  <c r="V1244" i="2"/>
  <c r="U1244" i="2"/>
  <c r="U1244" i="2" a="1"/>
  <c r="T1244" i="2"/>
  <c r="T1244" i="2" a="1"/>
  <c r="S1244" i="2"/>
  <c r="R1244" i="2"/>
  <c r="V1243" i="2"/>
  <c r="U1243" i="2"/>
  <c r="U1243" i="2" a="1"/>
  <c r="T1243" i="2"/>
  <c r="T1243" i="2" a="1"/>
  <c r="S1243" i="2"/>
  <c r="R1243" i="2"/>
  <c r="V1242" i="2"/>
  <c r="U1242" i="2"/>
  <c r="U1242" i="2" a="1"/>
  <c r="T1242" i="2"/>
  <c r="T1242" i="2" a="1"/>
  <c r="S1242" i="2"/>
  <c r="R1242" i="2"/>
  <c r="V1241" i="2"/>
  <c r="U1241" i="2"/>
  <c r="U1241" i="2" a="1"/>
  <c r="T1241" i="2"/>
  <c r="T1241" i="2" a="1"/>
  <c r="S1241" i="2"/>
  <c r="R1241" i="2"/>
  <c r="V1240" i="2"/>
  <c r="U1240" i="2"/>
  <c r="U1240" i="2" a="1"/>
  <c r="T1240" i="2"/>
  <c r="T1240" i="2" a="1"/>
  <c r="S1240" i="2"/>
  <c r="R1240" i="2"/>
  <c r="V1239" i="2"/>
  <c r="U1239" i="2"/>
  <c r="U1239" i="2" a="1"/>
  <c r="T1239" i="2"/>
  <c r="T1239" i="2" a="1"/>
  <c r="S1239" i="2"/>
  <c r="R1239" i="2"/>
  <c r="V1238" i="2"/>
  <c r="U1238" i="2"/>
  <c r="U1238" i="2" a="1"/>
  <c r="T1238" i="2"/>
  <c r="T1238" i="2" a="1"/>
  <c r="S1238" i="2"/>
  <c r="R1238" i="2"/>
  <c r="V1237" i="2"/>
  <c r="U1237" i="2"/>
  <c r="U1237" i="2" a="1"/>
  <c r="T1237" i="2"/>
  <c r="T1237" i="2" a="1"/>
  <c r="S1237" i="2"/>
  <c r="R1237" i="2"/>
  <c r="V1236" i="2"/>
  <c r="U1236" i="2"/>
  <c r="U1236" i="2" a="1"/>
  <c r="T1236" i="2"/>
  <c r="T1236" i="2" a="1"/>
  <c r="S1236" i="2"/>
  <c r="R1236" i="2"/>
  <c r="V1235" i="2"/>
  <c r="U1235" i="2"/>
  <c r="U1235" i="2" a="1"/>
  <c r="T1235" i="2"/>
  <c r="T1235" i="2" a="1"/>
  <c r="S1235" i="2"/>
  <c r="R1235" i="2"/>
  <c r="V1234" i="2"/>
  <c r="U1234" i="2"/>
  <c r="U1234" i="2" a="1"/>
  <c r="T1234" i="2"/>
  <c r="T1234" i="2" a="1"/>
  <c r="S1234" i="2"/>
  <c r="R1234" i="2"/>
  <c r="V1233" i="2"/>
  <c r="U1233" i="2"/>
  <c r="U1233" i="2" a="1"/>
  <c r="T1233" i="2"/>
  <c r="T1233" i="2" a="1"/>
  <c r="S1233" i="2"/>
  <c r="R1233" i="2"/>
  <c r="V1232" i="2"/>
  <c r="U1232" i="2"/>
  <c r="U1232" i="2" a="1"/>
  <c r="T1232" i="2"/>
  <c r="T1232" i="2" a="1"/>
  <c r="S1232" i="2"/>
  <c r="R1232" i="2"/>
  <c r="V1231" i="2"/>
  <c r="U1231" i="2"/>
  <c r="U1231" i="2" a="1"/>
  <c r="T1231" i="2"/>
  <c r="T1231" i="2" a="1"/>
  <c r="S1231" i="2"/>
  <c r="R1231" i="2"/>
  <c r="V1230" i="2"/>
  <c r="U1230" i="2"/>
  <c r="U1230" i="2" a="1"/>
  <c r="T1230" i="2"/>
  <c r="T1230" i="2" a="1"/>
  <c r="S1230" i="2"/>
  <c r="R1230" i="2"/>
  <c r="V1229" i="2"/>
  <c r="U1229" i="2"/>
  <c r="U1229" i="2" a="1"/>
  <c r="T1229" i="2"/>
  <c r="T1229" i="2" a="1"/>
  <c r="S1229" i="2"/>
  <c r="R1229" i="2"/>
  <c r="V1228" i="2"/>
  <c r="U1228" i="2"/>
  <c r="U1228" i="2" a="1"/>
  <c r="T1228" i="2"/>
  <c r="T1228" i="2" a="1"/>
  <c r="S1228" i="2"/>
  <c r="R1228" i="2"/>
  <c r="V1227" i="2"/>
  <c r="U1227" i="2"/>
  <c r="U1227" i="2" a="1"/>
  <c r="T1227" i="2"/>
  <c r="T1227" i="2" a="1"/>
  <c r="S1227" i="2"/>
  <c r="R1227" i="2"/>
  <c r="V1226" i="2"/>
  <c r="U1226" i="2"/>
  <c r="U1226" i="2" a="1"/>
  <c r="T1226" i="2"/>
  <c r="T1226" i="2" a="1"/>
  <c r="S1226" i="2"/>
  <c r="R1226" i="2"/>
  <c r="V1225" i="2"/>
  <c r="U1225" i="2"/>
  <c r="U1225" i="2" a="1"/>
  <c r="T1225" i="2"/>
  <c r="T1225" i="2" a="1"/>
  <c r="S1225" i="2"/>
  <c r="R1225" i="2"/>
  <c r="V1224" i="2"/>
  <c r="U1224" i="2"/>
  <c r="U1224" i="2" a="1"/>
  <c r="T1224" i="2"/>
  <c r="T1224" i="2" a="1"/>
  <c r="S1224" i="2"/>
  <c r="R1224" i="2"/>
  <c r="V1223" i="2"/>
  <c r="U1223" i="2"/>
  <c r="U1223" i="2" a="1"/>
  <c r="T1223" i="2"/>
  <c r="T1223" i="2" a="1"/>
  <c r="S1223" i="2"/>
  <c r="R1223" i="2"/>
  <c r="V1222" i="2"/>
  <c r="U1222" i="2"/>
  <c r="U1222" i="2" a="1"/>
  <c r="T1222" i="2"/>
  <c r="T1222" i="2" a="1"/>
  <c r="S1222" i="2"/>
  <c r="R1222" i="2"/>
  <c r="V1221" i="2"/>
  <c r="U1221" i="2"/>
  <c r="U1221" i="2" a="1"/>
  <c r="T1221" i="2"/>
  <c r="T1221" i="2" a="1"/>
  <c r="S1221" i="2"/>
  <c r="R1221" i="2"/>
  <c r="V1220" i="2"/>
  <c r="U1220" i="2"/>
  <c r="U1220" i="2" a="1"/>
  <c r="T1220" i="2"/>
  <c r="T1220" i="2" a="1"/>
  <c r="S1220" i="2"/>
  <c r="R1220" i="2"/>
  <c r="V1219" i="2"/>
  <c r="U1219" i="2"/>
  <c r="U1219" i="2" a="1"/>
  <c r="T1219" i="2"/>
  <c r="T1219" i="2" a="1"/>
  <c r="S1219" i="2"/>
  <c r="R1219" i="2"/>
  <c r="V1218" i="2"/>
  <c r="U1218" i="2"/>
  <c r="U1218" i="2" a="1"/>
  <c r="T1218" i="2"/>
  <c r="T1218" i="2" a="1"/>
  <c r="S1218" i="2"/>
  <c r="R1218" i="2"/>
  <c r="V1217" i="2"/>
  <c r="U1217" i="2"/>
  <c r="U1217" i="2" a="1"/>
  <c r="T1217" i="2"/>
  <c r="T1217" i="2" a="1"/>
  <c r="S1217" i="2"/>
  <c r="R1217" i="2"/>
  <c r="V1216" i="2"/>
  <c r="U1216" i="2"/>
  <c r="U1216" i="2" a="1"/>
  <c r="T1216" i="2"/>
  <c r="T1216" i="2" a="1"/>
  <c r="S1216" i="2"/>
  <c r="R1216" i="2"/>
  <c r="V1215" i="2"/>
  <c r="U1215" i="2"/>
  <c r="U1215" i="2" a="1"/>
  <c r="T1215" i="2"/>
  <c r="T1215" i="2" a="1"/>
  <c r="S1215" i="2"/>
  <c r="R1215" i="2"/>
  <c r="V1214" i="2"/>
  <c r="U1214" i="2"/>
  <c r="U1214" i="2" a="1"/>
  <c r="T1214" i="2"/>
  <c r="T1214" i="2" a="1"/>
  <c r="S1214" i="2"/>
  <c r="R1214" i="2"/>
  <c r="V1213" i="2"/>
  <c r="U1213" i="2"/>
  <c r="U1213" i="2" a="1"/>
  <c r="T1213" i="2"/>
  <c r="T1213" i="2" a="1"/>
  <c r="S1213" i="2"/>
  <c r="R1213" i="2"/>
  <c r="V1212" i="2"/>
  <c r="U1212" i="2"/>
  <c r="U1212" i="2" a="1"/>
  <c r="T1212" i="2"/>
  <c r="T1212" i="2" a="1"/>
  <c r="S1212" i="2"/>
  <c r="R1212" i="2"/>
  <c r="V1211" i="2"/>
  <c r="U1211" i="2"/>
  <c r="U1211" i="2" a="1"/>
  <c r="T1211" i="2"/>
  <c r="T1211" i="2" a="1"/>
  <c r="S1211" i="2"/>
  <c r="R1211" i="2"/>
  <c r="V1210" i="2"/>
  <c r="U1210" i="2"/>
  <c r="U1210" i="2" a="1"/>
  <c r="T1210" i="2"/>
  <c r="T1210" i="2" a="1"/>
  <c r="S1210" i="2"/>
  <c r="R1210" i="2"/>
  <c r="V1209" i="2"/>
  <c r="U1209" i="2"/>
  <c r="U1209" i="2" a="1"/>
  <c r="T1209" i="2"/>
  <c r="T1209" i="2" a="1"/>
  <c r="S1209" i="2"/>
  <c r="R1209" i="2"/>
  <c r="V1208" i="2"/>
  <c r="U1208" i="2"/>
  <c r="U1208" i="2" a="1"/>
  <c r="T1208" i="2"/>
  <c r="T1208" i="2" a="1"/>
  <c r="S1208" i="2"/>
  <c r="R1208" i="2"/>
  <c r="V1207" i="2"/>
  <c r="U1207" i="2"/>
  <c r="U1207" i="2" a="1"/>
  <c r="T1207" i="2"/>
  <c r="T1207" i="2" a="1"/>
  <c r="S1207" i="2"/>
  <c r="R1207" i="2"/>
  <c r="V1206" i="2"/>
  <c r="U1206" i="2"/>
  <c r="U1206" i="2" a="1"/>
  <c r="T1206" i="2"/>
  <c r="T1206" i="2" a="1"/>
  <c r="S1206" i="2"/>
  <c r="R1206" i="2"/>
  <c r="V1205" i="2"/>
  <c r="U1205" i="2"/>
  <c r="U1205" i="2" a="1"/>
  <c r="T1205" i="2"/>
  <c r="T1205" i="2" a="1"/>
  <c r="S1205" i="2"/>
  <c r="R1205" i="2"/>
  <c r="V1204" i="2"/>
  <c r="U1204" i="2"/>
  <c r="U1204" i="2" a="1"/>
  <c r="T1204" i="2"/>
  <c r="T1204" i="2" a="1"/>
  <c r="S1204" i="2"/>
  <c r="R1204" i="2"/>
  <c r="V1203" i="2"/>
  <c r="U1203" i="2"/>
  <c r="U1203" i="2" a="1"/>
  <c r="T1203" i="2"/>
  <c r="T1203" i="2" a="1"/>
  <c r="S1203" i="2"/>
  <c r="R1203" i="2"/>
  <c r="V1202" i="2"/>
  <c r="U1202" i="2"/>
  <c r="U1202" i="2" a="1"/>
  <c r="T1202" i="2"/>
  <c r="T1202" i="2" a="1"/>
  <c r="S1202" i="2"/>
  <c r="R1202" i="2"/>
  <c r="V1201" i="2"/>
  <c r="U1201" i="2"/>
  <c r="U1201" i="2" a="1"/>
  <c r="T1201" i="2"/>
  <c r="T1201" i="2" a="1"/>
  <c r="S1201" i="2"/>
  <c r="R1201" i="2"/>
  <c r="V1200" i="2"/>
  <c r="U1200" i="2"/>
  <c r="U1200" i="2" a="1"/>
  <c r="T1200" i="2"/>
  <c r="T1200" i="2" a="1"/>
  <c r="S1200" i="2"/>
  <c r="R1200" i="2"/>
  <c r="V1199" i="2"/>
  <c r="U1199" i="2"/>
  <c r="U1199" i="2" a="1"/>
  <c r="T1199" i="2"/>
  <c r="T1199" i="2" a="1"/>
  <c r="S1199" i="2"/>
  <c r="R1199" i="2"/>
  <c r="V1198" i="2"/>
  <c r="U1198" i="2"/>
  <c r="U1198" i="2" a="1"/>
  <c r="T1198" i="2"/>
  <c r="T1198" i="2" a="1"/>
  <c r="S1198" i="2"/>
  <c r="R1198" i="2"/>
  <c r="V1197" i="2"/>
  <c r="U1197" i="2"/>
  <c r="U1197" i="2" a="1"/>
  <c r="T1197" i="2"/>
  <c r="T1197" i="2" a="1"/>
  <c r="S1197" i="2"/>
  <c r="R1197" i="2"/>
  <c r="V1196" i="2"/>
  <c r="U1196" i="2"/>
  <c r="U1196" i="2" a="1"/>
  <c r="T1196" i="2"/>
  <c r="T1196" i="2" a="1"/>
  <c r="S1196" i="2"/>
  <c r="R1196" i="2"/>
  <c r="V1195" i="2"/>
  <c r="U1195" i="2"/>
  <c r="U1195" i="2" a="1"/>
  <c r="T1195" i="2"/>
  <c r="T1195" i="2" a="1"/>
  <c r="S1195" i="2"/>
  <c r="R1195" i="2"/>
  <c r="V1194" i="2"/>
  <c r="U1194" i="2"/>
  <c r="U1194" i="2" a="1"/>
  <c r="T1194" i="2"/>
  <c r="T1194" i="2" a="1"/>
  <c r="S1194" i="2"/>
  <c r="R1194" i="2"/>
  <c r="V1193" i="2"/>
  <c r="U1193" i="2"/>
  <c r="U1193" i="2" a="1"/>
  <c r="T1193" i="2"/>
  <c r="T1193" i="2" a="1"/>
  <c r="S1193" i="2"/>
  <c r="R1193" i="2"/>
  <c r="V1192" i="2"/>
  <c r="U1192" i="2"/>
  <c r="U1192" i="2" a="1"/>
  <c r="T1192" i="2"/>
  <c r="T1192" i="2" a="1"/>
  <c r="S1192" i="2"/>
  <c r="R1192" i="2"/>
  <c r="V1191" i="2"/>
  <c r="U1191" i="2"/>
  <c r="U1191" i="2" a="1"/>
  <c r="T1191" i="2"/>
  <c r="T1191" i="2" a="1"/>
  <c r="S1191" i="2"/>
  <c r="R1191" i="2"/>
  <c r="V1190" i="2"/>
  <c r="U1190" i="2"/>
  <c r="U1190" i="2" a="1"/>
  <c r="T1190" i="2"/>
  <c r="T1190" i="2" a="1"/>
  <c r="S1190" i="2"/>
  <c r="R1190" i="2"/>
  <c r="V1189" i="2"/>
  <c r="U1189" i="2"/>
  <c r="U1189" i="2" a="1"/>
  <c r="T1189" i="2"/>
  <c r="T1189" i="2" a="1"/>
  <c r="S1189" i="2"/>
  <c r="R1189" i="2"/>
  <c r="V1188" i="2"/>
  <c r="U1188" i="2"/>
  <c r="U1188" i="2" a="1"/>
  <c r="T1188" i="2"/>
  <c r="T1188" i="2" a="1"/>
  <c r="S1188" i="2"/>
  <c r="R1188" i="2"/>
  <c r="V1187" i="2"/>
  <c r="U1187" i="2"/>
  <c r="U1187" i="2" a="1"/>
  <c r="T1187" i="2"/>
  <c r="T1187" i="2" a="1"/>
  <c r="S1187" i="2"/>
  <c r="R1187" i="2"/>
  <c r="V1186" i="2"/>
  <c r="U1186" i="2"/>
  <c r="U1186" i="2" a="1"/>
  <c r="T1186" i="2"/>
  <c r="T1186" i="2" a="1"/>
  <c r="S1186" i="2"/>
  <c r="R1186" i="2"/>
  <c r="V1185" i="2"/>
  <c r="U1185" i="2"/>
  <c r="U1185" i="2" a="1"/>
  <c r="T1185" i="2"/>
  <c r="T1185" i="2" a="1"/>
  <c r="S1185" i="2"/>
  <c r="R1185" i="2"/>
  <c r="V1184" i="2"/>
  <c r="U1184" i="2"/>
  <c r="U1184" i="2" a="1"/>
  <c r="T1184" i="2"/>
  <c r="T1184" i="2" a="1"/>
  <c r="S1184" i="2"/>
  <c r="R1184" i="2"/>
  <c r="V1183" i="2"/>
  <c r="U1183" i="2"/>
  <c r="U1183" i="2" a="1"/>
  <c r="T1183" i="2"/>
  <c r="T1183" i="2" a="1"/>
  <c r="S1183" i="2"/>
  <c r="R1183" i="2"/>
  <c r="V1182" i="2"/>
  <c r="U1182" i="2"/>
  <c r="U1182" i="2" a="1"/>
  <c r="T1182" i="2"/>
  <c r="T1182" i="2" a="1"/>
  <c r="S1182" i="2"/>
  <c r="R1182" i="2"/>
  <c r="V1181" i="2"/>
  <c r="U1181" i="2"/>
  <c r="U1181" i="2" a="1"/>
  <c r="T1181" i="2"/>
  <c r="T1181" i="2" a="1"/>
  <c r="S1181" i="2"/>
  <c r="R1181" i="2"/>
  <c r="V1180" i="2"/>
  <c r="U1180" i="2"/>
  <c r="U1180" i="2" a="1"/>
  <c r="T1180" i="2"/>
  <c r="T1180" i="2" a="1"/>
  <c r="S1180" i="2"/>
  <c r="R1180" i="2"/>
  <c r="V1179" i="2"/>
  <c r="U1179" i="2"/>
  <c r="U1179" i="2" a="1"/>
  <c r="T1179" i="2"/>
  <c r="T1179" i="2" a="1"/>
  <c r="S1179" i="2"/>
  <c r="R1179" i="2"/>
  <c r="V1178" i="2"/>
  <c r="U1178" i="2"/>
  <c r="U1178" i="2" a="1"/>
  <c r="T1178" i="2"/>
  <c r="T1178" i="2" a="1"/>
  <c r="S1178" i="2"/>
  <c r="R1178" i="2"/>
  <c r="V1177" i="2"/>
  <c r="U1177" i="2"/>
  <c r="U1177" i="2" a="1"/>
  <c r="T1177" i="2"/>
  <c r="T1177" i="2" a="1"/>
  <c r="S1177" i="2"/>
  <c r="R1177" i="2"/>
  <c r="V1176" i="2"/>
  <c r="U1176" i="2"/>
  <c r="U1176" i="2" a="1"/>
  <c r="T1176" i="2"/>
  <c r="T1176" i="2" a="1"/>
  <c r="S1176" i="2"/>
  <c r="R1176" i="2"/>
  <c r="V1175" i="2"/>
  <c r="U1175" i="2"/>
  <c r="U1175" i="2" a="1"/>
  <c r="T1175" i="2"/>
  <c r="T1175" i="2" a="1"/>
  <c r="S1175" i="2"/>
  <c r="R1175" i="2"/>
  <c r="V1174" i="2"/>
  <c r="U1174" i="2"/>
  <c r="U1174" i="2" a="1"/>
  <c r="T1174" i="2"/>
  <c r="T1174" i="2" a="1"/>
  <c r="S1174" i="2"/>
  <c r="R1174" i="2"/>
  <c r="V1173" i="2"/>
  <c r="U1173" i="2"/>
  <c r="U1173" i="2" a="1"/>
  <c r="T1173" i="2"/>
  <c r="T1173" i="2" a="1"/>
  <c r="S1173" i="2"/>
  <c r="R1173" i="2"/>
  <c r="V1172" i="2"/>
  <c r="U1172" i="2"/>
  <c r="U1172" i="2" a="1"/>
  <c r="T1172" i="2"/>
  <c r="T1172" i="2" a="1"/>
  <c r="S1172" i="2"/>
  <c r="R1172" i="2"/>
  <c r="V1171" i="2"/>
  <c r="U1171" i="2"/>
  <c r="U1171" i="2" a="1"/>
  <c r="T1171" i="2"/>
  <c r="T1171" i="2" a="1"/>
  <c r="S1171" i="2"/>
  <c r="R1171" i="2"/>
  <c r="V1170" i="2"/>
  <c r="U1170" i="2"/>
  <c r="U1170" i="2" a="1"/>
  <c r="T1170" i="2"/>
  <c r="T1170" i="2" a="1"/>
  <c r="S1170" i="2"/>
  <c r="R1170" i="2"/>
  <c r="V1169" i="2"/>
  <c r="U1169" i="2"/>
  <c r="U1169" i="2" a="1"/>
  <c r="T1169" i="2"/>
  <c r="T1169" i="2" a="1"/>
  <c r="S1169" i="2"/>
  <c r="R1169" i="2"/>
  <c r="V1168" i="2"/>
  <c r="U1168" i="2"/>
  <c r="U1168" i="2" a="1"/>
  <c r="T1168" i="2"/>
  <c r="T1168" i="2" a="1"/>
  <c r="S1168" i="2"/>
  <c r="R1168" i="2"/>
  <c r="V1167" i="2"/>
  <c r="U1167" i="2"/>
  <c r="U1167" i="2" a="1"/>
  <c r="T1167" i="2"/>
  <c r="T1167" i="2" a="1"/>
  <c r="S1167" i="2"/>
  <c r="R1167" i="2"/>
  <c r="V1166" i="2"/>
  <c r="U1166" i="2"/>
  <c r="U1166" i="2" a="1"/>
  <c r="T1166" i="2"/>
  <c r="T1166" i="2" a="1"/>
  <c r="S1166" i="2"/>
  <c r="R1166" i="2"/>
  <c r="V1165" i="2"/>
  <c r="U1165" i="2"/>
  <c r="U1165" i="2" a="1"/>
  <c r="T1165" i="2"/>
  <c r="T1165" i="2" a="1"/>
  <c r="S1165" i="2"/>
  <c r="R1165" i="2"/>
  <c r="V1164" i="2"/>
  <c r="U1164" i="2"/>
  <c r="U1164" i="2" a="1"/>
  <c r="T1164" i="2"/>
  <c r="T1164" i="2" a="1"/>
  <c r="S1164" i="2"/>
  <c r="R1164" i="2"/>
  <c r="V1163" i="2"/>
  <c r="U1163" i="2"/>
  <c r="U1163" i="2" a="1"/>
  <c r="T1163" i="2"/>
  <c r="T1163" i="2" a="1"/>
  <c r="S1163" i="2"/>
  <c r="R1163" i="2"/>
  <c r="V1162" i="2"/>
  <c r="U1162" i="2"/>
  <c r="U1162" i="2" a="1"/>
  <c r="T1162" i="2"/>
  <c r="T1162" i="2" a="1"/>
  <c r="S1162" i="2"/>
  <c r="R1162" i="2"/>
  <c r="V1161" i="2"/>
  <c r="U1161" i="2"/>
  <c r="U1161" i="2" a="1"/>
  <c r="T1161" i="2"/>
  <c r="T1161" i="2" a="1"/>
  <c r="S1161" i="2"/>
  <c r="R1161" i="2"/>
  <c r="V1160" i="2"/>
  <c r="U1160" i="2"/>
  <c r="U1160" i="2" a="1"/>
  <c r="T1160" i="2"/>
  <c r="T1160" i="2" a="1"/>
  <c r="S1160" i="2"/>
  <c r="R1160" i="2"/>
  <c r="V1159" i="2"/>
  <c r="U1159" i="2"/>
  <c r="U1159" i="2" a="1"/>
  <c r="T1159" i="2"/>
  <c r="T1159" i="2" a="1"/>
  <c r="S1159" i="2"/>
  <c r="R1159" i="2"/>
  <c r="V1158" i="2"/>
  <c r="U1158" i="2"/>
  <c r="U1158" i="2" a="1"/>
  <c r="T1158" i="2"/>
  <c r="T1158" i="2" a="1"/>
  <c r="S1158" i="2"/>
  <c r="R1158" i="2"/>
  <c r="V1157" i="2"/>
  <c r="U1157" i="2"/>
  <c r="U1157" i="2" a="1"/>
  <c r="T1157" i="2"/>
  <c r="T1157" i="2" a="1"/>
  <c r="S1157" i="2"/>
  <c r="R1157" i="2"/>
  <c r="V1156" i="2"/>
  <c r="U1156" i="2"/>
  <c r="U1156" i="2" a="1"/>
  <c r="T1156" i="2"/>
  <c r="T1156" i="2" a="1"/>
  <c r="S1156" i="2"/>
  <c r="R1156" i="2"/>
  <c r="V1155" i="2"/>
  <c r="U1155" i="2"/>
  <c r="U1155" i="2" a="1"/>
  <c r="T1155" i="2"/>
  <c r="T1155" i="2" a="1"/>
  <c r="S1155" i="2"/>
  <c r="R1155" i="2"/>
  <c r="V1154" i="2"/>
  <c r="U1154" i="2"/>
  <c r="U1154" i="2" a="1"/>
  <c r="T1154" i="2"/>
  <c r="T1154" i="2" a="1"/>
  <c r="S1154" i="2"/>
  <c r="R1154" i="2"/>
  <c r="V1153" i="2"/>
  <c r="U1153" i="2"/>
  <c r="U1153" i="2" a="1"/>
  <c r="T1153" i="2"/>
  <c r="T1153" i="2" a="1"/>
  <c r="S1153" i="2"/>
  <c r="R1153" i="2"/>
  <c r="V1152" i="2"/>
  <c r="U1152" i="2"/>
  <c r="U1152" i="2" a="1"/>
  <c r="T1152" i="2"/>
  <c r="T1152" i="2" a="1"/>
  <c r="S1152" i="2"/>
  <c r="R1152" i="2"/>
  <c r="V1151" i="2"/>
  <c r="U1151" i="2"/>
  <c r="U1151" i="2" a="1"/>
  <c r="T1151" i="2"/>
  <c r="T1151" i="2" a="1"/>
  <c r="S1151" i="2"/>
  <c r="R1151" i="2"/>
  <c r="V1150" i="2"/>
  <c r="U1150" i="2"/>
  <c r="U1150" i="2" a="1"/>
  <c r="T1150" i="2"/>
  <c r="T1150" i="2" a="1"/>
  <c r="S1150" i="2"/>
  <c r="R1150" i="2"/>
  <c r="V1149" i="2"/>
  <c r="U1149" i="2"/>
  <c r="U1149" i="2" a="1"/>
  <c r="T1149" i="2"/>
  <c r="T1149" i="2" a="1"/>
  <c r="S1149" i="2"/>
  <c r="R1149" i="2"/>
  <c r="V1148" i="2"/>
  <c r="U1148" i="2"/>
  <c r="U1148" i="2" a="1"/>
  <c r="T1148" i="2"/>
  <c r="T1148" i="2" a="1"/>
  <c r="S1148" i="2"/>
  <c r="R1148" i="2"/>
  <c r="V1147" i="2"/>
  <c r="U1147" i="2"/>
  <c r="U1147" i="2" a="1"/>
  <c r="T1147" i="2"/>
  <c r="T1147" i="2" a="1"/>
  <c r="S1147" i="2"/>
  <c r="R1147" i="2"/>
  <c r="V1146" i="2"/>
  <c r="U1146" i="2"/>
  <c r="U1146" i="2" a="1"/>
  <c r="T1146" i="2"/>
  <c r="T1146" i="2" a="1"/>
  <c r="S1146" i="2"/>
  <c r="R1146" i="2"/>
  <c r="V1145" i="2"/>
  <c r="U1145" i="2"/>
  <c r="U1145" i="2" a="1"/>
  <c r="T1145" i="2"/>
  <c r="T1145" i="2" a="1"/>
  <c r="S1145" i="2"/>
  <c r="R1145" i="2"/>
  <c r="V1144" i="2"/>
  <c r="U1144" i="2"/>
  <c r="U1144" i="2" a="1"/>
  <c r="T1144" i="2"/>
  <c r="T1144" i="2" a="1"/>
  <c r="S1144" i="2"/>
  <c r="R1144" i="2"/>
  <c r="V1143" i="2"/>
  <c r="U1143" i="2"/>
  <c r="U1143" i="2" a="1"/>
  <c r="T1143" i="2"/>
  <c r="T1143" i="2" a="1"/>
  <c r="S1143" i="2"/>
  <c r="R1143" i="2"/>
  <c r="V1142" i="2"/>
  <c r="U1142" i="2"/>
  <c r="U1142" i="2" a="1"/>
  <c r="T1142" i="2"/>
  <c r="T1142" i="2" a="1"/>
  <c r="S1142" i="2"/>
  <c r="R1142" i="2"/>
  <c r="V1141" i="2"/>
  <c r="U1141" i="2"/>
  <c r="U1141" i="2" a="1"/>
  <c r="T1141" i="2"/>
  <c r="T1141" i="2" a="1"/>
  <c r="S1141" i="2"/>
  <c r="R1141" i="2"/>
  <c r="V1140" i="2"/>
  <c r="U1140" i="2"/>
  <c r="U1140" i="2" a="1"/>
  <c r="T1140" i="2"/>
  <c r="T1140" i="2" a="1"/>
  <c r="S1140" i="2"/>
  <c r="R1140" i="2"/>
  <c r="V1139" i="2"/>
  <c r="U1139" i="2"/>
  <c r="U1139" i="2" a="1"/>
  <c r="T1139" i="2"/>
  <c r="T1139" i="2" a="1"/>
  <c r="S1139" i="2"/>
  <c r="R1139" i="2"/>
  <c r="V1138" i="2"/>
  <c r="U1138" i="2"/>
  <c r="U1138" i="2" a="1"/>
  <c r="T1138" i="2"/>
  <c r="T1138" i="2" a="1"/>
  <c r="S1138" i="2"/>
  <c r="R1138" i="2"/>
  <c r="V1137" i="2"/>
  <c r="U1137" i="2"/>
  <c r="U1137" i="2" a="1"/>
  <c r="T1137" i="2"/>
  <c r="T1137" i="2" a="1"/>
  <c r="S1137" i="2"/>
  <c r="R1137" i="2"/>
  <c r="V1136" i="2"/>
  <c r="U1136" i="2"/>
  <c r="U1136" i="2" a="1"/>
  <c r="T1136" i="2"/>
  <c r="T1136" i="2" a="1"/>
  <c r="S1136" i="2"/>
  <c r="R1136" i="2"/>
  <c r="V1135" i="2"/>
  <c r="U1135" i="2"/>
  <c r="U1135" i="2" a="1"/>
  <c r="T1135" i="2"/>
  <c r="T1135" i="2" a="1"/>
  <c r="S1135" i="2"/>
  <c r="R1135" i="2"/>
  <c r="V1134" i="2"/>
  <c r="U1134" i="2"/>
  <c r="U1134" i="2" a="1"/>
  <c r="T1134" i="2"/>
  <c r="T1134" i="2" a="1"/>
  <c r="S1134" i="2"/>
  <c r="R1134" i="2"/>
  <c r="V1133" i="2"/>
  <c r="U1133" i="2"/>
  <c r="U1133" i="2" a="1"/>
  <c r="T1133" i="2"/>
  <c r="T1133" i="2" a="1"/>
  <c r="S1133" i="2"/>
  <c r="R1133" i="2"/>
  <c r="V1132" i="2"/>
  <c r="U1132" i="2"/>
  <c r="U1132" i="2" a="1"/>
  <c r="T1132" i="2"/>
  <c r="T1132" i="2" a="1"/>
  <c r="S1132" i="2"/>
  <c r="R1132" i="2"/>
  <c r="V1131" i="2"/>
  <c r="U1131" i="2"/>
  <c r="U1131" i="2" a="1"/>
  <c r="T1131" i="2"/>
  <c r="T1131" i="2" a="1"/>
  <c r="S1131" i="2"/>
  <c r="R1131" i="2"/>
  <c r="V1130" i="2"/>
  <c r="U1130" i="2"/>
  <c r="U1130" i="2" a="1"/>
  <c r="T1130" i="2"/>
  <c r="T1130" i="2" a="1"/>
  <c r="S1130" i="2"/>
  <c r="R1130" i="2"/>
  <c r="V1129" i="2"/>
  <c r="U1129" i="2"/>
  <c r="U1129" i="2" a="1"/>
  <c r="T1129" i="2"/>
  <c r="T1129" i="2" a="1"/>
  <c r="S1129" i="2"/>
  <c r="R1129" i="2"/>
  <c r="V1128" i="2"/>
  <c r="U1128" i="2"/>
  <c r="U1128" i="2" a="1"/>
  <c r="T1128" i="2"/>
  <c r="T1128" i="2" a="1"/>
  <c r="S1128" i="2"/>
  <c r="R1128" i="2"/>
  <c r="V1127" i="2"/>
  <c r="U1127" i="2"/>
  <c r="U1127" i="2" a="1"/>
  <c r="T1127" i="2"/>
  <c r="T1127" i="2" a="1"/>
  <c r="S1127" i="2"/>
  <c r="R1127" i="2"/>
  <c r="V1126" i="2"/>
  <c r="U1126" i="2"/>
  <c r="U1126" i="2" a="1"/>
  <c r="T1126" i="2"/>
  <c r="T1126" i="2" a="1"/>
  <c r="S1126" i="2"/>
  <c r="R1126" i="2"/>
  <c r="V1125" i="2"/>
  <c r="U1125" i="2"/>
  <c r="U1125" i="2" a="1"/>
  <c r="T1125" i="2"/>
  <c r="T1125" i="2" a="1"/>
  <c r="S1125" i="2"/>
  <c r="R1125" i="2"/>
  <c r="V1124" i="2"/>
  <c r="U1124" i="2"/>
  <c r="U1124" i="2" a="1"/>
  <c r="T1124" i="2"/>
  <c r="T1124" i="2" a="1"/>
  <c r="S1124" i="2"/>
  <c r="R1124" i="2"/>
  <c r="V1123" i="2"/>
  <c r="U1123" i="2"/>
  <c r="U1123" i="2" a="1"/>
  <c r="T1123" i="2"/>
  <c r="T1123" i="2" a="1"/>
  <c r="S1123" i="2"/>
  <c r="R1123" i="2"/>
  <c r="V1122" i="2"/>
  <c r="U1122" i="2"/>
  <c r="U1122" i="2" a="1"/>
  <c r="T1122" i="2"/>
  <c r="T1122" i="2" a="1"/>
  <c r="S1122" i="2"/>
  <c r="R1122" i="2"/>
  <c r="V1121" i="2"/>
  <c r="U1121" i="2"/>
  <c r="U1121" i="2" a="1"/>
  <c r="T1121" i="2"/>
  <c r="T1121" i="2" a="1"/>
  <c r="S1121" i="2"/>
  <c r="R1121" i="2"/>
  <c r="V1120" i="2"/>
  <c r="U1120" i="2"/>
  <c r="U1120" i="2" a="1"/>
  <c r="T1120" i="2"/>
  <c r="T1120" i="2" a="1"/>
  <c r="S1120" i="2"/>
  <c r="R1120" i="2"/>
  <c r="V1119" i="2"/>
  <c r="U1119" i="2"/>
  <c r="U1119" i="2" a="1"/>
  <c r="T1119" i="2"/>
  <c r="T1119" i="2" a="1"/>
  <c r="S1119" i="2"/>
  <c r="R1119" i="2"/>
  <c r="V1118" i="2"/>
  <c r="U1118" i="2"/>
  <c r="U1118" i="2" a="1"/>
  <c r="T1118" i="2"/>
  <c r="T1118" i="2" a="1"/>
  <c r="S1118" i="2"/>
  <c r="R1118" i="2"/>
  <c r="V1117" i="2"/>
  <c r="U1117" i="2"/>
  <c r="U1117" i="2" a="1"/>
  <c r="T1117" i="2"/>
  <c r="T1117" i="2" a="1"/>
  <c r="S1117" i="2"/>
  <c r="R1117" i="2"/>
  <c r="V1116" i="2"/>
  <c r="U1116" i="2"/>
  <c r="U1116" i="2" a="1"/>
  <c r="T1116" i="2"/>
  <c r="T1116" i="2" a="1"/>
  <c r="S1116" i="2"/>
  <c r="R1116" i="2"/>
  <c r="V1115" i="2"/>
  <c r="U1115" i="2"/>
  <c r="U1115" i="2" a="1"/>
  <c r="T1115" i="2"/>
  <c r="T1115" i="2" a="1"/>
  <c r="S1115" i="2"/>
  <c r="R1115" i="2"/>
  <c r="V1114" i="2"/>
  <c r="U1114" i="2"/>
  <c r="U1114" i="2" a="1"/>
  <c r="T1114" i="2"/>
  <c r="T1114" i="2" a="1"/>
  <c r="S1114" i="2"/>
  <c r="R1114" i="2"/>
  <c r="V1113" i="2"/>
  <c r="U1113" i="2"/>
  <c r="U1113" i="2" a="1"/>
  <c r="T1113" i="2"/>
  <c r="T1113" i="2" a="1"/>
  <c r="S1113" i="2"/>
  <c r="R1113" i="2"/>
  <c r="V1112" i="2"/>
  <c r="U1112" i="2"/>
  <c r="U1112" i="2" a="1"/>
  <c r="T1112" i="2"/>
  <c r="T1112" i="2" a="1"/>
  <c r="S1112" i="2"/>
  <c r="R1112" i="2"/>
  <c r="V1111" i="2"/>
  <c r="U1111" i="2"/>
  <c r="U1111" i="2" a="1"/>
  <c r="T1111" i="2"/>
  <c r="T1111" i="2" a="1"/>
  <c r="S1111" i="2"/>
  <c r="R1111" i="2"/>
  <c r="V1110" i="2"/>
  <c r="U1110" i="2"/>
  <c r="U1110" i="2" a="1"/>
  <c r="T1110" i="2"/>
  <c r="T1110" i="2" a="1"/>
  <c r="S1110" i="2"/>
  <c r="R1110" i="2"/>
  <c r="V1109" i="2"/>
  <c r="U1109" i="2"/>
  <c r="U1109" i="2" a="1"/>
  <c r="T1109" i="2"/>
  <c r="T1109" i="2" a="1"/>
  <c r="S1109" i="2"/>
  <c r="R1109" i="2"/>
  <c r="V1108" i="2"/>
  <c r="U1108" i="2"/>
  <c r="U1108" i="2" a="1"/>
  <c r="T1108" i="2"/>
  <c r="T1108" i="2" a="1"/>
  <c r="S1108" i="2"/>
  <c r="R1108" i="2"/>
  <c r="V1107" i="2"/>
  <c r="U1107" i="2"/>
  <c r="U1107" i="2" a="1"/>
  <c r="T1107" i="2"/>
  <c r="T1107" i="2" a="1"/>
  <c r="S1107" i="2"/>
  <c r="R1107" i="2"/>
  <c r="V1106" i="2"/>
  <c r="U1106" i="2"/>
  <c r="U1106" i="2" a="1"/>
  <c r="T1106" i="2"/>
  <c r="T1106" i="2" a="1"/>
  <c r="S1106" i="2"/>
  <c r="R1106" i="2"/>
  <c r="V1105" i="2"/>
  <c r="U1105" i="2"/>
  <c r="U1105" i="2" a="1"/>
  <c r="T1105" i="2"/>
  <c r="T1105" i="2" a="1"/>
  <c r="S1105" i="2"/>
  <c r="R1105" i="2"/>
  <c r="V1104" i="2"/>
  <c r="U1104" i="2"/>
  <c r="U1104" i="2" a="1"/>
  <c r="T1104" i="2"/>
  <c r="T1104" i="2" a="1"/>
  <c r="S1104" i="2"/>
  <c r="R1104" i="2"/>
  <c r="V1103" i="2"/>
  <c r="U1103" i="2"/>
  <c r="U1103" i="2" a="1"/>
  <c r="T1103" i="2"/>
  <c r="T1103" i="2" a="1"/>
  <c r="S1103" i="2"/>
  <c r="R1103" i="2"/>
  <c r="V1102" i="2"/>
  <c r="U1102" i="2"/>
  <c r="U1102" i="2" a="1"/>
  <c r="T1102" i="2"/>
  <c r="T1102" i="2" a="1"/>
  <c r="S1102" i="2"/>
  <c r="R1102" i="2"/>
  <c r="V1101" i="2"/>
  <c r="U1101" i="2"/>
  <c r="U1101" i="2" a="1"/>
  <c r="T1101" i="2"/>
  <c r="T1101" i="2" a="1"/>
  <c r="S1101" i="2"/>
  <c r="R1101" i="2"/>
  <c r="V1100" i="2"/>
  <c r="U1100" i="2"/>
  <c r="U1100" i="2" a="1"/>
  <c r="T1100" i="2"/>
  <c r="T1100" i="2" a="1"/>
  <c r="S1100" i="2"/>
  <c r="R1100" i="2"/>
  <c r="V1099" i="2"/>
  <c r="U1099" i="2"/>
  <c r="U1099" i="2" a="1"/>
  <c r="T1099" i="2"/>
  <c r="T1099" i="2" a="1"/>
  <c r="S1099" i="2"/>
  <c r="R1099" i="2"/>
  <c r="V1098" i="2"/>
  <c r="U1098" i="2"/>
  <c r="U1098" i="2" a="1"/>
  <c r="T1098" i="2"/>
  <c r="T1098" i="2" a="1"/>
  <c r="S1098" i="2"/>
  <c r="R1098" i="2"/>
  <c r="V1097" i="2"/>
  <c r="U1097" i="2"/>
  <c r="U1097" i="2" a="1"/>
  <c r="T1097" i="2"/>
  <c r="T1097" i="2" a="1"/>
  <c r="S1097" i="2"/>
  <c r="R1097" i="2"/>
  <c r="V1096" i="2"/>
  <c r="U1096" i="2"/>
  <c r="U1096" i="2" a="1"/>
  <c r="T1096" i="2"/>
  <c r="T1096" i="2" a="1"/>
  <c r="S1096" i="2"/>
  <c r="R1096" i="2"/>
  <c r="V1095" i="2"/>
  <c r="U1095" i="2"/>
  <c r="U1095" i="2" a="1"/>
  <c r="T1095" i="2"/>
  <c r="T1095" i="2" a="1"/>
  <c r="S1095" i="2"/>
  <c r="R1095" i="2"/>
  <c r="V1094" i="2"/>
  <c r="U1094" i="2"/>
  <c r="U1094" i="2" a="1"/>
  <c r="T1094" i="2"/>
  <c r="T1094" i="2" a="1"/>
  <c r="S1094" i="2"/>
  <c r="R1094" i="2"/>
  <c r="V1093" i="2"/>
  <c r="U1093" i="2"/>
  <c r="U1093" i="2" a="1"/>
  <c r="T1093" i="2"/>
  <c r="T1093" i="2" a="1"/>
  <c r="S1093" i="2"/>
  <c r="R1093" i="2"/>
  <c r="V1092" i="2"/>
  <c r="U1092" i="2"/>
  <c r="U1092" i="2" a="1"/>
  <c r="T1092" i="2"/>
  <c r="T1092" i="2" a="1"/>
  <c r="S1092" i="2"/>
  <c r="R1092" i="2"/>
  <c r="V1091" i="2"/>
  <c r="U1091" i="2"/>
  <c r="U1091" i="2" a="1"/>
  <c r="T1091" i="2"/>
  <c r="T1091" i="2" a="1"/>
  <c r="S1091" i="2"/>
  <c r="R1091" i="2"/>
  <c r="V1090" i="2"/>
  <c r="U1090" i="2"/>
  <c r="U1090" i="2" a="1"/>
  <c r="T1090" i="2"/>
  <c r="T1090" i="2" a="1"/>
  <c r="S1090" i="2"/>
  <c r="R1090" i="2"/>
  <c r="V1089" i="2"/>
  <c r="U1089" i="2"/>
  <c r="U1089" i="2" a="1"/>
  <c r="T1089" i="2"/>
  <c r="T1089" i="2" a="1"/>
  <c r="S1089" i="2"/>
  <c r="R1089" i="2"/>
  <c r="V1088" i="2"/>
  <c r="U1088" i="2"/>
  <c r="U1088" i="2" a="1"/>
  <c r="T1088" i="2"/>
  <c r="T1088" i="2" a="1"/>
  <c r="S1088" i="2"/>
  <c r="R1088" i="2"/>
  <c r="V1087" i="2"/>
  <c r="U1087" i="2"/>
  <c r="U1087" i="2" a="1"/>
  <c r="T1087" i="2"/>
  <c r="T1087" i="2" a="1"/>
  <c r="S1087" i="2"/>
  <c r="R1087" i="2"/>
  <c r="V1086" i="2"/>
  <c r="U1086" i="2"/>
  <c r="U1086" i="2" a="1"/>
  <c r="T1086" i="2"/>
  <c r="T1086" i="2" a="1"/>
  <c r="S1086" i="2"/>
  <c r="R1086" i="2"/>
  <c r="V1085" i="2"/>
  <c r="U1085" i="2"/>
  <c r="U1085" i="2" a="1"/>
  <c r="T1085" i="2"/>
  <c r="T1085" i="2" a="1"/>
  <c r="S1085" i="2"/>
  <c r="R1085" i="2"/>
  <c r="V1084" i="2"/>
  <c r="U1084" i="2"/>
  <c r="U1084" i="2" a="1"/>
  <c r="T1084" i="2"/>
  <c r="T1084" i="2" a="1"/>
  <c r="S1084" i="2"/>
  <c r="R1084" i="2"/>
  <c r="V1083" i="2"/>
  <c r="U1083" i="2"/>
  <c r="U1083" i="2" a="1"/>
  <c r="T1083" i="2"/>
  <c r="T1083" i="2" a="1"/>
  <c r="S1083" i="2"/>
  <c r="R1083" i="2"/>
  <c r="V1082" i="2"/>
  <c r="U1082" i="2"/>
  <c r="U1082" i="2" a="1"/>
  <c r="T1082" i="2"/>
  <c r="T1082" i="2" a="1"/>
  <c r="S1082" i="2"/>
  <c r="R1082" i="2"/>
  <c r="V1081" i="2"/>
  <c r="U1081" i="2"/>
  <c r="U1081" i="2" a="1"/>
  <c r="T1081" i="2"/>
  <c r="T1081" i="2" a="1"/>
  <c r="S1081" i="2"/>
  <c r="R1081" i="2"/>
  <c r="V1080" i="2"/>
  <c r="U1080" i="2"/>
  <c r="U1080" i="2" a="1"/>
  <c r="T1080" i="2"/>
  <c r="T1080" i="2" a="1"/>
  <c r="S1080" i="2"/>
  <c r="R1080" i="2"/>
  <c r="V1079" i="2"/>
  <c r="U1079" i="2"/>
  <c r="U1079" i="2" a="1"/>
  <c r="T1079" i="2"/>
  <c r="T1079" i="2" a="1"/>
  <c r="S1079" i="2"/>
  <c r="R1079" i="2"/>
  <c r="V1078" i="2"/>
  <c r="U1078" i="2"/>
  <c r="U1078" i="2" a="1"/>
  <c r="T1078" i="2"/>
  <c r="T1078" i="2" a="1"/>
  <c r="S1078" i="2"/>
  <c r="R1078" i="2"/>
  <c r="V1077" i="2"/>
  <c r="U1077" i="2"/>
  <c r="U1077" i="2" a="1"/>
  <c r="T1077" i="2"/>
  <c r="T1077" i="2" a="1"/>
  <c r="S1077" i="2"/>
  <c r="R1077" i="2"/>
  <c r="V1076" i="2"/>
  <c r="U1076" i="2"/>
  <c r="U1076" i="2" a="1"/>
  <c r="T1076" i="2"/>
  <c r="T1076" i="2" a="1"/>
  <c r="S1076" i="2"/>
  <c r="R1076" i="2"/>
  <c r="V1075" i="2"/>
  <c r="U1075" i="2"/>
  <c r="U1075" i="2" a="1"/>
  <c r="T1075" i="2"/>
  <c r="T1075" i="2" a="1"/>
  <c r="S1075" i="2"/>
  <c r="R1075" i="2"/>
  <c r="V1074" i="2"/>
  <c r="U1074" i="2"/>
  <c r="U1074" i="2" a="1"/>
  <c r="T1074" i="2"/>
  <c r="T1074" i="2" a="1"/>
  <c r="S1074" i="2"/>
  <c r="R1074" i="2"/>
  <c r="V1073" i="2"/>
  <c r="U1073" i="2"/>
  <c r="U1073" i="2" a="1"/>
  <c r="T1073" i="2"/>
  <c r="T1073" i="2" a="1"/>
  <c r="S1073" i="2"/>
  <c r="R1073" i="2"/>
  <c r="V1072" i="2"/>
  <c r="U1072" i="2"/>
  <c r="U1072" i="2" a="1"/>
  <c r="T1072" i="2"/>
  <c r="T1072" i="2" a="1"/>
  <c r="S1072" i="2"/>
  <c r="R1072" i="2"/>
  <c r="V1071" i="2"/>
  <c r="U1071" i="2"/>
  <c r="U1071" i="2" a="1"/>
  <c r="T1071" i="2"/>
  <c r="T1071" i="2" a="1"/>
  <c r="S1071" i="2"/>
  <c r="R1071" i="2"/>
  <c r="V1070" i="2"/>
  <c r="U1070" i="2"/>
  <c r="U1070" i="2" a="1"/>
  <c r="T1070" i="2"/>
  <c r="T1070" i="2" a="1"/>
  <c r="S1070" i="2"/>
  <c r="R1070" i="2"/>
  <c r="V1069" i="2"/>
  <c r="U1069" i="2"/>
  <c r="U1069" i="2" a="1"/>
  <c r="T1069" i="2"/>
  <c r="T1069" i="2" a="1"/>
  <c r="S1069" i="2"/>
  <c r="R1069" i="2"/>
  <c r="V1068" i="2"/>
  <c r="U1068" i="2"/>
  <c r="U1068" i="2" a="1"/>
  <c r="T1068" i="2"/>
  <c r="T1068" i="2" a="1"/>
  <c r="S1068" i="2"/>
  <c r="R1068" i="2"/>
  <c r="V1067" i="2"/>
  <c r="U1067" i="2"/>
  <c r="U1067" i="2" a="1"/>
  <c r="T1067" i="2"/>
  <c r="T1067" i="2" a="1"/>
  <c r="S1067" i="2"/>
  <c r="R1067" i="2"/>
  <c r="V1066" i="2"/>
  <c r="U1066" i="2"/>
  <c r="U1066" i="2" a="1"/>
  <c r="T1066" i="2"/>
  <c r="T1066" i="2" a="1"/>
  <c r="S1066" i="2"/>
  <c r="R1066" i="2"/>
  <c r="V1065" i="2"/>
  <c r="U1065" i="2"/>
  <c r="U1065" i="2" a="1"/>
  <c r="T1065" i="2"/>
  <c r="T1065" i="2" a="1"/>
  <c r="S1065" i="2"/>
  <c r="R1065" i="2"/>
  <c r="V1064" i="2"/>
  <c r="U1064" i="2"/>
  <c r="U1064" i="2" a="1"/>
  <c r="T1064" i="2"/>
  <c r="T1064" i="2" a="1"/>
  <c r="S1064" i="2"/>
  <c r="R1064" i="2"/>
  <c r="V1063" i="2"/>
  <c r="U1063" i="2"/>
  <c r="U1063" i="2" a="1"/>
  <c r="T1063" i="2"/>
  <c r="T1063" i="2" a="1"/>
  <c r="S1063" i="2"/>
  <c r="R1063" i="2"/>
  <c r="V1062" i="2"/>
  <c r="U1062" i="2"/>
  <c r="U1062" i="2" a="1"/>
  <c r="T1062" i="2"/>
  <c r="T1062" i="2" a="1"/>
  <c r="S1062" i="2"/>
  <c r="R1062" i="2"/>
  <c r="V1061" i="2"/>
  <c r="U1061" i="2"/>
  <c r="U1061" i="2" a="1"/>
  <c r="T1061" i="2"/>
  <c r="T1061" i="2" a="1"/>
  <c r="S1061" i="2"/>
  <c r="R1061" i="2"/>
  <c r="V1060" i="2"/>
  <c r="U1060" i="2"/>
  <c r="U1060" i="2" a="1"/>
  <c r="T1060" i="2"/>
  <c r="T1060" i="2" a="1"/>
  <c r="S1060" i="2"/>
  <c r="R1060" i="2"/>
  <c r="V1059" i="2"/>
  <c r="U1059" i="2"/>
  <c r="U1059" i="2" a="1"/>
  <c r="T1059" i="2"/>
  <c r="T1059" i="2" a="1"/>
  <c r="S1059" i="2"/>
  <c r="R1059" i="2"/>
  <c r="V1058" i="2"/>
  <c r="U1058" i="2"/>
  <c r="U1058" i="2" a="1"/>
  <c r="T1058" i="2"/>
  <c r="T1058" i="2" a="1"/>
  <c r="S1058" i="2"/>
  <c r="R1058" i="2"/>
  <c r="V1057" i="2"/>
  <c r="U1057" i="2"/>
  <c r="U1057" i="2" a="1"/>
  <c r="T1057" i="2"/>
  <c r="T1057" i="2" a="1"/>
  <c r="S1057" i="2"/>
  <c r="R1057" i="2"/>
  <c r="V1056" i="2"/>
  <c r="U1056" i="2"/>
  <c r="U1056" i="2" a="1"/>
  <c r="T1056" i="2"/>
  <c r="T1056" i="2" a="1"/>
  <c r="S1056" i="2"/>
  <c r="R1056" i="2"/>
  <c r="V1055" i="2"/>
  <c r="U1055" i="2"/>
  <c r="U1055" i="2" a="1"/>
  <c r="T1055" i="2"/>
  <c r="T1055" i="2" a="1"/>
  <c r="S1055" i="2"/>
  <c r="R1055" i="2"/>
  <c r="V1054" i="2"/>
  <c r="U1054" i="2"/>
  <c r="U1054" i="2" a="1"/>
  <c r="T1054" i="2"/>
  <c r="T1054" i="2" a="1"/>
  <c r="S1054" i="2"/>
  <c r="R1054" i="2"/>
  <c r="V1053" i="2"/>
  <c r="U1053" i="2"/>
  <c r="U1053" i="2" a="1"/>
  <c r="T1053" i="2"/>
  <c r="T1053" i="2" a="1"/>
  <c r="S1053" i="2"/>
  <c r="R1053" i="2"/>
  <c r="V1052" i="2"/>
  <c r="U1052" i="2"/>
  <c r="U1052" i="2" a="1"/>
  <c r="T1052" i="2"/>
  <c r="T1052" i="2" a="1"/>
  <c r="S1052" i="2"/>
  <c r="R1052" i="2"/>
  <c r="V1051" i="2"/>
  <c r="U1051" i="2"/>
  <c r="U1051" i="2" a="1"/>
  <c r="T1051" i="2"/>
  <c r="T1051" i="2" a="1"/>
  <c r="S1051" i="2"/>
  <c r="R1051" i="2"/>
  <c r="V1050" i="2"/>
  <c r="U1050" i="2"/>
  <c r="U1050" i="2" a="1"/>
  <c r="T1050" i="2"/>
  <c r="T1050" i="2" a="1"/>
  <c r="S1050" i="2"/>
  <c r="R1050" i="2"/>
  <c r="V1049" i="2"/>
  <c r="U1049" i="2"/>
  <c r="U1049" i="2" a="1"/>
  <c r="T1049" i="2"/>
  <c r="T1049" i="2" a="1"/>
  <c r="S1049" i="2"/>
  <c r="R1049" i="2"/>
  <c r="V1048" i="2"/>
  <c r="U1048" i="2"/>
  <c r="U1048" i="2" a="1"/>
  <c r="T1048" i="2"/>
  <c r="T1048" i="2" a="1"/>
  <c r="S1048" i="2"/>
  <c r="R1048" i="2"/>
  <c r="V1047" i="2"/>
  <c r="U1047" i="2"/>
  <c r="U1047" i="2" a="1"/>
  <c r="T1047" i="2"/>
  <c r="T1047" i="2" a="1"/>
  <c r="S1047" i="2"/>
  <c r="R1047" i="2"/>
  <c r="V1046" i="2"/>
  <c r="U1046" i="2"/>
  <c r="U1046" i="2" a="1"/>
  <c r="T1046" i="2"/>
  <c r="T1046" i="2" a="1"/>
  <c r="S1046" i="2"/>
  <c r="R1046" i="2"/>
  <c r="V1045" i="2"/>
  <c r="U1045" i="2"/>
  <c r="U1045" i="2" a="1"/>
  <c r="T1045" i="2"/>
  <c r="T1045" i="2" a="1"/>
  <c r="S1045" i="2"/>
  <c r="R1045" i="2"/>
  <c r="V1044" i="2"/>
  <c r="U1044" i="2"/>
  <c r="U1044" i="2" a="1"/>
  <c r="T1044" i="2"/>
  <c r="T1044" i="2" a="1"/>
  <c r="S1044" i="2"/>
  <c r="R1044" i="2"/>
  <c r="V1043" i="2"/>
  <c r="U1043" i="2"/>
  <c r="U1043" i="2" a="1"/>
  <c r="T1043" i="2"/>
  <c r="T1043" i="2" a="1"/>
  <c r="S1043" i="2"/>
  <c r="R1043" i="2"/>
  <c r="V1042" i="2"/>
  <c r="U1042" i="2"/>
  <c r="U1042" i="2" a="1"/>
  <c r="T1042" i="2"/>
  <c r="T1042" i="2" a="1"/>
  <c r="S1042" i="2"/>
  <c r="R1042" i="2"/>
  <c r="V1041" i="2"/>
  <c r="U1041" i="2"/>
  <c r="U1041" i="2" a="1"/>
  <c r="T1041" i="2"/>
  <c r="T1041" i="2" a="1"/>
  <c r="S1041" i="2"/>
  <c r="R1041" i="2"/>
  <c r="V1040" i="2"/>
  <c r="U1040" i="2"/>
  <c r="U1040" i="2" a="1"/>
  <c r="T1040" i="2"/>
  <c r="T1040" i="2" a="1"/>
  <c r="S1040" i="2"/>
  <c r="R1040" i="2"/>
  <c r="V1039" i="2"/>
  <c r="U1039" i="2"/>
  <c r="U1039" i="2" a="1"/>
  <c r="T1039" i="2"/>
  <c r="T1039" i="2" a="1"/>
  <c r="S1039" i="2"/>
  <c r="R1039" i="2"/>
  <c r="V1038" i="2"/>
  <c r="U1038" i="2"/>
  <c r="U1038" i="2" a="1"/>
  <c r="T1038" i="2"/>
  <c r="T1038" i="2" a="1"/>
  <c r="S1038" i="2"/>
  <c r="R1038" i="2"/>
  <c r="V1037" i="2"/>
  <c r="U1037" i="2"/>
  <c r="U1037" i="2" a="1"/>
  <c r="T1037" i="2"/>
  <c r="T1037" i="2" a="1"/>
  <c r="S1037" i="2"/>
  <c r="R1037" i="2"/>
  <c r="V1036" i="2"/>
  <c r="U1036" i="2"/>
  <c r="U1036" i="2" a="1"/>
  <c r="T1036" i="2"/>
  <c r="T1036" i="2" a="1"/>
  <c r="S1036" i="2"/>
  <c r="R1036" i="2"/>
  <c r="V1035" i="2"/>
  <c r="U1035" i="2"/>
  <c r="U1035" i="2" a="1"/>
  <c r="T1035" i="2"/>
  <c r="T1035" i="2" a="1"/>
  <c r="S1035" i="2"/>
  <c r="R1035" i="2"/>
  <c r="V1034" i="2"/>
  <c r="U1034" i="2"/>
  <c r="U1034" i="2" a="1"/>
  <c r="T1034" i="2"/>
  <c r="T1034" i="2" a="1"/>
  <c r="S1034" i="2"/>
  <c r="R1034" i="2"/>
  <c r="V1033" i="2"/>
  <c r="U1033" i="2"/>
  <c r="U1033" i="2" a="1"/>
  <c r="T1033" i="2"/>
  <c r="T1033" i="2" a="1"/>
  <c r="S1033" i="2"/>
  <c r="R1033" i="2"/>
  <c r="V1032" i="2"/>
  <c r="U1032" i="2"/>
  <c r="U1032" i="2" a="1"/>
  <c r="T1032" i="2"/>
  <c r="T1032" i="2" a="1"/>
  <c r="S1032" i="2"/>
  <c r="R1032" i="2"/>
  <c r="V1031" i="2"/>
  <c r="U1031" i="2"/>
  <c r="U1031" i="2" a="1"/>
  <c r="T1031" i="2"/>
  <c r="T1031" i="2" a="1"/>
  <c r="S1031" i="2"/>
  <c r="R1031" i="2"/>
  <c r="V1030" i="2"/>
  <c r="U1030" i="2"/>
  <c r="U1030" i="2" a="1"/>
  <c r="T1030" i="2"/>
  <c r="T1030" i="2" a="1"/>
  <c r="S1030" i="2"/>
  <c r="R1030" i="2"/>
  <c r="V1029" i="2"/>
  <c r="U1029" i="2"/>
  <c r="U1029" i="2" a="1"/>
  <c r="T1029" i="2"/>
  <c r="T1029" i="2" a="1"/>
  <c r="S1029" i="2"/>
  <c r="R1029" i="2"/>
  <c r="V1028" i="2"/>
  <c r="U1028" i="2"/>
  <c r="U1028" i="2" a="1"/>
  <c r="T1028" i="2"/>
  <c r="T1028" i="2" a="1"/>
  <c r="S1028" i="2"/>
  <c r="R1028" i="2"/>
  <c r="V1027" i="2"/>
  <c r="U1027" i="2"/>
  <c r="U1027" i="2" a="1"/>
  <c r="T1027" i="2"/>
  <c r="T1027" i="2" a="1"/>
  <c r="S1027" i="2"/>
  <c r="R1027" i="2"/>
  <c r="V1026" i="2"/>
  <c r="U1026" i="2"/>
  <c r="U1026" i="2" a="1"/>
  <c r="T1026" i="2"/>
  <c r="T1026" i="2" a="1"/>
  <c r="S1026" i="2"/>
  <c r="R1026" i="2"/>
  <c r="V1025" i="2"/>
  <c r="U1025" i="2"/>
  <c r="U1025" i="2" a="1"/>
  <c r="T1025" i="2"/>
  <c r="T1025" i="2" a="1"/>
  <c r="S1025" i="2"/>
  <c r="R1025" i="2"/>
  <c r="V1024" i="2"/>
  <c r="U1024" i="2"/>
  <c r="U1024" i="2" a="1"/>
  <c r="T1024" i="2"/>
  <c r="T1024" i="2" a="1"/>
  <c r="S1024" i="2"/>
  <c r="R1024" i="2"/>
  <c r="V1023" i="2"/>
  <c r="U1023" i="2"/>
  <c r="U1023" i="2" a="1"/>
  <c r="T1023" i="2"/>
  <c r="T1023" i="2" a="1"/>
  <c r="S1023" i="2"/>
  <c r="R1023" i="2"/>
  <c r="V1022" i="2"/>
  <c r="U1022" i="2"/>
  <c r="U1022" i="2" a="1"/>
  <c r="T1022" i="2"/>
  <c r="T1022" i="2" a="1"/>
  <c r="S1022" i="2"/>
  <c r="R1022" i="2"/>
  <c r="V1021" i="2"/>
  <c r="U1021" i="2"/>
  <c r="U1021" i="2" a="1"/>
  <c r="T1021" i="2"/>
  <c r="T1021" i="2" a="1"/>
  <c r="S1021" i="2"/>
  <c r="R1021" i="2"/>
  <c r="V1020" i="2"/>
  <c r="U1020" i="2"/>
  <c r="U1020" i="2" a="1"/>
  <c r="T1020" i="2"/>
  <c r="T1020" i="2" a="1"/>
  <c r="S1020" i="2"/>
  <c r="R1020" i="2"/>
  <c r="V1019" i="2"/>
  <c r="U1019" i="2"/>
  <c r="U1019" i="2" a="1"/>
  <c r="T1019" i="2"/>
  <c r="T1019" i="2" a="1"/>
  <c r="S1019" i="2"/>
  <c r="R1019" i="2"/>
  <c r="V1018" i="2"/>
  <c r="U1018" i="2"/>
  <c r="U1018" i="2" a="1"/>
  <c r="T1018" i="2"/>
  <c r="T1018" i="2" a="1"/>
  <c r="S1018" i="2"/>
  <c r="R1018" i="2"/>
  <c r="V1017" i="2"/>
  <c r="U1017" i="2"/>
  <c r="U1017" i="2" a="1"/>
  <c r="T1017" i="2"/>
  <c r="T1017" i="2" a="1"/>
  <c r="S1017" i="2"/>
  <c r="R1017" i="2"/>
  <c r="V1016" i="2"/>
  <c r="U1016" i="2"/>
  <c r="U1016" i="2" a="1"/>
  <c r="T1016" i="2"/>
  <c r="T1016" i="2" a="1"/>
  <c r="S1016" i="2"/>
  <c r="R1016" i="2"/>
  <c r="V1015" i="2"/>
  <c r="U1015" i="2"/>
  <c r="U1015" i="2" a="1"/>
  <c r="T1015" i="2"/>
  <c r="T1015" i="2" a="1"/>
  <c r="S1015" i="2"/>
  <c r="R1015" i="2"/>
  <c r="V1014" i="2"/>
  <c r="U1014" i="2"/>
  <c r="U1014" i="2" a="1"/>
  <c r="T1014" i="2"/>
  <c r="T1014" i="2" a="1"/>
  <c r="S1014" i="2"/>
  <c r="R1014" i="2"/>
  <c r="V1013" i="2"/>
  <c r="U1013" i="2"/>
  <c r="U1013" i="2" a="1"/>
  <c r="T1013" i="2"/>
  <c r="T1013" i="2" a="1"/>
  <c r="S1013" i="2"/>
  <c r="R1013" i="2"/>
  <c r="V1012" i="2"/>
  <c r="U1012" i="2"/>
  <c r="U1012" i="2" a="1"/>
  <c r="T1012" i="2"/>
  <c r="T1012" i="2" a="1"/>
  <c r="S1012" i="2"/>
  <c r="R1012" i="2"/>
  <c r="V1011" i="2"/>
  <c r="U1011" i="2"/>
  <c r="U1011" i="2" a="1"/>
  <c r="T1011" i="2"/>
  <c r="T1011" i="2" a="1"/>
  <c r="S1011" i="2"/>
  <c r="R1011" i="2"/>
  <c r="V1010" i="2"/>
  <c r="U1010" i="2"/>
  <c r="U1010" i="2" a="1"/>
  <c r="T1010" i="2"/>
  <c r="T1010" i="2" a="1"/>
  <c r="S1010" i="2"/>
  <c r="R1010" i="2"/>
  <c r="V1009" i="2"/>
  <c r="U1009" i="2"/>
  <c r="U1009" i="2" a="1"/>
  <c r="T1009" i="2"/>
  <c r="T1009" i="2" a="1"/>
  <c r="S1009" i="2"/>
  <c r="R1009" i="2"/>
  <c r="V1008" i="2"/>
  <c r="U1008" i="2"/>
  <c r="U1008" i="2" a="1"/>
  <c r="T1008" i="2"/>
  <c r="T1008" i="2" a="1"/>
  <c r="S1008" i="2"/>
  <c r="R1008" i="2"/>
  <c r="V1007" i="2"/>
  <c r="U1007" i="2"/>
  <c r="U1007" i="2" a="1"/>
  <c r="T1007" i="2"/>
  <c r="T1007" i="2" a="1"/>
  <c r="S1007" i="2"/>
  <c r="R1007" i="2"/>
  <c r="V1006" i="2"/>
  <c r="U1006" i="2"/>
  <c r="U1006" i="2" a="1"/>
  <c r="T1006" i="2"/>
  <c r="T1006" i="2" a="1"/>
  <c r="S1006" i="2"/>
  <c r="R1006" i="2"/>
  <c r="V1005" i="2"/>
  <c r="U1005" i="2"/>
  <c r="U1005" i="2" a="1"/>
  <c r="T1005" i="2"/>
  <c r="T1005" i="2" a="1"/>
  <c r="S1005" i="2"/>
  <c r="R1005" i="2"/>
  <c r="V1004" i="2"/>
  <c r="U1004" i="2"/>
  <c r="U1004" i="2" a="1"/>
  <c r="T1004" i="2"/>
  <c r="T1004" i="2" a="1"/>
  <c r="S1004" i="2"/>
  <c r="R1004" i="2"/>
  <c r="V1003" i="2"/>
  <c r="U1003" i="2"/>
  <c r="U1003" i="2" a="1"/>
  <c r="T1003" i="2"/>
  <c r="T1003" i="2" a="1"/>
  <c r="S1003" i="2"/>
  <c r="R1003" i="2"/>
  <c r="V1002" i="2"/>
  <c r="U1002" i="2"/>
  <c r="U1002" i="2" a="1"/>
  <c r="T1002" i="2"/>
  <c r="T1002" i="2" a="1"/>
  <c r="S1002" i="2"/>
  <c r="R1002" i="2"/>
  <c r="V1001" i="2"/>
  <c r="U1001" i="2"/>
  <c r="U1001" i="2" a="1"/>
  <c r="T1001" i="2"/>
  <c r="T1001" i="2" a="1"/>
  <c r="S1001" i="2"/>
  <c r="R1001" i="2"/>
  <c r="V1000" i="2"/>
  <c r="U1000" i="2"/>
  <c r="U1000" i="2" a="1"/>
  <c r="T1000" i="2"/>
  <c r="T1000" i="2" a="1"/>
  <c r="S1000" i="2"/>
  <c r="R1000" i="2"/>
  <c r="V999" i="2"/>
  <c r="U999" i="2"/>
  <c r="U999" i="2" a="1"/>
  <c r="T999" i="2"/>
  <c r="T999" i="2" a="1"/>
  <c r="S999" i="2"/>
  <c r="R999" i="2"/>
  <c r="V998" i="2"/>
  <c r="U998" i="2"/>
  <c r="U998" i="2" a="1"/>
  <c r="T998" i="2"/>
  <c r="T998" i="2" a="1"/>
  <c r="S998" i="2"/>
  <c r="R998" i="2"/>
  <c r="V997" i="2"/>
  <c r="U997" i="2"/>
  <c r="U997" i="2" a="1"/>
  <c r="T997" i="2"/>
  <c r="T997" i="2" a="1"/>
  <c r="S997" i="2"/>
  <c r="R997" i="2"/>
  <c r="V996" i="2"/>
  <c r="U996" i="2"/>
  <c r="U996" i="2" a="1"/>
  <c r="T996" i="2"/>
  <c r="T996" i="2" a="1"/>
  <c r="S996" i="2"/>
  <c r="R996" i="2"/>
  <c r="V995" i="2"/>
  <c r="U995" i="2"/>
  <c r="U995" i="2" a="1"/>
  <c r="T995" i="2"/>
  <c r="T995" i="2" a="1"/>
  <c r="S995" i="2"/>
  <c r="R995" i="2"/>
  <c r="V994" i="2"/>
  <c r="U994" i="2"/>
  <c r="U994" i="2" a="1"/>
  <c r="T994" i="2"/>
  <c r="T994" i="2" a="1"/>
  <c r="S994" i="2"/>
  <c r="R994" i="2"/>
  <c r="V993" i="2"/>
  <c r="U993" i="2"/>
  <c r="U993" i="2" a="1"/>
  <c r="T993" i="2"/>
  <c r="T993" i="2" a="1"/>
  <c r="S993" i="2"/>
  <c r="R993" i="2"/>
  <c r="V992" i="2"/>
  <c r="U992" i="2"/>
  <c r="U992" i="2" a="1"/>
  <c r="T992" i="2"/>
  <c r="T992" i="2" a="1"/>
  <c r="S992" i="2"/>
  <c r="R992" i="2"/>
  <c r="V991" i="2"/>
  <c r="U991" i="2"/>
  <c r="U991" i="2" a="1"/>
  <c r="T991" i="2"/>
  <c r="T991" i="2" a="1"/>
  <c r="S991" i="2"/>
  <c r="R991" i="2"/>
  <c r="V990" i="2"/>
  <c r="U990" i="2"/>
  <c r="U990" i="2" a="1"/>
  <c r="T990" i="2"/>
  <c r="T990" i="2" a="1"/>
  <c r="S990" i="2"/>
  <c r="R990" i="2"/>
  <c r="V989" i="2"/>
  <c r="U989" i="2"/>
  <c r="U989" i="2" a="1"/>
  <c r="T989" i="2"/>
  <c r="T989" i="2" a="1"/>
  <c r="S989" i="2"/>
  <c r="R989" i="2"/>
  <c r="V988" i="2"/>
  <c r="U988" i="2"/>
  <c r="U988" i="2" a="1"/>
  <c r="T988" i="2"/>
  <c r="T988" i="2" a="1"/>
  <c r="S988" i="2"/>
  <c r="R988" i="2"/>
  <c r="V987" i="2"/>
  <c r="U987" i="2"/>
  <c r="U987" i="2" a="1"/>
  <c r="T987" i="2"/>
  <c r="T987" i="2" a="1"/>
  <c r="S987" i="2"/>
  <c r="R987" i="2"/>
  <c r="V986" i="2"/>
  <c r="U986" i="2"/>
  <c r="U986" i="2" a="1"/>
  <c r="T986" i="2"/>
  <c r="T986" i="2" a="1"/>
  <c r="S986" i="2"/>
  <c r="R986" i="2"/>
  <c r="V985" i="2"/>
  <c r="U985" i="2"/>
  <c r="U985" i="2" a="1"/>
  <c r="T985" i="2"/>
  <c r="T985" i="2" a="1"/>
  <c r="S985" i="2"/>
  <c r="R985" i="2"/>
  <c r="V984" i="2"/>
  <c r="U984" i="2"/>
  <c r="U984" i="2" a="1"/>
  <c r="T984" i="2"/>
  <c r="T984" i="2" a="1"/>
  <c r="S984" i="2"/>
  <c r="R984" i="2"/>
  <c r="V983" i="2"/>
  <c r="U983" i="2"/>
  <c r="U983" i="2" a="1"/>
  <c r="T983" i="2"/>
  <c r="T983" i="2" a="1"/>
  <c r="S983" i="2"/>
  <c r="R983" i="2"/>
  <c r="V982" i="2"/>
  <c r="U982" i="2"/>
  <c r="U982" i="2" a="1"/>
  <c r="T982" i="2"/>
  <c r="T982" i="2" a="1"/>
  <c r="S982" i="2"/>
  <c r="R982" i="2"/>
  <c r="V981" i="2"/>
  <c r="U981" i="2"/>
  <c r="U981" i="2" a="1"/>
  <c r="T981" i="2"/>
  <c r="T981" i="2" a="1"/>
  <c r="S981" i="2"/>
  <c r="R981" i="2"/>
  <c r="V980" i="2"/>
  <c r="U980" i="2"/>
  <c r="U980" i="2" a="1"/>
  <c r="T980" i="2"/>
  <c r="T980" i="2" a="1"/>
  <c r="S980" i="2"/>
  <c r="R980" i="2"/>
  <c r="V979" i="2"/>
  <c r="U979" i="2"/>
  <c r="U979" i="2" a="1"/>
  <c r="T979" i="2"/>
  <c r="T979" i="2" a="1"/>
  <c r="S979" i="2"/>
  <c r="R979" i="2"/>
  <c r="V978" i="2"/>
  <c r="U978" i="2"/>
  <c r="U978" i="2" a="1"/>
  <c r="T978" i="2"/>
  <c r="T978" i="2" a="1"/>
  <c r="S978" i="2"/>
  <c r="R978" i="2"/>
  <c r="V977" i="2"/>
  <c r="U977" i="2"/>
  <c r="U977" i="2" a="1"/>
  <c r="T977" i="2"/>
  <c r="T977" i="2" a="1"/>
  <c r="S977" i="2"/>
  <c r="R977" i="2"/>
  <c r="V976" i="2"/>
  <c r="U976" i="2"/>
  <c r="U976" i="2" a="1"/>
  <c r="T976" i="2"/>
  <c r="T976" i="2" a="1"/>
  <c r="S976" i="2"/>
  <c r="R976" i="2"/>
  <c r="V975" i="2"/>
  <c r="U975" i="2"/>
  <c r="U975" i="2" a="1"/>
  <c r="T975" i="2"/>
  <c r="T975" i="2" a="1"/>
  <c r="S975" i="2"/>
  <c r="R975" i="2"/>
  <c r="V974" i="2"/>
  <c r="U974" i="2"/>
  <c r="U974" i="2" a="1"/>
  <c r="T974" i="2"/>
  <c r="T974" i="2" a="1"/>
  <c r="S974" i="2"/>
  <c r="R974" i="2"/>
  <c r="V973" i="2"/>
  <c r="U973" i="2"/>
  <c r="U973" i="2" a="1"/>
  <c r="T973" i="2"/>
  <c r="T973" i="2" a="1"/>
  <c r="S973" i="2"/>
  <c r="R973" i="2"/>
  <c r="V972" i="2"/>
  <c r="U972" i="2"/>
  <c r="U972" i="2" a="1"/>
  <c r="T972" i="2"/>
  <c r="T972" i="2" a="1"/>
  <c r="S972" i="2"/>
  <c r="R972" i="2"/>
  <c r="V971" i="2"/>
  <c r="U971" i="2"/>
  <c r="U971" i="2" a="1"/>
  <c r="T971" i="2"/>
  <c r="T971" i="2" a="1"/>
  <c r="S971" i="2"/>
  <c r="R971" i="2"/>
  <c r="V970" i="2"/>
  <c r="U970" i="2"/>
  <c r="U970" i="2" a="1"/>
  <c r="T970" i="2"/>
  <c r="T970" i="2" a="1"/>
  <c r="S970" i="2"/>
  <c r="R970" i="2"/>
  <c r="V969" i="2"/>
  <c r="U969" i="2"/>
  <c r="U969" i="2" a="1"/>
  <c r="T969" i="2"/>
  <c r="T969" i="2" a="1"/>
  <c r="S969" i="2"/>
  <c r="R969" i="2"/>
  <c r="V968" i="2"/>
  <c r="U968" i="2"/>
  <c r="U968" i="2" a="1"/>
  <c r="T968" i="2"/>
  <c r="T968" i="2" a="1"/>
  <c r="S968" i="2"/>
  <c r="R968" i="2"/>
  <c r="V967" i="2"/>
  <c r="U967" i="2"/>
  <c r="U967" i="2" a="1"/>
  <c r="T967" i="2"/>
  <c r="T967" i="2" a="1"/>
  <c r="S967" i="2"/>
  <c r="R967" i="2"/>
  <c r="V966" i="2"/>
  <c r="U966" i="2"/>
  <c r="U966" i="2" a="1"/>
  <c r="T966" i="2"/>
  <c r="T966" i="2" a="1"/>
  <c r="S966" i="2"/>
  <c r="R966" i="2"/>
  <c r="V965" i="2"/>
  <c r="U965" i="2"/>
  <c r="U965" i="2" a="1"/>
  <c r="T965" i="2"/>
  <c r="T965" i="2" a="1"/>
  <c r="S965" i="2"/>
  <c r="R965" i="2"/>
  <c r="V964" i="2"/>
  <c r="U964" i="2"/>
  <c r="U964" i="2" a="1"/>
  <c r="T964" i="2"/>
  <c r="T964" i="2" a="1"/>
  <c r="S964" i="2"/>
  <c r="R964" i="2"/>
  <c r="V963" i="2"/>
  <c r="U963" i="2"/>
  <c r="U963" i="2" a="1"/>
  <c r="T963" i="2"/>
  <c r="T963" i="2" a="1"/>
  <c r="S963" i="2"/>
  <c r="R963" i="2"/>
  <c r="V962" i="2"/>
  <c r="U962" i="2"/>
  <c r="U962" i="2" a="1"/>
  <c r="T962" i="2"/>
  <c r="T962" i="2" a="1"/>
  <c r="S962" i="2"/>
  <c r="R962" i="2"/>
  <c r="V961" i="2"/>
  <c r="U961" i="2"/>
  <c r="U961" i="2" a="1"/>
  <c r="T961" i="2"/>
  <c r="T961" i="2" a="1"/>
  <c r="S961" i="2"/>
  <c r="R961" i="2"/>
  <c r="V960" i="2"/>
  <c r="U960" i="2"/>
  <c r="U960" i="2" a="1"/>
  <c r="T960" i="2"/>
  <c r="T960" i="2" a="1"/>
  <c r="S960" i="2"/>
  <c r="R960" i="2"/>
  <c r="V959" i="2"/>
  <c r="U959" i="2"/>
  <c r="U959" i="2" a="1"/>
  <c r="T959" i="2"/>
  <c r="T959" i="2" a="1"/>
  <c r="S959" i="2"/>
  <c r="R959" i="2"/>
  <c r="V958" i="2"/>
  <c r="U958" i="2"/>
  <c r="U958" i="2" a="1"/>
  <c r="T958" i="2"/>
  <c r="T958" i="2" a="1"/>
  <c r="S958" i="2"/>
  <c r="R958" i="2"/>
  <c r="V957" i="2"/>
  <c r="U957" i="2"/>
  <c r="U957" i="2" a="1"/>
  <c r="T957" i="2"/>
  <c r="T957" i="2" a="1"/>
  <c r="S957" i="2"/>
  <c r="R957" i="2"/>
  <c r="V956" i="2"/>
  <c r="U956" i="2"/>
  <c r="U956" i="2" a="1"/>
  <c r="T956" i="2"/>
  <c r="T956" i="2" a="1"/>
  <c r="S956" i="2"/>
  <c r="R956" i="2"/>
  <c r="V955" i="2"/>
  <c r="U955" i="2"/>
  <c r="U955" i="2" a="1"/>
  <c r="T955" i="2"/>
  <c r="T955" i="2" a="1"/>
  <c r="S955" i="2"/>
  <c r="R955" i="2"/>
  <c r="V954" i="2"/>
  <c r="U954" i="2"/>
  <c r="U954" i="2" a="1"/>
  <c r="T954" i="2"/>
  <c r="T954" i="2" a="1"/>
  <c r="S954" i="2"/>
  <c r="R954" i="2"/>
  <c r="V953" i="2"/>
  <c r="U953" i="2"/>
  <c r="U953" i="2" a="1"/>
  <c r="T953" i="2"/>
  <c r="T953" i="2" a="1"/>
  <c r="S953" i="2"/>
  <c r="R953" i="2"/>
  <c r="V952" i="2"/>
  <c r="U952" i="2"/>
  <c r="U952" i="2" a="1"/>
  <c r="T952" i="2"/>
  <c r="T952" i="2" a="1"/>
  <c r="S952" i="2"/>
  <c r="R952" i="2"/>
  <c r="V951" i="2"/>
  <c r="U951" i="2"/>
  <c r="U951" i="2" a="1"/>
  <c r="T951" i="2"/>
  <c r="T951" i="2" a="1"/>
  <c r="S951" i="2"/>
  <c r="R951" i="2"/>
  <c r="V950" i="2"/>
  <c r="U950" i="2"/>
  <c r="U950" i="2" a="1"/>
  <c r="T950" i="2"/>
  <c r="T950" i="2" a="1"/>
  <c r="S950" i="2"/>
  <c r="R950" i="2"/>
  <c r="V949" i="2"/>
  <c r="U949" i="2"/>
  <c r="U949" i="2" a="1"/>
  <c r="T949" i="2"/>
  <c r="T949" i="2" a="1"/>
  <c r="S949" i="2"/>
  <c r="R949" i="2"/>
  <c r="V948" i="2"/>
  <c r="U948" i="2"/>
  <c r="U948" i="2" a="1"/>
  <c r="T948" i="2"/>
  <c r="T948" i="2" a="1"/>
  <c r="S948" i="2"/>
  <c r="R948" i="2"/>
  <c r="V947" i="2"/>
  <c r="U947" i="2"/>
  <c r="U947" i="2" a="1"/>
  <c r="T947" i="2"/>
  <c r="T947" i="2" a="1"/>
  <c r="S947" i="2"/>
  <c r="R947" i="2"/>
  <c r="V946" i="2"/>
  <c r="U946" i="2"/>
  <c r="U946" i="2" a="1"/>
  <c r="T946" i="2"/>
  <c r="T946" i="2" a="1"/>
  <c r="S946" i="2"/>
  <c r="R946" i="2"/>
  <c r="V945" i="2"/>
  <c r="U945" i="2"/>
  <c r="U945" i="2" a="1"/>
  <c r="T945" i="2"/>
  <c r="T945" i="2" a="1"/>
  <c r="S945" i="2"/>
  <c r="R945" i="2"/>
  <c r="V944" i="2"/>
  <c r="U944" i="2"/>
  <c r="U944" i="2" a="1"/>
  <c r="T944" i="2"/>
  <c r="T944" i="2" a="1"/>
  <c r="S944" i="2"/>
  <c r="R944" i="2"/>
  <c r="V943" i="2"/>
  <c r="U943" i="2"/>
  <c r="U943" i="2" a="1"/>
  <c r="T943" i="2"/>
  <c r="T943" i="2" a="1"/>
  <c r="S943" i="2"/>
  <c r="R943" i="2"/>
  <c r="V942" i="2"/>
  <c r="U942" i="2"/>
  <c r="U942" i="2" a="1"/>
  <c r="T942" i="2"/>
  <c r="T942" i="2" a="1"/>
  <c r="S942" i="2"/>
  <c r="R942" i="2"/>
  <c r="V941" i="2"/>
  <c r="U941" i="2"/>
  <c r="U941" i="2" a="1"/>
  <c r="T941" i="2"/>
  <c r="T941" i="2" a="1"/>
  <c r="S941" i="2"/>
  <c r="R941" i="2"/>
  <c r="V940" i="2"/>
  <c r="U940" i="2"/>
  <c r="U940" i="2" a="1"/>
  <c r="T940" i="2"/>
  <c r="T940" i="2" a="1"/>
  <c r="S940" i="2"/>
  <c r="R940" i="2"/>
  <c r="V939" i="2"/>
  <c r="U939" i="2"/>
  <c r="U939" i="2" a="1"/>
  <c r="T939" i="2"/>
  <c r="T939" i="2" a="1"/>
  <c r="S939" i="2"/>
  <c r="R939" i="2"/>
  <c r="V938" i="2"/>
  <c r="U938" i="2"/>
  <c r="U938" i="2" a="1"/>
  <c r="T938" i="2"/>
  <c r="T938" i="2" a="1"/>
  <c r="S938" i="2"/>
  <c r="R938" i="2"/>
  <c r="V937" i="2"/>
  <c r="U937" i="2"/>
  <c r="U937" i="2" a="1"/>
  <c r="T937" i="2"/>
  <c r="T937" i="2" a="1"/>
  <c r="S937" i="2"/>
  <c r="R937" i="2"/>
  <c r="V936" i="2"/>
  <c r="U936" i="2"/>
  <c r="U936" i="2" a="1"/>
  <c r="T936" i="2"/>
  <c r="T936" i="2" a="1"/>
  <c r="S936" i="2"/>
  <c r="R936" i="2"/>
  <c r="V935" i="2"/>
  <c r="U935" i="2"/>
  <c r="U935" i="2" a="1"/>
  <c r="T935" i="2"/>
  <c r="T935" i="2" a="1"/>
  <c r="S935" i="2"/>
  <c r="R935" i="2"/>
  <c r="V934" i="2"/>
  <c r="U934" i="2"/>
  <c r="U934" i="2" a="1"/>
  <c r="T934" i="2"/>
  <c r="T934" i="2" a="1"/>
  <c r="S934" i="2"/>
  <c r="R934" i="2"/>
  <c r="V933" i="2"/>
  <c r="U933" i="2"/>
  <c r="U933" i="2" a="1"/>
  <c r="T933" i="2"/>
  <c r="T933" i="2" a="1"/>
  <c r="S933" i="2"/>
  <c r="R933" i="2"/>
  <c r="V932" i="2"/>
  <c r="U932" i="2"/>
  <c r="U932" i="2" a="1"/>
  <c r="T932" i="2"/>
  <c r="T932" i="2" a="1"/>
  <c r="S932" i="2"/>
  <c r="R932" i="2"/>
  <c r="V931" i="2"/>
  <c r="U931" i="2"/>
  <c r="U931" i="2" a="1"/>
  <c r="T931" i="2"/>
  <c r="T931" i="2" a="1"/>
  <c r="S931" i="2"/>
  <c r="R931" i="2"/>
  <c r="V930" i="2"/>
  <c r="U930" i="2"/>
  <c r="U930" i="2" a="1"/>
  <c r="T930" i="2"/>
  <c r="T930" i="2" a="1"/>
  <c r="S930" i="2"/>
  <c r="R930" i="2"/>
  <c r="V929" i="2"/>
  <c r="U929" i="2"/>
  <c r="U929" i="2" a="1"/>
  <c r="T929" i="2"/>
  <c r="T929" i="2" a="1"/>
  <c r="S929" i="2"/>
  <c r="R929" i="2"/>
  <c r="V928" i="2"/>
  <c r="U928" i="2"/>
  <c r="U928" i="2" a="1"/>
  <c r="T928" i="2"/>
  <c r="T928" i="2" a="1"/>
  <c r="S928" i="2"/>
  <c r="R928" i="2"/>
  <c r="V927" i="2"/>
  <c r="U927" i="2"/>
  <c r="U927" i="2" a="1"/>
  <c r="T927" i="2"/>
  <c r="T927" i="2" a="1"/>
  <c r="S927" i="2"/>
  <c r="R927" i="2"/>
  <c r="V926" i="2"/>
  <c r="U926" i="2"/>
  <c r="U926" i="2" a="1"/>
  <c r="T926" i="2"/>
  <c r="T926" i="2" a="1"/>
  <c r="S926" i="2"/>
  <c r="R926" i="2"/>
  <c r="V925" i="2"/>
  <c r="U925" i="2"/>
  <c r="U925" i="2" a="1"/>
  <c r="T925" i="2"/>
  <c r="T925" i="2" a="1"/>
  <c r="S925" i="2"/>
  <c r="R925" i="2"/>
  <c r="V924" i="2"/>
  <c r="U924" i="2"/>
  <c r="U924" i="2" a="1"/>
  <c r="T924" i="2"/>
  <c r="T924" i="2" a="1"/>
  <c r="S924" i="2"/>
  <c r="R924" i="2"/>
  <c r="V923" i="2"/>
  <c r="U923" i="2"/>
  <c r="U923" i="2" a="1"/>
  <c r="T923" i="2"/>
  <c r="T923" i="2" a="1"/>
  <c r="S923" i="2"/>
  <c r="R923" i="2"/>
  <c r="V922" i="2"/>
  <c r="U922" i="2"/>
  <c r="U922" i="2" a="1"/>
  <c r="T922" i="2"/>
  <c r="T922" i="2" a="1"/>
  <c r="S922" i="2"/>
  <c r="R922" i="2"/>
  <c r="V921" i="2"/>
  <c r="U921" i="2"/>
  <c r="U921" i="2" a="1"/>
  <c r="T921" i="2"/>
  <c r="T921" i="2" a="1"/>
  <c r="S921" i="2"/>
  <c r="R921" i="2"/>
  <c r="V920" i="2"/>
  <c r="U920" i="2"/>
  <c r="U920" i="2" a="1"/>
  <c r="T920" i="2"/>
  <c r="T920" i="2" a="1"/>
  <c r="S920" i="2"/>
  <c r="R920" i="2"/>
  <c r="V919" i="2"/>
  <c r="U919" i="2"/>
  <c r="U919" i="2" a="1"/>
  <c r="T919" i="2"/>
  <c r="T919" i="2" a="1"/>
  <c r="S919" i="2"/>
  <c r="R919" i="2"/>
  <c r="V918" i="2"/>
  <c r="U918" i="2"/>
  <c r="U918" i="2" a="1"/>
  <c r="T918" i="2"/>
  <c r="T918" i="2" a="1"/>
  <c r="S918" i="2"/>
  <c r="R918" i="2"/>
  <c r="V917" i="2"/>
  <c r="U917" i="2"/>
  <c r="U917" i="2" a="1"/>
  <c r="T917" i="2"/>
  <c r="T917" i="2" a="1"/>
  <c r="S917" i="2"/>
  <c r="R917" i="2"/>
  <c r="V916" i="2"/>
  <c r="U916" i="2"/>
  <c r="U916" i="2" a="1"/>
  <c r="T916" i="2"/>
  <c r="T916" i="2" a="1"/>
  <c r="S916" i="2"/>
  <c r="R916" i="2"/>
  <c r="V915" i="2"/>
  <c r="U915" i="2"/>
  <c r="U915" i="2" a="1"/>
  <c r="T915" i="2"/>
  <c r="T915" i="2" a="1"/>
  <c r="S915" i="2"/>
  <c r="R915" i="2"/>
  <c r="V914" i="2"/>
  <c r="U914" i="2"/>
  <c r="U914" i="2" a="1"/>
  <c r="T914" i="2"/>
  <c r="T914" i="2" a="1"/>
  <c r="S914" i="2"/>
  <c r="R914" i="2"/>
  <c r="V913" i="2"/>
  <c r="U913" i="2"/>
  <c r="U913" i="2" a="1"/>
  <c r="T913" i="2"/>
  <c r="T913" i="2" a="1"/>
  <c r="S913" i="2"/>
  <c r="R913" i="2"/>
  <c r="V912" i="2"/>
  <c r="U912" i="2"/>
  <c r="U912" i="2" a="1"/>
  <c r="T912" i="2"/>
  <c r="T912" i="2" a="1"/>
  <c r="S912" i="2"/>
  <c r="R912" i="2"/>
  <c r="V911" i="2"/>
  <c r="U911" i="2"/>
  <c r="U911" i="2" a="1"/>
  <c r="T911" i="2"/>
  <c r="T911" i="2" a="1"/>
  <c r="S911" i="2"/>
  <c r="R911" i="2"/>
  <c r="V910" i="2"/>
  <c r="U910" i="2"/>
  <c r="U910" i="2" a="1"/>
  <c r="T910" i="2"/>
  <c r="T910" i="2" a="1"/>
  <c r="S910" i="2"/>
  <c r="R910" i="2"/>
  <c r="V909" i="2"/>
  <c r="U909" i="2"/>
  <c r="U909" i="2" a="1"/>
  <c r="T909" i="2"/>
  <c r="T909" i="2" a="1"/>
  <c r="S909" i="2"/>
  <c r="R909" i="2"/>
  <c r="V908" i="2"/>
  <c r="U908" i="2"/>
  <c r="U908" i="2" a="1"/>
  <c r="T908" i="2"/>
  <c r="T908" i="2" a="1"/>
  <c r="S908" i="2"/>
  <c r="R908" i="2"/>
  <c r="V907" i="2"/>
  <c r="U907" i="2"/>
  <c r="U907" i="2" a="1"/>
  <c r="T907" i="2"/>
  <c r="T907" i="2" a="1"/>
  <c r="S907" i="2"/>
  <c r="R907" i="2"/>
  <c r="V906" i="2"/>
  <c r="U906" i="2"/>
  <c r="U906" i="2" a="1"/>
  <c r="T906" i="2"/>
  <c r="T906" i="2" a="1"/>
  <c r="S906" i="2"/>
  <c r="R906" i="2"/>
  <c r="V905" i="2"/>
  <c r="U905" i="2"/>
  <c r="U905" i="2" a="1"/>
  <c r="T905" i="2"/>
  <c r="T905" i="2" a="1"/>
  <c r="S905" i="2"/>
  <c r="R905" i="2"/>
  <c r="V904" i="2"/>
  <c r="U904" i="2"/>
  <c r="U904" i="2" a="1"/>
  <c r="T904" i="2"/>
  <c r="T904" i="2" a="1"/>
  <c r="S904" i="2"/>
  <c r="R904" i="2"/>
  <c r="V903" i="2"/>
  <c r="U903" i="2"/>
  <c r="U903" i="2" a="1"/>
  <c r="T903" i="2"/>
  <c r="T903" i="2" a="1"/>
  <c r="S903" i="2"/>
  <c r="R903" i="2"/>
  <c r="V902" i="2"/>
  <c r="U902" i="2"/>
  <c r="U902" i="2" a="1"/>
  <c r="T902" i="2"/>
  <c r="T902" i="2" a="1"/>
  <c r="S902" i="2"/>
  <c r="R902" i="2"/>
  <c r="V901" i="2"/>
  <c r="U901" i="2"/>
  <c r="U901" i="2" a="1"/>
  <c r="T901" i="2"/>
  <c r="T901" i="2" a="1"/>
  <c r="S901" i="2"/>
  <c r="R901" i="2"/>
  <c r="V900" i="2"/>
  <c r="U900" i="2"/>
  <c r="U900" i="2" a="1"/>
  <c r="T900" i="2"/>
  <c r="T900" i="2" a="1"/>
  <c r="S900" i="2"/>
  <c r="R900" i="2"/>
  <c r="V899" i="2"/>
  <c r="U899" i="2"/>
  <c r="U899" i="2" a="1"/>
  <c r="T899" i="2"/>
  <c r="T899" i="2" a="1"/>
  <c r="S899" i="2"/>
  <c r="R899" i="2"/>
  <c r="V898" i="2"/>
  <c r="U898" i="2"/>
  <c r="U898" i="2" a="1"/>
  <c r="T898" i="2"/>
  <c r="T898" i="2" a="1"/>
  <c r="S898" i="2"/>
  <c r="R898" i="2"/>
  <c r="V897" i="2"/>
  <c r="U897" i="2"/>
  <c r="U897" i="2" a="1"/>
  <c r="T897" i="2"/>
  <c r="T897" i="2" a="1"/>
  <c r="S897" i="2"/>
  <c r="R897" i="2"/>
  <c r="V896" i="2"/>
  <c r="U896" i="2"/>
  <c r="U896" i="2" a="1"/>
  <c r="T896" i="2"/>
  <c r="T896" i="2" a="1"/>
  <c r="S896" i="2"/>
  <c r="R896" i="2"/>
  <c r="V895" i="2"/>
  <c r="U895" i="2"/>
  <c r="U895" i="2" a="1"/>
  <c r="T895" i="2"/>
  <c r="T895" i="2" a="1"/>
  <c r="S895" i="2"/>
  <c r="R895" i="2"/>
  <c r="V894" i="2"/>
  <c r="U894" i="2"/>
  <c r="U894" i="2" a="1"/>
  <c r="T894" i="2"/>
  <c r="T894" i="2" a="1"/>
  <c r="S894" i="2"/>
  <c r="R894" i="2"/>
  <c r="V893" i="2"/>
  <c r="U893" i="2"/>
  <c r="U893" i="2" a="1"/>
  <c r="T893" i="2"/>
  <c r="T893" i="2" a="1"/>
  <c r="S893" i="2"/>
  <c r="R893" i="2"/>
  <c r="V892" i="2"/>
  <c r="U892" i="2"/>
  <c r="U892" i="2" a="1"/>
  <c r="T892" i="2"/>
  <c r="T892" i="2" a="1"/>
  <c r="S892" i="2"/>
  <c r="R892" i="2"/>
  <c r="V891" i="2"/>
  <c r="U891" i="2"/>
  <c r="U891" i="2" a="1"/>
  <c r="T891" i="2"/>
  <c r="T891" i="2" a="1"/>
  <c r="S891" i="2"/>
  <c r="R891" i="2"/>
  <c r="V890" i="2"/>
  <c r="U890" i="2"/>
  <c r="U890" i="2" a="1"/>
  <c r="T890" i="2"/>
  <c r="T890" i="2" a="1"/>
  <c r="S890" i="2"/>
  <c r="R890" i="2"/>
  <c r="V889" i="2"/>
  <c r="U889" i="2"/>
  <c r="U889" i="2" a="1"/>
  <c r="T889" i="2"/>
  <c r="T889" i="2" a="1"/>
  <c r="S889" i="2"/>
  <c r="R889" i="2"/>
  <c r="V888" i="2"/>
  <c r="U888" i="2"/>
  <c r="U888" i="2" a="1"/>
  <c r="T888" i="2"/>
  <c r="T888" i="2" a="1"/>
  <c r="S888" i="2"/>
  <c r="R888" i="2"/>
  <c r="V887" i="2"/>
  <c r="U887" i="2"/>
  <c r="U887" i="2" a="1"/>
  <c r="T887" i="2"/>
  <c r="T887" i="2" a="1"/>
  <c r="S887" i="2"/>
  <c r="R887" i="2"/>
  <c r="V886" i="2"/>
  <c r="U886" i="2"/>
  <c r="U886" i="2" a="1"/>
  <c r="T886" i="2"/>
  <c r="T886" i="2" a="1"/>
  <c r="S886" i="2"/>
  <c r="R886" i="2"/>
  <c r="V885" i="2"/>
  <c r="U885" i="2"/>
  <c r="U885" i="2" a="1"/>
  <c r="T885" i="2"/>
  <c r="T885" i="2" a="1"/>
  <c r="S885" i="2"/>
  <c r="R885" i="2"/>
  <c r="V884" i="2"/>
  <c r="U884" i="2"/>
  <c r="U884" i="2" a="1"/>
  <c r="T884" i="2"/>
  <c r="T884" i="2" a="1"/>
  <c r="S884" i="2"/>
  <c r="R884" i="2"/>
  <c r="V883" i="2"/>
  <c r="U883" i="2"/>
  <c r="U883" i="2" a="1"/>
  <c r="T883" i="2"/>
  <c r="T883" i="2" a="1"/>
  <c r="S883" i="2"/>
  <c r="R883" i="2"/>
  <c r="V882" i="2"/>
  <c r="U882" i="2"/>
  <c r="U882" i="2" a="1"/>
  <c r="T882" i="2"/>
  <c r="T882" i="2" a="1"/>
  <c r="S882" i="2"/>
  <c r="R882" i="2"/>
  <c r="V881" i="2"/>
  <c r="U881" i="2"/>
  <c r="U881" i="2" a="1"/>
  <c r="T881" i="2"/>
  <c r="T881" i="2" a="1"/>
  <c r="S881" i="2"/>
  <c r="R881" i="2"/>
  <c r="V880" i="2"/>
  <c r="U880" i="2"/>
  <c r="U880" i="2" a="1"/>
  <c r="T880" i="2"/>
  <c r="T880" i="2" a="1"/>
  <c r="S880" i="2"/>
  <c r="R880" i="2"/>
  <c r="V879" i="2"/>
  <c r="U879" i="2"/>
  <c r="U879" i="2" a="1"/>
  <c r="T879" i="2"/>
  <c r="T879" i="2" a="1"/>
  <c r="S879" i="2"/>
  <c r="R879" i="2"/>
  <c r="V878" i="2"/>
  <c r="U878" i="2"/>
  <c r="U878" i="2" a="1"/>
  <c r="T878" i="2"/>
  <c r="T878" i="2" a="1"/>
  <c r="S878" i="2"/>
  <c r="R878" i="2"/>
  <c r="V877" i="2"/>
  <c r="U877" i="2"/>
  <c r="U877" i="2" a="1"/>
  <c r="T877" i="2"/>
  <c r="T877" i="2" a="1"/>
  <c r="S877" i="2"/>
  <c r="R877" i="2"/>
  <c r="V876" i="2"/>
  <c r="U876" i="2"/>
  <c r="U876" i="2" a="1"/>
  <c r="T876" i="2"/>
  <c r="T876" i="2" a="1"/>
  <c r="S876" i="2"/>
  <c r="R876" i="2"/>
  <c r="V875" i="2"/>
  <c r="U875" i="2"/>
  <c r="U875" i="2" a="1"/>
  <c r="T875" i="2"/>
  <c r="T875" i="2" a="1"/>
  <c r="S875" i="2"/>
  <c r="R875" i="2"/>
  <c r="V874" i="2"/>
  <c r="U874" i="2"/>
  <c r="U874" i="2" a="1"/>
  <c r="T874" i="2"/>
  <c r="T874" i="2" a="1"/>
  <c r="S874" i="2"/>
  <c r="R874" i="2"/>
  <c r="V873" i="2"/>
  <c r="U873" i="2"/>
  <c r="U873" i="2" a="1"/>
  <c r="T873" i="2"/>
  <c r="T873" i="2" a="1"/>
  <c r="S873" i="2"/>
  <c r="R873" i="2"/>
  <c r="V872" i="2"/>
  <c r="U872" i="2"/>
  <c r="U872" i="2" a="1"/>
  <c r="T872" i="2"/>
  <c r="T872" i="2" a="1"/>
  <c r="S872" i="2"/>
  <c r="R872" i="2"/>
  <c r="V871" i="2"/>
  <c r="U871" i="2"/>
  <c r="U871" i="2" a="1"/>
  <c r="T871" i="2"/>
  <c r="T871" i="2" a="1"/>
  <c r="S871" i="2"/>
  <c r="R871" i="2"/>
  <c r="V870" i="2"/>
  <c r="U870" i="2"/>
  <c r="U870" i="2" a="1"/>
  <c r="T870" i="2"/>
  <c r="T870" i="2" a="1"/>
  <c r="S870" i="2"/>
  <c r="R870" i="2"/>
  <c r="V869" i="2"/>
  <c r="U869" i="2"/>
  <c r="U869" i="2" a="1"/>
  <c r="T869" i="2"/>
  <c r="T869" i="2" a="1"/>
  <c r="S869" i="2"/>
  <c r="R869" i="2"/>
  <c r="V868" i="2"/>
  <c r="U868" i="2"/>
  <c r="U868" i="2" a="1"/>
  <c r="T868" i="2"/>
  <c r="T868" i="2" a="1"/>
  <c r="S868" i="2"/>
  <c r="R868" i="2"/>
  <c r="V867" i="2"/>
  <c r="U867" i="2"/>
  <c r="U867" i="2" a="1"/>
  <c r="T867" i="2"/>
  <c r="T867" i="2" a="1"/>
  <c r="S867" i="2"/>
  <c r="R867" i="2"/>
  <c r="V866" i="2"/>
  <c r="U866" i="2"/>
  <c r="U866" i="2" a="1"/>
  <c r="T866" i="2"/>
  <c r="T866" i="2" a="1"/>
  <c r="S866" i="2"/>
  <c r="R866" i="2"/>
  <c r="V865" i="2"/>
  <c r="U865" i="2"/>
  <c r="U865" i="2" a="1"/>
  <c r="T865" i="2"/>
  <c r="T865" i="2" a="1"/>
  <c r="S865" i="2"/>
  <c r="R865" i="2"/>
  <c r="V864" i="2"/>
  <c r="U864" i="2"/>
  <c r="U864" i="2" a="1"/>
  <c r="T864" i="2"/>
  <c r="T864" i="2" a="1"/>
  <c r="S864" i="2"/>
  <c r="R864" i="2"/>
  <c r="V863" i="2"/>
  <c r="U863" i="2"/>
  <c r="U863" i="2" a="1"/>
  <c r="T863" i="2"/>
  <c r="T863" i="2" a="1"/>
  <c r="S863" i="2"/>
  <c r="R863" i="2"/>
  <c r="V862" i="2"/>
  <c r="U862" i="2"/>
  <c r="U862" i="2" a="1"/>
  <c r="T862" i="2"/>
  <c r="T862" i="2" a="1"/>
  <c r="S862" i="2"/>
  <c r="R862" i="2"/>
  <c r="V861" i="2"/>
  <c r="U861" i="2"/>
  <c r="U861" i="2" a="1"/>
  <c r="T861" i="2"/>
  <c r="T861" i="2" a="1"/>
  <c r="S861" i="2"/>
  <c r="R861" i="2"/>
  <c r="V860" i="2"/>
  <c r="U860" i="2"/>
  <c r="U860" i="2" a="1"/>
  <c r="T860" i="2"/>
  <c r="T860" i="2" a="1"/>
  <c r="S860" i="2"/>
  <c r="R860" i="2"/>
  <c r="V859" i="2"/>
  <c r="U859" i="2"/>
  <c r="U859" i="2" a="1"/>
  <c r="T859" i="2"/>
  <c r="T859" i="2" a="1"/>
  <c r="S859" i="2"/>
  <c r="R859" i="2"/>
  <c r="V858" i="2"/>
  <c r="U858" i="2"/>
  <c r="U858" i="2" a="1"/>
  <c r="T858" i="2"/>
  <c r="T858" i="2" a="1"/>
  <c r="S858" i="2"/>
  <c r="R858" i="2"/>
  <c r="V857" i="2"/>
  <c r="U857" i="2"/>
  <c r="U857" i="2" a="1"/>
  <c r="T857" i="2"/>
  <c r="T857" i="2" a="1"/>
  <c r="S857" i="2"/>
  <c r="R857" i="2"/>
  <c r="V856" i="2"/>
  <c r="U856" i="2"/>
  <c r="U856" i="2" a="1"/>
  <c r="T856" i="2"/>
  <c r="T856" i="2" a="1"/>
  <c r="S856" i="2"/>
  <c r="R856" i="2"/>
  <c r="V855" i="2"/>
  <c r="U855" i="2"/>
  <c r="U855" i="2" a="1"/>
  <c r="T855" i="2"/>
  <c r="T855" i="2" a="1"/>
  <c r="S855" i="2"/>
  <c r="R855" i="2"/>
  <c r="V854" i="2"/>
  <c r="U854" i="2"/>
  <c r="U854" i="2" a="1"/>
  <c r="T854" i="2"/>
  <c r="T854" i="2" a="1"/>
  <c r="S854" i="2"/>
  <c r="R854" i="2"/>
  <c r="V853" i="2"/>
  <c r="U853" i="2"/>
  <c r="U853" i="2" a="1"/>
  <c r="T853" i="2"/>
  <c r="T853" i="2" a="1"/>
  <c r="S853" i="2"/>
  <c r="R853" i="2"/>
  <c r="V852" i="2"/>
  <c r="U852" i="2"/>
  <c r="U852" i="2" a="1"/>
  <c r="T852" i="2"/>
  <c r="T852" i="2" a="1"/>
  <c r="S852" i="2"/>
  <c r="R852" i="2"/>
  <c r="V851" i="2"/>
  <c r="U851" i="2"/>
  <c r="U851" i="2" a="1"/>
  <c r="T851" i="2"/>
  <c r="T851" i="2" a="1"/>
  <c r="S851" i="2"/>
  <c r="R851" i="2"/>
  <c r="V850" i="2"/>
  <c r="U850" i="2"/>
  <c r="U850" i="2" a="1"/>
  <c r="T850" i="2"/>
  <c r="T850" i="2" a="1"/>
  <c r="S850" i="2"/>
  <c r="R850" i="2"/>
  <c r="V849" i="2"/>
  <c r="U849" i="2"/>
  <c r="U849" i="2" a="1"/>
  <c r="T849" i="2"/>
  <c r="T849" i="2" a="1"/>
  <c r="S849" i="2"/>
  <c r="R849" i="2"/>
  <c r="V848" i="2"/>
  <c r="U848" i="2"/>
  <c r="U848" i="2" a="1"/>
  <c r="T848" i="2"/>
  <c r="T848" i="2" a="1"/>
  <c r="S848" i="2"/>
  <c r="R848" i="2"/>
  <c r="V847" i="2"/>
  <c r="U847" i="2"/>
  <c r="U847" i="2" a="1"/>
  <c r="T847" i="2"/>
  <c r="T847" i="2" a="1"/>
  <c r="S847" i="2"/>
  <c r="R847" i="2"/>
  <c r="V846" i="2"/>
  <c r="U846" i="2"/>
  <c r="U846" i="2" a="1"/>
  <c r="T846" i="2"/>
  <c r="T846" i="2" a="1"/>
  <c r="S846" i="2"/>
  <c r="R846" i="2"/>
  <c r="V845" i="2"/>
  <c r="U845" i="2"/>
  <c r="U845" i="2" a="1"/>
  <c r="T845" i="2"/>
  <c r="T845" i="2" a="1"/>
  <c r="S845" i="2"/>
  <c r="R845" i="2"/>
  <c r="V844" i="2"/>
  <c r="U844" i="2"/>
  <c r="U844" i="2" a="1"/>
  <c r="T844" i="2"/>
  <c r="T844" i="2" a="1"/>
  <c r="S844" i="2"/>
  <c r="R844" i="2"/>
  <c r="V843" i="2"/>
  <c r="U843" i="2"/>
  <c r="U843" i="2" a="1"/>
  <c r="T843" i="2"/>
  <c r="T843" i="2" a="1"/>
  <c r="S843" i="2"/>
  <c r="R843" i="2"/>
  <c r="V842" i="2"/>
  <c r="U842" i="2"/>
  <c r="U842" i="2" a="1"/>
  <c r="T842" i="2"/>
  <c r="T842" i="2" a="1"/>
  <c r="S842" i="2"/>
  <c r="R842" i="2"/>
  <c r="V841" i="2"/>
  <c r="U841" i="2"/>
  <c r="U841" i="2" a="1"/>
  <c r="T841" i="2"/>
  <c r="T841" i="2" a="1"/>
  <c r="S841" i="2"/>
  <c r="R841" i="2"/>
  <c r="V840" i="2"/>
  <c r="U840" i="2"/>
  <c r="U840" i="2" a="1"/>
  <c r="T840" i="2"/>
  <c r="T840" i="2" a="1"/>
  <c r="S840" i="2"/>
  <c r="R840" i="2"/>
  <c r="V839" i="2"/>
  <c r="U839" i="2"/>
  <c r="U839" i="2" a="1"/>
  <c r="T839" i="2"/>
  <c r="T839" i="2" a="1"/>
  <c r="S839" i="2"/>
  <c r="R839" i="2"/>
  <c r="V838" i="2"/>
  <c r="U838" i="2"/>
  <c r="U838" i="2" a="1"/>
  <c r="T838" i="2"/>
  <c r="T838" i="2" a="1"/>
  <c r="S838" i="2"/>
  <c r="R838" i="2"/>
  <c r="V837" i="2"/>
  <c r="U837" i="2"/>
  <c r="U837" i="2" a="1"/>
  <c r="T837" i="2"/>
  <c r="T837" i="2" a="1"/>
  <c r="S837" i="2"/>
  <c r="R837" i="2"/>
  <c r="V836" i="2"/>
  <c r="U836" i="2"/>
  <c r="U836" i="2" a="1"/>
  <c r="T836" i="2"/>
  <c r="T836" i="2" a="1"/>
  <c r="S836" i="2"/>
  <c r="R836" i="2"/>
  <c r="V835" i="2"/>
  <c r="U835" i="2"/>
  <c r="U835" i="2" a="1"/>
  <c r="T835" i="2"/>
  <c r="T835" i="2" a="1"/>
  <c r="S835" i="2"/>
  <c r="R835" i="2"/>
  <c r="V834" i="2"/>
  <c r="U834" i="2"/>
  <c r="U834" i="2" a="1"/>
  <c r="T834" i="2"/>
  <c r="T834" i="2" a="1"/>
  <c r="S834" i="2"/>
  <c r="R834" i="2"/>
  <c r="V833" i="2"/>
  <c r="U833" i="2"/>
  <c r="U833" i="2" a="1"/>
  <c r="T833" i="2"/>
  <c r="T833" i="2" a="1"/>
  <c r="S833" i="2"/>
  <c r="R833" i="2"/>
  <c r="V832" i="2"/>
  <c r="U832" i="2"/>
  <c r="U832" i="2" a="1"/>
  <c r="T832" i="2"/>
  <c r="T832" i="2" a="1"/>
  <c r="S832" i="2"/>
  <c r="R832" i="2"/>
  <c r="V831" i="2"/>
  <c r="U831" i="2"/>
  <c r="U831" i="2" a="1"/>
  <c r="T831" i="2"/>
  <c r="T831" i="2" a="1"/>
  <c r="S831" i="2"/>
  <c r="R831" i="2"/>
  <c r="V830" i="2"/>
  <c r="U830" i="2"/>
  <c r="U830" i="2" a="1"/>
  <c r="T830" i="2"/>
  <c r="T830" i="2" a="1"/>
  <c r="S830" i="2"/>
  <c r="R830" i="2"/>
  <c r="V829" i="2"/>
  <c r="U829" i="2"/>
  <c r="U829" i="2" a="1"/>
  <c r="T829" i="2"/>
  <c r="T829" i="2" a="1"/>
  <c r="S829" i="2"/>
  <c r="R829" i="2"/>
  <c r="V828" i="2"/>
  <c r="U828" i="2"/>
  <c r="U828" i="2" a="1"/>
  <c r="T828" i="2"/>
  <c r="T828" i="2" a="1"/>
  <c r="S828" i="2"/>
  <c r="R828" i="2"/>
  <c r="V827" i="2"/>
  <c r="U827" i="2"/>
  <c r="U827" i="2" a="1"/>
  <c r="T827" i="2"/>
  <c r="T827" i="2" a="1"/>
  <c r="S827" i="2"/>
  <c r="R827" i="2"/>
  <c r="V826" i="2"/>
  <c r="U826" i="2"/>
  <c r="U826" i="2" a="1"/>
  <c r="T826" i="2"/>
  <c r="T826" i="2" a="1"/>
  <c r="S826" i="2"/>
  <c r="R826" i="2"/>
  <c r="V825" i="2"/>
  <c r="U825" i="2"/>
  <c r="U825" i="2" a="1"/>
  <c r="T825" i="2"/>
  <c r="T825" i="2" a="1"/>
  <c r="S825" i="2"/>
  <c r="R825" i="2"/>
  <c r="V824" i="2"/>
  <c r="U824" i="2"/>
  <c r="U824" i="2" a="1"/>
  <c r="T824" i="2"/>
  <c r="T824" i="2" a="1"/>
  <c r="S824" i="2"/>
  <c r="R824" i="2"/>
  <c r="V823" i="2"/>
  <c r="U823" i="2"/>
  <c r="U823" i="2" a="1"/>
  <c r="T823" i="2"/>
  <c r="T823" i="2" a="1"/>
  <c r="S823" i="2"/>
  <c r="R823" i="2"/>
  <c r="V822" i="2"/>
  <c r="U822" i="2"/>
  <c r="U822" i="2" a="1"/>
  <c r="T822" i="2"/>
  <c r="T822" i="2" a="1"/>
  <c r="S822" i="2"/>
  <c r="R822" i="2"/>
  <c r="V821" i="2"/>
  <c r="U821" i="2"/>
  <c r="U821" i="2" a="1"/>
  <c r="T821" i="2"/>
  <c r="T821" i="2" a="1"/>
  <c r="S821" i="2"/>
  <c r="R821" i="2"/>
  <c r="V820" i="2"/>
  <c r="U820" i="2"/>
  <c r="U820" i="2" a="1"/>
  <c r="T820" i="2"/>
  <c r="T820" i="2" a="1"/>
  <c r="S820" i="2"/>
  <c r="R820" i="2"/>
  <c r="V819" i="2"/>
  <c r="U819" i="2"/>
  <c r="U819" i="2" a="1"/>
  <c r="T819" i="2"/>
  <c r="T819" i="2" a="1"/>
  <c r="S819" i="2"/>
  <c r="R819" i="2"/>
  <c r="V818" i="2"/>
  <c r="U818" i="2"/>
  <c r="U818" i="2" a="1"/>
  <c r="T818" i="2"/>
  <c r="T818" i="2" a="1"/>
  <c r="S818" i="2"/>
  <c r="R818" i="2"/>
  <c r="V817" i="2"/>
  <c r="U817" i="2"/>
  <c r="U817" i="2" a="1"/>
  <c r="T817" i="2"/>
  <c r="T817" i="2" a="1"/>
  <c r="S817" i="2"/>
  <c r="R817" i="2"/>
  <c r="V816" i="2"/>
  <c r="U816" i="2"/>
  <c r="U816" i="2" a="1"/>
  <c r="T816" i="2"/>
  <c r="T816" i="2" a="1"/>
  <c r="S816" i="2"/>
  <c r="R816" i="2"/>
  <c r="V815" i="2"/>
  <c r="U815" i="2"/>
  <c r="U815" i="2" a="1"/>
  <c r="T815" i="2"/>
  <c r="T815" i="2" a="1"/>
  <c r="S815" i="2"/>
  <c r="R815" i="2"/>
  <c r="V814" i="2"/>
  <c r="U814" i="2"/>
  <c r="U814" i="2" a="1"/>
  <c r="T814" i="2"/>
  <c r="T814" i="2" a="1"/>
  <c r="S814" i="2"/>
  <c r="R814" i="2"/>
  <c r="V813" i="2"/>
  <c r="U813" i="2"/>
  <c r="U813" i="2" a="1"/>
  <c r="T813" i="2"/>
  <c r="T813" i="2" a="1"/>
  <c r="S813" i="2"/>
  <c r="R813" i="2"/>
  <c r="V812" i="2"/>
  <c r="U812" i="2"/>
  <c r="U812" i="2" a="1"/>
  <c r="T812" i="2"/>
  <c r="T812" i="2" a="1"/>
  <c r="S812" i="2"/>
  <c r="R812" i="2"/>
  <c r="V811" i="2"/>
  <c r="U811" i="2"/>
  <c r="U811" i="2" a="1"/>
  <c r="T811" i="2"/>
  <c r="T811" i="2" a="1"/>
  <c r="S811" i="2"/>
  <c r="R811" i="2"/>
  <c r="V810" i="2"/>
  <c r="U810" i="2"/>
  <c r="U810" i="2" a="1"/>
  <c r="T810" i="2"/>
  <c r="T810" i="2" a="1"/>
  <c r="S810" i="2"/>
  <c r="R810" i="2"/>
  <c r="V809" i="2"/>
  <c r="U809" i="2"/>
  <c r="U809" i="2" a="1"/>
  <c r="T809" i="2"/>
  <c r="T809" i="2" a="1"/>
  <c r="S809" i="2"/>
  <c r="R809" i="2"/>
  <c r="V808" i="2"/>
  <c r="U808" i="2"/>
  <c r="U808" i="2" a="1"/>
  <c r="T808" i="2"/>
  <c r="T808" i="2" a="1"/>
  <c r="S808" i="2"/>
  <c r="R808" i="2"/>
  <c r="V807" i="2"/>
  <c r="U807" i="2"/>
  <c r="U807" i="2" a="1"/>
  <c r="T807" i="2"/>
  <c r="T807" i="2" a="1"/>
  <c r="S807" i="2"/>
  <c r="R807" i="2"/>
  <c r="V806" i="2"/>
  <c r="U806" i="2"/>
  <c r="U806" i="2" a="1"/>
  <c r="T806" i="2"/>
  <c r="T806" i="2" a="1"/>
  <c r="S806" i="2"/>
  <c r="R806" i="2"/>
  <c r="V805" i="2"/>
  <c r="U805" i="2"/>
  <c r="U805" i="2" a="1"/>
  <c r="T805" i="2"/>
  <c r="T805" i="2" a="1"/>
  <c r="S805" i="2"/>
  <c r="R805" i="2"/>
  <c r="V804" i="2"/>
  <c r="U804" i="2"/>
  <c r="U804" i="2" a="1"/>
  <c r="T804" i="2"/>
  <c r="T804" i="2" a="1"/>
  <c r="S804" i="2"/>
  <c r="R804" i="2"/>
  <c r="V803" i="2"/>
  <c r="U803" i="2"/>
  <c r="U803" i="2" a="1"/>
  <c r="T803" i="2"/>
  <c r="T803" i="2" a="1"/>
  <c r="S803" i="2"/>
  <c r="R803" i="2"/>
  <c r="V802" i="2"/>
  <c r="U802" i="2"/>
  <c r="U802" i="2" a="1"/>
  <c r="T802" i="2"/>
  <c r="T802" i="2" a="1"/>
  <c r="S802" i="2"/>
  <c r="R802" i="2"/>
  <c r="V801" i="2"/>
  <c r="U801" i="2"/>
  <c r="U801" i="2" a="1"/>
  <c r="T801" i="2"/>
  <c r="T801" i="2" a="1"/>
  <c r="S801" i="2"/>
  <c r="R801" i="2"/>
  <c r="V800" i="2"/>
  <c r="U800" i="2"/>
  <c r="U800" i="2" a="1"/>
  <c r="T800" i="2"/>
  <c r="T800" i="2" a="1"/>
  <c r="S800" i="2"/>
  <c r="R800" i="2"/>
  <c r="V799" i="2"/>
  <c r="U799" i="2"/>
  <c r="U799" i="2" a="1"/>
  <c r="T799" i="2"/>
  <c r="T799" i="2" a="1"/>
  <c r="S799" i="2"/>
  <c r="R799" i="2"/>
  <c r="V798" i="2"/>
  <c r="U798" i="2"/>
  <c r="U798" i="2" a="1"/>
  <c r="T798" i="2"/>
  <c r="T798" i="2" a="1"/>
  <c r="S798" i="2"/>
  <c r="R798" i="2"/>
  <c r="V797" i="2"/>
  <c r="U797" i="2"/>
  <c r="U797" i="2" a="1"/>
  <c r="T797" i="2"/>
  <c r="T797" i="2" a="1"/>
  <c r="S797" i="2"/>
  <c r="R797" i="2"/>
  <c r="V796" i="2"/>
  <c r="U796" i="2"/>
  <c r="U796" i="2" a="1"/>
  <c r="T796" i="2"/>
  <c r="T796" i="2" a="1"/>
  <c r="S796" i="2"/>
  <c r="R796" i="2"/>
  <c r="V795" i="2"/>
  <c r="U795" i="2"/>
  <c r="U795" i="2" a="1"/>
  <c r="T795" i="2"/>
  <c r="T795" i="2" a="1"/>
  <c r="S795" i="2"/>
  <c r="R795" i="2"/>
  <c r="V794" i="2"/>
  <c r="U794" i="2"/>
  <c r="U794" i="2" a="1"/>
  <c r="T794" i="2"/>
  <c r="T794" i="2" a="1"/>
  <c r="S794" i="2"/>
  <c r="R794" i="2"/>
  <c r="V793" i="2"/>
  <c r="U793" i="2"/>
  <c r="U793" i="2" a="1"/>
  <c r="T793" i="2"/>
  <c r="T793" i="2" a="1"/>
  <c r="S793" i="2"/>
  <c r="R793" i="2"/>
  <c r="V792" i="2"/>
  <c r="U792" i="2"/>
  <c r="U792" i="2" a="1"/>
  <c r="T792" i="2"/>
  <c r="T792" i="2" a="1"/>
  <c r="S792" i="2"/>
  <c r="R792" i="2"/>
  <c r="V791" i="2"/>
  <c r="U791" i="2"/>
  <c r="U791" i="2" a="1"/>
  <c r="T791" i="2"/>
  <c r="T791" i="2" a="1"/>
  <c r="S791" i="2"/>
  <c r="R791" i="2"/>
  <c r="V790" i="2"/>
  <c r="U790" i="2"/>
  <c r="U790" i="2" a="1"/>
  <c r="T790" i="2"/>
  <c r="T790" i="2" a="1"/>
  <c r="S790" i="2"/>
  <c r="R790" i="2"/>
  <c r="V789" i="2"/>
  <c r="U789" i="2"/>
  <c r="U789" i="2" a="1"/>
  <c r="T789" i="2"/>
  <c r="T789" i="2" a="1"/>
  <c r="S789" i="2"/>
  <c r="R789" i="2"/>
  <c r="V788" i="2"/>
  <c r="U788" i="2"/>
  <c r="U788" i="2" a="1"/>
  <c r="T788" i="2"/>
  <c r="T788" i="2" a="1"/>
  <c r="S788" i="2"/>
  <c r="R788" i="2"/>
  <c r="V787" i="2"/>
  <c r="U787" i="2"/>
  <c r="U787" i="2" a="1"/>
  <c r="T787" i="2"/>
  <c r="T787" i="2" a="1"/>
  <c r="S787" i="2"/>
  <c r="R787" i="2"/>
  <c r="V786" i="2"/>
  <c r="U786" i="2"/>
  <c r="U786" i="2" a="1"/>
  <c r="T786" i="2"/>
  <c r="T786" i="2" a="1"/>
  <c r="S786" i="2"/>
  <c r="R786" i="2"/>
  <c r="V785" i="2"/>
  <c r="U785" i="2"/>
  <c r="U785" i="2" a="1"/>
  <c r="T785" i="2"/>
  <c r="T785" i="2" a="1"/>
  <c r="S785" i="2"/>
  <c r="R785" i="2"/>
  <c r="V784" i="2"/>
  <c r="U784" i="2"/>
  <c r="U784" i="2" a="1"/>
  <c r="T784" i="2"/>
  <c r="T784" i="2" a="1"/>
  <c r="S784" i="2"/>
  <c r="R784" i="2"/>
  <c r="V783" i="2"/>
  <c r="U783" i="2"/>
  <c r="U783" i="2" a="1"/>
  <c r="T783" i="2"/>
  <c r="T783" i="2" a="1"/>
  <c r="S783" i="2"/>
  <c r="R783" i="2"/>
  <c r="V782" i="2"/>
  <c r="U782" i="2"/>
  <c r="U782" i="2" a="1"/>
  <c r="T782" i="2"/>
  <c r="T782" i="2" a="1"/>
  <c r="S782" i="2"/>
  <c r="R782" i="2"/>
  <c r="V781" i="2"/>
  <c r="U781" i="2"/>
  <c r="U781" i="2" a="1"/>
  <c r="T781" i="2"/>
  <c r="T781" i="2" a="1"/>
  <c r="S781" i="2"/>
  <c r="R781" i="2"/>
  <c r="V780" i="2"/>
  <c r="U780" i="2"/>
  <c r="U780" i="2" a="1"/>
  <c r="T780" i="2"/>
  <c r="T780" i="2" a="1"/>
  <c r="S780" i="2"/>
  <c r="R780" i="2"/>
  <c r="V779" i="2"/>
  <c r="U779" i="2"/>
  <c r="U779" i="2" a="1"/>
  <c r="T779" i="2"/>
  <c r="T779" i="2" a="1"/>
  <c r="S779" i="2"/>
  <c r="R779" i="2"/>
  <c r="V778" i="2"/>
  <c r="U778" i="2"/>
  <c r="U778" i="2" a="1"/>
  <c r="T778" i="2"/>
  <c r="T778" i="2" a="1"/>
  <c r="S778" i="2"/>
  <c r="R778" i="2"/>
  <c r="V777" i="2"/>
  <c r="U777" i="2"/>
  <c r="U777" i="2" a="1"/>
  <c r="T777" i="2"/>
  <c r="T777" i="2" a="1"/>
  <c r="S777" i="2"/>
  <c r="R777" i="2"/>
  <c r="V776" i="2"/>
  <c r="U776" i="2"/>
  <c r="U776" i="2" a="1"/>
  <c r="T776" i="2"/>
  <c r="T776" i="2" a="1"/>
  <c r="S776" i="2"/>
  <c r="R776" i="2"/>
  <c r="V775" i="2"/>
  <c r="U775" i="2"/>
  <c r="U775" i="2" a="1"/>
  <c r="T775" i="2"/>
  <c r="T775" i="2" a="1"/>
  <c r="S775" i="2"/>
  <c r="R775" i="2"/>
  <c r="V774" i="2"/>
  <c r="U774" i="2"/>
  <c r="U774" i="2" a="1"/>
  <c r="T774" i="2"/>
  <c r="T774" i="2" a="1"/>
  <c r="S774" i="2"/>
  <c r="R774" i="2"/>
  <c r="V773" i="2"/>
  <c r="U773" i="2"/>
  <c r="U773" i="2" a="1"/>
  <c r="T773" i="2"/>
  <c r="T773" i="2" a="1"/>
  <c r="S773" i="2"/>
  <c r="R773" i="2"/>
  <c r="V772" i="2"/>
  <c r="U772" i="2"/>
  <c r="U772" i="2" a="1"/>
  <c r="T772" i="2"/>
  <c r="T772" i="2" a="1"/>
  <c r="S772" i="2"/>
  <c r="R772" i="2"/>
  <c r="V771" i="2"/>
  <c r="U771" i="2"/>
  <c r="U771" i="2" a="1"/>
  <c r="T771" i="2"/>
  <c r="T771" i="2" a="1"/>
  <c r="S771" i="2"/>
  <c r="R771" i="2"/>
  <c r="V770" i="2"/>
  <c r="U770" i="2"/>
  <c r="U770" i="2" a="1"/>
  <c r="T770" i="2"/>
  <c r="T770" i="2" a="1"/>
  <c r="S770" i="2"/>
  <c r="R770" i="2"/>
  <c r="V769" i="2"/>
  <c r="U769" i="2"/>
  <c r="U769" i="2" a="1"/>
  <c r="T769" i="2"/>
  <c r="T769" i="2" a="1"/>
  <c r="S769" i="2"/>
  <c r="R769" i="2"/>
  <c r="V768" i="2"/>
  <c r="U768" i="2"/>
  <c r="U768" i="2" a="1"/>
  <c r="T768" i="2"/>
  <c r="T768" i="2" a="1"/>
  <c r="S768" i="2"/>
  <c r="R768" i="2"/>
  <c r="V767" i="2"/>
  <c r="U767" i="2"/>
  <c r="U767" i="2" a="1"/>
  <c r="T767" i="2"/>
  <c r="T767" i="2" a="1"/>
  <c r="S767" i="2"/>
  <c r="R767" i="2"/>
  <c r="V766" i="2"/>
  <c r="U766" i="2"/>
  <c r="U766" i="2" a="1"/>
  <c r="T766" i="2"/>
  <c r="T766" i="2" a="1"/>
  <c r="S766" i="2"/>
  <c r="R766" i="2"/>
  <c r="V765" i="2"/>
  <c r="U765" i="2"/>
  <c r="U765" i="2" a="1"/>
  <c r="T765" i="2"/>
  <c r="T765" i="2" a="1"/>
  <c r="S765" i="2"/>
  <c r="R765" i="2"/>
  <c r="V764" i="2"/>
  <c r="U764" i="2"/>
  <c r="U764" i="2" a="1"/>
  <c r="T764" i="2"/>
  <c r="T764" i="2" a="1"/>
  <c r="S764" i="2"/>
  <c r="R764" i="2"/>
  <c r="V763" i="2"/>
  <c r="U763" i="2"/>
  <c r="U763" i="2" a="1"/>
  <c r="T763" i="2"/>
  <c r="T763" i="2" a="1"/>
  <c r="S763" i="2"/>
  <c r="R763" i="2"/>
  <c r="V762" i="2"/>
  <c r="U762" i="2"/>
  <c r="U762" i="2" a="1"/>
  <c r="T762" i="2"/>
  <c r="T762" i="2" a="1"/>
  <c r="S762" i="2"/>
  <c r="R762" i="2"/>
  <c r="V761" i="2"/>
  <c r="U761" i="2"/>
  <c r="U761" i="2" a="1"/>
  <c r="T761" i="2"/>
  <c r="T761" i="2" a="1"/>
  <c r="S761" i="2"/>
  <c r="R761" i="2"/>
  <c r="V760" i="2"/>
  <c r="U760" i="2"/>
  <c r="U760" i="2" a="1"/>
  <c r="T760" i="2"/>
  <c r="T760" i="2" a="1"/>
  <c r="S760" i="2"/>
  <c r="R760" i="2"/>
  <c r="V759" i="2"/>
  <c r="U759" i="2"/>
  <c r="U759" i="2" a="1"/>
  <c r="T759" i="2"/>
  <c r="T759" i="2" a="1"/>
  <c r="S759" i="2"/>
  <c r="R759" i="2"/>
  <c r="V758" i="2"/>
  <c r="U758" i="2"/>
  <c r="U758" i="2" a="1"/>
  <c r="T758" i="2"/>
  <c r="T758" i="2" a="1"/>
  <c r="S758" i="2"/>
  <c r="R758" i="2"/>
  <c r="V757" i="2"/>
  <c r="U757" i="2"/>
  <c r="U757" i="2" a="1"/>
  <c r="T757" i="2"/>
  <c r="T757" i="2" a="1"/>
  <c r="S757" i="2"/>
  <c r="R757" i="2"/>
  <c r="V756" i="2"/>
  <c r="U756" i="2"/>
  <c r="U756" i="2" a="1"/>
  <c r="T756" i="2"/>
  <c r="T756" i="2" a="1"/>
  <c r="S756" i="2"/>
  <c r="R756" i="2"/>
  <c r="V755" i="2"/>
  <c r="U755" i="2"/>
  <c r="U755" i="2" a="1"/>
  <c r="T755" i="2"/>
  <c r="T755" i="2" a="1"/>
  <c r="S755" i="2"/>
  <c r="R755" i="2"/>
  <c r="V754" i="2"/>
  <c r="U754" i="2"/>
  <c r="U754" i="2" a="1"/>
  <c r="T754" i="2"/>
  <c r="T754" i="2" a="1"/>
  <c r="S754" i="2"/>
  <c r="R754" i="2"/>
  <c r="V753" i="2"/>
  <c r="U753" i="2"/>
  <c r="U753" i="2" a="1"/>
  <c r="T753" i="2"/>
  <c r="T753" i="2" a="1"/>
  <c r="S753" i="2"/>
  <c r="R753" i="2"/>
  <c r="V752" i="2"/>
  <c r="U752" i="2"/>
  <c r="U752" i="2" a="1"/>
  <c r="T752" i="2"/>
  <c r="T752" i="2" a="1"/>
  <c r="S752" i="2"/>
  <c r="R752" i="2"/>
  <c r="V751" i="2"/>
  <c r="U751" i="2"/>
  <c r="U751" i="2" a="1"/>
  <c r="T751" i="2"/>
  <c r="T751" i="2" a="1"/>
  <c r="S751" i="2"/>
  <c r="R751" i="2"/>
  <c r="V750" i="2"/>
  <c r="U750" i="2"/>
  <c r="U750" i="2" a="1"/>
  <c r="T750" i="2"/>
  <c r="T750" i="2" a="1"/>
  <c r="S750" i="2"/>
  <c r="R750" i="2"/>
  <c r="V749" i="2"/>
  <c r="U749" i="2"/>
  <c r="U749" i="2" a="1"/>
  <c r="T749" i="2"/>
  <c r="T749" i="2" a="1"/>
  <c r="S749" i="2"/>
  <c r="R749" i="2"/>
  <c r="V748" i="2"/>
  <c r="U748" i="2"/>
  <c r="U748" i="2" a="1"/>
  <c r="T748" i="2"/>
  <c r="T748" i="2" a="1"/>
  <c r="S748" i="2"/>
  <c r="R748" i="2"/>
  <c r="V747" i="2"/>
  <c r="U747" i="2"/>
  <c r="U747" i="2" a="1"/>
  <c r="T747" i="2"/>
  <c r="T747" i="2" a="1"/>
  <c r="S747" i="2"/>
  <c r="R747" i="2"/>
  <c r="V746" i="2"/>
  <c r="U746" i="2"/>
  <c r="U746" i="2" a="1"/>
  <c r="T746" i="2"/>
  <c r="T746" i="2" a="1"/>
  <c r="S746" i="2"/>
  <c r="R746" i="2"/>
  <c r="V745" i="2"/>
  <c r="U745" i="2"/>
  <c r="U745" i="2" a="1"/>
  <c r="T745" i="2"/>
  <c r="T745" i="2" a="1"/>
  <c r="S745" i="2"/>
  <c r="R745" i="2"/>
  <c r="V744" i="2"/>
  <c r="U744" i="2"/>
  <c r="U744" i="2" a="1"/>
  <c r="T744" i="2"/>
  <c r="T744" i="2" a="1"/>
  <c r="S744" i="2"/>
  <c r="R744" i="2"/>
  <c r="V743" i="2"/>
  <c r="U743" i="2"/>
  <c r="U743" i="2" a="1"/>
  <c r="T743" i="2"/>
  <c r="T743" i="2" a="1"/>
  <c r="S743" i="2"/>
  <c r="R743" i="2"/>
  <c r="V742" i="2"/>
  <c r="U742" i="2"/>
  <c r="U742" i="2" a="1"/>
  <c r="T742" i="2"/>
  <c r="T742" i="2" a="1"/>
  <c r="S742" i="2"/>
  <c r="R742" i="2"/>
  <c r="V741" i="2"/>
  <c r="U741" i="2"/>
  <c r="U741" i="2" a="1"/>
  <c r="T741" i="2"/>
  <c r="T741" i="2" a="1"/>
  <c r="S741" i="2"/>
  <c r="R741" i="2"/>
  <c r="V740" i="2"/>
  <c r="U740" i="2"/>
  <c r="U740" i="2" a="1"/>
  <c r="T740" i="2"/>
  <c r="T740" i="2" a="1"/>
  <c r="S740" i="2"/>
  <c r="R740" i="2"/>
  <c r="V739" i="2"/>
  <c r="U739" i="2"/>
  <c r="U739" i="2" a="1"/>
  <c r="T739" i="2"/>
  <c r="T739" i="2" a="1"/>
  <c r="S739" i="2"/>
  <c r="R739" i="2"/>
  <c r="V738" i="2"/>
  <c r="U738" i="2"/>
  <c r="U738" i="2" a="1"/>
  <c r="T738" i="2"/>
  <c r="T738" i="2" a="1"/>
  <c r="S738" i="2"/>
  <c r="R738" i="2"/>
  <c r="V737" i="2"/>
  <c r="U737" i="2"/>
  <c r="U737" i="2" a="1"/>
  <c r="T737" i="2"/>
  <c r="T737" i="2" a="1"/>
  <c r="S737" i="2"/>
  <c r="R737" i="2"/>
  <c r="V736" i="2"/>
  <c r="U736" i="2"/>
  <c r="U736" i="2" a="1"/>
  <c r="T736" i="2"/>
  <c r="T736" i="2" a="1"/>
  <c r="S736" i="2"/>
  <c r="R736" i="2"/>
  <c r="V735" i="2"/>
  <c r="U735" i="2"/>
  <c r="U735" i="2" a="1"/>
  <c r="T735" i="2"/>
  <c r="T735" i="2" a="1"/>
  <c r="S735" i="2"/>
  <c r="R735" i="2"/>
  <c r="V734" i="2"/>
  <c r="U734" i="2"/>
  <c r="U734" i="2" a="1"/>
  <c r="T734" i="2"/>
  <c r="T734" i="2" a="1"/>
  <c r="S734" i="2"/>
  <c r="R734" i="2"/>
  <c r="V733" i="2"/>
  <c r="U733" i="2"/>
  <c r="U733" i="2" a="1"/>
  <c r="T733" i="2"/>
  <c r="T733" i="2" a="1"/>
  <c r="S733" i="2"/>
  <c r="R733" i="2"/>
  <c r="V732" i="2"/>
  <c r="U732" i="2"/>
  <c r="U732" i="2" a="1"/>
  <c r="T732" i="2"/>
  <c r="T732" i="2" a="1"/>
  <c r="S732" i="2"/>
  <c r="R732" i="2"/>
  <c r="V731" i="2"/>
  <c r="U731" i="2"/>
  <c r="U731" i="2" a="1"/>
  <c r="T731" i="2"/>
  <c r="T731" i="2" a="1"/>
  <c r="S731" i="2"/>
  <c r="R731" i="2"/>
  <c r="V730" i="2"/>
  <c r="U730" i="2"/>
  <c r="U730" i="2" a="1"/>
  <c r="T730" i="2"/>
  <c r="T730" i="2" a="1"/>
  <c r="S730" i="2"/>
  <c r="R730" i="2"/>
  <c r="V729" i="2"/>
  <c r="U729" i="2"/>
  <c r="U729" i="2" a="1"/>
  <c r="T729" i="2"/>
  <c r="T729" i="2" a="1"/>
  <c r="S729" i="2"/>
  <c r="R729" i="2"/>
  <c r="V728" i="2"/>
  <c r="U728" i="2"/>
  <c r="U728" i="2" a="1"/>
  <c r="T728" i="2"/>
  <c r="T728" i="2" a="1"/>
  <c r="S728" i="2"/>
  <c r="R728" i="2"/>
  <c r="V727" i="2"/>
  <c r="U727" i="2"/>
  <c r="U727" i="2" a="1"/>
  <c r="T727" i="2"/>
  <c r="T727" i="2" a="1"/>
  <c r="S727" i="2"/>
  <c r="R727" i="2"/>
  <c r="V726" i="2"/>
  <c r="U726" i="2"/>
  <c r="U726" i="2" a="1"/>
  <c r="T726" i="2"/>
  <c r="T726" i="2" a="1"/>
  <c r="S726" i="2"/>
  <c r="R726" i="2"/>
  <c r="V725" i="2"/>
  <c r="U725" i="2"/>
  <c r="U725" i="2" a="1"/>
  <c r="T725" i="2"/>
  <c r="T725" i="2" a="1"/>
  <c r="S725" i="2"/>
  <c r="R725" i="2"/>
  <c r="V724" i="2"/>
  <c r="U724" i="2"/>
  <c r="U724" i="2" a="1"/>
  <c r="T724" i="2"/>
  <c r="T724" i="2" a="1"/>
  <c r="S724" i="2"/>
  <c r="R724" i="2"/>
  <c r="V723" i="2"/>
  <c r="U723" i="2"/>
  <c r="U723" i="2" a="1"/>
  <c r="T723" i="2"/>
  <c r="T723" i="2" a="1"/>
  <c r="S723" i="2"/>
  <c r="R723" i="2"/>
  <c r="V722" i="2"/>
  <c r="U722" i="2"/>
  <c r="U722" i="2" a="1"/>
  <c r="T722" i="2"/>
  <c r="T722" i="2" a="1"/>
  <c r="S722" i="2"/>
  <c r="R722" i="2"/>
  <c r="V721" i="2"/>
  <c r="U721" i="2"/>
  <c r="U721" i="2" a="1"/>
  <c r="T721" i="2"/>
  <c r="T721" i="2" a="1"/>
  <c r="S721" i="2"/>
  <c r="R721" i="2"/>
  <c r="V720" i="2"/>
  <c r="U720" i="2"/>
  <c r="U720" i="2" a="1"/>
  <c r="T720" i="2"/>
  <c r="T720" i="2" a="1"/>
  <c r="S720" i="2"/>
  <c r="R720" i="2"/>
  <c r="V719" i="2"/>
  <c r="U719" i="2"/>
  <c r="U719" i="2" a="1"/>
  <c r="T719" i="2"/>
  <c r="T719" i="2" a="1"/>
  <c r="S719" i="2"/>
  <c r="R719" i="2"/>
  <c r="V718" i="2"/>
  <c r="U718" i="2"/>
  <c r="U718" i="2" a="1"/>
  <c r="T718" i="2"/>
  <c r="T718" i="2" a="1"/>
  <c r="S718" i="2"/>
  <c r="R718" i="2"/>
  <c r="V717" i="2"/>
  <c r="U717" i="2"/>
  <c r="U717" i="2" a="1"/>
  <c r="T717" i="2"/>
  <c r="T717" i="2" a="1"/>
  <c r="S717" i="2"/>
  <c r="R717" i="2"/>
  <c r="V716" i="2"/>
  <c r="U716" i="2"/>
  <c r="U716" i="2" a="1"/>
  <c r="T716" i="2"/>
  <c r="T716" i="2" a="1"/>
  <c r="S716" i="2"/>
  <c r="R716" i="2"/>
  <c r="V715" i="2"/>
  <c r="U715" i="2"/>
  <c r="U715" i="2" a="1"/>
  <c r="T715" i="2"/>
  <c r="T715" i="2" a="1"/>
  <c r="S715" i="2"/>
  <c r="R715" i="2"/>
  <c r="V714" i="2"/>
  <c r="U714" i="2"/>
  <c r="U714" i="2" a="1"/>
  <c r="T714" i="2"/>
  <c r="T714" i="2" a="1"/>
  <c r="S714" i="2"/>
  <c r="R714" i="2"/>
  <c r="V713" i="2"/>
  <c r="U713" i="2"/>
  <c r="U713" i="2" a="1"/>
  <c r="T713" i="2"/>
  <c r="T713" i="2" a="1"/>
  <c r="S713" i="2"/>
  <c r="R713" i="2"/>
  <c r="V712" i="2"/>
  <c r="U712" i="2"/>
  <c r="U712" i="2" a="1"/>
  <c r="T712" i="2"/>
  <c r="T712" i="2" a="1"/>
  <c r="S712" i="2"/>
  <c r="R712" i="2"/>
  <c r="V711" i="2"/>
  <c r="U711" i="2"/>
  <c r="U711" i="2" a="1"/>
  <c r="T711" i="2"/>
  <c r="T711" i="2" a="1"/>
  <c r="S711" i="2"/>
  <c r="R711" i="2"/>
  <c r="V710" i="2"/>
  <c r="U710" i="2"/>
  <c r="U710" i="2" a="1"/>
  <c r="T710" i="2"/>
  <c r="T710" i="2" a="1"/>
  <c r="S710" i="2"/>
  <c r="R710" i="2"/>
  <c r="V709" i="2"/>
  <c r="U709" i="2"/>
  <c r="U709" i="2" a="1"/>
  <c r="T709" i="2"/>
  <c r="T709" i="2" a="1"/>
  <c r="S709" i="2"/>
  <c r="R709" i="2"/>
  <c r="V708" i="2"/>
  <c r="U708" i="2"/>
  <c r="U708" i="2" a="1"/>
  <c r="T708" i="2"/>
  <c r="T708" i="2" a="1"/>
  <c r="S708" i="2"/>
  <c r="R708" i="2"/>
  <c r="V707" i="2"/>
  <c r="U707" i="2"/>
  <c r="U707" i="2" a="1"/>
  <c r="T707" i="2"/>
  <c r="T707" i="2" a="1"/>
  <c r="S707" i="2"/>
  <c r="R707" i="2"/>
  <c r="V706" i="2"/>
  <c r="U706" i="2"/>
  <c r="U706" i="2" a="1"/>
  <c r="T706" i="2"/>
  <c r="T706" i="2" a="1"/>
  <c r="S706" i="2"/>
  <c r="R706" i="2"/>
  <c r="V705" i="2"/>
  <c r="U705" i="2"/>
  <c r="U705" i="2" a="1"/>
  <c r="T705" i="2"/>
  <c r="T705" i="2" a="1"/>
  <c r="S705" i="2"/>
  <c r="R705" i="2"/>
  <c r="V704" i="2"/>
  <c r="U704" i="2"/>
  <c r="U704" i="2" a="1"/>
  <c r="T704" i="2"/>
  <c r="T704" i="2" a="1"/>
  <c r="S704" i="2"/>
  <c r="R704" i="2"/>
  <c r="V703" i="2"/>
  <c r="U703" i="2"/>
  <c r="U703" i="2" a="1"/>
  <c r="T703" i="2"/>
  <c r="T703" i="2" a="1"/>
  <c r="S703" i="2"/>
  <c r="R703" i="2"/>
  <c r="V702" i="2"/>
  <c r="U702" i="2"/>
  <c r="U702" i="2" a="1"/>
  <c r="T702" i="2"/>
  <c r="T702" i="2" a="1"/>
  <c r="S702" i="2"/>
  <c r="R702" i="2"/>
  <c r="V701" i="2"/>
  <c r="U701" i="2"/>
  <c r="U701" i="2" a="1"/>
  <c r="T701" i="2"/>
  <c r="T701" i="2" a="1"/>
  <c r="S701" i="2"/>
  <c r="R701" i="2"/>
  <c r="V700" i="2"/>
  <c r="U700" i="2"/>
  <c r="U700" i="2" a="1"/>
  <c r="T700" i="2"/>
  <c r="T700" i="2" a="1"/>
  <c r="S700" i="2"/>
  <c r="R700" i="2"/>
  <c r="V699" i="2"/>
  <c r="U699" i="2"/>
  <c r="U699" i="2" a="1"/>
  <c r="T699" i="2"/>
  <c r="T699" i="2" a="1"/>
  <c r="S699" i="2"/>
  <c r="R699" i="2"/>
  <c r="V698" i="2"/>
  <c r="U698" i="2"/>
  <c r="U698" i="2" a="1"/>
  <c r="T698" i="2"/>
  <c r="T698" i="2" a="1"/>
  <c r="S698" i="2"/>
  <c r="R698" i="2"/>
  <c r="V697" i="2"/>
  <c r="U697" i="2"/>
  <c r="U697" i="2" a="1"/>
  <c r="T697" i="2"/>
  <c r="T697" i="2" a="1"/>
  <c r="S697" i="2"/>
  <c r="R697" i="2"/>
  <c r="V696" i="2"/>
  <c r="U696" i="2"/>
  <c r="U696" i="2" a="1"/>
  <c r="T696" i="2"/>
  <c r="T696" i="2" a="1"/>
  <c r="S696" i="2"/>
  <c r="R696" i="2"/>
  <c r="V695" i="2"/>
  <c r="U695" i="2"/>
  <c r="U695" i="2" a="1"/>
  <c r="T695" i="2"/>
  <c r="T695" i="2" a="1"/>
  <c r="S695" i="2"/>
  <c r="R695" i="2"/>
  <c r="V694" i="2"/>
  <c r="U694" i="2"/>
  <c r="U694" i="2" a="1"/>
  <c r="T694" i="2"/>
  <c r="T694" i="2" a="1"/>
  <c r="S694" i="2"/>
  <c r="R694" i="2"/>
  <c r="V693" i="2"/>
  <c r="U693" i="2"/>
  <c r="U693" i="2" a="1"/>
  <c r="T693" i="2"/>
  <c r="T693" i="2" a="1"/>
  <c r="S693" i="2"/>
  <c r="R693" i="2"/>
  <c r="V692" i="2"/>
  <c r="U692" i="2"/>
  <c r="U692" i="2" a="1"/>
  <c r="T692" i="2"/>
  <c r="T692" i="2" a="1"/>
  <c r="S692" i="2"/>
  <c r="R692" i="2"/>
  <c r="V691" i="2"/>
  <c r="U691" i="2"/>
  <c r="U691" i="2" a="1"/>
  <c r="T691" i="2"/>
  <c r="T691" i="2" a="1"/>
  <c r="S691" i="2"/>
  <c r="R691" i="2"/>
  <c r="V690" i="2"/>
  <c r="U690" i="2"/>
  <c r="U690" i="2" a="1"/>
  <c r="T690" i="2"/>
  <c r="T690" i="2" a="1"/>
  <c r="S690" i="2"/>
  <c r="R690" i="2"/>
  <c r="V689" i="2"/>
  <c r="U689" i="2"/>
  <c r="U689" i="2" a="1"/>
  <c r="T689" i="2"/>
  <c r="T689" i="2" a="1"/>
  <c r="S689" i="2"/>
  <c r="R689" i="2"/>
  <c r="V688" i="2"/>
  <c r="U688" i="2"/>
  <c r="U688" i="2" a="1"/>
  <c r="T688" i="2"/>
  <c r="T688" i="2" a="1"/>
  <c r="S688" i="2"/>
  <c r="R688" i="2"/>
  <c r="V687" i="2"/>
  <c r="U687" i="2"/>
  <c r="U687" i="2" a="1"/>
  <c r="T687" i="2"/>
  <c r="T687" i="2" a="1"/>
  <c r="S687" i="2"/>
  <c r="R687" i="2"/>
  <c r="V686" i="2"/>
  <c r="U686" i="2"/>
  <c r="U686" i="2" a="1"/>
  <c r="T686" i="2"/>
  <c r="T686" i="2" a="1"/>
  <c r="S686" i="2"/>
  <c r="R686" i="2"/>
  <c r="V685" i="2"/>
  <c r="U685" i="2"/>
  <c r="U685" i="2" a="1"/>
  <c r="T685" i="2"/>
  <c r="T685" i="2" a="1"/>
  <c r="S685" i="2"/>
  <c r="R685" i="2"/>
  <c r="V684" i="2"/>
  <c r="U684" i="2"/>
  <c r="U684" i="2" a="1"/>
  <c r="T684" i="2"/>
  <c r="T684" i="2" a="1"/>
  <c r="S684" i="2"/>
  <c r="R684" i="2"/>
  <c r="V683" i="2"/>
  <c r="U683" i="2"/>
  <c r="U683" i="2" a="1"/>
  <c r="T683" i="2"/>
  <c r="T683" i="2" a="1"/>
  <c r="S683" i="2"/>
  <c r="R683" i="2"/>
  <c r="V682" i="2"/>
  <c r="U682" i="2"/>
  <c r="U682" i="2" a="1"/>
  <c r="T682" i="2"/>
  <c r="T682" i="2" a="1"/>
  <c r="S682" i="2"/>
  <c r="R682" i="2"/>
  <c r="V681" i="2"/>
  <c r="U681" i="2"/>
  <c r="U681" i="2" a="1"/>
  <c r="T681" i="2"/>
  <c r="T681" i="2" a="1"/>
  <c r="S681" i="2"/>
  <c r="R681" i="2"/>
  <c r="V680" i="2"/>
  <c r="U680" i="2"/>
  <c r="U680" i="2" a="1"/>
  <c r="T680" i="2"/>
  <c r="T680" i="2" a="1"/>
  <c r="S680" i="2"/>
  <c r="R680" i="2"/>
  <c r="V679" i="2"/>
  <c r="U679" i="2"/>
  <c r="U679" i="2" a="1"/>
  <c r="T679" i="2"/>
  <c r="T679" i="2" a="1"/>
  <c r="S679" i="2"/>
  <c r="R679" i="2"/>
  <c r="V678" i="2"/>
  <c r="U678" i="2"/>
  <c r="U678" i="2" a="1"/>
  <c r="T678" i="2"/>
  <c r="T678" i="2" a="1"/>
  <c r="S678" i="2"/>
  <c r="R678" i="2"/>
  <c r="V677" i="2"/>
  <c r="U677" i="2"/>
  <c r="U677" i="2" a="1"/>
  <c r="T677" i="2"/>
  <c r="T677" i="2" a="1"/>
  <c r="S677" i="2"/>
  <c r="R677" i="2"/>
  <c r="V676" i="2"/>
  <c r="U676" i="2"/>
  <c r="U676" i="2" a="1"/>
  <c r="T676" i="2"/>
  <c r="T676" i="2" a="1"/>
  <c r="S676" i="2"/>
  <c r="R676" i="2"/>
  <c r="V675" i="2"/>
  <c r="U675" i="2"/>
  <c r="U675" i="2" a="1"/>
  <c r="T675" i="2"/>
  <c r="T675" i="2" a="1"/>
  <c r="S675" i="2"/>
  <c r="R675" i="2"/>
  <c r="V674" i="2"/>
  <c r="U674" i="2"/>
  <c r="U674" i="2" a="1"/>
  <c r="T674" i="2"/>
  <c r="T674" i="2" a="1"/>
  <c r="S674" i="2"/>
  <c r="R674" i="2"/>
  <c r="V673" i="2"/>
  <c r="U673" i="2"/>
  <c r="U673" i="2" a="1"/>
  <c r="T673" i="2"/>
  <c r="T673" i="2" a="1"/>
  <c r="S673" i="2"/>
  <c r="R673" i="2"/>
  <c r="V672" i="2"/>
  <c r="U672" i="2"/>
  <c r="U672" i="2" a="1"/>
  <c r="T672" i="2"/>
  <c r="T672" i="2" a="1"/>
  <c r="S672" i="2"/>
  <c r="R672" i="2"/>
  <c r="V671" i="2"/>
  <c r="U671" i="2"/>
  <c r="U671" i="2" a="1"/>
  <c r="T671" i="2"/>
  <c r="T671" i="2" a="1"/>
  <c r="S671" i="2"/>
  <c r="R671" i="2"/>
  <c r="V670" i="2"/>
  <c r="U670" i="2"/>
  <c r="U670" i="2" a="1"/>
  <c r="T670" i="2"/>
  <c r="T670" i="2" a="1"/>
  <c r="S670" i="2"/>
  <c r="R670" i="2"/>
  <c r="V669" i="2"/>
  <c r="U669" i="2"/>
  <c r="U669" i="2" a="1"/>
  <c r="T669" i="2"/>
  <c r="T669" i="2" a="1"/>
  <c r="S669" i="2"/>
  <c r="R669" i="2"/>
  <c r="V668" i="2"/>
  <c r="U668" i="2"/>
  <c r="U668" i="2" a="1"/>
  <c r="T668" i="2"/>
  <c r="T668" i="2" a="1"/>
  <c r="S668" i="2"/>
  <c r="R668" i="2"/>
  <c r="V667" i="2"/>
  <c r="U667" i="2"/>
  <c r="U667" i="2" a="1"/>
  <c r="T667" i="2"/>
  <c r="T667" i="2" a="1"/>
  <c r="S667" i="2"/>
  <c r="R667" i="2"/>
  <c r="V666" i="2"/>
  <c r="U666" i="2"/>
  <c r="U666" i="2" a="1"/>
  <c r="T666" i="2"/>
  <c r="T666" i="2" a="1"/>
  <c r="S666" i="2"/>
  <c r="R666" i="2"/>
  <c r="V665" i="2"/>
  <c r="U665" i="2"/>
  <c r="U665" i="2" a="1"/>
  <c r="T665" i="2"/>
  <c r="T665" i="2" a="1"/>
  <c r="S665" i="2"/>
  <c r="R665" i="2"/>
  <c r="V664" i="2"/>
  <c r="U664" i="2"/>
  <c r="U664" i="2" a="1"/>
  <c r="T664" i="2"/>
  <c r="T664" i="2" a="1"/>
  <c r="S664" i="2"/>
  <c r="R664" i="2"/>
  <c r="V663" i="2"/>
  <c r="U663" i="2"/>
  <c r="U663" i="2" a="1"/>
  <c r="T663" i="2"/>
  <c r="T663" i="2" a="1"/>
  <c r="S663" i="2"/>
  <c r="R663" i="2"/>
  <c r="V662" i="2"/>
  <c r="U662" i="2"/>
  <c r="U662" i="2" a="1"/>
  <c r="T662" i="2"/>
  <c r="T662" i="2" a="1"/>
  <c r="S662" i="2"/>
  <c r="R662" i="2"/>
  <c r="V661" i="2"/>
  <c r="U661" i="2"/>
  <c r="U661" i="2" a="1"/>
  <c r="T661" i="2"/>
  <c r="T661" i="2" a="1"/>
  <c r="S661" i="2"/>
  <c r="R661" i="2"/>
  <c r="V660" i="2"/>
  <c r="U660" i="2"/>
  <c r="U660" i="2" a="1"/>
  <c r="T660" i="2"/>
  <c r="T660" i="2" a="1"/>
  <c r="S660" i="2"/>
  <c r="R660" i="2"/>
  <c r="V659" i="2"/>
  <c r="U659" i="2"/>
  <c r="U659" i="2" a="1"/>
  <c r="T659" i="2"/>
  <c r="T659" i="2" a="1"/>
  <c r="S659" i="2"/>
  <c r="R659" i="2"/>
  <c r="V658" i="2"/>
  <c r="U658" i="2"/>
  <c r="U658" i="2" a="1"/>
  <c r="T658" i="2"/>
  <c r="T658" i="2" a="1"/>
  <c r="S658" i="2"/>
  <c r="R658" i="2"/>
  <c r="V657" i="2"/>
  <c r="U657" i="2"/>
  <c r="U657" i="2" a="1"/>
  <c r="T657" i="2"/>
  <c r="T657" i="2" a="1"/>
  <c r="S657" i="2"/>
  <c r="R657" i="2"/>
  <c r="V656" i="2"/>
  <c r="U656" i="2"/>
  <c r="U656" i="2" a="1"/>
  <c r="T656" i="2"/>
  <c r="T656" i="2" a="1"/>
  <c r="S656" i="2"/>
  <c r="R656" i="2"/>
  <c r="V655" i="2"/>
  <c r="U655" i="2"/>
  <c r="U655" i="2" a="1"/>
  <c r="T655" i="2"/>
  <c r="T655" i="2" a="1"/>
  <c r="S655" i="2"/>
  <c r="R655" i="2"/>
  <c r="V654" i="2"/>
  <c r="U654" i="2"/>
  <c r="U654" i="2" a="1"/>
  <c r="T654" i="2"/>
  <c r="T654" i="2" a="1"/>
  <c r="S654" i="2"/>
  <c r="R654" i="2"/>
  <c r="V653" i="2"/>
  <c r="U653" i="2"/>
  <c r="U653" i="2" a="1"/>
  <c r="T653" i="2"/>
  <c r="T653" i="2" a="1"/>
  <c r="S653" i="2"/>
  <c r="R653" i="2"/>
  <c r="V652" i="2"/>
  <c r="U652" i="2"/>
  <c r="U652" i="2" a="1"/>
  <c r="T652" i="2"/>
  <c r="T652" i="2" a="1"/>
  <c r="S652" i="2"/>
  <c r="R652" i="2"/>
  <c r="V651" i="2"/>
  <c r="U651" i="2"/>
  <c r="U651" i="2" a="1"/>
  <c r="T651" i="2"/>
  <c r="T651" i="2" a="1"/>
  <c r="S651" i="2"/>
  <c r="R651" i="2"/>
  <c r="V650" i="2"/>
  <c r="U650" i="2"/>
  <c r="U650" i="2" a="1"/>
  <c r="T650" i="2"/>
  <c r="T650" i="2" a="1"/>
  <c r="S650" i="2"/>
  <c r="R650" i="2"/>
  <c r="V649" i="2"/>
  <c r="U649" i="2"/>
  <c r="U649" i="2" a="1"/>
  <c r="T649" i="2"/>
  <c r="T649" i="2" a="1"/>
  <c r="S649" i="2"/>
  <c r="R649" i="2"/>
  <c r="V648" i="2"/>
  <c r="U648" i="2"/>
  <c r="U648" i="2" a="1"/>
  <c r="T648" i="2"/>
  <c r="T648" i="2" a="1"/>
  <c r="S648" i="2"/>
  <c r="R648" i="2"/>
  <c r="V647" i="2"/>
  <c r="U647" i="2"/>
  <c r="U647" i="2" a="1"/>
  <c r="T647" i="2"/>
  <c r="T647" i="2" a="1"/>
  <c r="S647" i="2"/>
  <c r="R647" i="2"/>
  <c r="V646" i="2"/>
  <c r="U646" i="2"/>
  <c r="U646" i="2" a="1"/>
  <c r="T646" i="2"/>
  <c r="T646" i="2" a="1"/>
  <c r="S646" i="2"/>
  <c r="R646" i="2"/>
  <c r="V645" i="2"/>
  <c r="U645" i="2"/>
  <c r="U645" i="2" a="1"/>
  <c r="T645" i="2"/>
  <c r="T645" i="2" a="1"/>
  <c r="S645" i="2"/>
  <c r="R645" i="2"/>
  <c r="V644" i="2"/>
  <c r="U644" i="2"/>
  <c r="U644" i="2" a="1"/>
  <c r="T644" i="2"/>
  <c r="T644" i="2" a="1"/>
  <c r="S644" i="2"/>
  <c r="R644" i="2"/>
  <c r="V643" i="2"/>
  <c r="U643" i="2"/>
  <c r="U643" i="2" a="1"/>
  <c r="T643" i="2"/>
  <c r="T643" i="2" a="1"/>
  <c r="S643" i="2"/>
  <c r="R643" i="2"/>
  <c r="V642" i="2"/>
  <c r="U642" i="2"/>
  <c r="U642" i="2" a="1"/>
  <c r="T642" i="2"/>
  <c r="T642" i="2" a="1"/>
  <c r="S642" i="2"/>
  <c r="R642" i="2"/>
  <c r="V641" i="2"/>
  <c r="U641" i="2"/>
  <c r="U641" i="2" a="1"/>
  <c r="T641" i="2"/>
  <c r="T641" i="2" a="1"/>
  <c r="S641" i="2"/>
  <c r="R641" i="2"/>
  <c r="V640" i="2"/>
  <c r="U640" i="2"/>
  <c r="U640" i="2" a="1"/>
  <c r="T640" i="2"/>
  <c r="T640" i="2" a="1"/>
  <c r="S640" i="2"/>
  <c r="R640" i="2"/>
  <c r="V639" i="2"/>
  <c r="U639" i="2"/>
  <c r="U639" i="2" a="1"/>
  <c r="T639" i="2"/>
  <c r="T639" i="2" a="1"/>
  <c r="S639" i="2"/>
  <c r="R639" i="2"/>
  <c r="V638" i="2"/>
  <c r="U638" i="2"/>
  <c r="U638" i="2" a="1"/>
  <c r="T638" i="2"/>
  <c r="T638" i="2" a="1"/>
  <c r="S638" i="2"/>
  <c r="R638" i="2"/>
  <c r="V637" i="2"/>
  <c r="U637" i="2"/>
  <c r="U637" i="2" a="1"/>
  <c r="T637" i="2"/>
  <c r="T637" i="2" a="1"/>
  <c r="S637" i="2"/>
  <c r="R637" i="2"/>
  <c r="V636" i="2"/>
  <c r="U636" i="2"/>
  <c r="U636" i="2" a="1"/>
  <c r="T636" i="2"/>
  <c r="T636" i="2" a="1"/>
  <c r="S636" i="2"/>
  <c r="R636" i="2"/>
  <c r="V635" i="2"/>
  <c r="U635" i="2"/>
  <c r="U635" i="2" a="1"/>
  <c r="T635" i="2"/>
  <c r="T635" i="2" a="1"/>
  <c r="S635" i="2"/>
  <c r="R635" i="2"/>
  <c r="V634" i="2"/>
  <c r="U634" i="2"/>
  <c r="U634" i="2" a="1"/>
  <c r="T634" i="2"/>
  <c r="T634" i="2" a="1"/>
  <c r="S634" i="2"/>
  <c r="R634" i="2"/>
  <c r="V633" i="2"/>
  <c r="U633" i="2"/>
  <c r="U633" i="2" a="1"/>
  <c r="T633" i="2"/>
  <c r="T633" i="2" a="1"/>
  <c r="S633" i="2"/>
  <c r="R633" i="2"/>
  <c r="V632" i="2"/>
  <c r="U632" i="2"/>
  <c r="U632" i="2" a="1"/>
  <c r="T632" i="2"/>
  <c r="T632" i="2" a="1"/>
  <c r="S632" i="2"/>
  <c r="R632" i="2"/>
  <c r="V631" i="2"/>
  <c r="U631" i="2"/>
  <c r="U631" i="2" a="1"/>
  <c r="T631" i="2"/>
  <c r="T631" i="2" a="1"/>
  <c r="S631" i="2"/>
  <c r="R631" i="2"/>
  <c r="V630" i="2"/>
  <c r="U630" i="2"/>
  <c r="U630" i="2" a="1"/>
  <c r="T630" i="2"/>
  <c r="T630" i="2" a="1"/>
  <c r="S630" i="2"/>
  <c r="R630" i="2"/>
  <c r="V629" i="2"/>
  <c r="U629" i="2"/>
  <c r="U629" i="2" a="1"/>
  <c r="T629" i="2"/>
  <c r="T629" i="2" a="1"/>
  <c r="S629" i="2"/>
  <c r="R629" i="2"/>
  <c r="V628" i="2"/>
  <c r="U628" i="2"/>
  <c r="U628" i="2" a="1"/>
  <c r="T628" i="2"/>
  <c r="T628" i="2" a="1"/>
  <c r="S628" i="2"/>
  <c r="R628" i="2"/>
  <c r="V627" i="2"/>
  <c r="U627" i="2"/>
  <c r="U627" i="2" a="1"/>
  <c r="T627" i="2"/>
  <c r="T627" i="2" a="1"/>
  <c r="S627" i="2"/>
  <c r="R627" i="2"/>
  <c r="V626" i="2"/>
  <c r="U626" i="2"/>
  <c r="U626" i="2" a="1"/>
  <c r="T626" i="2"/>
  <c r="T626" i="2" a="1"/>
  <c r="S626" i="2"/>
  <c r="R626" i="2"/>
  <c r="V625" i="2"/>
  <c r="U625" i="2"/>
  <c r="U625" i="2" a="1"/>
  <c r="T625" i="2"/>
  <c r="T625" i="2" a="1"/>
  <c r="S625" i="2"/>
  <c r="R625" i="2"/>
  <c r="V624" i="2"/>
  <c r="U624" i="2"/>
  <c r="U624" i="2" a="1"/>
  <c r="T624" i="2"/>
  <c r="T624" i="2" a="1"/>
  <c r="S624" i="2"/>
  <c r="R624" i="2"/>
  <c r="V623" i="2"/>
  <c r="U623" i="2"/>
  <c r="U623" i="2" a="1"/>
  <c r="T623" i="2"/>
  <c r="T623" i="2" a="1"/>
  <c r="S623" i="2"/>
  <c r="R623" i="2"/>
  <c r="V622" i="2"/>
  <c r="U622" i="2"/>
  <c r="U622" i="2" a="1"/>
  <c r="T622" i="2"/>
  <c r="T622" i="2" a="1"/>
  <c r="S622" i="2"/>
  <c r="R622" i="2"/>
  <c r="V621" i="2"/>
  <c r="U621" i="2"/>
  <c r="U621" i="2" a="1"/>
  <c r="T621" i="2"/>
  <c r="T621" i="2" a="1"/>
  <c r="S621" i="2"/>
  <c r="R621" i="2"/>
  <c r="V620" i="2"/>
  <c r="U620" i="2"/>
  <c r="U620" i="2" a="1"/>
  <c r="T620" i="2"/>
  <c r="T620" i="2" a="1"/>
  <c r="S620" i="2"/>
  <c r="R620" i="2"/>
  <c r="V619" i="2"/>
  <c r="U619" i="2"/>
  <c r="U619" i="2" a="1"/>
  <c r="T619" i="2"/>
  <c r="T619" i="2" a="1"/>
  <c r="S619" i="2"/>
  <c r="R619" i="2"/>
  <c r="V618" i="2"/>
  <c r="U618" i="2"/>
  <c r="U618" i="2" a="1"/>
  <c r="T618" i="2"/>
  <c r="T618" i="2" a="1"/>
  <c r="S618" i="2"/>
  <c r="R618" i="2"/>
  <c r="V617" i="2"/>
  <c r="U617" i="2"/>
  <c r="U617" i="2" a="1"/>
  <c r="T617" i="2"/>
  <c r="T617" i="2" a="1"/>
  <c r="S617" i="2"/>
  <c r="R617" i="2"/>
  <c r="V616" i="2"/>
  <c r="U616" i="2"/>
  <c r="U616" i="2" a="1"/>
  <c r="T616" i="2"/>
  <c r="T616" i="2" a="1"/>
  <c r="S616" i="2"/>
  <c r="R616" i="2"/>
  <c r="V615" i="2"/>
  <c r="U615" i="2"/>
  <c r="U615" i="2" a="1"/>
  <c r="T615" i="2"/>
  <c r="T615" i="2" a="1"/>
  <c r="S615" i="2"/>
  <c r="R615" i="2"/>
  <c r="V614" i="2"/>
  <c r="U614" i="2"/>
  <c r="U614" i="2" a="1"/>
  <c r="T614" i="2"/>
  <c r="T614" i="2" a="1"/>
  <c r="S614" i="2"/>
  <c r="R614" i="2"/>
  <c r="V613" i="2"/>
  <c r="U613" i="2"/>
  <c r="U613" i="2" a="1"/>
  <c r="T613" i="2"/>
  <c r="T613" i="2" a="1"/>
  <c r="S613" i="2"/>
  <c r="R613" i="2"/>
  <c r="V612" i="2"/>
  <c r="U612" i="2"/>
  <c r="U612" i="2" a="1"/>
  <c r="T612" i="2"/>
  <c r="T612" i="2" a="1"/>
  <c r="S612" i="2"/>
  <c r="R612" i="2"/>
  <c r="V611" i="2"/>
  <c r="U611" i="2"/>
  <c r="U611" i="2" a="1"/>
  <c r="T611" i="2"/>
  <c r="T611" i="2" a="1"/>
  <c r="S611" i="2"/>
  <c r="R611" i="2"/>
  <c r="V610" i="2"/>
  <c r="U610" i="2"/>
  <c r="U610" i="2" a="1"/>
  <c r="T610" i="2"/>
  <c r="T610" i="2" a="1"/>
  <c r="S610" i="2"/>
  <c r="R610" i="2"/>
  <c r="V609" i="2"/>
  <c r="U609" i="2"/>
  <c r="U609" i="2" a="1"/>
  <c r="T609" i="2"/>
  <c r="T609" i="2" a="1"/>
  <c r="S609" i="2"/>
  <c r="R609" i="2"/>
  <c r="V608" i="2"/>
  <c r="U608" i="2"/>
  <c r="U608" i="2" a="1"/>
  <c r="T608" i="2"/>
  <c r="T608" i="2" a="1"/>
  <c r="S608" i="2"/>
  <c r="R608" i="2"/>
  <c r="V607" i="2"/>
  <c r="U607" i="2"/>
  <c r="U607" i="2" a="1"/>
  <c r="T607" i="2"/>
  <c r="T607" i="2" a="1"/>
  <c r="S607" i="2"/>
  <c r="R607" i="2"/>
  <c r="V606" i="2"/>
  <c r="U606" i="2"/>
  <c r="U606" i="2" a="1"/>
  <c r="T606" i="2"/>
  <c r="T606" i="2" a="1"/>
  <c r="S606" i="2"/>
  <c r="R606" i="2"/>
  <c r="V605" i="2"/>
  <c r="U605" i="2"/>
  <c r="U605" i="2" a="1"/>
  <c r="T605" i="2"/>
  <c r="T605" i="2" a="1"/>
  <c r="S605" i="2"/>
  <c r="R605" i="2"/>
  <c r="V604" i="2"/>
  <c r="U604" i="2"/>
  <c r="U604" i="2" a="1"/>
  <c r="T604" i="2"/>
  <c r="T604" i="2" a="1"/>
  <c r="S604" i="2"/>
  <c r="R604" i="2"/>
  <c r="V603" i="2"/>
  <c r="U603" i="2"/>
  <c r="U603" i="2" a="1"/>
  <c r="T603" i="2"/>
  <c r="T603" i="2" a="1"/>
  <c r="S603" i="2"/>
  <c r="R603" i="2"/>
  <c r="V602" i="2"/>
  <c r="U602" i="2"/>
  <c r="U602" i="2" a="1"/>
  <c r="T602" i="2"/>
  <c r="T602" i="2" a="1"/>
  <c r="S602" i="2"/>
  <c r="R602" i="2"/>
  <c r="V601" i="2"/>
  <c r="U601" i="2"/>
  <c r="U601" i="2" a="1"/>
  <c r="T601" i="2"/>
  <c r="T601" i="2" a="1"/>
  <c r="S601" i="2"/>
  <c r="R601" i="2"/>
  <c r="V600" i="2"/>
  <c r="U600" i="2"/>
  <c r="U600" i="2" a="1"/>
  <c r="T600" i="2"/>
  <c r="T600" i="2" a="1"/>
  <c r="S600" i="2"/>
  <c r="R600" i="2"/>
  <c r="V599" i="2"/>
  <c r="U599" i="2"/>
  <c r="U599" i="2" a="1"/>
  <c r="T599" i="2"/>
  <c r="T599" i="2" a="1"/>
  <c r="S599" i="2"/>
  <c r="R599" i="2"/>
  <c r="V598" i="2"/>
  <c r="U598" i="2"/>
  <c r="U598" i="2" a="1"/>
  <c r="T598" i="2"/>
  <c r="T598" i="2" a="1"/>
  <c r="S598" i="2"/>
  <c r="R598" i="2"/>
  <c r="V597" i="2"/>
  <c r="U597" i="2"/>
  <c r="U597" i="2" a="1"/>
  <c r="T597" i="2"/>
  <c r="T597" i="2" a="1"/>
  <c r="S597" i="2"/>
  <c r="R597" i="2"/>
  <c r="V596" i="2"/>
  <c r="U596" i="2"/>
  <c r="U596" i="2" a="1"/>
  <c r="T596" i="2"/>
  <c r="T596" i="2" a="1"/>
  <c r="S596" i="2"/>
  <c r="R596" i="2"/>
  <c r="V595" i="2"/>
  <c r="U595" i="2"/>
  <c r="U595" i="2" a="1"/>
  <c r="T595" i="2"/>
  <c r="T595" i="2" a="1"/>
  <c r="S595" i="2"/>
  <c r="R595" i="2"/>
  <c r="V594" i="2"/>
  <c r="U594" i="2"/>
  <c r="U594" i="2" a="1"/>
  <c r="T594" i="2"/>
  <c r="T594" i="2" a="1"/>
  <c r="S594" i="2"/>
  <c r="R594" i="2"/>
  <c r="V593" i="2"/>
  <c r="U593" i="2"/>
  <c r="U593" i="2" a="1"/>
  <c r="T593" i="2"/>
  <c r="T593" i="2" a="1"/>
  <c r="S593" i="2"/>
  <c r="R593" i="2"/>
  <c r="V592" i="2"/>
  <c r="U592" i="2"/>
  <c r="U592" i="2" a="1"/>
  <c r="T592" i="2"/>
  <c r="T592" i="2" a="1"/>
  <c r="S592" i="2"/>
  <c r="R592" i="2"/>
  <c r="V591" i="2"/>
  <c r="U591" i="2"/>
  <c r="U591" i="2" a="1"/>
  <c r="T591" i="2"/>
  <c r="T591" i="2" a="1"/>
  <c r="S591" i="2"/>
  <c r="R591" i="2"/>
  <c r="V590" i="2"/>
  <c r="U590" i="2"/>
  <c r="U590" i="2" a="1"/>
  <c r="T590" i="2"/>
  <c r="T590" i="2" a="1"/>
  <c r="S590" i="2"/>
  <c r="R590" i="2"/>
  <c r="V589" i="2"/>
  <c r="U589" i="2"/>
  <c r="U589" i="2" a="1"/>
  <c r="T589" i="2"/>
  <c r="T589" i="2" a="1"/>
  <c r="S589" i="2"/>
  <c r="R589" i="2"/>
  <c r="V588" i="2"/>
  <c r="U588" i="2"/>
  <c r="U588" i="2" a="1"/>
  <c r="T588" i="2"/>
  <c r="T588" i="2" a="1"/>
  <c r="S588" i="2"/>
  <c r="R588" i="2"/>
  <c r="V587" i="2"/>
  <c r="U587" i="2"/>
  <c r="U587" i="2" a="1"/>
  <c r="T587" i="2"/>
  <c r="T587" i="2" a="1"/>
  <c r="S587" i="2"/>
  <c r="R587" i="2"/>
  <c r="V586" i="2"/>
  <c r="U586" i="2"/>
  <c r="U586" i="2" a="1"/>
  <c r="T586" i="2"/>
  <c r="T586" i="2" a="1"/>
  <c r="S586" i="2"/>
  <c r="R586" i="2"/>
  <c r="V585" i="2"/>
  <c r="U585" i="2"/>
  <c r="U585" i="2" a="1"/>
  <c r="T585" i="2"/>
  <c r="T585" i="2" a="1"/>
  <c r="S585" i="2"/>
  <c r="R585" i="2"/>
  <c r="V584" i="2"/>
  <c r="U584" i="2"/>
  <c r="U584" i="2" a="1"/>
  <c r="T584" i="2"/>
  <c r="T584" i="2" a="1"/>
  <c r="S584" i="2"/>
  <c r="R584" i="2"/>
  <c r="V583" i="2"/>
  <c r="U583" i="2"/>
  <c r="U583" i="2" a="1"/>
  <c r="T583" i="2"/>
  <c r="T583" i="2" a="1"/>
  <c r="S583" i="2"/>
  <c r="R583" i="2"/>
  <c r="V582" i="2"/>
  <c r="U582" i="2"/>
  <c r="U582" i="2" a="1"/>
  <c r="T582" i="2"/>
  <c r="T582" i="2" a="1"/>
  <c r="S582" i="2"/>
  <c r="R582" i="2"/>
  <c r="V581" i="2"/>
  <c r="U581" i="2"/>
  <c r="U581" i="2" a="1"/>
  <c r="T581" i="2"/>
  <c r="T581" i="2" a="1"/>
  <c r="S581" i="2"/>
  <c r="R581" i="2"/>
  <c r="V580" i="2"/>
  <c r="U580" i="2"/>
  <c r="U580" i="2" a="1"/>
  <c r="T580" i="2"/>
  <c r="T580" i="2" a="1"/>
  <c r="S580" i="2"/>
  <c r="R580" i="2"/>
  <c r="V579" i="2"/>
  <c r="U579" i="2"/>
  <c r="U579" i="2" a="1"/>
  <c r="T579" i="2"/>
  <c r="T579" i="2" a="1"/>
  <c r="S579" i="2"/>
  <c r="R579" i="2"/>
  <c r="V578" i="2"/>
  <c r="U578" i="2"/>
  <c r="U578" i="2" a="1"/>
  <c r="T578" i="2"/>
  <c r="T578" i="2" a="1"/>
  <c r="S578" i="2"/>
  <c r="R578" i="2"/>
  <c r="V577" i="2"/>
  <c r="U577" i="2"/>
  <c r="U577" i="2" a="1"/>
  <c r="T577" i="2"/>
  <c r="T577" i="2" a="1"/>
  <c r="S577" i="2"/>
  <c r="R577" i="2"/>
  <c r="V576" i="2"/>
  <c r="U576" i="2"/>
  <c r="U576" i="2" a="1"/>
  <c r="T576" i="2"/>
  <c r="T576" i="2" a="1"/>
  <c r="S576" i="2"/>
  <c r="R576" i="2"/>
  <c r="V575" i="2"/>
  <c r="U575" i="2"/>
  <c r="U575" i="2" a="1"/>
  <c r="T575" i="2"/>
  <c r="T575" i="2" a="1"/>
  <c r="S575" i="2"/>
  <c r="R575" i="2"/>
  <c r="V574" i="2"/>
  <c r="U574" i="2"/>
  <c r="U574" i="2" a="1"/>
  <c r="T574" i="2"/>
  <c r="T574" i="2" a="1"/>
  <c r="S574" i="2"/>
  <c r="R574" i="2"/>
  <c r="V573" i="2"/>
  <c r="U573" i="2"/>
  <c r="U573" i="2" a="1"/>
  <c r="T573" i="2"/>
  <c r="T573" i="2" a="1"/>
  <c r="S573" i="2"/>
  <c r="R573" i="2"/>
  <c r="V572" i="2"/>
  <c r="U572" i="2"/>
  <c r="U572" i="2" a="1"/>
  <c r="T572" i="2"/>
  <c r="T572" i="2" a="1"/>
  <c r="S572" i="2"/>
  <c r="R572" i="2"/>
  <c r="V571" i="2"/>
  <c r="U571" i="2"/>
  <c r="U571" i="2" a="1"/>
  <c r="T571" i="2"/>
  <c r="T571" i="2" a="1"/>
  <c r="S571" i="2"/>
  <c r="R571" i="2"/>
  <c r="V570" i="2"/>
  <c r="U570" i="2"/>
  <c r="U570" i="2" a="1"/>
  <c r="T570" i="2"/>
  <c r="T570" i="2" a="1"/>
  <c r="S570" i="2"/>
  <c r="R570" i="2"/>
  <c r="V569" i="2"/>
  <c r="U569" i="2"/>
  <c r="U569" i="2" a="1"/>
  <c r="T569" i="2"/>
  <c r="T569" i="2" a="1"/>
  <c r="S569" i="2"/>
  <c r="R569" i="2"/>
  <c r="V568" i="2"/>
  <c r="U568" i="2"/>
  <c r="U568" i="2" a="1"/>
  <c r="T568" i="2"/>
  <c r="T568" i="2" a="1"/>
  <c r="S568" i="2"/>
  <c r="R568" i="2"/>
  <c r="V567" i="2"/>
  <c r="U567" i="2"/>
  <c r="U567" i="2" a="1"/>
  <c r="T567" i="2"/>
  <c r="T567" i="2" a="1"/>
  <c r="S567" i="2"/>
  <c r="R567" i="2"/>
  <c r="V566" i="2"/>
  <c r="U566" i="2"/>
  <c r="U566" i="2" a="1"/>
  <c r="T566" i="2"/>
  <c r="T566" i="2" a="1"/>
  <c r="S566" i="2"/>
  <c r="R566" i="2"/>
  <c r="V565" i="2"/>
  <c r="U565" i="2"/>
  <c r="U565" i="2" a="1"/>
  <c r="T565" i="2"/>
  <c r="T565" i="2" a="1"/>
  <c r="S565" i="2"/>
  <c r="R565" i="2"/>
  <c r="V564" i="2"/>
  <c r="U564" i="2"/>
  <c r="U564" i="2" a="1"/>
  <c r="T564" i="2"/>
  <c r="T564" i="2" a="1"/>
  <c r="S564" i="2"/>
  <c r="R564" i="2"/>
  <c r="V563" i="2"/>
  <c r="U563" i="2"/>
  <c r="U563" i="2" a="1"/>
  <c r="T563" i="2"/>
  <c r="T563" i="2" a="1"/>
  <c r="S563" i="2"/>
  <c r="R563" i="2"/>
  <c r="V562" i="2"/>
  <c r="U562" i="2"/>
  <c r="U562" i="2" a="1"/>
  <c r="T562" i="2"/>
  <c r="T562" i="2" a="1"/>
  <c r="S562" i="2"/>
  <c r="R562" i="2"/>
  <c r="V561" i="2"/>
  <c r="U561" i="2"/>
  <c r="U561" i="2" a="1"/>
  <c r="T561" i="2"/>
  <c r="T561" i="2" a="1"/>
  <c r="S561" i="2"/>
  <c r="R561" i="2"/>
  <c r="V560" i="2"/>
  <c r="U560" i="2"/>
  <c r="U560" i="2" a="1"/>
  <c r="T560" i="2"/>
  <c r="T560" i="2" a="1"/>
  <c r="S560" i="2"/>
  <c r="R560" i="2"/>
  <c r="V559" i="2"/>
  <c r="U559" i="2"/>
  <c r="U559" i="2" a="1"/>
  <c r="T559" i="2"/>
  <c r="T559" i="2" a="1"/>
  <c r="S559" i="2"/>
  <c r="R559" i="2"/>
  <c r="V558" i="2"/>
  <c r="U558" i="2"/>
  <c r="U558" i="2" a="1"/>
  <c r="T558" i="2"/>
  <c r="T558" i="2" a="1"/>
  <c r="S558" i="2"/>
  <c r="R558" i="2"/>
  <c r="V557" i="2"/>
  <c r="U557" i="2"/>
  <c r="U557" i="2" a="1"/>
  <c r="T557" i="2"/>
  <c r="T557" i="2" a="1"/>
  <c r="S557" i="2"/>
  <c r="R557" i="2"/>
  <c r="V556" i="2"/>
  <c r="U556" i="2"/>
  <c r="U556" i="2" a="1"/>
  <c r="T556" i="2"/>
  <c r="T556" i="2" a="1"/>
  <c r="S556" i="2"/>
  <c r="R556" i="2"/>
  <c r="V555" i="2"/>
  <c r="U555" i="2"/>
  <c r="U555" i="2" a="1"/>
  <c r="T555" i="2"/>
  <c r="T555" i="2" a="1"/>
  <c r="S555" i="2"/>
  <c r="R555" i="2"/>
  <c r="V554" i="2"/>
  <c r="U554" i="2"/>
  <c r="U554" i="2" a="1"/>
  <c r="T554" i="2"/>
  <c r="T554" i="2" a="1"/>
  <c r="S554" i="2"/>
  <c r="R554" i="2"/>
  <c r="V553" i="2"/>
  <c r="U553" i="2"/>
  <c r="U553" i="2" a="1"/>
  <c r="T553" i="2"/>
  <c r="T553" i="2" a="1"/>
  <c r="S553" i="2"/>
  <c r="R553" i="2"/>
  <c r="V552" i="2"/>
  <c r="U552" i="2"/>
  <c r="U552" i="2" a="1"/>
  <c r="T552" i="2"/>
  <c r="T552" i="2" a="1"/>
  <c r="S552" i="2"/>
  <c r="R552" i="2"/>
  <c r="V551" i="2"/>
  <c r="U551" i="2"/>
  <c r="U551" i="2" a="1"/>
  <c r="T551" i="2"/>
  <c r="T551" i="2" a="1"/>
  <c r="S551" i="2"/>
  <c r="R551" i="2"/>
  <c r="V550" i="2"/>
  <c r="U550" i="2"/>
  <c r="U550" i="2" a="1"/>
  <c r="T550" i="2"/>
  <c r="T550" i="2" a="1"/>
  <c r="S550" i="2"/>
  <c r="R550" i="2"/>
  <c r="V549" i="2"/>
  <c r="U549" i="2"/>
  <c r="U549" i="2" a="1"/>
  <c r="T549" i="2"/>
  <c r="T549" i="2" a="1"/>
  <c r="S549" i="2"/>
  <c r="R549" i="2"/>
  <c r="V548" i="2"/>
  <c r="U548" i="2"/>
  <c r="U548" i="2" a="1"/>
  <c r="T548" i="2"/>
  <c r="T548" i="2" a="1"/>
  <c r="S548" i="2"/>
  <c r="R548" i="2"/>
  <c r="V547" i="2"/>
  <c r="U547" i="2"/>
  <c r="U547" i="2" a="1"/>
  <c r="T547" i="2"/>
  <c r="T547" i="2" a="1"/>
  <c r="S547" i="2"/>
  <c r="R547" i="2"/>
  <c r="V546" i="2"/>
  <c r="U546" i="2"/>
  <c r="U546" i="2" a="1"/>
  <c r="T546" i="2"/>
  <c r="T546" i="2" a="1"/>
  <c r="S546" i="2"/>
  <c r="R546" i="2"/>
  <c r="V545" i="2"/>
  <c r="U545" i="2"/>
  <c r="U545" i="2" a="1"/>
  <c r="T545" i="2"/>
  <c r="T545" i="2" a="1"/>
  <c r="S545" i="2"/>
  <c r="R545" i="2"/>
  <c r="V544" i="2"/>
  <c r="U544" i="2"/>
  <c r="U544" i="2" a="1"/>
  <c r="T544" i="2"/>
  <c r="T544" i="2" a="1"/>
  <c r="S544" i="2"/>
  <c r="R544" i="2"/>
  <c r="V543" i="2"/>
  <c r="U543" i="2"/>
  <c r="U543" i="2" a="1"/>
  <c r="T543" i="2"/>
  <c r="T543" i="2" a="1"/>
  <c r="S543" i="2"/>
  <c r="R543" i="2"/>
  <c r="V542" i="2"/>
  <c r="U542" i="2"/>
  <c r="U542" i="2" a="1"/>
  <c r="T542" i="2"/>
  <c r="T542" i="2" a="1"/>
  <c r="S542" i="2"/>
  <c r="R542" i="2"/>
  <c r="V541" i="2"/>
  <c r="U541" i="2"/>
  <c r="U541" i="2" a="1"/>
  <c r="T541" i="2"/>
  <c r="T541" i="2" a="1"/>
  <c r="S541" i="2"/>
  <c r="R541" i="2"/>
  <c r="V540" i="2"/>
  <c r="U540" i="2"/>
  <c r="U540" i="2" a="1"/>
  <c r="T540" i="2"/>
  <c r="T540" i="2" a="1"/>
  <c r="S540" i="2"/>
  <c r="R540" i="2"/>
  <c r="V539" i="2"/>
  <c r="U539" i="2"/>
  <c r="U539" i="2" a="1"/>
  <c r="T539" i="2"/>
  <c r="T539" i="2" a="1"/>
  <c r="S539" i="2"/>
  <c r="R539" i="2"/>
  <c r="V538" i="2"/>
  <c r="U538" i="2"/>
  <c r="U538" i="2" a="1"/>
  <c r="T538" i="2"/>
  <c r="T538" i="2" a="1"/>
  <c r="S538" i="2"/>
  <c r="R538" i="2"/>
  <c r="V537" i="2"/>
  <c r="U537" i="2"/>
  <c r="U537" i="2" a="1"/>
  <c r="T537" i="2"/>
  <c r="T537" i="2" a="1"/>
  <c r="S537" i="2"/>
  <c r="R537" i="2"/>
  <c r="V536" i="2"/>
  <c r="U536" i="2"/>
  <c r="U536" i="2" a="1"/>
  <c r="T536" i="2"/>
  <c r="T536" i="2" a="1"/>
  <c r="S536" i="2"/>
  <c r="R536" i="2"/>
  <c r="V535" i="2"/>
  <c r="U535" i="2"/>
  <c r="U535" i="2" a="1"/>
  <c r="T535" i="2"/>
  <c r="T535" i="2" a="1"/>
  <c r="S535" i="2"/>
  <c r="R535" i="2"/>
  <c r="V534" i="2"/>
  <c r="U534" i="2"/>
  <c r="U534" i="2" a="1"/>
  <c r="T534" i="2"/>
  <c r="T534" i="2" a="1"/>
  <c r="S534" i="2"/>
  <c r="R534" i="2"/>
  <c r="V533" i="2"/>
  <c r="U533" i="2"/>
  <c r="U533" i="2" a="1"/>
  <c r="T533" i="2"/>
  <c r="T533" i="2" a="1"/>
  <c r="S533" i="2"/>
  <c r="R533" i="2"/>
  <c r="V532" i="2"/>
  <c r="U532" i="2"/>
  <c r="U532" i="2" a="1"/>
  <c r="T532" i="2"/>
  <c r="T532" i="2" a="1"/>
  <c r="S532" i="2"/>
  <c r="R532" i="2"/>
  <c r="V531" i="2"/>
  <c r="U531" i="2"/>
  <c r="U531" i="2" a="1"/>
  <c r="T531" i="2"/>
  <c r="T531" i="2" a="1"/>
  <c r="S531" i="2"/>
  <c r="R531" i="2"/>
  <c r="V530" i="2"/>
  <c r="U530" i="2"/>
  <c r="U530" i="2" a="1"/>
  <c r="T530" i="2"/>
  <c r="T530" i="2" a="1"/>
  <c r="S530" i="2"/>
  <c r="R530" i="2"/>
  <c r="V529" i="2"/>
  <c r="U529" i="2"/>
  <c r="U529" i="2" a="1"/>
  <c r="T529" i="2"/>
  <c r="T529" i="2" a="1"/>
  <c r="S529" i="2"/>
  <c r="R529" i="2"/>
  <c r="V528" i="2"/>
  <c r="U528" i="2"/>
  <c r="U528" i="2" a="1"/>
  <c r="T528" i="2"/>
  <c r="T528" i="2" a="1"/>
  <c r="S528" i="2"/>
  <c r="R528" i="2"/>
  <c r="V527" i="2"/>
  <c r="U527" i="2"/>
  <c r="U527" i="2" a="1"/>
  <c r="T527" i="2"/>
  <c r="T527" i="2" a="1"/>
  <c r="S527" i="2"/>
  <c r="R527" i="2"/>
  <c r="V526" i="2"/>
  <c r="U526" i="2"/>
  <c r="U526" i="2" a="1"/>
  <c r="T526" i="2"/>
  <c r="T526" i="2" a="1"/>
  <c r="S526" i="2"/>
  <c r="R526" i="2"/>
  <c r="V525" i="2"/>
  <c r="U525" i="2"/>
  <c r="U525" i="2" a="1"/>
  <c r="T525" i="2"/>
  <c r="T525" i="2" a="1"/>
  <c r="S525" i="2"/>
  <c r="R525" i="2"/>
  <c r="V524" i="2"/>
  <c r="U524" i="2"/>
  <c r="U524" i="2" a="1"/>
  <c r="T524" i="2"/>
  <c r="T524" i="2" a="1"/>
  <c r="S524" i="2"/>
  <c r="R524" i="2"/>
  <c r="V523" i="2"/>
  <c r="U523" i="2"/>
  <c r="U523" i="2" a="1"/>
  <c r="T523" i="2"/>
  <c r="T523" i="2" a="1"/>
  <c r="S523" i="2"/>
  <c r="R523" i="2"/>
  <c r="V522" i="2"/>
  <c r="U522" i="2"/>
  <c r="U522" i="2" a="1"/>
  <c r="T522" i="2"/>
  <c r="T522" i="2" a="1"/>
  <c r="S522" i="2"/>
  <c r="R522" i="2"/>
  <c r="V521" i="2"/>
  <c r="U521" i="2"/>
  <c r="U521" i="2" a="1"/>
  <c r="T521" i="2"/>
  <c r="T521" i="2" a="1"/>
  <c r="S521" i="2"/>
  <c r="R521" i="2"/>
  <c r="V520" i="2"/>
  <c r="U520" i="2"/>
  <c r="U520" i="2" a="1"/>
  <c r="T520" i="2"/>
  <c r="T520" i="2" a="1"/>
  <c r="S520" i="2"/>
  <c r="R520" i="2"/>
  <c r="V519" i="2"/>
  <c r="U519" i="2"/>
  <c r="U519" i="2" a="1"/>
  <c r="T519" i="2"/>
  <c r="T519" i="2" a="1"/>
  <c r="S519" i="2"/>
  <c r="R519" i="2"/>
  <c r="V518" i="2"/>
  <c r="U518" i="2"/>
  <c r="U518" i="2" a="1"/>
  <c r="T518" i="2"/>
  <c r="T518" i="2" a="1"/>
  <c r="S518" i="2"/>
  <c r="R518" i="2"/>
  <c r="V517" i="2"/>
  <c r="U517" i="2"/>
  <c r="U517" i="2" a="1"/>
  <c r="T517" i="2"/>
  <c r="T517" i="2" a="1"/>
  <c r="S517" i="2"/>
  <c r="R517" i="2"/>
  <c r="V516" i="2"/>
  <c r="U516" i="2"/>
  <c r="U516" i="2" a="1"/>
  <c r="T516" i="2"/>
  <c r="T516" i="2" a="1"/>
  <c r="S516" i="2"/>
  <c r="R516" i="2"/>
  <c r="V515" i="2"/>
  <c r="U515" i="2"/>
  <c r="U515" i="2" a="1"/>
  <c r="T515" i="2"/>
  <c r="T515" i="2" a="1"/>
  <c r="S515" i="2"/>
  <c r="R515" i="2"/>
  <c r="V514" i="2"/>
  <c r="U514" i="2"/>
  <c r="U514" i="2" a="1"/>
  <c r="T514" i="2"/>
  <c r="T514" i="2" a="1"/>
  <c r="S514" i="2"/>
  <c r="R514" i="2"/>
  <c r="V513" i="2"/>
  <c r="U513" i="2"/>
  <c r="U513" i="2" a="1"/>
  <c r="T513" i="2"/>
  <c r="T513" i="2" a="1"/>
  <c r="S513" i="2"/>
  <c r="R513" i="2"/>
  <c r="V512" i="2"/>
  <c r="U512" i="2"/>
  <c r="U512" i="2" a="1"/>
  <c r="T512" i="2"/>
  <c r="T512" i="2" a="1"/>
  <c r="S512" i="2"/>
  <c r="R512" i="2"/>
  <c r="V511" i="2"/>
  <c r="U511" i="2"/>
  <c r="U511" i="2" a="1"/>
  <c r="T511" i="2"/>
  <c r="T511" i="2" a="1"/>
  <c r="S511" i="2"/>
  <c r="R511" i="2"/>
  <c r="V510" i="2"/>
  <c r="U510" i="2"/>
  <c r="U510" i="2" a="1"/>
  <c r="T510" i="2"/>
  <c r="T510" i="2" a="1"/>
  <c r="S510" i="2"/>
  <c r="R510" i="2"/>
  <c r="V509" i="2"/>
  <c r="U509" i="2"/>
  <c r="U509" i="2" a="1"/>
  <c r="T509" i="2"/>
  <c r="T509" i="2" a="1"/>
  <c r="S509" i="2"/>
  <c r="R509" i="2"/>
  <c r="V508" i="2"/>
  <c r="U508" i="2"/>
  <c r="U508" i="2" a="1"/>
  <c r="T508" i="2"/>
  <c r="T508" i="2" a="1"/>
  <c r="S508" i="2"/>
  <c r="R508" i="2"/>
  <c r="V507" i="2"/>
  <c r="U507" i="2"/>
  <c r="U507" i="2" a="1"/>
  <c r="T507" i="2"/>
  <c r="T507" i="2" a="1"/>
  <c r="S507" i="2"/>
  <c r="R507" i="2"/>
  <c r="V506" i="2"/>
  <c r="U506" i="2"/>
  <c r="U506" i="2" a="1"/>
  <c r="T506" i="2"/>
  <c r="T506" i="2" a="1"/>
  <c r="S506" i="2"/>
  <c r="R506" i="2"/>
  <c r="V505" i="2"/>
  <c r="U505" i="2"/>
  <c r="U505" i="2" a="1"/>
  <c r="T505" i="2"/>
  <c r="T505" i="2" a="1"/>
  <c r="S505" i="2"/>
  <c r="R505" i="2"/>
  <c r="V504" i="2"/>
  <c r="U504" i="2"/>
  <c r="U504" i="2" a="1"/>
  <c r="T504" i="2"/>
  <c r="T504" i="2" a="1"/>
  <c r="S504" i="2"/>
  <c r="R504" i="2"/>
  <c r="V503" i="2"/>
  <c r="U503" i="2"/>
  <c r="U503" i="2" a="1"/>
  <c r="T503" i="2"/>
  <c r="T503" i="2" a="1"/>
  <c r="S503" i="2"/>
  <c r="R503" i="2"/>
  <c r="V502" i="2"/>
  <c r="U502" i="2"/>
  <c r="U502" i="2" a="1"/>
  <c r="T502" i="2"/>
  <c r="T502" i="2" a="1"/>
  <c r="S502" i="2"/>
  <c r="R502" i="2"/>
  <c r="V501" i="2"/>
  <c r="U501" i="2"/>
  <c r="U501" i="2" a="1"/>
  <c r="T501" i="2"/>
  <c r="T501" i="2" a="1"/>
  <c r="S501" i="2"/>
  <c r="R501" i="2"/>
  <c r="V500" i="2"/>
  <c r="U500" i="2"/>
  <c r="U500" i="2" a="1"/>
  <c r="T500" i="2"/>
  <c r="T500" i="2" a="1"/>
  <c r="S500" i="2"/>
  <c r="R500" i="2"/>
  <c r="V499" i="2"/>
  <c r="U499" i="2"/>
  <c r="U499" i="2" a="1"/>
  <c r="T499" i="2"/>
  <c r="T499" i="2" a="1"/>
  <c r="S499" i="2"/>
  <c r="R499" i="2"/>
  <c r="V498" i="2"/>
  <c r="U498" i="2"/>
  <c r="U498" i="2" a="1"/>
  <c r="T498" i="2"/>
  <c r="T498" i="2" a="1"/>
  <c r="S498" i="2"/>
  <c r="R498" i="2"/>
  <c r="V497" i="2"/>
  <c r="U497" i="2"/>
  <c r="U497" i="2" a="1"/>
  <c r="T497" i="2"/>
  <c r="T497" i="2" a="1"/>
  <c r="S497" i="2"/>
  <c r="R497" i="2"/>
  <c r="V496" i="2"/>
  <c r="U496" i="2"/>
  <c r="U496" i="2" a="1"/>
  <c r="T496" i="2"/>
  <c r="T496" i="2" a="1"/>
  <c r="S496" i="2"/>
  <c r="R496" i="2"/>
  <c r="V495" i="2"/>
  <c r="U495" i="2"/>
  <c r="U495" i="2" a="1"/>
  <c r="T495" i="2"/>
  <c r="T495" i="2" a="1"/>
  <c r="S495" i="2"/>
  <c r="R495" i="2"/>
  <c r="V494" i="2"/>
  <c r="U494" i="2"/>
  <c r="U494" i="2" a="1"/>
  <c r="T494" i="2"/>
  <c r="T494" i="2" a="1"/>
  <c r="S494" i="2"/>
  <c r="R494" i="2"/>
  <c r="V493" i="2"/>
  <c r="U493" i="2"/>
  <c r="U493" i="2" a="1"/>
  <c r="T493" i="2"/>
  <c r="T493" i="2" a="1"/>
  <c r="S493" i="2"/>
  <c r="R493" i="2"/>
  <c r="V492" i="2"/>
  <c r="U492" i="2"/>
  <c r="U492" i="2" a="1"/>
  <c r="T492" i="2"/>
  <c r="T492" i="2" a="1"/>
  <c r="S492" i="2"/>
  <c r="R492" i="2"/>
  <c r="V491" i="2"/>
  <c r="U491" i="2"/>
  <c r="U491" i="2" a="1"/>
  <c r="T491" i="2"/>
  <c r="T491" i="2" a="1"/>
  <c r="S491" i="2"/>
  <c r="R491" i="2"/>
  <c r="V490" i="2"/>
  <c r="U490" i="2"/>
  <c r="U490" i="2" a="1"/>
  <c r="T490" i="2"/>
  <c r="T490" i="2" a="1"/>
  <c r="S490" i="2"/>
  <c r="R490" i="2"/>
  <c r="V489" i="2"/>
  <c r="U489" i="2"/>
  <c r="U489" i="2" a="1"/>
  <c r="T489" i="2"/>
  <c r="T489" i="2" a="1"/>
  <c r="S489" i="2"/>
  <c r="R489" i="2"/>
  <c r="V488" i="2"/>
  <c r="U488" i="2"/>
  <c r="U488" i="2" a="1"/>
  <c r="T488" i="2"/>
  <c r="T488" i="2" a="1"/>
  <c r="S488" i="2"/>
  <c r="R488" i="2"/>
  <c r="V487" i="2"/>
  <c r="U487" i="2"/>
  <c r="U487" i="2" a="1"/>
  <c r="T487" i="2"/>
  <c r="T487" i="2" a="1"/>
  <c r="S487" i="2"/>
  <c r="R487" i="2"/>
  <c r="V486" i="2"/>
  <c r="U486" i="2"/>
  <c r="U486" i="2" a="1"/>
  <c r="T486" i="2"/>
  <c r="T486" i="2" a="1"/>
  <c r="S486" i="2"/>
  <c r="R486" i="2"/>
  <c r="V485" i="2"/>
  <c r="U485" i="2"/>
  <c r="U485" i="2" a="1"/>
  <c r="T485" i="2"/>
  <c r="T485" i="2" a="1"/>
  <c r="S485" i="2"/>
  <c r="R485" i="2"/>
  <c r="V484" i="2"/>
  <c r="U484" i="2"/>
  <c r="U484" i="2" a="1"/>
  <c r="T484" i="2"/>
  <c r="T484" i="2" a="1"/>
  <c r="S484" i="2"/>
  <c r="R484" i="2"/>
  <c r="V483" i="2"/>
  <c r="U483" i="2"/>
  <c r="U483" i="2" a="1"/>
  <c r="T483" i="2"/>
  <c r="T483" i="2" a="1"/>
  <c r="S483" i="2"/>
  <c r="R483" i="2"/>
  <c r="V482" i="2"/>
  <c r="U482" i="2"/>
  <c r="U482" i="2" a="1"/>
  <c r="T482" i="2"/>
  <c r="T482" i="2" a="1"/>
  <c r="S482" i="2"/>
  <c r="R482" i="2"/>
  <c r="V481" i="2"/>
  <c r="U481" i="2"/>
  <c r="U481" i="2" a="1"/>
  <c r="T481" i="2"/>
  <c r="T481" i="2" a="1"/>
  <c r="S481" i="2"/>
  <c r="R481" i="2"/>
  <c r="V480" i="2"/>
  <c r="U480" i="2"/>
  <c r="U480" i="2" a="1"/>
  <c r="T480" i="2"/>
  <c r="T480" i="2" a="1"/>
  <c r="S480" i="2"/>
  <c r="R480" i="2"/>
  <c r="V479" i="2"/>
  <c r="U479" i="2"/>
  <c r="U479" i="2" a="1"/>
  <c r="T479" i="2"/>
  <c r="T479" i="2" a="1"/>
  <c r="S479" i="2"/>
  <c r="R479" i="2"/>
  <c r="V478" i="2"/>
  <c r="U478" i="2"/>
  <c r="U478" i="2" a="1"/>
  <c r="T478" i="2"/>
  <c r="T478" i="2" a="1"/>
  <c r="S478" i="2"/>
  <c r="R478" i="2"/>
  <c r="V477" i="2"/>
  <c r="U477" i="2"/>
  <c r="U477" i="2" a="1"/>
  <c r="T477" i="2"/>
  <c r="T477" i="2" a="1"/>
  <c r="S477" i="2"/>
  <c r="R477" i="2"/>
  <c r="V476" i="2"/>
  <c r="U476" i="2"/>
  <c r="U476" i="2" a="1"/>
  <c r="T476" i="2"/>
  <c r="T476" i="2" a="1"/>
  <c r="S476" i="2"/>
  <c r="R476" i="2"/>
  <c r="V475" i="2"/>
  <c r="U475" i="2"/>
  <c r="U475" i="2" a="1"/>
  <c r="T475" i="2"/>
  <c r="T475" i="2" a="1"/>
  <c r="S475" i="2"/>
  <c r="R475" i="2"/>
  <c r="V474" i="2"/>
  <c r="U474" i="2"/>
  <c r="U474" i="2" a="1"/>
  <c r="T474" i="2"/>
  <c r="T474" i="2" a="1"/>
  <c r="S474" i="2"/>
  <c r="R474" i="2"/>
  <c r="V473" i="2"/>
  <c r="U473" i="2"/>
  <c r="U473" i="2" a="1"/>
  <c r="T473" i="2"/>
  <c r="T473" i="2" a="1"/>
  <c r="S473" i="2"/>
  <c r="R473" i="2"/>
  <c r="V472" i="2"/>
  <c r="U472" i="2"/>
  <c r="U472" i="2" a="1"/>
  <c r="T472" i="2"/>
  <c r="T472" i="2" a="1"/>
  <c r="S472" i="2"/>
  <c r="R472" i="2"/>
  <c r="V471" i="2"/>
  <c r="U471" i="2"/>
  <c r="U471" i="2" a="1"/>
  <c r="T471" i="2"/>
  <c r="T471" i="2" a="1"/>
  <c r="S471" i="2"/>
  <c r="R471" i="2"/>
  <c r="V470" i="2"/>
  <c r="U470" i="2"/>
  <c r="U470" i="2" a="1"/>
  <c r="T470" i="2"/>
  <c r="T470" i="2" a="1"/>
  <c r="S470" i="2"/>
  <c r="R470" i="2"/>
  <c r="V469" i="2"/>
  <c r="U469" i="2"/>
  <c r="U469" i="2" a="1"/>
  <c r="T469" i="2"/>
  <c r="T469" i="2" a="1"/>
  <c r="S469" i="2"/>
  <c r="R469" i="2"/>
  <c r="V468" i="2"/>
  <c r="U468" i="2"/>
  <c r="U468" i="2" a="1"/>
  <c r="T468" i="2"/>
  <c r="T468" i="2" a="1"/>
  <c r="S468" i="2"/>
  <c r="R468" i="2"/>
  <c r="V467" i="2"/>
  <c r="U467" i="2"/>
  <c r="U467" i="2" a="1"/>
  <c r="T467" i="2"/>
  <c r="T467" i="2" a="1"/>
  <c r="S467" i="2"/>
  <c r="R467" i="2"/>
  <c r="V466" i="2"/>
  <c r="U466" i="2"/>
  <c r="U466" i="2" a="1"/>
  <c r="T466" i="2"/>
  <c r="T466" i="2" a="1"/>
  <c r="S466" i="2"/>
  <c r="R466" i="2"/>
  <c r="V465" i="2"/>
  <c r="U465" i="2"/>
  <c r="U465" i="2" a="1"/>
  <c r="T465" i="2"/>
  <c r="T465" i="2" a="1"/>
  <c r="S465" i="2"/>
  <c r="R465" i="2"/>
  <c r="V464" i="2"/>
  <c r="U464" i="2"/>
  <c r="U464" i="2" a="1"/>
  <c r="T464" i="2"/>
  <c r="T464" i="2" a="1"/>
  <c r="S464" i="2"/>
  <c r="R464" i="2"/>
  <c r="V463" i="2"/>
  <c r="U463" i="2"/>
  <c r="U463" i="2" a="1"/>
  <c r="T463" i="2"/>
  <c r="T463" i="2" a="1"/>
  <c r="S463" i="2"/>
  <c r="R463" i="2"/>
  <c r="V462" i="2"/>
  <c r="U462" i="2"/>
  <c r="U462" i="2" a="1"/>
  <c r="T462" i="2"/>
  <c r="T462" i="2" a="1"/>
  <c r="S462" i="2"/>
  <c r="R462" i="2"/>
  <c r="V461" i="2"/>
  <c r="U461" i="2"/>
  <c r="U461" i="2" a="1"/>
  <c r="T461" i="2"/>
  <c r="T461" i="2" a="1"/>
  <c r="S461" i="2"/>
  <c r="R461" i="2"/>
  <c r="V460" i="2"/>
  <c r="U460" i="2"/>
  <c r="U460" i="2" a="1"/>
  <c r="T460" i="2"/>
  <c r="T460" i="2" a="1"/>
  <c r="S460" i="2"/>
  <c r="R460" i="2"/>
  <c r="V459" i="2"/>
  <c r="U459" i="2"/>
  <c r="U459" i="2" a="1"/>
  <c r="T459" i="2"/>
  <c r="T459" i="2" a="1"/>
  <c r="S459" i="2"/>
  <c r="R459" i="2"/>
  <c r="V458" i="2"/>
  <c r="U458" i="2"/>
  <c r="U458" i="2" a="1"/>
  <c r="T458" i="2"/>
  <c r="T458" i="2" a="1"/>
  <c r="S458" i="2"/>
  <c r="R458" i="2"/>
  <c r="V457" i="2"/>
  <c r="U457" i="2"/>
  <c r="U457" i="2" a="1"/>
  <c r="T457" i="2"/>
  <c r="T457" i="2" a="1"/>
  <c r="S457" i="2"/>
  <c r="R457" i="2"/>
  <c r="V456" i="2"/>
  <c r="U456" i="2"/>
  <c r="U456" i="2" a="1"/>
  <c r="T456" i="2"/>
  <c r="T456" i="2" a="1"/>
  <c r="S456" i="2"/>
  <c r="R456" i="2"/>
  <c r="V455" i="2"/>
  <c r="U455" i="2"/>
  <c r="U455" i="2" a="1"/>
  <c r="T455" i="2"/>
  <c r="T455" i="2" a="1"/>
  <c r="S455" i="2"/>
  <c r="R455" i="2"/>
  <c r="V454" i="2"/>
  <c r="U454" i="2"/>
  <c r="U454" i="2" a="1"/>
  <c r="T454" i="2"/>
  <c r="T454" i="2" a="1"/>
  <c r="S454" i="2"/>
  <c r="R454" i="2"/>
  <c r="V453" i="2"/>
  <c r="U453" i="2"/>
  <c r="U453" i="2" a="1"/>
  <c r="T453" i="2"/>
  <c r="T453" i="2" a="1"/>
  <c r="S453" i="2"/>
  <c r="R453" i="2"/>
  <c r="V452" i="2"/>
  <c r="U452" i="2"/>
  <c r="U452" i="2" a="1"/>
  <c r="T452" i="2"/>
  <c r="T452" i="2" a="1"/>
  <c r="S452" i="2"/>
  <c r="R452" i="2"/>
  <c r="V451" i="2"/>
  <c r="U451" i="2"/>
  <c r="U451" i="2" a="1"/>
  <c r="T451" i="2"/>
  <c r="T451" i="2" a="1"/>
  <c r="S451" i="2"/>
  <c r="R451" i="2"/>
  <c r="V450" i="2"/>
  <c r="U450" i="2"/>
  <c r="U450" i="2" a="1"/>
  <c r="T450" i="2"/>
  <c r="T450" i="2" a="1"/>
  <c r="S450" i="2"/>
  <c r="R450" i="2"/>
  <c r="V449" i="2"/>
  <c r="U449" i="2"/>
  <c r="U449" i="2" a="1"/>
  <c r="T449" i="2"/>
  <c r="T449" i="2" a="1"/>
  <c r="S449" i="2"/>
  <c r="R449" i="2"/>
  <c r="V448" i="2"/>
  <c r="U448" i="2"/>
  <c r="U448" i="2" a="1"/>
  <c r="T448" i="2"/>
  <c r="T448" i="2" a="1"/>
  <c r="S448" i="2"/>
  <c r="R448" i="2"/>
  <c r="V447" i="2"/>
  <c r="U447" i="2"/>
  <c r="U447" i="2" a="1"/>
  <c r="T447" i="2"/>
  <c r="T447" i="2" a="1"/>
  <c r="S447" i="2"/>
  <c r="R447" i="2"/>
  <c r="V446" i="2"/>
  <c r="U446" i="2"/>
  <c r="U446" i="2" a="1"/>
  <c r="T446" i="2"/>
  <c r="T446" i="2" a="1"/>
  <c r="S446" i="2"/>
  <c r="R446" i="2"/>
  <c r="V445" i="2"/>
  <c r="U445" i="2"/>
  <c r="U445" i="2" a="1"/>
  <c r="T445" i="2"/>
  <c r="T445" i="2" a="1"/>
  <c r="S445" i="2"/>
  <c r="R445" i="2"/>
  <c r="V444" i="2"/>
  <c r="U444" i="2"/>
  <c r="U444" i="2" a="1"/>
  <c r="T444" i="2"/>
  <c r="T444" i="2" a="1"/>
  <c r="S444" i="2"/>
  <c r="R444" i="2"/>
  <c r="V443" i="2"/>
  <c r="U443" i="2"/>
  <c r="U443" i="2" a="1"/>
  <c r="T443" i="2"/>
  <c r="T443" i="2" a="1"/>
  <c r="S443" i="2"/>
  <c r="R443" i="2"/>
  <c r="V442" i="2"/>
  <c r="U442" i="2"/>
  <c r="U442" i="2" a="1"/>
  <c r="T442" i="2"/>
  <c r="T442" i="2" a="1"/>
  <c r="S442" i="2"/>
  <c r="R442" i="2"/>
  <c r="V441" i="2"/>
  <c r="U441" i="2"/>
  <c r="U441" i="2" a="1"/>
  <c r="T441" i="2"/>
  <c r="T441" i="2" a="1"/>
  <c r="S441" i="2"/>
  <c r="R441" i="2"/>
  <c r="V440" i="2"/>
  <c r="U440" i="2"/>
  <c r="U440" i="2" a="1"/>
  <c r="T440" i="2"/>
  <c r="T440" i="2" a="1"/>
  <c r="S440" i="2"/>
  <c r="R440" i="2"/>
  <c r="V439" i="2"/>
  <c r="U439" i="2"/>
  <c r="U439" i="2" a="1"/>
  <c r="T439" i="2"/>
  <c r="T439" i="2" a="1"/>
  <c r="S439" i="2"/>
  <c r="R439" i="2"/>
  <c r="V438" i="2"/>
  <c r="U438" i="2"/>
  <c r="U438" i="2" a="1"/>
  <c r="T438" i="2"/>
  <c r="T438" i="2" a="1"/>
  <c r="S438" i="2"/>
  <c r="R438" i="2"/>
  <c r="V437" i="2"/>
  <c r="U437" i="2"/>
  <c r="U437" i="2" a="1"/>
  <c r="T437" i="2"/>
  <c r="T437" i="2" a="1"/>
  <c r="S437" i="2"/>
  <c r="R437" i="2"/>
  <c r="V436" i="2"/>
  <c r="U436" i="2"/>
  <c r="U436" i="2" a="1"/>
  <c r="T436" i="2"/>
  <c r="T436" i="2" a="1"/>
  <c r="S436" i="2"/>
  <c r="R436" i="2"/>
  <c r="V435" i="2"/>
  <c r="U435" i="2"/>
  <c r="U435" i="2" a="1"/>
  <c r="T435" i="2"/>
  <c r="T435" i="2" a="1"/>
  <c r="S435" i="2"/>
  <c r="R435" i="2"/>
  <c r="V434" i="2"/>
  <c r="U434" i="2"/>
  <c r="U434" i="2" a="1"/>
  <c r="T434" i="2"/>
  <c r="T434" i="2" a="1"/>
  <c r="S434" i="2"/>
  <c r="R434" i="2"/>
  <c r="V433" i="2"/>
  <c r="U433" i="2"/>
  <c r="U433" i="2" a="1"/>
  <c r="T433" i="2"/>
  <c r="T433" i="2" a="1"/>
  <c r="S433" i="2"/>
  <c r="R433" i="2"/>
  <c r="V432" i="2"/>
  <c r="U432" i="2"/>
  <c r="U432" i="2" a="1"/>
  <c r="T432" i="2"/>
  <c r="T432" i="2" a="1"/>
  <c r="S432" i="2"/>
  <c r="R432" i="2"/>
  <c r="V431" i="2"/>
  <c r="U431" i="2"/>
  <c r="U431" i="2" a="1"/>
  <c r="T431" i="2"/>
  <c r="T431" i="2" a="1"/>
  <c r="S431" i="2"/>
  <c r="R431" i="2"/>
  <c r="V430" i="2"/>
  <c r="U430" i="2"/>
  <c r="U430" i="2" a="1"/>
  <c r="T430" i="2"/>
  <c r="T430" i="2" a="1"/>
  <c r="S430" i="2"/>
  <c r="R430" i="2"/>
  <c r="V429" i="2"/>
  <c r="U429" i="2"/>
  <c r="U429" i="2" a="1"/>
  <c r="T429" i="2"/>
  <c r="T429" i="2" a="1"/>
  <c r="S429" i="2"/>
  <c r="R429" i="2"/>
  <c r="V428" i="2"/>
  <c r="U428" i="2"/>
  <c r="U428" i="2" a="1"/>
  <c r="T428" i="2"/>
  <c r="T428" i="2" a="1"/>
  <c r="S428" i="2"/>
  <c r="R428" i="2"/>
  <c r="V427" i="2"/>
  <c r="U427" i="2"/>
  <c r="U427" i="2" a="1"/>
  <c r="T427" i="2"/>
  <c r="T427" i="2" a="1"/>
  <c r="S427" i="2"/>
  <c r="R427" i="2"/>
  <c r="V426" i="2"/>
  <c r="U426" i="2"/>
  <c r="U426" i="2" a="1"/>
  <c r="T426" i="2"/>
  <c r="T426" i="2" a="1"/>
  <c r="S426" i="2"/>
  <c r="R426" i="2"/>
  <c r="V425" i="2"/>
  <c r="U425" i="2"/>
  <c r="U425" i="2" a="1"/>
  <c r="T425" i="2"/>
  <c r="T425" i="2" a="1"/>
  <c r="S425" i="2"/>
  <c r="R425" i="2"/>
  <c r="V424" i="2"/>
  <c r="U424" i="2"/>
  <c r="U424" i="2" a="1"/>
  <c r="T424" i="2"/>
  <c r="T424" i="2" a="1"/>
  <c r="S424" i="2"/>
  <c r="R424" i="2"/>
  <c r="V423" i="2"/>
  <c r="U423" i="2"/>
  <c r="U423" i="2" a="1"/>
  <c r="T423" i="2"/>
  <c r="T423" i="2" a="1"/>
  <c r="S423" i="2"/>
  <c r="R423" i="2"/>
  <c r="V422" i="2"/>
  <c r="U422" i="2"/>
  <c r="U422" i="2" a="1"/>
  <c r="T422" i="2"/>
  <c r="T422" i="2" a="1"/>
  <c r="S422" i="2"/>
  <c r="R422" i="2"/>
  <c r="V421" i="2"/>
  <c r="U421" i="2"/>
  <c r="U421" i="2" a="1"/>
  <c r="T421" i="2"/>
  <c r="T421" i="2" a="1"/>
  <c r="S421" i="2"/>
  <c r="R421" i="2"/>
  <c r="V420" i="2"/>
  <c r="U420" i="2"/>
  <c r="U420" i="2" a="1"/>
  <c r="T420" i="2"/>
  <c r="T420" i="2" a="1"/>
  <c r="S420" i="2"/>
  <c r="R420" i="2"/>
  <c r="V419" i="2"/>
  <c r="U419" i="2"/>
  <c r="U419" i="2" a="1"/>
  <c r="T419" i="2"/>
  <c r="T419" i="2" a="1"/>
  <c r="S419" i="2"/>
  <c r="R419" i="2"/>
  <c r="V418" i="2"/>
  <c r="U418" i="2"/>
  <c r="U418" i="2" a="1"/>
  <c r="T418" i="2"/>
  <c r="T418" i="2" a="1"/>
  <c r="S418" i="2"/>
  <c r="R418" i="2"/>
  <c r="V417" i="2"/>
  <c r="U417" i="2"/>
  <c r="U417" i="2" a="1"/>
  <c r="T417" i="2"/>
  <c r="T417" i="2" a="1"/>
  <c r="S417" i="2"/>
  <c r="R417" i="2"/>
  <c r="V416" i="2"/>
  <c r="U416" i="2"/>
  <c r="U416" i="2" a="1"/>
  <c r="T416" i="2"/>
  <c r="T416" i="2" a="1"/>
  <c r="S416" i="2"/>
  <c r="R416" i="2"/>
  <c r="V415" i="2"/>
  <c r="U415" i="2"/>
  <c r="U415" i="2" a="1"/>
  <c r="T415" i="2"/>
  <c r="T415" i="2" a="1"/>
  <c r="S415" i="2"/>
  <c r="R415" i="2"/>
  <c r="V414" i="2"/>
  <c r="U414" i="2"/>
  <c r="U414" i="2" a="1"/>
  <c r="T414" i="2"/>
  <c r="T414" i="2" a="1"/>
  <c r="S414" i="2"/>
  <c r="R414" i="2"/>
  <c r="V413" i="2"/>
  <c r="U413" i="2"/>
  <c r="U413" i="2" a="1"/>
  <c r="T413" i="2"/>
  <c r="T413" i="2" a="1"/>
  <c r="S413" i="2"/>
  <c r="R413" i="2"/>
  <c r="V412" i="2"/>
  <c r="U412" i="2"/>
  <c r="U412" i="2" a="1"/>
  <c r="T412" i="2"/>
  <c r="T412" i="2" a="1"/>
  <c r="S412" i="2"/>
  <c r="R412" i="2"/>
  <c r="V411" i="2"/>
  <c r="U411" i="2"/>
  <c r="U411" i="2" a="1"/>
  <c r="T411" i="2"/>
  <c r="T411" i="2" a="1"/>
  <c r="S411" i="2"/>
  <c r="R411" i="2"/>
  <c r="V410" i="2"/>
  <c r="U410" i="2"/>
  <c r="U410" i="2" a="1"/>
  <c r="T410" i="2"/>
  <c r="T410" i="2" a="1"/>
  <c r="S410" i="2"/>
  <c r="R410" i="2"/>
  <c r="V409" i="2"/>
  <c r="U409" i="2"/>
  <c r="U409" i="2" a="1"/>
  <c r="T409" i="2"/>
  <c r="T409" i="2" a="1"/>
  <c r="S409" i="2"/>
  <c r="R409" i="2"/>
  <c r="V408" i="2"/>
  <c r="U408" i="2"/>
  <c r="U408" i="2" a="1"/>
  <c r="T408" i="2"/>
  <c r="T408" i="2" a="1"/>
  <c r="S408" i="2"/>
  <c r="R408" i="2"/>
  <c r="V407" i="2"/>
  <c r="U407" i="2"/>
  <c r="U407" i="2" a="1"/>
  <c r="T407" i="2"/>
  <c r="T407" i="2" a="1"/>
  <c r="S407" i="2"/>
  <c r="R407" i="2"/>
  <c r="V406" i="2"/>
  <c r="U406" i="2"/>
  <c r="U406" i="2" a="1"/>
  <c r="T406" i="2"/>
  <c r="T406" i="2" a="1"/>
  <c r="S406" i="2"/>
  <c r="R406" i="2"/>
  <c r="V405" i="2"/>
  <c r="U405" i="2"/>
  <c r="U405" i="2" a="1"/>
  <c r="T405" i="2"/>
  <c r="T405" i="2" a="1"/>
  <c r="S405" i="2"/>
  <c r="R405" i="2"/>
  <c r="V404" i="2"/>
  <c r="U404" i="2"/>
  <c r="U404" i="2" a="1"/>
  <c r="T404" i="2"/>
  <c r="T404" i="2" a="1"/>
  <c r="S404" i="2"/>
  <c r="R404" i="2"/>
  <c r="V403" i="2"/>
  <c r="U403" i="2"/>
  <c r="U403" i="2" a="1"/>
  <c r="T403" i="2"/>
  <c r="T403" i="2" a="1"/>
  <c r="S403" i="2"/>
  <c r="R403" i="2"/>
  <c r="V402" i="2"/>
  <c r="U402" i="2"/>
  <c r="U402" i="2" a="1"/>
  <c r="T402" i="2"/>
  <c r="T402" i="2" a="1"/>
  <c r="S402" i="2"/>
  <c r="R402" i="2"/>
  <c r="V401" i="2"/>
  <c r="U401" i="2"/>
  <c r="U401" i="2" a="1"/>
  <c r="T401" i="2"/>
  <c r="T401" i="2" a="1"/>
  <c r="S401" i="2"/>
  <c r="R401" i="2"/>
  <c r="V400" i="2"/>
  <c r="U400" i="2"/>
  <c r="U400" i="2" a="1"/>
  <c r="T400" i="2"/>
  <c r="T400" i="2" a="1"/>
  <c r="S400" i="2"/>
  <c r="R400" i="2"/>
  <c r="V399" i="2"/>
  <c r="U399" i="2"/>
  <c r="U399" i="2" a="1"/>
  <c r="T399" i="2"/>
  <c r="T399" i="2" a="1"/>
  <c r="S399" i="2"/>
  <c r="R399" i="2"/>
  <c r="V398" i="2"/>
  <c r="U398" i="2"/>
  <c r="U398" i="2" a="1"/>
  <c r="T398" i="2"/>
  <c r="T398" i="2" a="1"/>
  <c r="S398" i="2"/>
  <c r="R398" i="2"/>
  <c r="V397" i="2"/>
  <c r="U397" i="2"/>
  <c r="U397" i="2" a="1"/>
  <c r="T397" i="2"/>
  <c r="T397" i="2" a="1"/>
  <c r="S397" i="2"/>
  <c r="R397" i="2"/>
  <c r="V396" i="2"/>
  <c r="U396" i="2"/>
  <c r="U396" i="2" a="1"/>
  <c r="T396" i="2"/>
  <c r="T396" i="2" a="1"/>
  <c r="S396" i="2"/>
  <c r="R396" i="2"/>
  <c r="V395" i="2"/>
  <c r="U395" i="2"/>
  <c r="U395" i="2" a="1"/>
  <c r="T395" i="2"/>
  <c r="T395" i="2" a="1"/>
  <c r="S395" i="2"/>
  <c r="R395" i="2"/>
  <c r="V394" i="2"/>
  <c r="U394" i="2"/>
  <c r="U394" i="2" a="1"/>
  <c r="T394" i="2"/>
  <c r="T394" i="2" a="1"/>
  <c r="S394" i="2"/>
  <c r="R394" i="2"/>
  <c r="V393" i="2"/>
  <c r="U393" i="2"/>
  <c r="U393" i="2" a="1"/>
  <c r="T393" i="2"/>
  <c r="T393" i="2" a="1"/>
  <c r="S393" i="2"/>
  <c r="R393" i="2"/>
  <c r="V392" i="2"/>
  <c r="U392" i="2"/>
  <c r="U392" i="2" a="1"/>
  <c r="T392" i="2"/>
  <c r="T392" i="2" a="1"/>
  <c r="S392" i="2"/>
  <c r="R392" i="2"/>
  <c r="V391" i="2"/>
  <c r="U391" i="2"/>
  <c r="U391" i="2" a="1"/>
  <c r="T391" i="2"/>
  <c r="T391" i="2" a="1"/>
  <c r="S391" i="2"/>
  <c r="R391" i="2"/>
  <c r="V390" i="2"/>
  <c r="U390" i="2"/>
  <c r="U390" i="2" a="1"/>
  <c r="T390" i="2"/>
  <c r="T390" i="2" a="1"/>
  <c r="S390" i="2"/>
  <c r="R390" i="2"/>
  <c r="V389" i="2"/>
  <c r="U389" i="2"/>
  <c r="U389" i="2" a="1"/>
  <c r="T389" i="2"/>
  <c r="T389" i="2" a="1"/>
  <c r="S389" i="2"/>
  <c r="R389" i="2"/>
  <c r="V388" i="2"/>
  <c r="U388" i="2"/>
  <c r="U388" i="2" a="1"/>
  <c r="T388" i="2"/>
  <c r="T388" i="2" a="1"/>
  <c r="S388" i="2"/>
  <c r="R388" i="2"/>
  <c r="V387" i="2"/>
  <c r="U387" i="2"/>
  <c r="U387" i="2" a="1"/>
  <c r="T387" i="2"/>
  <c r="T387" i="2" a="1"/>
  <c r="S387" i="2"/>
  <c r="R387" i="2"/>
  <c r="V386" i="2"/>
  <c r="U386" i="2"/>
  <c r="U386" i="2" a="1"/>
  <c r="T386" i="2"/>
  <c r="T386" i="2" a="1"/>
  <c r="S386" i="2"/>
  <c r="R386" i="2"/>
  <c r="V385" i="2"/>
  <c r="U385" i="2"/>
  <c r="U385" i="2" a="1"/>
  <c r="T385" i="2"/>
  <c r="T385" i="2" a="1"/>
  <c r="S385" i="2"/>
  <c r="R385" i="2"/>
  <c r="V384" i="2"/>
  <c r="U384" i="2"/>
  <c r="U384" i="2" a="1"/>
  <c r="T384" i="2"/>
  <c r="T384" i="2" a="1"/>
  <c r="S384" i="2"/>
  <c r="R384" i="2"/>
  <c r="V383" i="2"/>
  <c r="U383" i="2"/>
  <c r="U383" i="2" a="1"/>
  <c r="T383" i="2"/>
  <c r="T383" i="2" a="1"/>
  <c r="S383" i="2"/>
  <c r="R383" i="2"/>
  <c r="V382" i="2"/>
  <c r="U382" i="2"/>
  <c r="U382" i="2" a="1"/>
  <c r="T382" i="2"/>
  <c r="T382" i="2" a="1"/>
  <c r="S382" i="2"/>
  <c r="R382" i="2"/>
  <c r="V381" i="2"/>
  <c r="U381" i="2"/>
  <c r="U381" i="2" a="1"/>
  <c r="T381" i="2"/>
  <c r="T381" i="2" a="1"/>
  <c r="S381" i="2"/>
  <c r="R381" i="2"/>
  <c r="V380" i="2"/>
  <c r="U380" i="2"/>
  <c r="U380" i="2" a="1"/>
  <c r="T380" i="2"/>
  <c r="T380" i="2" a="1"/>
  <c r="S380" i="2"/>
  <c r="R380" i="2"/>
  <c r="V379" i="2"/>
  <c r="U379" i="2"/>
  <c r="U379" i="2" a="1"/>
  <c r="T379" i="2"/>
  <c r="T379" i="2" a="1"/>
  <c r="S379" i="2"/>
  <c r="R379" i="2"/>
  <c r="V378" i="2"/>
  <c r="U378" i="2"/>
  <c r="U378" i="2" a="1"/>
  <c r="T378" i="2"/>
  <c r="T378" i="2" a="1"/>
  <c r="S378" i="2"/>
  <c r="R378" i="2"/>
  <c r="V377" i="2"/>
  <c r="U377" i="2"/>
  <c r="U377" i="2" a="1"/>
  <c r="T377" i="2"/>
  <c r="T377" i="2" a="1"/>
  <c r="S377" i="2"/>
  <c r="R377" i="2"/>
  <c r="V376" i="2"/>
  <c r="U376" i="2"/>
  <c r="U376" i="2" a="1"/>
  <c r="T376" i="2"/>
  <c r="T376" i="2" a="1"/>
  <c r="S376" i="2"/>
  <c r="R376" i="2"/>
  <c r="V375" i="2"/>
  <c r="U375" i="2"/>
  <c r="U375" i="2" a="1"/>
  <c r="T375" i="2"/>
  <c r="T375" i="2" a="1"/>
  <c r="S375" i="2"/>
  <c r="R375" i="2"/>
  <c r="V374" i="2"/>
  <c r="U374" i="2"/>
  <c r="U374" i="2" a="1"/>
  <c r="T374" i="2"/>
  <c r="T374" i="2" a="1"/>
  <c r="S374" i="2"/>
  <c r="R374" i="2"/>
  <c r="V373" i="2"/>
  <c r="U373" i="2"/>
  <c r="U373" i="2" a="1"/>
  <c r="T373" i="2"/>
  <c r="T373" i="2" a="1"/>
  <c r="S373" i="2"/>
  <c r="R373" i="2"/>
  <c r="V372" i="2"/>
  <c r="U372" i="2"/>
  <c r="U372" i="2" a="1"/>
  <c r="T372" i="2"/>
  <c r="T372" i="2" a="1"/>
  <c r="S372" i="2"/>
  <c r="R372" i="2"/>
  <c r="V371" i="2"/>
  <c r="U371" i="2"/>
  <c r="U371" i="2" a="1"/>
  <c r="T371" i="2"/>
  <c r="T371" i="2" a="1"/>
  <c r="S371" i="2"/>
  <c r="R371" i="2"/>
  <c r="V370" i="2"/>
  <c r="U370" i="2"/>
  <c r="U370" i="2" a="1"/>
  <c r="T370" i="2"/>
  <c r="T370" i="2" a="1"/>
  <c r="S370" i="2"/>
  <c r="R370" i="2"/>
  <c r="V369" i="2"/>
  <c r="U369" i="2"/>
  <c r="U369" i="2" a="1"/>
  <c r="T369" i="2"/>
  <c r="T369" i="2" a="1"/>
  <c r="S369" i="2"/>
  <c r="R369" i="2"/>
  <c r="V368" i="2"/>
  <c r="U368" i="2"/>
  <c r="U368" i="2" a="1"/>
  <c r="T368" i="2"/>
  <c r="T368" i="2" a="1"/>
  <c r="S368" i="2"/>
  <c r="R368" i="2"/>
  <c r="V367" i="2"/>
  <c r="U367" i="2"/>
  <c r="U367" i="2" a="1"/>
  <c r="T367" i="2"/>
  <c r="T367" i="2" a="1"/>
  <c r="S367" i="2"/>
  <c r="R367" i="2"/>
  <c r="V366" i="2"/>
  <c r="U366" i="2"/>
  <c r="U366" i="2" a="1"/>
  <c r="T366" i="2"/>
  <c r="T366" i="2" a="1"/>
  <c r="S366" i="2"/>
  <c r="R366" i="2"/>
  <c r="V365" i="2"/>
  <c r="U365" i="2"/>
  <c r="U365" i="2" a="1"/>
  <c r="T365" i="2"/>
  <c r="T365" i="2" a="1"/>
  <c r="S365" i="2"/>
  <c r="R365" i="2"/>
  <c r="V364" i="2"/>
  <c r="U364" i="2"/>
  <c r="U364" i="2" a="1"/>
  <c r="T364" i="2"/>
  <c r="T364" i="2" a="1"/>
  <c r="S364" i="2"/>
  <c r="R364" i="2"/>
  <c r="V363" i="2"/>
  <c r="U363" i="2"/>
  <c r="U363" i="2" a="1"/>
  <c r="T363" i="2"/>
  <c r="T363" i="2" a="1"/>
  <c r="S363" i="2"/>
  <c r="R363" i="2"/>
  <c r="V362" i="2"/>
  <c r="U362" i="2"/>
  <c r="U362" i="2" a="1"/>
  <c r="T362" i="2"/>
  <c r="T362" i="2" a="1"/>
  <c r="S362" i="2"/>
  <c r="R362" i="2"/>
  <c r="V361" i="2"/>
  <c r="U361" i="2"/>
  <c r="U361" i="2" a="1"/>
  <c r="T361" i="2"/>
  <c r="T361" i="2" a="1"/>
  <c r="S361" i="2"/>
  <c r="R361" i="2"/>
  <c r="V360" i="2"/>
  <c r="U360" i="2"/>
  <c r="U360" i="2" a="1"/>
  <c r="T360" i="2"/>
  <c r="T360" i="2" a="1"/>
  <c r="S360" i="2"/>
  <c r="R360" i="2"/>
  <c r="V359" i="2"/>
  <c r="U359" i="2"/>
  <c r="U359" i="2" a="1"/>
  <c r="T359" i="2"/>
  <c r="T359" i="2" a="1"/>
  <c r="S359" i="2"/>
  <c r="R359" i="2"/>
  <c r="V358" i="2"/>
  <c r="U358" i="2"/>
  <c r="U358" i="2" a="1"/>
  <c r="T358" i="2"/>
  <c r="T358" i="2" a="1"/>
  <c r="S358" i="2"/>
  <c r="R358" i="2"/>
  <c r="V357" i="2"/>
  <c r="U357" i="2"/>
  <c r="U357" i="2" a="1"/>
  <c r="T357" i="2"/>
  <c r="T357" i="2" a="1"/>
  <c r="S357" i="2"/>
  <c r="R357" i="2"/>
  <c r="V356" i="2"/>
  <c r="U356" i="2"/>
  <c r="U356" i="2" a="1"/>
  <c r="T356" i="2"/>
  <c r="T356" i="2" a="1"/>
  <c r="S356" i="2"/>
  <c r="R356" i="2"/>
  <c r="V355" i="2"/>
  <c r="U355" i="2"/>
  <c r="U355" i="2" a="1"/>
  <c r="T355" i="2"/>
  <c r="T355" i="2" a="1"/>
  <c r="S355" i="2"/>
  <c r="R355" i="2"/>
  <c r="V354" i="2"/>
  <c r="U354" i="2"/>
  <c r="U354" i="2" a="1"/>
  <c r="T354" i="2"/>
  <c r="T354" i="2" a="1"/>
  <c r="S354" i="2"/>
  <c r="R354" i="2"/>
  <c r="V353" i="2"/>
  <c r="U353" i="2"/>
  <c r="U353" i="2" a="1"/>
  <c r="T353" i="2"/>
  <c r="T353" i="2" a="1"/>
  <c r="S353" i="2"/>
  <c r="R353" i="2"/>
  <c r="V352" i="2"/>
  <c r="U352" i="2"/>
  <c r="U352" i="2" a="1"/>
  <c r="T352" i="2"/>
  <c r="T352" i="2" a="1"/>
  <c r="S352" i="2"/>
  <c r="R352" i="2"/>
  <c r="V351" i="2"/>
  <c r="U351" i="2"/>
  <c r="U351" i="2" a="1"/>
  <c r="T351" i="2"/>
  <c r="T351" i="2" a="1"/>
  <c r="S351" i="2"/>
  <c r="R351" i="2"/>
  <c r="V350" i="2"/>
  <c r="U350" i="2"/>
  <c r="U350" i="2" a="1"/>
  <c r="T350" i="2"/>
  <c r="T350" i="2" a="1"/>
  <c r="S350" i="2"/>
  <c r="R350" i="2"/>
  <c r="V349" i="2"/>
  <c r="U349" i="2"/>
  <c r="U349" i="2" a="1"/>
  <c r="T349" i="2"/>
  <c r="T349" i="2" a="1"/>
  <c r="S349" i="2"/>
  <c r="R349" i="2"/>
  <c r="V348" i="2"/>
  <c r="U348" i="2"/>
  <c r="U348" i="2" a="1"/>
  <c r="T348" i="2"/>
  <c r="T348" i="2" a="1"/>
  <c r="S348" i="2"/>
  <c r="R348" i="2"/>
  <c r="V347" i="2"/>
  <c r="U347" i="2"/>
  <c r="U347" i="2" a="1"/>
  <c r="T347" i="2"/>
  <c r="T347" i="2" a="1"/>
  <c r="S347" i="2"/>
  <c r="R347" i="2"/>
  <c r="V346" i="2"/>
  <c r="U346" i="2"/>
  <c r="U346" i="2" a="1"/>
  <c r="T346" i="2"/>
  <c r="T346" i="2" a="1"/>
  <c r="S346" i="2"/>
  <c r="R346" i="2"/>
  <c r="V345" i="2"/>
  <c r="U345" i="2"/>
  <c r="U345" i="2" a="1"/>
  <c r="T345" i="2"/>
  <c r="T345" i="2" a="1"/>
  <c r="S345" i="2"/>
  <c r="R345" i="2"/>
  <c r="V344" i="2"/>
  <c r="U344" i="2"/>
  <c r="U344" i="2" a="1"/>
  <c r="T344" i="2"/>
  <c r="T344" i="2" a="1"/>
  <c r="S344" i="2"/>
  <c r="R344" i="2"/>
  <c r="V343" i="2"/>
  <c r="U343" i="2"/>
  <c r="U343" i="2" a="1"/>
  <c r="T343" i="2"/>
  <c r="T343" i="2" a="1"/>
  <c r="S343" i="2"/>
  <c r="R343" i="2"/>
  <c r="V342" i="2"/>
  <c r="U342" i="2"/>
  <c r="U342" i="2" a="1"/>
  <c r="T342" i="2"/>
  <c r="T342" i="2" a="1"/>
  <c r="S342" i="2"/>
  <c r="R342" i="2"/>
  <c r="V341" i="2"/>
  <c r="U341" i="2"/>
  <c r="U341" i="2" a="1"/>
  <c r="T341" i="2"/>
  <c r="T341" i="2" a="1"/>
  <c r="S341" i="2"/>
  <c r="R341" i="2"/>
  <c r="V340" i="2"/>
  <c r="U340" i="2"/>
  <c r="U340" i="2" a="1"/>
  <c r="T340" i="2"/>
  <c r="T340" i="2" a="1"/>
  <c r="S340" i="2"/>
  <c r="R340" i="2"/>
  <c r="V339" i="2"/>
  <c r="U339" i="2"/>
  <c r="U339" i="2" a="1"/>
  <c r="T339" i="2"/>
  <c r="T339" i="2" a="1"/>
  <c r="S339" i="2"/>
  <c r="R339" i="2"/>
  <c r="V338" i="2"/>
  <c r="U338" i="2"/>
  <c r="U338" i="2" a="1"/>
  <c r="T338" i="2"/>
  <c r="T338" i="2" a="1"/>
  <c r="S338" i="2"/>
  <c r="R338" i="2"/>
  <c r="V337" i="2"/>
  <c r="U337" i="2"/>
  <c r="U337" i="2" a="1"/>
  <c r="T337" i="2"/>
  <c r="T337" i="2" a="1"/>
  <c r="S337" i="2"/>
  <c r="R337" i="2"/>
  <c r="V336" i="2"/>
  <c r="U336" i="2"/>
  <c r="U336" i="2" a="1"/>
  <c r="T336" i="2"/>
  <c r="T336" i="2" a="1"/>
  <c r="S336" i="2"/>
  <c r="R336" i="2"/>
  <c r="V335" i="2"/>
  <c r="U335" i="2"/>
  <c r="U335" i="2" a="1"/>
  <c r="T335" i="2"/>
  <c r="T335" i="2" a="1"/>
  <c r="S335" i="2"/>
  <c r="R335" i="2"/>
  <c r="V334" i="2"/>
  <c r="U334" i="2"/>
  <c r="U334" i="2" a="1"/>
  <c r="T334" i="2"/>
  <c r="T334" i="2" a="1"/>
  <c r="S334" i="2"/>
  <c r="R334" i="2"/>
  <c r="V333" i="2"/>
  <c r="U333" i="2"/>
  <c r="U333" i="2" a="1"/>
  <c r="T333" i="2"/>
  <c r="T333" i="2" a="1"/>
  <c r="S333" i="2"/>
  <c r="R333" i="2"/>
  <c r="V332" i="2"/>
  <c r="U332" i="2"/>
  <c r="U332" i="2" a="1"/>
  <c r="T332" i="2"/>
  <c r="T332" i="2" a="1"/>
  <c r="S332" i="2"/>
  <c r="R332" i="2"/>
  <c r="V331" i="2"/>
  <c r="U331" i="2"/>
  <c r="U331" i="2" a="1"/>
  <c r="T331" i="2"/>
  <c r="T331" i="2" a="1"/>
  <c r="S331" i="2"/>
  <c r="R331" i="2"/>
  <c r="V330" i="2"/>
  <c r="U330" i="2"/>
  <c r="U330" i="2" a="1"/>
  <c r="T330" i="2"/>
  <c r="T330" i="2" a="1"/>
  <c r="S330" i="2"/>
  <c r="R330" i="2"/>
  <c r="V329" i="2"/>
  <c r="U329" i="2"/>
  <c r="U329" i="2" a="1"/>
  <c r="T329" i="2"/>
  <c r="T329" i="2" a="1"/>
  <c r="S329" i="2"/>
  <c r="R329" i="2"/>
  <c r="V328" i="2"/>
  <c r="U328" i="2"/>
  <c r="U328" i="2" a="1"/>
  <c r="T328" i="2"/>
  <c r="T328" i="2" a="1"/>
  <c r="S328" i="2"/>
  <c r="R328" i="2"/>
  <c r="V327" i="2"/>
  <c r="U327" i="2"/>
  <c r="U327" i="2" a="1"/>
  <c r="T327" i="2"/>
  <c r="T327" i="2" a="1"/>
  <c r="S327" i="2"/>
  <c r="R327" i="2"/>
  <c r="V326" i="2"/>
  <c r="U326" i="2"/>
  <c r="U326" i="2" a="1"/>
  <c r="T326" i="2"/>
  <c r="T326" i="2" a="1"/>
  <c r="S326" i="2"/>
  <c r="R326" i="2"/>
  <c r="V325" i="2"/>
  <c r="U325" i="2"/>
  <c r="U325" i="2" a="1"/>
  <c r="T325" i="2"/>
  <c r="T325" i="2" a="1"/>
  <c r="S325" i="2"/>
  <c r="R325" i="2"/>
  <c r="V324" i="2"/>
  <c r="U324" i="2"/>
  <c r="U324" i="2" a="1"/>
  <c r="T324" i="2"/>
  <c r="T324" i="2" a="1"/>
  <c r="S324" i="2"/>
  <c r="R324" i="2"/>
  <c r="V323" i="2"/>
  <c r="U323" i="2"/>
  <c r="U323" i="2" a="1"/>
  <c r="T323" i="2"/>
  <c r="T323" i="2" a="1"/>
  <c r="S323" i="2"/>
  <c r="R323" i="2"/>
  <c r="V322" i="2"/>
  <c r="U322" i="2"/>
  <c r="U322" i="2" a="1"/>
  <c r="T322" i="2"/>
  <c r="T322" i="2" a="1"/>
  <c r="S322" i="2"/>
  <c r="R322" i="2"/>
  <c r="V321" i="2"/>
  <c r="U321" i="2"/>
  <c r="U321" i="2" a="1"/>
  <c r="T321" i="2"/>
  <c r="T321" i="2" a="1"/>
  <c r="S321" i="2"/>
  <c r="R321" i="2"/>
  <c r="V320" i="2"/>
  <c r="U320" i="2"/>
  <c r="U320" i="2" a="1"/>
  <c r="T320" i="2"/>
  <c r="T320" i="2" a="1"/>
  <c r="S320" i="2"/>
  <c r="R320" i="2"/>
  <c r="V319" i="2"/>
  <c r="U319" i="2"/>
  <c r="U319" i="2" a="1"/>
  <c r="T319" i="2"/>
  <c r="T319" i="2" a="1"/>
  <c r="S319" i="2"/>
  <c r="R319" i="2"/>
  <c r="V318" i="2"/>
  <c r="U318" i="2"/>
  <c r="U318" i="2" a="1"/>
  <c r="T318" i="2"/>
  <c r="T318" i="2" a="1"/>
  <c r="S318" i="2"/>
  <c r="R318" i="2"/>
  <c r="V317" i="2"/>
  <c r="U317" i="2"/>
  <c r="U317" i="2" a="1"/>
  <c r="T317" i="2"/>
  <c r="T317" i="2" a="1"/>
  <c r="S317" i="2"/>
  <c r="R317" i="2"/>
  <c r="V316" i="2"/>
  <c r="U316" i="2"/>
  <c r="U316" i="2" a="1"/>
  <c r="T316" i="2"/>
  <c r="T316" i="2" a="1"/>
  <c r="S316" i="2"/>
  <c r="R316" i="2"/>
  <c r="V315" i="2"/>
  <c r="U315" i="2"/>
  <c r="U315" i="2" a="1"/>
  <c r="T315" i="2"/>
  <c r="T315" i="2" a="1"/>
  <c r="S315" i="2"/>
  <c r="R315" i="2"/>
  <c r="V314" i="2"/>
  <c r="U314" i="2"/>
  <c r="U314" i="2" a="1"/>
  <c r="T314" i="2"/>
  <c r="T314" i="2" a="1"/>
  <c r="S314" i="2"/>
  <c r="R314" i="2"/>
  <c r="V313" i="2"/>
  <c r="U313" i="2"/>
  <c r="U313" i="2" a="1"/>
  <c r="T313" i="2"/>
  <c r="T313" i="2" a="1"/>
  <c r="S313" i="2"/>
  <c r="R313" i="2"/>
  <c r="V312" i="2"/>
  <c r="U312" i="2"/>
  <c r="U312" i="2" a="1"/>
  <c r="T312" i="2"/>
  <c r="T312" i="2" a="1"/>
  <c r="S312" i="2"/>
  <c r="R312" i="2"/>
  <c r="V311" i="2"/>
  <c r="U311" i="2"/>
  <c r="U311" i="2" a="1"/>
  <c r="T311" i="2"/>
  <c r="T311" i="2" a="1"/>
  <c r="S311" i="2"/>
  <c r="R311" i="2"/>
  <c r="V310" i="2"/>
  <c r="U310" i="2"/>
  <c r="U310" i="2" a="1"/>
  <c r="T310" i="2"/>
  <c r="T310" i="2" a="1"/>
  <c r="S310" i="2"/>
  <c r="R310" i="2"/>
  <c r="V309" i="2"/>
  <c r="U309" i="2"/>
  <c r="U309" i="2" a="1"/>
  <c r="T309" i="2"/>
  <c r="T309" i="2" a="1"/>
  <c r="S309" i="2"/>
  <c r="R309" i="2"/>
  <c r="V308" i="2"/>
  <c r="U308" i="2"/>
  <c r="U308" i="2" a="1"/>
  <c r="T308" i="2"/>
  <c r="T308" i="2" a="1"/>
  <c r="S308" i="2"/>
  <c r="R308" i="2"/>
  <c r="V307" i="2"/>
  <c r="U307" i="2"/>
  <c r="U307" i="2" a="1"/>
  <c r="T307" i="2"/>
  <c r="T307" i="2" a="1"/>
  <c r="S307" i="2"/>
  <c r="R307" i="2"/>
  <c r="V306" i="2"/>
  <c r="U306" i="2"/>
  <c r="U306" i="2" a="1"/>
  <c r="T306" i="2"/>
  <c r="T306" i="2" a="1"/>
  <c r="S306" i="2"/>
  <c r="R306" i="2"/>
  <c r="V305" i="2"/>
  <c r="U305" i="2"/>
  <c r="U305" i="2" a="1"/>
  <c r="T305" i="2"/>
  <c r="T305" i="2" a="1"/>
  <c r="S305" i="2"/>
  <c r="R305" i="2"/>
  <c r="V304" i="2"/>
  <c r="U304" i="2"/>
  <c r="U304" i="2" a="1"/>
  <c r="T304" i="2"/>
  <c r="T304" i="2" a="1"/>
  <c r="S304" i="2"/>
  <c r="R304" i="2"/>
  <c r="V303" i="2"/>
  <c r="U303" i="2"/>
  <c r="U303" i="2" a="1"/>
  <c r="T303" i="2"/>
  <c r="T303" i="2" a="1"/>
  <c r="S303" i="2"/>
  <c r="R303" i="2"/>
  <c r="V302" i="2"/>
  <c r="U302" i="2"/>
  <c r="U302" i="2" a="1"/>
  <c r="T302" i="2"/>
  <c r="T302" i="2" a="1"/>
  <c r="S302" i="2"/>
  <c r="R302" i="2"/>
  <c r="V301" i="2"/>
  <c r="U301" i="2"/>
  <c r="U301" i="2" a="1"/>
  <c r="T301" i="2"/>
  <c r="T301" i="2" a="1"/>
  <c r="S301" i="2"/>
  <c r="R301" i="2"/>
  <c r="V300" i="2"/>
  <c r="U300" i="2"/>
  <c r="U300" i="2" a="1"/>
  <c r="T300" i="2"/>
  <c r="T300" i="2" a="1"/>
  <c r="S300" i="2"/>
  <c r="R300" i="2"/>
  <c r="V299" i="2"/>
  <c r="U299" i="2"/>
  <c r="U299" i="2" a="1"/>
  <c r="T299" i="2"/>
  <c r="T299" i="2" a="1"/>
  <c r="S299" i="2"/>
  <c r="R299" i="2"/>
  <c r="V298" i="2"/>
  <c r="U298" i="2"/>
  <c r="U298" i="2" a="1"/>
  <c r="T298" i="2"/>
  <c r="T298" i="2" a="1"/>
  <c r="S298" i="2"/>
  <c r="R298" i="2"/>
  <c r="V297" i="2"/>
  <c r="U297" i="2"/>
  <c r="U297" i="2" a="1"/>
  <c r="T297" i="2"/>
  <c r="T297" i="2" a="1"/>
  <c r="S297" i="2"/>
  <c r="R297" i="2"/>
  <c r="V296" i="2"/>
  <c r="U296" i="2"/>
  <c r="U296" i="2" a="1"/>
  <c r="T296" i="2"/>
  <c r="T296" i="2" a="1"/>
  <c r="S296" i="2"/>
  <c r="R296" i="2"/>
  <c r="V295" i="2"/>
  <c r="U295" i="2"/>
  <c r="U295" i="2" a="1"/>
  <c r="T295" i="2"/>
  <c r="T295" i="2" a="1"/>
  <c r="S295" i="2"/>
  <c r="R295" i="2"/>
  <c r="V294" i="2"/>
  <c r="U294" i="2"/>
  <c r="U294" i="2" a="1"/>
  <c r="T294" i="2"/>
  <c r="T294" i="2" a="1"/>
  <c r="S294" i="2"/>
  <c r="R294" i="2"/>
  <c r="V293" i="2"/>
  <c r="U293" i="2"/>
  <c r="U293" i="2" a="1"/>
  <c r="T293" i="2"/>
  <c r="T293" i="2" a="1"/>
  <c r="S293" i="2"/>
  <c r="R293" i="2"/>
  <c r="V292" i="2"/>
  <c r="U292" i="2"/>
  <c r="U292" i="2" a="1"/>
  <c r="T292" i="2"/>
  <c r="T292" i="2" a="1"/>
  <c r="S292" i="2"/>
  <c r="R292" i="2"/>
  <c r="V291" i="2"/>
  <c r="U291" i="2"/>
  <c r="U291" i="2" a="1"/>
  <c r="T291" i="2"/>
  <c r="T291" i="2" a="1"/>
  <c r="S291" i="2"/>
  <c r="R291" i="2"/>
  <c r="V290" i="2"/>
  <c r="U290" i="2"/>
  <c r="U290" i="2" a="1"/>
  <c r="T290" i="2"/>
  <c r="T290" i="2" a="1"/>
  <c r="S290" i="2"/>
  <c r="R290" i="2"/>
  <c r="V289" i="2"/>
  <c r="U289" i="2"/>
  <c r="U289" i="2" a="1"/>
  <c r="T289" i="2"/>
  <c r="T289" i="2" a="1"/>
  <c r="S289" i="2"/>
  <c r="R289" i="2"/>
  <c r="V288" i="2"/>
  <c r="U288" i="2"/>
  <c r="U288" i="2" a="1"/>
  <c r="T288" i="2"/>
  <c r="T288" i="2" a="1"/>
  <c r="S288" i="2"/>
  <c r="R288" i="2"/>
  <c r="V287" i="2"/>
  <c r="U287" i="2"/>
  <c r="U287" i="2" a="1"/>
  <c r="T287" i="2"/>
  <c r="T287" i="2" a="1"/>
  <c r="S287" i="2"/>
  <c r="R287" i="2"/>
  <c r="V286" i="2"/>
  <c r="U286" i="2"/>
  <c r="U286" i="2" a="1"/>
  <c r="T286" i="2"/>
  <c r="T286" i="2" a="1"/>
  <c r="S286" i="2"/>
  <c r="R286" i="2"/>
  <c r="V285" i="2"/>
  <c r="U285" i="2"/>
  <c r="U285" i="2" a="1"/>
  <c r="T285" i="2"/>
  <c r="T285" i="2" a="1"/>
  <c r="S285" i="2"/>
  <c r="R285" i="2"/>
  <c r="V284" i="2"/>
  <c r="U284" i="2"/>
  <c r="U284" i="2" a="1"/>
  <c r="T284" i="2"/>
  <c r="T284" i="2" a="1"/>
  <c r="S284" i="2"/>
  <c r="R284" i="2"/>
  <c r="V283" i="2"/>
  <c r="U283" i="2"/>
  <c r="U283" i="2" a="1"/>
  <c r="T283" i="2"/>
  <c r="T283" i="2" a="1"/>
  <c r="S283" i="2"/>
  <c r="R283" i="2"/>
  <c r="V282" i="2"/>
  <c r="U282" i="2"/>
  <c r="U282" i="2" a="1"/>
  <c r="T282" i="2"/>
  <c r="T282" i="2" a="1"/>
  <c r="S282" i="2"/>
  <c r="R282" i="2"/>
  <c r="V281" i="2"/>
  <c r="U281" i="2"/>
  <c r="U281" i="2" a="1"/>
  <c r="T281" i="2"/>
  <c r="T281" i="2" a="1"/>
  <c r="S281" i="2"/>
  <c r="R281" i="2"/>
  <c r="V280" i="2"/>
  <c r="U280" i="2"/>
  <c r="U280" i="2" a="1"/>
  <c r="T280" i="2"/>
  <c r="T280" i="2" a="1"/>
  <c r="S280" i="2"/>
  <c r="R280" i="2"/>
  <c r="V279" i="2"/>
  <c r="U279" i="2"/>
  <c r="U279" i="2" a="1"/>
  <c r="T279" i="2"/>
  <c r="T279" i="2" a="1"/>
  <c r="S279" i="2"/>
  <c r="R279" i="2"/>
  <c r="V278" i="2"/>
  <c r="U278" i="2"/>
  <c r="U278" i="2" a="1"/>
  <c r="T278" i="2"/>
  <c r="T278" i="2" a="1"/>
  <c r="S278" i="2"/>
  <c r="R278" i="2"/>
  <c r="V277" i="2"/>
  <c r="U277" i="2"/>
  <c r="U277" i="2" a="1"/>
  <c r="T277" i="2"/>
  <c r="T277" i="2" a="1"/>
  <c r="S277" i="2"/>
  <c r="R277" i="2"/>
  <c r="V276" i="2"/>
  <c r="U276" i="2"/>
  <c r="U276" i="2" a="1"/>
  <c r="T276" i="2"/>
  <c r="T276" i="2" a="1"/>
  <c r="S276" i="2"/>
  <c r="R276" i="2"/>
  <c r="V275" i="2"/>
  <c r="U275" i="2"/>
  <c r="U275" i="2" a="1"/>
  <c r="T275" i="2"/>
  <c r="T275" i="2" a="1"/>
  <c r="S275" i="2"/>
  <c r="R275" i="2"/>
  <c r="V274" i="2"/>
  <c r="U274" i="2"/>
  <c r="U274" i="2" a="1"/>
  <c r="T274" i="2"/>
  <c r="T274" i="2" a="1"/>
  <c r="S274" i="2"/>
  <c r="R274" i="2"/>
  <c r="V273" i="2"/>
  <c r="U273" i="2"/>
  <c r="U273" i="2" a="1"/>
  <c r="T273" i="2"/>
  <c r="T273" i="2" a="1"/>
  <c r="S273" i="2"/>
  <c r="R273" i="2"/>
  <c r="V272" i="2"/>
  <c r="U272" i="2"/>
  <c r="U272" i="2" a="1"/>
  <c r="T272" i="2"/>
  <c r="T272" i="2" a="1"/>
  <c r="S272" i="2"/>
  <c r="R272" i="2"/>
  <c r="V271" i="2"/>
  <c r="U271" i="2"/>
  <c r="U271" i="2" a="1"/>
  <c r="T271" i="2"/>
  <c r="T271" i="2" a="1"/>
  <c r="S271" i="2"/>
  <c r="R271" i="2"/>
  <c r="V270" i="2"/>
  <c r="U270" i="2"/>
  <c r="U270" i="2" a="1"/>
  <c r="T270" i="2"/>
  <c r="T270" i="2" a="1"/>
  <c r="S270" i="2"/>
  <c r="R270" i="2"/>
  <c r="V269" i="2"/>
  <c r="U269" i="2"/>
  <c r="U269" i="2" a="1"/>
  <c r="T269" i="2"/>
  <c r="T269" i="2" a="1"/>
  <c r="S269" i="2"/>
  <c r="R269" i="2"/>
  <c r="V268" i="2"/>
  <c r="U268" i="2"/>
  <c r="U268" i="2" a="1"/>
  <c r="T268" i="2"/>
  <c r="T268" i="2" a="1"/>
  <c r="S268" i="2"/>
  <c r="R268" i="2"/>
  <c r="V267" i="2"/>
  <c r="U267" i="2"/>
  <c r="U267" i="2" a="1"/>
  <c r="T267" i="2"/>
  <c r="T267" i="2" a="1"/>
  <c r="S267" i="2"/>
  <c r="R267" i="2"/>
  <c r="V266" i="2"/>
  <c r="U266" i="2"/>
  <c r="U266" i="2" a="1"/>
  <c r="T266" i="2"/>
  <c r="T266" i="2" a="1"/>
  <c r="S266" i="2"/>
  <c r="R266" i="2"/>
  <c r="V265" i="2"/>
  <c r="U265" i="2"/>
  <c r="U265" i="2" a="1"/>
  <c r="T265" i="2"/>
  <c r="T265" i="2" a="1"/>
  <c r="S265" i="2"/>
  <c r="R265" i="2"/>
  <c r="V264" i="2"/>
  <c r="U264" i="2"/>
  <c r="U264" i="2" a="1"/>
  <c r="T264" i="2"/>
  <c r="T264" i="2" a="1"/>
  <c r="S264" i="2"/>
  <c r="R264" i="2"/>
  <c r="V263" i="2"/>
  <c r="U263" i="2"/>
  <c r="U263" i="2" a="1"/>
  <c r="T263" i="2"/>
  <c r="T263" i="2" a="1"/>
  <c r="S263" i="2"/>
  <c r="R263" i="2"/>
  <c r="V262" i="2"/>
  <c r="U262" i="2"/>
  <c r="U262" i="2" a="1"/>
  <c r="T262" i="2"/>
  <c r="T262" i="2" a="1"/>
  <c r="S262" i="2"/>
  <c r="R262" i="2"/>
  <c r="V261" i="2"/>
  <c r="U261" i="2"/>
  <c r="U261" i="2" a="1"/>
  <c r="T261" i="2"/>
  <c r="T261" i="2" a="1"/>
  <c r="S261" i="2"/>
  <c r="R261" i="2"/>
  <c r="V260" i="2"/>
  <c r="U260" i="2"/>
  <c r="U260" i="2" a="1"/>
  <c r="T260" i="2"/>
  <c r="T260" i="2" a="1"/>
  <c r="S260" i="2"/>
  <c r="R260" i="2"/>
  <c r="V259" i="2"/>
  <c r="U259" i="2"/>
  <c r="U259" i="2" a="1"/>
  <c r="T259" i="2"/>
  <c r="T259" i="2" a="1"/>
  <c r="S259" i="2"/>
  <c r="R259" i="2"/>
  <c r="V258" i="2"/>
  <c r="U258" i="2"/>
  <c r="U258" i="2" a="1"/>
  <c r="T258" i="2"/>
  <c r="T258" i="2" a="1"/>
  <c r="S258" i="2"/>
  <c r="R258" i="2"/>
  <c r="V257" i="2"/>
  <c r="U257" i="2"/>
  <c r="U257" i="2" a="1"/>
  <c r="T257" i="2"/>
  <c r="T257" i="2" a="1"/>
  <c r="S257" i="2"/>
  <c r="R257" i="2"/>
  <c r="V256" i="2"/>
  <c r="U256" i="2"/>
  <c r="U256" i="2" a="1"/>
  <c r="T256" i="2"/>
  <c r="T256" i="2" a="1"/>
  <c r="S256" i="2"/>
  <c r="R256" i="2"/>
  <c r="V255" i="2"/>
  <c r="U255" i="2"/>
  <c r="U255" i="2" a="1"/>
  <c r="T255" i="2"/>
  <c r="T255" i="2" a="1"/>
  <c r="S255" i="2"/>
  <c r="R255" i="2"/>
  <c r="V254" i="2"/>
  <c r="U254" i="2"/>
  <c r="U254" i="2" a="1"/>
  <c r="T254" i="2"/>
  <c r="T254" i="2" a="1"/>
  <c r="S254" i="2"/>
  <c r="R254" i="2"/>
  <c r="V253" i="2"/>
  <c r="U253" i="2"/>
  <c r="U253" i="2" a="1"/>
  <c r="T253" i="2"/>
  <c r="T253" i="2" a="1"/>
  <c r="S253" i="2"/>
  <c r="R253" i="2"/>
  <c r="V252" i="2"/>
  <c r="U252" i="2"/>
  <c r="U252" i="2" a="1"/>
  <c r="T252" i="2"/>
  <c r="T252" i="2" a="1"/>
  <c r="S252" i="2"/>
  <c r="R252" i="2"/>
  <c r="V251" i="2"/>
  <c r="U251" i="2"/>
  <c r="U251" i="2" a="1"/>
  <c r="T251" i="2"/>
  <c r="T251" i="2" a="1"/>
  <c r="S251" i="2"/>
  <c r="R251" i="2"/>
  <c r="V250" i="2"/>
  <c r="U250" i="2"/>
  <c r="U250" i="2" a="1"/>
  <c r="T250" i="2"/>
  <c r="T250" i="2" a="1"/>
  <c r="S250" i="2"/>
  <c r="R250" i="2"/>
  <c r="V249" i="2"/>
  <c r="U249" i="2"/>
  <c r="U249" i="2" a="1"/>
  <c r="T249" i="2"/>
  <c r="T249" i="2" a="1"/>
  <c r="S249" i="2"/>
  <c r="R249" i="2"/>
  <c r="V248" i="2"/>
  <c r="U248" i="2"/>
  <c r="U248" i="2" a="1"/>
  <c r="T248" i="2"/>
  <c r="T248" i="2" a="1"/>
  <c r="S248" i="2"/>
  <c r="R248" i="2"/>
  <c r="V247" i="2"/>
  <c r="U247" i="2"/>
  <c r="U247" i="2" a="1"/>
  <c r="T247" i="2"/>
  <c r="T247" i="2" a="1"/>
  <c r="S247" i="2"/>
  <c r="R247" i="2"/>
  <c r="V246" i="2"/>
  <c r="U246" i="2"/>
  <c r="U246" i="2" a="1"/>
  <c r="T246" i="2"/>
  <c r="T246" i="2" a="1"/>
  <c r="S246" i="2"/>
  <c r="R246" i="2"/>
  <c r="V245" i="2"/>
  <c r="U245" i="2"/>
  <c r="U245" i="2" a="1"/>
  <c r="T245" i="2"/>
  <c r="T245" i="2" a="1"/>
  <c r="S245" i="2"/>
  <c r="R245" i="2"/>
  <c r="V244" i="2"/>
  <c r="U244" i="2"/>
  <c r="U244" i="2" a="1"/>
  <c r="T244" i="2"/>
  <c r="T244" i="2" a="1"/>
  <c r="S244" i="2"/>
  <c r="R244" i="2"/>
  <c r="V243" i="2"/>
  <c r="U243" i="2"/>
  <c r="U243" i="2" a="1"/>
  <c r="T243" i="2"/>
  <c r="T243" i="2" a="1"/>
  <c r="S243" i="2"/>
  <c r="R243" i="2"/>
  <c r="V242" i="2"/>
  <c r="U242" i="2"/>
  <c r="U242" i="2" a="1"/>
  <c r="T242" i="2"/>
  <c r="T242" i="2" a="1"/>
  <c r="S242" i="2"/>
  <c r="R242" i="2"/>
  <c r="V241" i="2"/>
  <c r="U241" i="2"/>
  <c r="U241" i="2" a="1"/>
  <c r="T241" i="2"/>
  <c r="T241" i="2" a="1"/>
  <c r="S241" i="2"/>
  <c r="R241" i="2"/>
  <c r="V240" i="2"/>
  <c r="U240" i="2"/>
  <c r="U240" i="2" a="1"/>
  <c r="T240" i="2"/>
  <c r="T240" i="2" a="1"/>
  <c r="S240" i="2"/>
  <c r="R240" i="2"/>
  <c r="V239" i="2"/>
  <c r="U239" i="2"/>
  <c r="U239" i="2" a="1"/>
  <c r="T239" i="2"/>
  <c r="T239" i="2" a="1"/>
  <c r="S239" i="2"/>
  <c r="R239" i="2"/>
  <c r="V238" i="2"/>
  <c r="U238" i="2"/>
  <c r="U238" i="2" a="1"/>
  <c r="T238" i="2"/>
  <c r="T238" i="2" a="1"/>
  <c r="S238" i="2"/>
  <c r="R238" i="2"/>
  <c r="V237" i="2"/>
  <c r="U237" i="2"/>
  <c r="U237" i="2" a="1"/>
  <c r="T237" i="2"/>
  <c r="T237" i="2" a="1"/>
  <c r="S237" i="2"/>
  <c r="R237" i="2"/>
  <c r="V236" i="2"/>
  <c r="U236" i="2"/>
  <c r="U236" i="2" a="1"/>
  <c r="T236" i="2"/>
  <c r="T236" i="2" a="1"/>
  <c r="S236" i="2"/>
  <c r="R236" i="2"/>
  <c r="V235" i="2"/>
  <c r="U235" i="2"/>
  <c r="U235" i="2" a="1"/>
  <c r="T235" i="2"/>
  <c r="T235" i="2" a="1"/>
  <c r="S235" i="2"/>
  <c r="R235" i="2"/>
  <c r="V234" i="2"/>
  <c r="U234" i="2"/>
  <c r="U234" i="2" a="1"/>
  <c r="T234" i="2"/>
  <c r="T234" i="2" a="1"/>
  <c r="S234" i="2"/>
  <c r="R234" i="2"/>
  <c r="V233" i="2"/>
  <c r="U233" i="2"/>
  <c r="U233" i="2" a="1"/>
  <c r="T233" i="2"/>
  <c r="T233" i="2" a="1"/>
  <c r="S233" i="2"/>
  <c r="R233" i="2"/>
  <c r="V232" i="2"/>
  <c r="U232" i="2"/>
  <c r="U232" i="2" a="1"/>
  <c r="T232" i="2"/>
  <c r="T232" i="2" a="1"/>
  <c r="S232" i="2"/>
  <c r="R232" i="2"/>
  <c r="V231" i="2"/>
  <c r="U231" i="2"/>
  <c r="U231" i="2" a="1"/>
  <c r="T231" i="2"/>
  <c r="T231" i="2" a="1"/>
  <c r="S231" i="2"/>
  <c r="R231" i="2"/>
  <c r="V230" i="2"/>
  <c r="U230" i="2"/>
  <c r="U230" i="2" a="1"/>
  <c r="T230" i="2"/>
  <c r="T230" i="2" a="1"/>
  <c r="S230" i="2"/>
  <c r="R230" i="2"/>
  <c r="V229" i="2"/>
  <c r="U229" i="2"/>
  <c r="U229" i="2" a="1"/>
  <c r="T229" i="2"/>
  <c r="T229" i="2" a="1"/>
  <c r="S229" i="2"/>
  <c r="R229" i="2"/>
  <c r="V228" i="2"/>
  <c r="U228" i="2"/>
  <c r="U228" i="2" a="1"/>
  <c r="T228" i="2"/>
  <c r="T228" i="2" a="1"/>
  <c r="S228" i="2"/>
  <c r="R228" i="2"/>
  <c r="V227" i="2"/>
  <c r="U227" i="2"/>
  <c r="U227" i="2" a="1"/>
  <c r="T227" i="2"/>
  <c r="T227" i="2" a="1"/>
  <c r="S227" i="2"/>
  <c r="R227" i="2"/>
  <c r="V226" i="2"/>
  <c r="U226" i="2"/>
  <c r="U226" i="2" a="1"/>
  <c r="T226" i="2"/>
  <c r="T226" i="2" a="1"/>
  <c r="S226" i="2"/>
  <c r="R226" i="2"/>
  <c r="V225" i="2"/>
  <c r="U225" i="2"/>
  <c r="U225" i="2" a="1"/>
  <c r="T225" i="2"/>
  <c r="T225" i="2" a="1"/>
  <c r="S225" i="2"/>
  <c r="R225" i="2"/>
  <c r="V224" i="2"/>
  <c r="U224" i="2"/>
  <c r="U224" i="2" a="1"/>
  <c r="T224" i="2"/>
  <c r="T224" i="2" a="1"/>
  <c r="S224" i="2"/>
  <c r="R224" i="2"/>
  <c r="V223" i="2"/>
  <c r="U223" i="2"/>
  <c r="U223" i="2" a="1"/>
  <c r="T223" i="2"/>
  <c r="T223" i="2" a="1"/>
  <c r="S223" i="2"/>
  <c r="R223" i="2"/>
  <c r="W222" i="2"/>
  <c r="V222" i="2"/>
  <c r="U222" i="2"/>
  <c r="U222" i="2" a="1"/>
  <c r="T222" i="2"/>
  <c r="T222" i="2" a="1"/>
  <c r="S222" i="2"/>
  <c r="R222" i="2"/>
  <c r="V221" i="2"/>
  <c r="U221" i="2"/>
  <c r="U221" i="2" a="1"/>
  <c r="T221" i="2"/>
  <c r="T221" i="2" a="1"/>
  <c r="S221" i="2"/>
  <c r="R221" i="2"/>
  <c r="V220" i="2"/>
  <c r="U220" i="2"/>
  <c r="U220" i="2" a="1"/>
  <c r="T220" i="2"/>
  <c r="T220" i="2" a="1"/>
  <c r="S220" i="2"/>
  <c r="R220" i="2"/>
  <c r="V219" i="2"/>
  <c r="U219" i="2"/>
  <c r="U219" i="2" a="1"/>
  <c r="T219" i="2"/>
  <c r="T219" i="2" a="1"/>
  <c r="S219" i="2"/>
  <c r="R219" i="2"/>
  <c r="V218" i="2"/>
  <c r="U218" i="2"/>
  <c r="U218" i="2" a="1"/>
  <c r="T218" i="2"/>
  <c r="T218" i="2" a="1"/>
  <c r="S218" i="2"/>
  <c r="R218" i="2"/>
  <c r="V217" i="2"/>
  <c r="U217" i="2"/>
  <c r="U217" i="2" a="1"/>
  <c r="T217" i="2"/>
  <c r="T217" i="2" a="1"/>
  <c r="S217" i="2"/>
  <c r="R217" i="2"/>
  <c r="V216" i="2"/>
  <c r="U216" i="2"/>
  <c r="U216" i="2" a="1"/>
  <c r="T216" i="2"/>
  <c r="T216" i="2" a="1"/>
  <c r="S216" i="2"/>
  <c r="R216" i="2"/>
  <c r="V215" i="2"/>
  <c r="U215" i="2"/>
  <c r="U215" i="2" a="1"/>
  <c r="T215" i="2"/>
  <c r="T215" i="2" a="1"/>
  <c r="S215" i="2"/>
  <c r="R215" i="2"/>
  <c r="V214" i="2"/>
  <c r="U214" i="2"/>
  <c r="U214" i="2" a="1"/>
  <c r="T214" i="2"/>
  <c r="T214" i="2" a="1"/>
  <c r="S214" i="2"/>
  <c r="R214" i="2"/>
  <c r="V213" i="2"/>
  <c r="U213" i="2"/>
  <c r="U213" i="2" a="1"/>
  <c r="T213" i="2"/>
  <c r="T213" i="2" a="1"/>
  <c r="S213" i="2"/>
  <c r="R213" i="2"/>
  <c r="V212" i="2"/>
  <c r="U212" i="2"/>
  <c r="U212" i="2" a="1"/>
  <c r="T212" i="2"/>
  <c r="T212" i="2" a="1"/>
  <c r="S212" i="2"/>
  <c r="R212" i="2"/>
  <c r="V211" i="2"/>
  <c r="U211" i="2"/>
  <c r="U211" i="2" a="1"/>
  <c r="T211" i="2"/>
  <c r="T211" i="2" a="1"/>
  <c r="S211" i="2"/>
  <c r="R211" i="2"/>
  <c r="V210" i="2"/>
  <c r="U210" i="2"/>
  <c r="U210" i="2" a="1"/>
  <c r="T210" i="2"/>
  <c r="T210" i="2" a="1"/>
  <c r="S210" i="2"/>
  <c r="R210" i="2"/>
  <c r="V209" i="2"/>
  <c r="U209" i="2"/>
  <c r="U209" i="2" a="1"/>
  <c r="T209" i="2"/>
  <c r="T209" i="2" a="1"/>
  <c r="S209" i="2"/>
  <c r="R209" i="2"/>
  <c r="V208" i="2"/>
  <c r="U208" i="2"/>
  <c r="U208" i="2" a="1"/>
  <c r="T208" i="2"/>
  <c r="T208" i="2" a="1"/>
  <c r="S208" i="2"/>
  <c r="R208" i="2"/>
  <c r="V207" i="2"/>
  <c r="U207" i="2"/>
  <c r="U207" i="2" a="1"/>
  <c r="T207" i="2"/>
  <c r="T207" i="2" a="1"/>
  <c r="S207" i="2"/>
  <c r="R207" i="2"/>
  <c r="V206" i="2"/>
  <c r="U206" i="2"/>
  <c r="U206" i="2" a="1"/>
  <c r="T206" i="2"/>
  <c r="T206" i="2" a="1"/>
  <c r="S206" i="2"/>
  <c r="R206" i="2"/>
  <c r="V205" i="2"/>
  <c r="U205" i="2"/>
  <c r="U205" i="2" a="1"/>
  <c r="T205" i="2"/>
  <c r="T205" i="2" a="1"/>
  <c r="S205" i="2"/>
  <c r="R205" i="2"/>
  <c r="V204" i="2"/>
  <c r="U204" i="2"/>
  <c r="U204" i="2" a="1"/>
  <c r="T204" i="2"/>
  <c r="T204" i="2" a="1"/>
  <c r="S204" i="2"/>
  <c r="R204" i="2"/>
  <c r="V203" i="2"/>
  <c r="U203" i="2"/>
  <c r="U203" i="2" a="1"/>
  <c r="T203" i="2"/>
  <c r="T203" i="2" a="1"/>
  <c r="S203" i="2"/>
  <c r="R203" i="2"/>
  <c r="V202" i="2"/>
  <c r="U202" i="2"/>
  <c r="U202" i="2" a="1"/>
  <c r="T202" i="2"/>
  <c r="T202" i="2" a="1"/>
  <c r="S202" i="2"/>
  <c r="R202" i="2"/>
  <c r="V201" i="2"/>
  <c r="U201" i="2"/>
  <c r="U201" i="2" a="1"/>
  <c r="T201" i="2"/>
  <c r="T201" i="2" a="1"/>
  <c r="S201" i="2"/>
  <c r="R201" i="2"/>
  <c r="V200" i="2"/>
  <c r="U200" i="2"/>
  <c r="U200" i="2" a="1"/>
  <c r="T200" i="2"/>
  <c r="T200" i="2" a="1"/>
  <c r="S200" i="2"/>
  <c r="R200" i="2"/>
  <c r="V199" i="2"/>
  <c r="U199" i="2"/>
  <c r="U199" i="2" a="1"/>
  <c r="T199" i="2"/>
  <c r="T199" i="2" a="1"/>
  <c r="S199" i="2"/>
  <c r="R199" i="2"/>
  <c r="V198" i="2"/>
  <c r="U198" i="2"/>
  <c r="U198" i="2" a="1"/>
  <c r="T198" i="2"/>
  <c r="T198" i="2" a="1"/>
  <c r="S198" i="2"/>
  <c r="R198" i="2"/>
  <c r="V197" i="2"/>
  <c r="U197" i="2"/>
  <c r="U197" i="2" a="1"/>
  <c r="T197" i="2"/>
  <c r="T197" i="2" a="1"/>
  <c r="S197" i="2"/>
  <c r="R197" i="2"/>
  <c r="V196" i="2"/>
  <c r="U196" i="2"/>
  <c r="U196" i="2" a="1"/>
  <c r="T196" i="2"/>
  <c r="T196" i="2" a="1"/>
  <c r="S196" i="2"/>
  <c r="R196" i="2"/>
  <c r="V195" i="2"/>
  <c r="U195" i="2"/>
  <c r="U195" i="2" a="1"/>
  <c r="T195" i="2"/>
  <c r="T195" i="2" a="1"/>
  <c r="S195" i="2"/>
  <c r="R195" i="2"/>
  <c r="V194" i="2"/>
  <c r="U194" i="2"/>
  <c r="U194" i="2" a="1"/>
  <c r="T194" i="2"/>
  <c r="T194" i="2" a="1"/>
  <c r="S194" i="2"/>
  <c r="R194" i="2"/>
  <c r="V193" i="2"/>
  <c r="U193" i="2"/>
  <c r="U193" i="2" a="1"/>
  <c r="T193" i="2"/>
  <c r="T193" i="2" a="1"/>
  <c r="S193" i="2"/>
  <c r="R193" i="2"/>
  <c r="V192" i="2"/>
  <c r="U192" i="2"/>
  <c r="U192" i="2" a="1"/>
  <c r="T192" i="2"/>
  <c r="T192" i="2" a="1"/>
  <c r="S192" i="2"/>
  <c r="R192" i="2"/>
  <c r="V191" i="2"/>
  <c r="U191" i="2"/>
  <c r="U191" i="2" a="1"/>
  <c r="T191" i="2"/>
  <c r="T191" i="2" a="1"/>
  <c r="S191" i="2"/>
  <c r="R191" i="2"/>
  <c r="V190" i="2"/>
  <c r="U190" i="2"/>
  <c r="U190" i="2" a="1"/>
  <c r="T190" i="2"/>
  <c r="T190" i="2" a="1"/>
  <c r="S190" i="2"/>
  <c r="R190" i="2"/>
  <c r="V189" i="2"/>
  <c r="U189" i="2"/>
  <c r="U189" i="2" a="1"/>
  <c r="T189" i="2"/>
  <c r="T189" i="2" a="1"/>
  <c r="S189" i="2"/>
  <c r="R189" i="2"/>
  <c r="V188" i="2"/>
  <c r="U188" i="2"/>
  <c r="U188" i="2" a="1"/>
  <c r="T188" i="2"/>
  <c r="T188" i="2" a="1"/>
  <c r="S188" i="2"/>
  <c r="R188" i="2"/>
  <c r="V187" i="2"/>
  <c r="U187" i="2"/>
  <c r="U187" i="2" a="1"/>
  <c r="T187" i="2"/>
  <c r="T187" i="2" a="1"/>
  <c r="S187" i="2"/>
  <c r="R187" i="2"/>
  <c r="V186" i="2"/>
  <c r="U186" i="2"/>
  <c r="U186" i="2" a="1"/>
  <c r="T186" i="2"/>
  <c r="T186" i="2" a="1"/>
  <c r="S186" i="2"/>
  <c r="R186" i="2"/>
  <c r="V185" i="2"/>
  <c r="U185" i="2"/>
  <c r="U185" i="2" a="1"/>
  <c r="T185" i="2"/>
  <c r="T185" i="2" a="1"/>
  <c r="S185" i="2"/>
  <c r="R185" i="2"/>
  <c r="V184" i="2"/>
  <c r="U184" i="2"/>
  <c r="U184" i="2" a="1"/>
  <c r="T184" i="2"/>
  <c r="T184" i="2" a="1"/>
  <c r="S184" i="2"/>
  <c r="R184" i="2"/>
  <c r="V183" i="2"/>
  <c r="U183" i="2"/>
  <c r="U183" i="2" a="1"/>
  <c r="T183" i="2"/>
  <c r="T183" i="2" a="1"/>
  <c r="S183" i="2"/>
  <c r="R183" i="2"/>
  <c r="V182" i="2"/>
  <c r="U182" i="2"/>
  <c r="U182" i="2" a="1"/>
  <c r="T182" i="2"/>
  <c r="T182" i="2" a="1"/>
  <c r="S182" i="2"/>
  <c r="R182" i="2"/>
  <c r="V181" i="2"/>
  <c r="U181" i="2"/>
  <c r="U181" i="2" a="1"/>
  <c r="T181" i="2"/>
  <c r="T181" i="2" a="1"/>
  <c r="S181" i="2"/>
  <c r="R181" i="2"/>
  <c r="V180" i="2"/>
  <c r="U180" i="2"/>
  <c r="U180" i="2" a="1"/>
  <c r="T180" i="2"/>
  <c r="T180" i="2" a="1"/>
  <c r="S180" i="2"/>
  <c r="R180" i="2"/>
  <c r="V179" i="2"/>
  <c r="U179" i="2"/>
  <c r="U179" i="2" a="1"/>
  <c r="T179" i="2"/>
  <c r="T179" i="2" a="1"/>
  <c r="S179" i="2"/>
  <c r="R179" i="2"/>
  <c r="V178" i="2"/>
  <c r="U178" i="2"/>
  <c r="U178" i="2" a="1"/>
  <c r="T178" i="2"/>
  <c r="T178" i="2" a="1"/>
  <c r="S178" i="2"/>
  <c r="R178" i="2"/>
  <c r="V177" i="2"/>
  <c r="U177" i="2"/>
  <c r="U177" i="2" a="1"/>
  <c r="T177" i="2"/>
  <c r="T177" i="2" a="1"/>
  <c r="S177" i="2"/>
  <c r="R177" i="2"/>
  <c r="V176" i="2"/>
  <c r="U176" i="2"/>
  <c r="U176" i="2" a="1"/>
  <c r="T176" i="2"/>
  <c r="T176" i="2" a="1"/>
  <c r="S176" i="2"/>
  <c r="R176" i="2"/>
  <c r="V175" i="2"/>
  <c r="U175" i="2"/>
  <c r="U175" i="2" a="1"/>
  <c r="T175" i="2"/>
  <c r="T175" i="2" a="1"/>
  <c r="S175" i="2"/>
  <c r="R175" i="2"/>
  <c r="V174" i="2"/>
  <c r="U174" i="2"/>
  <c r="U174" i="2" a="1"/>
  <c r="T174" i="2"/>
  <c r="T174" i="2" a="1"/>
  <c r="S174" i="2"/>
  <c r="R174" i="2"/>
  <c r="V173" i="2"/>
  <c r="U173" i="2"/>
  <c r="U173" i="2" a="1"/>
  <c r="T173" i="2"/>
  <c r="T173" i="2" a="1"/>
  <c r="S173" i="2"/>
  <c r="R173" i="2"/>
  <c r="V172" i="2"/>
  <c r="U172" i="2"/>
  <c r="U172" i="2" a="1"/>
  <c r="T172" i="2"/>
  <c r="T172" i="2" a="1"/>
  <c r="S172" i="2"/>
  <c r="R172" i="2"/>
  <c r="V171" i="2"/>
  <c r="U171" i="2"/>
  <c r="U171" i="2" a="1"/>
  <c r="T171" i="2"/>
  <c r="T171" i="2" a="1"/>
  <c r="S171" i="2"/>
  <c r="R171" i="2"/>
  <c r="V170" i="2"/>
  <c r="U170" i="2"/>
  <c r="U170" i="2" a="1"/>
  <c r="T170" i="2"/>
  <c r="T170" i="2" a="1"/>
  <c r="S170" i="2"/>
  <c r="R170" i="2"/>
  <c r="V169" i="2"/>
  <c r="U169" i="2"/>
  <c r="U169" i="2" a="1"/>
  <c r="T169" i="2"/>
  <c r="T169" i="2" a="1"/>
  <c r="S169" i="2"/>
  <c r="R169" i="2"/>
  <c r="V168" i="2"/>
  <c r="U168" i="2"/>
  <c r="U168" i="2" a="1"/>
  <c r="T168" i="2"/>
  <c r="T168" i="2" a="1"/>
  <c r="S168" i="2"/>
  <c r="R168" i="2"/>
  <c r="V167" i="2"/>
  <c r="U167" i="2"/>
  <c r="U167" i="2" a="1"/>
  <c r="T167" i="2"/>
  <c r="T167" i="2" a="1"/>
  <c r="S167" i="2"/>
  <c r="R167" i="2"/>
  <c r="V166" i="2"/>
  <c r="U166" i="2"/>
  <c r="U166" i="2" a="1"/>
  <c r="T166" i="2"/>
  <c r="T166" i="2" a="1"/>
  <c r="S166" i="2"/>
  <c r="R166" i="2"/>
  <c r="V165" i="2"/>
  <c r="U165" i="2"/>
  <c r="U165" i="2" a="1"/>
  <c r="T165" i="2"/>
  <c r="T165" i="2" a="1"/>
  <c r="S165" i="2"/>
  <c r="R165" i="2"/>
  <c r="V164" i="2"/>
  <c r="U164" i="2"/>
  <c r="U164" i="2" a="1"/>
  <c r="T164" i="2"/>
  <c r="T164" i="2" a="1"/>
  <c r="S164" i="2"/>
  <c r="R164" i="2"/>
  <c r="V163" i="2"/>
  <c r="U163" i="2"/>
  <c r="U163" i="2" a="1"/>
  <c r="T163" i="2"/>
  <c r="T163" i="2" a="1"/>
  <c r="S163" i="2"/>
  <c r="R163" i="2"/>
  <c r="V162" i="2"/>
  <c r="U162" i="2"/>
  <c r="U162" i="2" a="1"/>
  <c r="T162" i="2"/>
  <c r="T162" i="2" a="1"/>
  <c r="S162" i="2"/>
  <c r="R162" i="2"/>
  <c r="V161" i="2"/>
  <c r="U161" i="2"/>
  <c r="U161" i="2" a="1"/>
  <c r="T161" i="2"/>
  <c r="T161" i="2" a="1"/>
  <c r="S161" i="2"/>
  <c r="R161" i="2"/>
  <c r="V160" i="2"/>
  <c r="U160" i="2"/>
  <c r="U160" i="2" a="1"/>
  <c r="T160" i="2"/>
  <c r="T160" i="2" a="1"/>
  <c r="S160" i="2"/>
  <c r="R160" i="2"/>
  <c r="V159" i="2"/>
  <c r="U159" i="2"/>
  <c r="U159" i="2" a="1"/>
  <c r="T159" i="2"/>
  <c r="T159" i="2" a="1"/>
  <c r="S159" i="2"/>
  <c r="R159" i="2"/>
  <c r="V158" i="2"/>
  <c r="U158" i="2"/>
  <c r="U158" i="2" a="1"/>
  <c r="T158" i="2"/>
  <c r="T158" i="2" a="1"/>
  <c r="S158" i="2"/>
  <c r="R158" i="2"/>
  <c r="V157" i="2"/>
  <c r="U157" i="2"/>
  <c r="U157" i="2" a="1"/>
  <c r="T157" i="2"/>
  <c r="T157" i="2" a="1"/>
  <c r="S157" i="2"/>
  <c r="R157" i="2"/>
  <c r="V156" i="2"/>
  <c r="U156" i="2"/>
  <c r="U156" i="2" a="1"/>
  <c r="T156" i="2"/>
  <c r="T156" i="2" a="1"/>
  <c r="S156" i="2"/>
  <c r="R156" i="2"/>
  <c r="V155" i="2"/>
  <c r="U155" i="2"/>
  <c r="U155" i="2" a="1"/>
  <c r="T155" i="2"/>
  <c r="T155" i="2" a="1"/>
  <c r="S155" i="2"/>
  <c r="R155" i="2"/>
  <c r="V154" i="2"/>
  <c r="U154" i="2"/>
  <c r="U154" i="2" a="1"/>
  <c r="T154" i="2"/>
  <c r="T154" i="2" a="1"/>
  <c r="S154" i="2"/>
  <c r="R154" i="2"/>
  <c r="V153" i="2"/>
  <c r="U153" i="2"/>
  <c r="U153" i="2" a="1"/>
  <c r="T153" i="2"/>
  <c r="T153" i="2" a="1"/>
  <c r="S153" i="2"/>
  <c r="R153" i="2"/>
  <c r="V152" i="2"/>
  <c r="U152" i="2"/>
  <c r="U152" i="2" a="1"/>
  <c r="T152" i="2"/>
  <c r="T152" i="2" a="1"/>
  <c r="S152" i="2"/>
  <c r="R152" i="2"/>
  <c r="V151" i="2"/>
  <c r="U151" i="2"/>
  <c r="U151" i="2" a="1"/>
  <c r="T151" i="2"/>
  <c r="T151" i="2" a="1"/>
  <c r="S151" i="2"/>
  <c r="R151" i="2"/>
  <c r="V150" i="2"/>
  <c r="U150" i="2"/>
  <c r="U150" i="2" a="1"/>
  <c r="T150" i="2"/>
  <c r="T150" i="2" a="1"/>
  <c r="S150" i="2"/>
  <c r="R150" i="2"/>
  <c r="V149" i="2"/>
  <c r="U149" i="2"/>
  <c r="U149" i="2" a="1"/>
  <c r="T149" i="2"/>
  <c r="T149" i="2" a="1"/>
  <c r="S149" i="2"/>
  <c r="R149" i="2"/>
  <c r="V148" i="2"/>
  <c r="U148" i="2"/>
  <c r="U148" i="2" a="1"/>
  <c r="T148" i="2"/>
  <c r="T148" i="2" a="1"/>
  <c r="S148" i="2"/>
  <c r="R148" i="2"/>
  <c r="V147" i="2"/>
  <c r="U147" i="2"/>
  <c r="U147" i="2" a="1"/>
  <c r="T147" i="2"/>
  <c r="T147" i="2" a="1"/>
  <c r="S147" i="2"/>
  <c r="R147" i="2"/>
  <c r="V146" i="2"/>
  <c r="U146" i="2"/>
  <c r="U146" i="2" a="1"/>
  <c r="T146" i="2"/>
  <c r="T146" i="2" a="1"/>
  <c r="S146" i="2"/>
  <c r="R146" i="2"/>
  <c r="V145" i="2"/>
  <c r="U145" i="2"/>
  <c r="U145" i="2" a="1"/>
  <c r="T145" i="2"/>
  <c r="T145" i="2" a="1"/>
  <c r="S145" i="2"/>
  <c r="R145" i="2"/>
  <c r="V144" i="2"/>
  <c r="U144" i="2"/>
  <c r="U144" i="2" a="1"/>
  <c r="T144" i="2"/>
  <c r="T144" i="2" a="1"/>
  <c r="S144" i="2"/>
  <c r="R144" i="2"/>
  <c r="V143" i="2"/>
  <c r="U143" i="2"/>
  <c r="U143" i="2" a="1"/>
  <c r="T143" i="2"/>
  <c r="T143" i="2" a="1"/>
  <c r="S143" i="2"/>
  <c r="R143" i="2"/>
  <c r="V142" i="2"/>
  <c r="U142" i="2"/>
  <c r="U142" i="2" a="1"/>
  <c r="T142" i="2"/>
  <c r="T142" i="2" a="1"/>
  <c r="S142" i="2"/>
  <c r="R142" i="2"/>
  <c r="V141" i="2"/>
  <c r="U141" i="2"/>
  <c r="U141" i="2" a="1"/>
  <c r="T141" i="2"/>
  <c r="T141" i="2" a="1"/>
  <c r="S141" i="2"/>
  <c r="R141" i="2"/>
  <c r="V140" i="2"/>
  <c r="U140" i="2"/>
  <c r="U140" i="2" a="1"/>
  <c r="T140" i="2"/>
  <c r="T140" i="2" a="1"/>
  <c r="S140" i="2"/>
  <c r="R140" i="2"/>
  <c r="V139" i="2"/>
  <c r="U139" i="2"/>
  <c r="U139" i="2" a="1"/>
  <c r="T139" i="2"/>
  <c r="T139" i="2" a="1"/>
  <c r="S139" i="2"/>
  <c r="R139" i="2"/>
  <c r="V138" i="2"/>
  <c r="U138" i="2"/>
  <c r="U138" i="2" a="1"/>
  <c r="T138" i="2"/>
  <c r="T138" i="2" a="1"/>
  <c r="S138" i="2"/>
  <c r="R138" i="2"/>
  <c r="V137" i="2"/>
  <c r="U137" i="2"/>
  <c r="U137" i="2" a="1"/>
  <c r="T137" i="2"/>
  <c r="T137" i="2" a="1"/>
  <c r="S137" i="2"/>
  <c r="R137" i="2"/>
  <c r="V136" i="2"/>
  <c r="U136" i="2"/>
  <c r="U136" i="2" a="1"/>
  <c r="T136" i="2"/>
  <c r="T136" i="2" a="1"/>
  <c r="S136" i="2"/>
  <c r="R136" i="2"/>
  <c r="V135" i="2"/>
  <c r="U135" i="2"/>
  <c r="U135" i="2" a="1"/>
  <c r="T135" i="2"/>
  <c r="T135" i="2" a="1"/>
  <c r="S135" i="2"/>
  <c r="R135" i="2"/>
  <c r="V134" i="2"/>
  <c r="U134" i="2"/>
  <c r="U134" i="2" a="1"/>
  <c r="T134" i="2"/>
  <c r="T134" i="2" a="1"/>
  <c r="S134" i="2"/>
  <c r="R134" i="2"/>
  <c r="V133" i="2"/>
  <c r="U133" i="2"/>
  <c r="U133" i="2" a="1"/>
  <c r="T133" i="2"/>
  <c r="T133" i="2" a="1"/>
  <c r="S133" i="2"/>
  <c r="R133" i="2"/>
  <c r="V132" i="2"/>
  <c r="U132" i="2"/>
  <c r="U132" i="2" a="1"/>
  <c r="T132" i="2"/>
  <c r="T132" i="2" a="1"/>
  <c r="S132" i="2"/>
  <c r="R132" i="2"/>
  <c r="V131" i="2"/>
  <c r="U131" i="2"/>
  <c r="U131" i="2" a="1"/>
  <c r="T131" i="2"/>
  <c r="T131" i="2" a="1"/>
  <c r="S131" i="2"/>
  <c r="R131" i="2"/>
  <c r="V130" i="2"/>
  <c r="U130" i="2"/>
  <c r="U130" i="2" a="1"/>
  <c r="T130" i="2"/>
  <c r="T130" i="2" a="1"/>
  <c r="S130" i="2"/>
  <c r="R130" i="2"/>
  <c r="V129" i="2"/>
  <c r="U129" i="2"/>
  <c r="U129" i="2" a="1"/>
  <c r="T129" i="2"/>
  <c r="T129" i="2" a="1"/>
  <c r="S129" i="2"/>
  <c r="R129" i="2"/>
  <c r="V128" i="2"/>
  <c r="U128" i="2"/>
  <c r="U128" i="2" a="1"/>
  <c r="T128" i="2"/>
  <c r="T128" i="2" a="1"/>
  <c r="S128" i="2"/>
  <c r="R128" i="2"/>
  <c r="V127" i="2"/>
  <c r="U127" i="2"/>
  <c r="U127" i="2" a="1"/>
  <c r="T127" i="2"/>
  <c r="T127" i="2" a="1"/>
  <c r="S127" i="2"/>
  <c r="R127" i="2"/>
  <c r="V126" i="2"/>
  <c r="U126" i="2"/>
  <c r="U126" i="2" a="1"/>
  <c r="T126" i="2"/>
  <c r="T126" i="2" a="1"/>
  <c r="S126" i="2"/>
  <c r="R126" i="2"/>
  <c r="V125" i="2"/>
  <c r="U125" i="2"/>
  <c r="U125" i="2" a="1"/>
  <c r="T125" i="2"/>
  <c r="T125" i="2" a="1"/>
  <c r="S125" i="2"/>
  <c r="R125" i="2"/>
  <c r="V124" i="2"/>
  <c r="U124" i="2"/>
  <c r="U124" i="2" a="1"/>
  <c r="T124" i="2"/>
  <c r="T124" i="2" a="1"/>
  <c r="S124" i="2"/>
  <c r="R124" i="2"/>
  <c r="V123" i="2"/>
  <c r="U123" i="2"/>
  <c r="U123" i="2" a="1"/>
  <c r="T123" i="2"/>
  <c r="T123" i="2" a="1"/>
  <c r="S123" i="2"/>
  <c r="R123" i="2"/>
  <c r="V122" i="2"/>
  <c r="U122" i="2"/>
  <c r="U122" i="2" a="1"/>
  <c r="T122" i="2"/>
  <c r="T122" i="2" a="1"/>
  <c r="S122" i="2"/>
  <c r="R122" i="2"/>
  <c r="V121" i="2"/>
  <c r="U121" i="2"/>
  <c r="U121" i="2" a="1"/>
  <c r="T121" i="2"/>
  <c r="T121" i="2" a="1"/>
  <c r="S121" i="2"/>
  <c r="R121" i="2"/>
  <c r="V120" i="2"/>
  <c r="U120" i="2"/>
  <c r="U120" i="2" a="1"/>
  <c r="T120" i="2"/>
  <c r="T120" i="2" a="1"/>
  <c r="S120" i="2"/>
  <c r="R120" i="2"/>
  <c r="V119" i="2"/>
  <c r="U119" i="2"/>
  <c r="U119" i="2" a="1"/>
  <c r="T119" i="2"/>
  <c r="T119" i="2" a="1"/>
  <c r="S119" i="2"/>
  <c r="R119" i="2"/>
  <c r="V118" i="2"/>
  <c r="U118" i="2"/>
  <c r="U118" i="2" a="1"/>
  <c r="T118" i="2"/>
  <c r="T118" i="2" a="1"/>
  <c r="S118" i="2"/>
  <c r="R118" i="2"/>
  <c r="V117" i="2"/>
  <c r="U117" i="2"/>
  <c r="U117" i="2" a="1"/>
  <c r="T117" i="2"/>
  <c r="T117" i="2" a="1"/>
  <c r="S117" i="2"/>
  <c r="R117" i="2"/>
  <c r="V116" i="2"/>
  <c r="U116" i="2"/>
  <c r="U116" i="2" a="1"/>
  <c r="T116" i="2"/>
  <c r="T116" i="2" a="1"/>
  <c r="S116" i="2"/>
  <c r="R116" i="2"/>
  <c r="V115" i="2"/>
  <c r="U115" i="2"/>
  <c r="U115" i="2" a="1"/>
  <c r="T115" i="2"/>
  <c r="T115" i="2" a="1"/>
  <c r="S115" i="2"/>
  <c r="R115" i="2"/>
  <c r="V114" i="2"/>
  <c r="U114" i="2"/>
  <c r="U114" i="2" a="1"/>
  <c r="T114" i="2"/>
  <c r="T114" i="2" a="1"/>
  <c r="S114" i="2"/>
  <c r="R114" i="2"/>
  <c r="V113" i="2"/>
  <c r="U113" i="2"/>
  <c r="U113" i="2" a="1"/>
  <c r="T113" i="2"/>
  <c r="T113" i="2" a="1"/>
  <c r="S113" i="2"/>
  <c r="R113" i="2"/>
  <c r="V112" i="2"/>
  <c r="U112" i="2"/>
  <c r="U112" i="2" a="1"/>
  <c r="T112" i="2"/>
  <c r="T112" i="2" a="1"/>
  <c r="S112" i="2"/>
  <c r="R112" i="2"/>
  <c r="V111" i="2"/>
  <c r="U111" i="2"/>
  <c r="U111" i="2" a="1"/>
  <c r="T111" i="2"/>
  <c r="T111" i="2" a="1"/>
  <c r="S111" i="2"/>
  <c r="R111" i="2"/>
  <c r="V110" i="2"/>
  <c r="U110" i="2"/>
  <c r="U110" i="2" a="1"/>
  <c r="T110" i="2"/>
  <c r="T110" i="2" a="1"/>
  <c r="S110" i="2"/>
  <c r="R110" i="2"/>
  <c r="V109" i="2"/>
  <c r="U109" i="2"/>
  <c r="U109" i="2" a="1"/>
  <c r="T109" i="2"/>
  <c r="T109" i="2" a="1"/>
  <c r="S109" i="2"/>
  <c r="R109" i="2"/>
  <c r="V108" i="2"/>
  <c r="U108" i="2"/>
  <c r="U108" i="2" a="1"/>
  <c r="T108" i="2"/>
  <c r="T108" i="2" a="1"/>
  <c r="S108" i="2"/>
  <c r="R108" i="2"/>
  <c r="V107" i="2"/>
  <c r="U107" i="2"/>
  <c r="U107" i="2" a="1"/>
  <c r="T107" i="2"/>
  <c r="T107" i="2" a="1"/>
  <c r="S107" i="2"/>
  <c r="R107" i="2"/>
  <c r="V106" i="2"/>
  <c r="U106" i="2"/>
  <c r="U106" i="2" a="1"/>
  <c r="T106" i="2"/>
  <c r="T106" i="2" a="1"/>
  <c r="S106" i="2"/>
  <c r="R106" i="2"/>
  <c r="V105" i="2"/>
  <c r="U105" i="2"/>
  <c r="U105" i="2" a="1"/>
  <c r="T105" i="2"/>
  <c r="T105" i="2" a="1"/>
  <c r="S105" i="2"/>
  <c r="R105" i="2"/>
  <c r="V104" i="2"/>
  <c r="U104" i="2"/>
  <c r="U104" i="2" a="1"/>
  <c r="T104" i="2"/>
  <c r="T104" i="2" a="1"/>
  <c r="S104" i="2"/>
  <c r="R104" i="2"/>
  <c r="V103" i="2"/>
  <c r="U103" i="2"/>
  <c r="U103" i="2" a="1"/>
  <c r="T103" i="2"/>
  <c r="T103" i="2" a="1"/>
  <c r="S103" i="2"/>
  <c r="R103" i="2"/>
  <c r="V102" i="2"/>
  <c r="U102" i="2"/>
  <c r="U102" i="2" a="1"/>
  <c r="T102" i="2"/>
  <c r="T102" i="2" a="1"/>
  <c r="S102" i="2"/>
  <c r="R102" i="2"/>
  <c r="V101" i="2"/>
  <c r="U101" i="2"/>
  <c r="U101" i="2" a="1"/>
  <c r="T101" i="2"/>
  <c r="T101" i="2" a="1"/>
  <c r="S101" i="2"/>
  <c r="R101" i="2"/>
  <c r="V100" i="2"/>
  <c r="U100" i="2"/>
  <c r="U100" i="2" a="1"/>
  <c r="T100" i="2"/>
  <c r="T100" i="2" a="1"/>
  <c r="S100" i="2"/>
  <c r="R100" i="2"/>
  <c r="V99" i="2"/>
  <c r="U99" i="2"/>
  <c r="U99" i="2" a="1"/>
  <c r="T99" i="2"/>
  <c r="T99" i="2" a="1"/>
  <c r="S99" i="2"/>
  <c r="R99" i="2"/>
  <c r="V98" i="2"/>
  <c r="U98" i="2"/>
  <c r="U98" i="2" a="1"/>
  <c r="T98" i="2"/>
  <c r="T98" i="2" a="1"/>
  <c r="S98" i="2"/>
  <c r="R98" i="2"/>
  <c r="V97" i="2"/>
  <c r="U97" i="2"/>
  <c r="U97" i="2" a="1"/>
  <c r="T97" i="2"/>
  <c r="T97" i="2" a="1"/>
  <c r="S97" i="2"/>
  <c r="R97" i="2"/>
  <c r="V96" i="2"/>
  <c r="U96" i="2"/>
  <c r="U96" i="2" a="1"/>
  <c r="T96" i="2"/>
  <c r="T96" i="2" a="1"/>
  <c r="S96" i="2"/>
  <c r="R96" i="2"/>
  <c r="V95" i="2"/>
  <c r="U95" i="2"/>
  <c r="U95" i="2" a="1"/>
  <c r="T95" i="2"/>
  <c r="T95" i="2" a="1"/>
  <c r="S95" i="2"/>
  <c r="R95" i="2"/>
  <c r="V94" i="2"/>
  <c r="U94" i="2"/>
  <c r="U94" i="2" a="1"/>
  <c r="T94" i="2"/>
  <c r="T94" i="2" a="1"/>
  <c r="S94" i="2"/>
  <c r="R94" i="2"/>
  <c r="V93" i="2"/>
  <c r="U93" i="2"/>
  <c r="U93" i="2" a="1"/>
  <c r="T93" i="2"/>
  <c r="T93" i="2" a="1"/>
  <c r="S93" i="2"/>
  <c r="R93" i="2"/>
  <c r="V92" i="2"/>
  <c r="U92" i="2"/>
  <c r="U92" i="2" a="1"/>
  <c r="T92" i="2"/>
  <c r="T92" i="2" a="1"/>
  <c r="S92" i="2"/>
  <c r="R92" i="2"/>
  <c r="V91" i="2"/>
  <c r="U91" i="2"/>
  <c r="U91" i="2" a="1"/>
  <c r="T91" i="2"/>
  <c r="T91" i="2" a="1"/>
  <c r="S91" i="2"/>
  <c r="R91" i="2"/>
  <c r="V90" i="2"/>
  <c r="U90" i="2"/>
  <c r="U90" i="2" a="1"/>
  <c r="T90" i="2"/>
  <c r="T90" i="2" a="1"/>
  <c r="S90" i="2"/>
  <c r="R90" i="2"/>
  <c r="V89" i="2"/>
  <c r="U89" i="2"/>
  <c r="U89" i="2" a="1"/>
  <c r="T89" i="2"/>
  <c r="T89" i="2" a="1"/>
  <c r="S89" i="2"/>
  <c r="R89" i="2"/>
  <c r="V88" i="2"/>
  <c r="U88" i="2"/>
  <c r="U88" i="2" a="1"/>
  <c r="T88" i="2"/>
  <c r="T88" i="2" a="1"/>
  <c r="S88" i="2"/>
  <c r="R88" i="2"/>
  <c r="V87" i="2"/>
  <c r="U87" i="2"/>
  <c r="U87" i="2" a="1"/>
  <c r="T87" i="2"/>
  <c r="T87" i="2" a="1"/>
  <c r="S87" i="2"/>
  <c r="R87" i="2"/>
  <c r="V86" i="2"/>
  <c r="U86" i="2"/>
  <c r="U86" i="2" a="1"/>
  <c r="T86" i="2"/>
  <c r="T86" i="2" a="1"/>
  <c r="S86" i="2"/>
  <c r="R86" i="2"/>
  <c r="V85" i="2"/>
  <c r="U85" i="2"/>
  <c r="U85" i="2" a="1"/>
  <c r="T85" i="2"/>
  <c r="T85" i="2" a="1"/>
  <c r="S85" i="2"/>
  <c r="R85" i="2"/>
  <c r="V84" i="2"/>
  <c r="U84" i="2"/>
  <c r="U84" i="2" a="1"/>
  <c r="T84" i="2"/>
  <c r="T84" i="2" a="1"/>
  <c r="S84" i="2"/>
  <c r="R84" i="2"/>
  <c r="V83" i="2"/>
  <c r="U83" i="2"/>
  <c r="U83" i="2" a="1"/>
  <c r="T83" i="2"/>
  <c r="T83" i="2" a="1"/>
  <c r="S83" i="2"/>
  <c r="R83" i="2"/>
  <c r="V82" i="2"/>
  <c r="U82" i="2"/>
  <c r="U82" i="2" a="1"/>
  <c r="T82" i="2"/>
  <c r="T82" i="2" a="1"/>
  <c r="S82" i="2"/>
  <c r="R82" i="2"/>
  <c r="V81" i="2"/>
  <c r="U81" i="2"/>
  <c r="U81" i="2" a="1"/>
  <c r="T81" i="2"/>
  <c r="T81" i="2" a="1"/>
  <c r="S81" i="2"/>
  <c r="R81" i="2"/>
  <c r="V80" i="2"/>
  <c r="U80" i="2"/>
  <c r="U80" i="2" a="1"/>
  <c r="T80" i="2"/>
  <c r="T80" i="2" a="1"/>
  <c r="S80" i="2"/>
  <c r="R80" i="2"/>
  <c r="V79" i="2"/>
  <c r="U79" i="2"/>
  <c r="U79" i="2" a="1"/>
  <c r="T79" i="2"/>
  <c r="T79" i="2" a="1"/>
  <c r="S79" i="2"/>
  <c r="R79" i="2"/>
  <c r="V78" i="2"/>
  <c r="U78" i="2"/>
  <c r="U78" i="2" a="1"/>
  <c r="T78" i="2"/>
  <c r="T78" i="2" a="1"/>
  <c r="S78" i="2"/>
  <c r="R78" i="2"/>
  <c r="V77" i="2"/>
  <c r="U77" i="2"/>
  <c r="U77" i="2" a="1"/>
  <c r="T77" i="2"/>
  <c r="T77" i="2" a="1"/>
  <c r="S77" i="2"/>
  <c r="R77" i="2"/>
  <c r="V76" i="2"/>
  <c r="U76" i="2"/>
  <c r="U76" i="2" a="1"/>
  <c r="T76" i="2"/>
  <c r="T76" i="2" a="1"/>
  <c r="S76" i="2"/>
  <c r="R76" i="2"/>
  <c r="V75" i="2"/>
  <c r="U75" i="2"/>
  <c r="U75" i="2" a="1"/>
  <c r="T75" i="2"/>
  <c r="T75" i="2" a="1"/>
  <c r="S75" i="2"/>
  <c r="R75" i="2"/>
  <c r="V74" i="2"/>
  <c r="U74" i="2"/>
  <c r="U74" i="2" a="1"/>
  <c r="T74" i="2"/>
  <c r="T74" i="2" a="1"/>
  <c r="S74" i="2"/>
  <c r="R74" i="2"/>
  <c r="V73" i="2"/>
  <c r="U73" i="2"/>
  <c r="U73" i="2" a="1"/>
  <c r="T73" i="2"/>
  <c r="T73" i="2" a="1"/>
  <c r="S73" i="2"/>
  <c r="R73" i="2"/>
  <c r="V72" i="2"/>
  <c r="U72" i="2"/>
  <c r="U72" i="2" a="1"/>
  <c r="T72" i="2"/>
  <c r="T72" i="2" a="1"/>
  <c r="S72" i="2"/>
  <c r="R72" i="2"/>
  <c r="V71" i="2"/>
  <c r="U71" i="2"/>
  <c r="U71" i="2" a="1"/>
  <c r="T71" i="2"/>
  <c r="T71" i="2" a="1"/>
  <c r="S71" i="2"/>
  <c r="R71" i="2"/>
  <c r="V70" i="2"/>
  <c r="U70" i="2"/>
  <c r="U70" i="2" a="1"/>
  <c r="T70" i="2"/>
  <c r="T70" i="2" a="1"/>
  <c r="S70" i="2"/>
  <c r="R70" i="2"/>
  <c r="V69" i="2"/>
  <c r="U69" i="2"/>
  <c r="U69" i="2" a="1"/>
  <c r="T69" i="2"/>
  <c r="T69" i="2" a="1"/>
  <c r="S69" i="2"/>
  <c r="R69" i="2"/>
  <c r="V68" i="2"/>
  <c r="U68" i="2"/>
  <c r="U68" i="2" a="1"/>
  <c r="T68" i="2"/>
  <c r="T68" i="2" a="1"/>
  <c r="S68" i="2"/>
  <c r="R68" i="2"/>
  <c r="V67" i="2"/>
  <c r="U67" i="2"/>
  <c r="U67" i="2" a="1"/>
  <c r="T67" i="2"/>
  <c r="T67" i="2" a="1"/>
  <c r="S67" i="2"/>
  <c r="R67" i="2"/>
  <c r="V66" i="2"/>
  <c r="U66" i="2"/>
  <c r="U66" i="2" a="1"/>
  <c r="T66" i="2"/>
  <c r="T66" i="2" a="1"/>
  <c r="S66" i="2"/>
  <c r="R66" i="2"/>
  <c r="V65" i="2"/>
  <c r="U65" i="2"/>
  <c r="U65" i="2" a="1"/>
  <c r="T65" i="2"/>
  <c r="T65" i="2" a="1"/>
  <c r="S65" i="2"/>
  <c r="R65" i="2"/>
  <c r="V64" i="2"/>
  <c r="U64" i="2"/>
  <c r="U64" i="2" a="1"/>
  <c r="T64" i="2"/>
  <c r="T64" i="2" a="1"/>
  <c r="S64" i="2"/>
  <c r="R64" i="2"/>
  <c r="V63" i="2"/>
  <c r="U63" i="2"/>
  <c r="U63" i="2" a="1"/>
  <c r="T63" i="2"/>
  <c r="T63" i="2" a="1"/>
  <c r="S63" i="2"/>
  <c r="R63" i="2"/>
  <c r="V62" i="2"/>
  <c r="U62" i="2"/>
  <c r="U62" i="2" a="1"/>
  <c r="T62" i="2"/>
  <c r="T62" i="2" a="1"/>
  <c r="S62" i="2"/>
  <c r="R62" i="2"/>
  <c r="V61" i="2"/>
  <c r="U61" i="2"/>
  <c r="U61" i="2" a="1"/>
  <c r="T61" i="2"/>
  <c r="T61" i="2" a="1"/>
  <c r="S61" i="2"/>
  <c r="R61" i="2"/>
  <c r="V60" i="2"/>
  <c r="U60" i="2"/>
  <c r="U60" i="2" a="1"/>
  <c r="T60" i="2"/>
  <c r="T60" i="2" a="1"/>
  <c r="S60" i="2"/>
  <c r="R60" i="2"/>
  <c r="V59" i="2"/>
  <c r="U59" i="2"/>
  <c r="U59" i="2" a="1"/>
  <c r="T59" i="2"/>
  <c r="T59" i="2" a="1"/>
  <c r="S59" i="2"/>
  <c r="R59" i="2"/>
  <c r="V58" i="2"/>
  <c r="U58" i="2"/>
  <c r="U58" i="2" a="1"/>
  <c r="T58" i="2"/>
  <c r="T58" i="2" a="1"/>
  <c r="S58" i="2"/>
  <c r="R58" i="2"/>
  <c r="V57" i="2"/>
  <c r="U57" i="2"/>
  <c r="U57" i="2" a="1"/>
  <c r="T57" i="2"/>
  <c r="T57" i="2" a="1"/>
  <c r="S57" i="2"/>
  <c r="R57" i="2"/>
  <c r="V56" i="2"/>
  <c r="U56" i="2"/>
  <c r="U56" i="2" a="1"/>
  <c r="T56" i="2"/>
  <c r="T56" i="2" a="1"/>
  <c r="S56" i="2"/>
  <c r="R56" i="2"/>
  <c r="V55" i="2"/>
  <c r="U55" i="2"/>
  <c r="U55" i="2" a="1"/>
  <c r="T55" i="2"/>
  <c r="T55" i="2" a="1"/>
  <c r="S55" i="2"/>
  <c r="R55" i="2"/>
  <c r="V54" i="2"/>
  <c r="U54" i="2"/>
  <c r="U54" i="2" a="1"/>
  <c r="T54" i="2"/>
  <c r="T54" i="2" a="1"/>
  <c r="S54" i="2"/>
  <c r="R54" i="2"/>
  <c r="V53" i="2"/>
  <c r="U53" i="2"/>
  <c r="U53" i="2" a="1"/>
  <c r="T53" i="2"/>
  <c r="T53" i="2" a="1"/>
  <c r="S53" i="2"/>
  <c r="R53" i="2"/>
  <c r="V52" i="2"/>
  <c r="U52" i="2"/>
  <c r="U52" i="2" a="1"/>
  <c r="T52" i="2"/>
  <c r="T52" i="2" a="1"/>
  <c r="S52" i="2"/>
  <c r="R52" i="2"/>
  <c r="V51" i="2"/>
  <c r="U51" i="2"/>
  <c r="U51" i="2" a="1"/>
  <c r="T51" i="2"/>
  <c r="T51" i="2" a="1"/>
  <c r="S51" i="2"/>
  <c r="R51" i="2"/>
  <c r="V50" i="2"/>
  <c r="U50" i="2"/>
  <c r="U50" i="2" a="1"/>
  <c r="T50" i="2"/>
  <c r="T50" i="2" a="1"/>
  <c r="S50" i="2"/>
  <c r="R50" i="2"/>
  <c r="V49" i="2"/>
  <c r="U49" i="2"/>
  <c r="U49" i="2" a="1"/>
  <c r="T49" i="2"/>
  <c r="T49" i="2" a="1"/>
  <c r="S49" i="2"/>
  <c r="R49" i="2"/>
  <c r="V48" i="2"/>
  <c r="U48" i="2"/>
  <c r="U48" i="2" a="1"/>
  <c r="T48" i="2"/>
  <c r="T48" i="2" a="1"/>
  <c r="S48" i="2"/>
  <c r="R48" i="2"/>
  <c r="V47" i="2"/>
  <c r="U47" i="2"/>
  <c r="U47" i="2" a="1"/>
  <c r="T47" i="2"/>
  <c r="T47" i="2" a="1"/>
  <c r="S47" i="2"/>
  <c r="R47" i="2"/>
  <c r="V46" i="2"/>
  <c r="U46" i="2"/>
  <c r="U46" i="2" a="1"/>
  <c r="T46" i="2"/>
  <c r="T46" i="2" a="1"/>
  <c r="S46" i="2"/>
  <c r="R46" i="2"/>
  <c r="V45" i="2"/>
  <c r="U45" i="2"/>
  <c r="U45" i="2" a="1"/>
  <c r="T45" i="2"/>
  <c r="T45" i="2" a="1"/>
  <c r="S45" i="2"/>
  <c r="R45" i="2"/>
  <c r="V44" i="2"/>
  <c r="U44" i="2"/>
  <c r="U44" i="2" a="1"/>
  <c r="T44" i="2"/>
  <c r="T44" i="2" a="1"/>
  <c r="S44" i="2"/>
  <c r="R44" i="2"/>
  <c r="V43" i="2"/>
  <c r="U43" i="2"/>
  <c r="U43" i="2" a="1"/>
  <c r="T43" i="2"/>
  <c r="T43" i="2" a="1"/>
  <c r="S43" i="2"/>
  <c r="R43" i="2"/>
  <c r="V42" i="2"/>
  <c r="U42" i="2"/>
  <c r="U42" i="2" a="1"/>
  <c r="T42" i="2"/>
  <c r="T42" i="2" a="1"/>
  <c r="S42" i="2"/>
  <c r="R42" i="2"/>
  <c r="V41" i="2"/>
  <c r="U41" i="2"/>
  <c r="U41" i="2" a="1"/>
  <c r="T41" i="2"/>
  <c r="T41" i="2" a="1"/>
  <c r="S41" i="2"/>
  <c r="R41" i="2"/>
  <c r="V40" i="2"/>
  <c r="U40" i="2"/>
  <c r="U40" i="2" a="1"/>
  <c r="T40" i="2"/>
  <c r="T40" i="2" a="1"/>
  <c r="S40" i="2"/>
  <c r="R40" i="2"/>
  <c r="V39" i="2"/>
  <c r="U39" i="2"/>
  <c r="U39" i="2" a="1"/>
  <c r="T39" i="2"/>
  <c r="T39" i="2" a="1"/>
  <c r="S39" i="2"/>
  <c r="R39" i="2"/>
  <c r="V38" i="2"/>
  <c r="U38" i="2"/>
  <c r="U38" i="2" a="1"/>
  <c r="T38" i="2"/>
  <c r="T38" i="2" a="1"/>
  <c r="S38" i="2"/>
  <c r="R38" i="2"/>
  <c r="V37" i="2"/>
  <c r="U37" i="2"/>
  <c r="U37" i="2" a="1"/>
  <c r="T37" i="2"/>
  <c r="T37" i="2" a="1"/>
  <c r="S37" i="2"/>
  <c r="R37" i="2"/>
  <c r="V36" i="2"/>
  <c r="U36" i="2"/>
  <c r="U36" i="2" a="1"/>
  <c r="T36" i="2"/>
  <c r="T36" i="2" a="1"/>
  <c r="S36" i="2"/>
  <c r="R36" i="2"/>
  <c r="V35" i="2"/>
  <c r="U35" i="2"/>
  <c r="U35" i="2" a="1"/>
  <c r="T35" i="2"/>
  <c r="T35" i="2" a="1"/>
  <c r="S35" i="2"/>
  <c r="R35" i="2"/>
  <c r="V34" i="2"/>
  <c r="U34" i="2"/>
  <c r="U34" i="2" a="1"/>
  <c r="T34" i="2"/>
  <c r="T34" i="2" a="1"/>
  <c r="S34" i="2"/>
  <c r="R34" i="2"/>
  <c r="V33" i="2"/>
  <c r="U33" i="2"/>
  <c r="U33" i="2" a="1"/>
  <c r="T33" i="2"/>
  <c r="T33" i="2" a="1"/>
  <c r="S33" i="2"/>
  <c r="R33" i="2"/>
  <c r="V32" i="2"/>
  <c r="U32" i="2"/>
  <c r="U32" i="2" a="1"/>
  <c r="T32" i="2"/>
  <c r="T32" i="2" a="1"/>
  <c r="S32" i="2"/>
  <c r="R32" i="2"/>
  <c r="V31" i="2"/>
  <c r="U31" i="2"/>
  <c r="U31" i="2" a="1"/>
  <c r="T31" i="2"/>
  <c r="T31" i="2" a="1"/>
  <c r="S31" i="2"/>
  <c r="R31" i="2"/>
  <c r="V30" i="2"/>
  <c r="U30" i="2"/>
  <c r="U30" i="2" a="1"/>
  <c r="T30" i="2"/>
  <c r="T30" i="2" a="1"/>
  <c r="S30" i="2"/>
  <c r="R30" i="2"/>
  <c r="V29" i="2"/>
  <c r="U29" i="2"/>
  <c r="U29" i="2" a="1"/>
  <c r="T29" i="2"/>
  <c r="T29" i="2" a="1"/>
  <c r="S29" i="2"/>
  <c r="R29" i="2"/>
  <c r="V28" i="2"/>
  <c r="U28" i="2"/>
  <c r="U28" i="2" a="1"/>
  <c r="T28" i="2"/>
  <c r="T28" i="2" a="1"/>
  <c r="S28" i="2"/>
  <c r="R28" i="2"/>
  <c r="V27" i="2"/>
  <c r="U27" i="2"/>
  <c r="U27" i="2" a="1"/>
  <c r="T27" i="2"/>
  <c r="T27" i="2" a="1"/>
  <c r="S27" i="2"/>
  <c r="R27" i="2"/>
  <c r="V26" i="2"/>
  <c r="U26" i="2"/>
  <c r="U26" i="2" a="1"/>
  <c r="T26" i="2"/>
  <c r="T26" i="2" a="1"/>
  <c r="S26" i="2"/>
  <c r="R26" i="2"/>
  <c r="V25" i="2"/>
  <c r="U25" i="2"/>
  <c r="U25" i="2" a="1"/>
  <c r="T25" i="2"/>
  <c r="T25" i="2" a="1"/>
  <c r="S25" i="2"/>
  <c r="R25" i="2"/>
  <c r="V24" i="2"/>
  <c r="U24" i="2"/>
  <c r="U24" i="2" a="1"/>
  <c r="T24" i="2"/>
  <c r="T24" i="2" a="1"/>
  <c r="S24" i="2"/>
  <c r="R24" i="2"/>
  <c r="V23" i="2"/>
  <c r="U23" i="2"/>
  <c r="U23" i="2" a="1"/>
  <c r="T23" i="2"/>
  <c r="T23" i="2" a="1"/>
  <c r="S23" i="2"/>
  <c r="R23" i="2"/>
  <c r="V22" i="2"/>
  <c r="U22" i="2"/>
  <c r="U22" i="2" a="1"/>
  <c r="T22" i="2"/>
  <c r="T22" i="2" a="1"/>
  <c r="S22" i="2"/>
  <c r="R22" i="2"/>
  <c r="V21" i="2"/>
  <c r="U21" i="2"/>
  <c r="U21" i="2" a="1"/>
  <c r="T21" i="2"/>
  <c r="T21" i="2" a="1"/>
  <c r="S21" i="2"/>
  <c r="R21" i="2"/>
  <c r="V20" i="2"/>
  <c r="U20" i="2"/>
  <c r="U20" i="2" a="1"/>
  <c r="T20" i="2"/>
  <c r="T20" i="2" a="1"/>
  <c r="S20" i="2"/>
  <c r="R20" i="2"/>
  <c r="V19" i="2"/>
  <c r="U19" i="2"/>
  <c r="U19" i="2" a="1"/>
  <c r="T19" i="2"/>
  <c r="T19" i="2" a="1"/>
  <c r="S19" i="2"/>
  <c r="R19" i="2"/>
  <c r="V18" i="2"/>
  <c r="U18" i="2"/>
  <c r="U18" i="2" a="1"/>
  <c r="T18" i="2"/>
  <c r="T18" i="2" a="1"/>
  <c r="S18" i="2"/>
  <c r="R18" i="2"/>
  <c r="V17" i="2"/>
  <c r="U17" i="2"/>
  <c r="U17" i="2" a="1"/>
  <c r="T17" i="2"/>
  <c r="T17" i="2" a="1"/>
  <c r="S17" i="2"/>
  <c r="R17" i="2"/>
  <c r="V16" i="2"/>
  <c r="U16" i="2"/>
  <c r="U16" i="2" a="1"/>
  <c r="T16" i="2"/>
  <c r="T16" i="2" a="1"/>
  <c r="S16" i="2"/>
  <c r="R16" i="2"/>
  <c r="V15" i="2"/>
  <c r="U15" i="2"/>
  <c r="U15" i="2" a="1"/>
  <c r="T15" i="2"/>
  <c r="T15" i="2" a="1"/>
  <c r="S15" i="2"/>
  <c r="R15" i="2"/>
  <c r="V14" i="2"/>
  <c r="U14" i="2"/>
  <c r="U14" i="2" a="1"/>
  <c r="T14" i="2"/>
  <c r="T14" i="2" a="1"/>
  <c r="S14" i="2"/>
  <c r="R14" i="2"/>
  <c r="V13" i="2"/>
  <c r="U13" i="2"/>
  <c r="U13" i="2" a="1"/>
  <c r="T13" i="2"/>
  <c r="T13" i="2" a="1"/>
  <c r="S13" i="2"/>
  <c r="R13" i="2"/>
  <c r="V12" i="2"/>
  <c r="U12" i="2"/>
  <c r="U12" i="2" a="1"/>
  <c r="T12" i="2"/>
  <c r="T12" i="2" a="1"/>
  <c r="S12" i="2"/>
  <c r="R12" i="2"/>
  <c r="V11" i="2"/>
  <c r="U11" i="2"/>
  <c r="U11" i="2" a="1"/>
  <c r="T11" i="2"/>
  <c r="T11" i="2" a="1"/>
  <c r="S11" i="2"/>
  <c r="R11" i="2"/>
  <c r="V10" i="2"/>
  <c r="U10" i="2"/>
  <c r="U10" i="2" a="1"/>
  <c r="T10" i="2"/>
  <c r="T10" i="2" a="1"/>
  <c r="S10" i="2"/>
  <c r="R10" i="2"/>
  <c r="V9" i="2"/>
  <c r="U9" i="2"/>
  <c r="U9" i="2" a="1"/>
  <c r="T9" i="2"/>
  <c r="T9" i="2" a="1"/>
  <c r="S9" i="2"/>
  <c r="R9" i="2"/>
  <c r="V8" i="2"/>
  <c r="U8" i="2"/>
  <c r="U8" i="2" a="1"/>
  <c r="T8" i="2"/>
  <c r="T8" i="2" a="1"/>
  <c r="S8" i="2"/>
  <c r="R8" i="2"/>
  <c r="V7" i="2"/>
  <c r="U7" i="2"/>
  <c r="U7" i="2" a="1"/>
  <c r="T7" i="2"/>
  <c r="T7" i="2" a="1"/>
  <c r="S7" i="2"/>
  <c r="R7" i="2"/>
  <c r="V6" i="2"/>
  <c r="U6" i="2"/>
  <c r="U6" i="2" a="1"/>
  <c r="T6" i="2"/>
  <c r="T6" i="2" a="1"/>
  <c r="S6" i="2"/>
  <c r="R6" i="2"/>
  <c r="V5" i="2"/>
  <c r="U5" i="2"/>
  <c r="U5" i="2" a="1"/>
  <c r="T5" i="2"/>
  <c r="T5" i="2" a="1"/>
  <c r="S5" i="2"/>
  <c r="R5" i="2"/>
  <c r="V4" i="2"/>
  <c r="U4" i="2"/>
  <c r="U4" i="2" a="1"/>
  <c r="T4" i="2"/>
  <c r="T4" i="2" a="1"/>
  <c r="S4" i="2"/>
  <c r="R4" i="2"/>
  <c r="V3" i="2"/>
  <c r="U3" i="2"/>
  <c r="U3" i="2" a="1"/>
  <c r="T3" i="2"/>
  <c r="T3" i="2" a="1"/>
  <c r="S3" i="2"/>
  <c r="R3" i="2"/>
  <c r="V2" i="2"/>
  <c r="U2" i="2"/>
  <c r="U2" i="2" a="1"/>
  <c r="T2" i="2"/>
  <c r="T2" i="2" a="1"/>
  <c r="S2" i="2"/>
  <c r="R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141836-96E1-4E90-A862-1D3216748FCF}" keepAlive="1" name="Query - student-scores" description="Connection to the 'student-scores' query in the workbook." type="5" refreshedVersion="8" background="1" saveData="1">
    <dbPr connection="Provider=Microsoft.Mashup.OleDb.1;Data Source=$Workbook$;Location=student-scores;Extended Properties=&quot;&quot;" command="SELECT * FROM [student-scor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<sst xmlns="http://schemas.openxmlformats.org/spreadsheetml/2006/main" count="10170" uniqueCount="3197">
  <si>
    <t>id</t>
  </si>
  <si>
    <t>first_name</t>
  </si>
  <si>
    <t>last_name</t>
  </si>
  <si>
    <t>email</t>
  </si>
  <si>
    <t>gender</t>
  </si>
  <si>
    <t>part_time_job</t>
  </si>
  <si>
    <t>absence_days</t>
  </si>
  <si>
    <t>extracurricular_activities</t>
  </si>
  <si>
    <t>weekly_self_study_hours</t>
  </si>
  <si>
    <t>career_aspiration</t>
  </si>
  <si>
    <t>math_score</t>
  </si>
  <si>
    <t>history_score</t>
  </si>
  <si>
    <t>physics_score</t>
  </si>
  <si>
    <t>chemistry_score</t>
  </si>
  <si>
    <t>biology_score</t>
  </si>
  <si>
    <t>english_score</t>
  </si>
  <si>
    <t>geography_score</t>
  </si>
  <si>
    <t>Paul</t>
  </si>
  <si>
    <t>Casey</t>
  </si>
  <si>
    <t>paul.casey.1@gslingacademy.com</t>
  </si>
  <si>
    <t>male</t>
  </si>
  <si>
    <t>Lawyer</t>
  </si>
  <si>
    <t>Danielle</t>
  </si>
  <si>
    <t>Sandoval</t>
  </si>
  <si>
    <t>danielle.sandoval.2@gslingacademy.com</t>
  </si>
  <si>
    <t>female</t>
  </si>
  <si>
    <t>Doctor</t>
  </si>
  <si>
    <t>Tina</t>
  </si>
  <si>
    <t>Andrews</t>
  </si>
  <si>
    <t>tina.andrews.3@gslingacademy.com</t>
  </si>
  <si>
    <t>Government Officer</t>
  </si>
  <si>
    <t>Tara</t>
  </si>
  <si>
    <t>Clark</t>
  </si>
  <si>
    <t>tara.clark.4@gslingacademy.com</t>
  </si>
  <si>
    <t>Artist</t>
  </si>
  <si>
    <t>Anthony</t>
  </si>
  <si>
    <t>Campos</t>
  </si>
  <si>
    <t>anthony.campos.5@gslingacademy.com</t>
  </si>
  <si>
    <t>Unknown</t>
  </si>
  <si>
    <t>Kelly</t>
  </si>
  <si>
    <t>Wade</t>
  </si>
  <si>
    <t>kelly.wade.6@gslingacademy.com</t>
  </si>
  <si>
    <t>Smith</t>
  </si>
  <si>
    <t>anthony.smith.7@gslingacademy.com</t>
  </si>
  <si>
    <t>Software Engineer</t>
  </si>
  <si>
    <t>George</t>
  </si>
  <si>
    <t>Short</t>
  </si>
  <si>
    <t>george.short.8@gslingacademy.com</t>
  </si>
  <si>
    <t>Stanley</t>
  </si>
  <si>
    <t>Gutierrez</t>
  </si>
  <si>
    <t>stanley.gutierrez.9@gslingacademy.com</t>
  </si>
  <si>
    <t>Audrey</t>
  </si>
  <si>
    <t>Simpson</t>
  </si>
  <si>
    <t>audrey.simpson.10@gslingacademy.com</t>
  </si>
  <si>
    <t>Teacher</t>
  </si>
  <si>
    <t>Gabrielle</t>
  </si>
  <si>
    <t>White</t>
  </si>
  <si>
    <t>gabrielle.white.11@gslingacademy.com</t>
  </si>
  <si>
    <t>Clinton</t>
  </si>
  <si>
    <t>Randolph</t>
  </si>
  <si>
    <t>clinton.randolph.12@gslingacademy.com</t>
  </si>
  <si>
    <t>Patricia</t>
  </si>
  <si>
    <t>Gomez</t>
  </si>
  <si>
    <t>patricia.gomez.13@gslingacademy.com</t>
  </si>
  <si>
    <t>Business Owner</t>
  </si>
  <si>
    <t>Pamela</t>
  </si>
  <si>
    <t>Jackson</t>
  </si>
  <si>
    <t>pamela.jackson.14@gslingacademy.com</t>
  </si>
  <si>
    <t>Laura</t>
  </si>
  <si>
    <t>laura.jackson.15@gslingacademy.com</t>
  </si>
  <si>
    <t>Roger</t>
  </si>
  <si>
    <t>Wiley</t>
  </si>
  <si>
    <t>roger.wiley.16@gslingacademy.com</t>
  </si>
  <si>
    <t>Vicki</t>
  </si>
  <si>
    <t>Thompson</t>
  </si>
  <si>
    <t>vicki.thompson.17@gslingacademy.com</t>
  </si>
  <si>
    <t>Scientist</t>
  </si>
  <si>
    <t>Maxwell</t>
  </si>
  <si>
    <t>Davidson</t>
  </si>
  <si>
    <t>maxwell.davidson.18@gslingacademy.com</t>
  </si>
  <si>
    <t>Jonathan</t>
  </si>
  <si>
    <t>Werner</t>
  </si>
  <si>
    <t>jonathan.werner.19@gslingacademy.com</t>
  </si>
  <si>
    <t>Angela</t>
  </si>
  <si>
    <t>Rios</t>
  </si>
  <si>
    <t>angela.rios.20@gslingacademy.com</t>
  </si>
  <si>
    <t>Tim</t>
  </si>
  <si>
    <t>Nichols</t>
  </si>
  <si>
    <t>tim.nichols.21@gslingacademy.com</t>
  </si>
  <si>
    <t>Kyle</t>
  </si>
  <si>
    <t>Willis</t>
  </si>
  <si>
    <t>kyle.willis.22@gslingacademy.com</t>
  </si>
  <si>
    <t>Shannon</t>
  </si>
  <si>
    <t>shannon.simpson.23@gslingacademy.com</t>
  </si>
  <si>
    <t>Sean</t>
  </si>
  <si>
    <t>Griffin</t>
  </si>
  <si>
    <t>sean.griffin.24@gslingacademy.com</t>
  </si>
  <si>
    <t>Cassandra</t>
  </si>
  <si>
    <t>West</t>
  </si>
  <si>
    <t>cassandra.west.25@gslingacademy.com</t>
  </si>
  <si>
    <t>Chavez</t>
  </si>
  <si>
    <t>patricia.chavez.26@gslingacademy.com</t>
  </si>
  <si>
    <t>Jason</t>
  </si>
  <si>
    <t>Williams</t>
  </si>
  <si>
    <t>jason.williams.27@gslingacademy.com</t>
  </si>
  <si>
    <t>Banker</t>
  </si>
  <si>
    <t>Peter</t>
  </si>
  <si>
    <t>Gibbs</t>
  </si>
  <si>
    <t>peter.gibbs.28@gslingacademy.com</t>
  </si>
  <si>
    <t>Writer</t>
  </si>
  <si>
    <t>Jeffrey</t>
  </si>
  <si>
    <t>Blanchard</t>
  </si>
  <si>
    <t>jeffrey.blanchard.29@gslingacademy.com</t>
  </si>
  <si>
    <t>Accountant</t>
  </si>
  <si>
    <t>Carol</t>
  </si>
  <si>
    <t>Hill</t>
  </si>
  <si>
    <t>carol.hill.30@gslingacademy.com</t>
  </si>
  <si>
    <t>Angie</t>
  </si>
  <si>
    <t>Miller</t>
  </si>
  <si>
    <t>angie.miller.31@gslingacademy.com</t>
  </si>
  <si>
    <t>Cynthia</t>
  </si>
  <si>
    <t>Knapp</t>
  </si>
  <si>
    <t>cynthia.knapp.32@gslingacademy.com</t>
  </si>
  <si>
    <t>Designer</t>
  </si>
  <si>
    <t>Timothy</t>
  </si>
  <si>
    <t>Bryant</t>
  </si>
  <si>
    <t>timothy.bryant.33@gslingacademy.com</t>
  </si>
  <si>
    <t>Phyllis</t>
  </si>
  <si>
    <t>Diaz</t>
  </si>
  <si>
    <t>phyllis.diaz.34@gslingacademy.com</t>
  </si>
  <si>
    <t>Lisa</t>
  </si>
  <si>
    <t>Burns</t>
  </si>
  <si>
    <t>lisa.burns.35@gslingacademy.com</t>
  </si>
  <si>
    <t>Farley</t>
  </si>
  <si>
    <t>kelly.farley.36@gslingacademy.com</t>
  </si>
  <si>
    <t>Ryan</t>
  </si>
  <si>
    <t>Lee</t>
  </si>
  <si>
    <t>ryan.lee.37@gslingacademy.com</t>
  </si>
  <si>
    <t>Construction Engineer</t>
  </si>
  <si>
    <t>Michael</t>
  </si>
  <si>
    <t>Gilmore</t>
  </si>
  <si>
    <t>michael.gilmore.38@gslingacademy.com</t>
  </si>
  <si>
    <t>Miguel</t>
  </si>
  <si>
    <t>Martinez</t>
  </si>
  <si>
    <t>miguel.martinez.39@gslingacademy.com</t>
  </si>
  <si>
    <t>Christopher</t>
  </si>
  <si>
    <t>Taylor</t>
  </si>
  <si>
    <t>christopher.taylor.40@gslingacademy.com</t>
  </si>
  <si>
    <t>Emily</t>
  </si>
  <si>
    <t>Holloway</t>
  </si>
  <si>
    <t>emily.holloway.41@gslingacademy.com</t>
  </si>
  <si>
    <t>Jesus</t>
  </si>
  <si>
    <t>Rasmussen</t>
  </si>
  <si>
    <t>jesus.rasmussen.42@gslingacademy.com</t>
  </si>
  <si>
    <t>Lauren</t>
  </si>
  <si>
    <t>Farmer</t>
  </si>
  <si>
    <t>lauren.farmer.43@gslingacademy.com</t>
  </si>
  <si>
    <t>Cole</t>
  </si>
  <si>
    <t>pamela.cole.44@gslingacademy.com</t>
  </si>
  <si>
    <t>Game Developer</t>
  </si>
  <si>
    <t>David</t>
  </si>
  <si>
    <t>Gillespie</t>
  </si>
  <si>
    <t>david.gillespie.45@gslingacademy.com</t>
  </si>
  <si>
    <t>Kenneth</t>
  </si>
  <si>
    <t>Davis</t>
  </si>
  <si>
    <t>kenneth.davis.46@gslingacademy.com</t>
  </si>
  <si>
    <t>Elizabeth</t>
  </si>
  <si>
    <t>Martin</t>
  </si>
  <si>
    <t>elizabeth.martin.47@gslingacademy.com</t>
  </si>
  <si>
    <t>Billy</t>
  </si>
  <si>
    <t>Soto</t>
  </si>
  <si>
    <t>billy.soto.48@gslingacademy.com</t>
  </si>
  <si>
    <t>Stock Investor</t>
  </si>
  <si>
    <t>Kimberly</t>
  </si>
  <si>
    <t>kimberly.kelly.49@gslingacademy.com</t>
  </si>
  <si>
    <t>Sonia</t>
  </si>
  <si>
    <t>Noble</t>
  </si>
  <si>
    <t>sonia.noble.50@gslingacademy.com</t>
  </si>
  <si>
    <t>Stewart</t>
  </si>
  <si>
    <t>christopher.stewart.51@gslingacademy.com</t>
  </si>
  <si>
    <t>Sandra</t>
  </si>
  <si>
    <t>Thornton</t>
  </si>
  <si>
    <t>sandra.thornton.52@gslingacademy.com</t>
  </si>
  <si>
    <t>Luke</t>
  </si>
  <si>
    <t>luke.shannon.53@gslingacademy.com</t>
  </si>
  <si>
    <t>Lindsay</t>
  </si>
  <si>
    <t>Pruitt</t>
  </si>
  <si>
    <t>lindsay.pruitt.54@gslingacademy.com</t>
  </si>
  <si>
    <t>Jamie</t>
  </si>
  <si>
    <t>jamie.taylor.55@gslingacademy.com</t>
  </si>
  <si>
    <t>Jennifer</t>
  </si>
  <si>
    <t>Murphy</t>
  </si>
  <si>
    <t>jennifer.murphy.56@gslingacademy.com</t>
  </si>
  <si>
    <t>Melissa</t>
  </si>
  <si>
    <t>melissa.lee.57@gslingacademy.com</t>
  </si>
  <si>
    <t>Vaughn</t>
  </si>
  <si>
    <t>david.vaughn.58@gslingacademy.com</t>
  </si>
  <si>
    <t>Jacob</t>
  </si>
  <si>
    <t>Hanson</t>
  </si>
  <si>
    <t>jacob.hanson.59@gslingacademy.com</t>
  </si>
  <si>
    <t>May</t>
  </si>
  <si>
    <t>casey.may.60@gslingacademy.com</t>
  </si>
  <si>
    <t>Michelle</t>
  </si>
  <si>
    <t>Roman</t>
  </si>
  <si>
    <t>michelle.roman.61@gslingacademy.com</t>
  </si>
  <si>
    <t>Brittany</t>
  </si>
  <si>
    <t>Koch</t>
  </si>
  <si>
    <t>brittany.koch.62@gslingacademy.com</t>
  </si>
  <si>
    <t>Brian</t>
  </si>
  <si>
    <t>Lewis</t>
  </si>
  <si>
    <t>brian.lewis.63@gslingacademy.com</t>
  </si>
  <si>
    <t>Veronica</t>
  </si>
  <si>
    <t>Cameron</t>
  </si>
  <si>
    <t>veronica.cameron.64@gslingacademy.com</t>
  </si>
  <si>
    <t>Eric</t>
  </si>
  <si>
    <t>Reyes</t>
  </si>
  <si>
    <t>eric.reyes.65@gslingacademy.com</t>
  </si>
  <si>
    <t>Kristy</t>
  </si>
  <si>
    <t>Weber</t>
  </si>
  <si>
    <t>kristy.weber.66@gslingacademy.com</t>
  </si>
  <si>
    <t>anthony.smith.67@gslingacademy.com</t>
  </si>
  <si>
    <t>Steven</t>
  </si>
  <si>
    <t>Stephens</t>
  </si>
  <si>
    <t>steven.stephens.68@gslingacademy.com</t>
  </si>
  <si>
    <t>Real Estate Developer</t>
  </si>
  <si>
    <t>Henry</t>
  </si>
  <si>
    <t>henry.davis.69@gslingacademy.com</t>
  </si>
  <si>
    <t>Raymond</t>
  </si>
  <si>
    <t>Shea</t>
  </si>
  <si>
    <t>raymond.shea.70@gslingacademy.com</t>
  </si>
  <si>
    <t>Jill</t>
  </si>
  <si>
    <t>Perez</t>
  </si>
  <si>
    <t>jill.perez.71@gslingacademy.com</t>
  </si>
  <si>
    <t>Bonilla</t>
  </si>
  <si>
    <t>kimberly.bonilla.72@gslingacademy.com</t>
  </si>
  <si>
    <t>Louis</t>
  </si>
  <si>
    <t>Edwards</t>
  </si>
  <si>
    <t>louis.edwards.73@gslingacademy.com</t>
  </si>
  <si>
    <t>Hodge</t>
  </si>
  <si>
    <t>michael.hodge.74@gslingacademy.com</t>
  </si>
  <si>
    <t>Anna</t>
  </si>
  <si>
    <t>Li</t>
  </si>
  <si>
    <t>anna.li.75@gslingacademy.com</t>
  </si>
  <si>
    <t>Andrea</t>
  </si>
  <si>
    <t>Case</t>
  </si>
  <si>
    <t>andrea.case.76@gslingacademy.com</t>
  </si>
  <si>
    <t>Garcia</t>
  </si>
  <si>
    <t>jennifer.garcia.77@gslingacademy.com</t>
  </si>
  <si>
    <t>Rhonda</t>
  </si>
  <si>
    <t>Davenport</t>
  </si>
  <si>
    <t>rhonda.davenport.78@gslingacademy.com</t>
  </si>
  <si>
    <t>Chelsea</t>
  </si>
  <si>
    <t>Craig</t>
  </si>
  <si>
    <t>chelsea.craig.79@gslingacademy.com</t>
  </si>
  <si>
    <t>Shawn</t>
  </si>
  <si>
    <t>Chase</t>
  </si>
  <si>
    <t>shawn.chase.80@gslingacademy.com</t>
  </si>
  <si>
    <t>Calhoun</t>
  </si>
  <si>
    <t>elizabeth.calhoun.81@gslingacademy.com</t>
  </si>
  <si>
    <t>Harris</t>
  </si>
  <si>
    <t>lisa.harris.82@gslingacademy.com</t>
  </si>
  <si>
    <t>Snyder</t>
  </si>
  <si>
    <t>carol.snyder.83@gslingacademy.com</t>
  </si>
  <si>
    <t>Charles</t>
  </si>
  <si>
    <t>Butler</t>
  </si>
  <si>
    <t>charles.butler.84@gslingacademy.com</t>
  </si>
  <si>
    <t>James</t>
  </si>
  <si>
    <t>Dawson</t>
  </si>
  <si>
    <t>james.dawson.85@gslingacademy.com</t>
  </si>
  <si>
    <t>Dennis</t>
  </si>
  <si>
    <t>Kim</t>
  </si>
  <si>
    <t>dennis.kim.86@gslingacademy.com</t>
  </si>
  <si>
    <t>Berry</t>
  </si>
  <si>
    <t>jennifer.berry.87@gslingacademy.com</t>
  </si>
  <si>
    <t>Yvette</t>
  </si>
  <si>
    <t>Bridges</t>
  </si>
  <si>
    <t>yvette.bridges.88@gslingacademy.com</t>
  </si>
  <si>
    <t>Robert</t>
  </si>
  <si>
    <t>Atkins</t>
  </si>
  <si>
    <t>robert.atkins.89@gslingacademy.com</t>
  </si>
  <si>
    <t>William</t>
  </si>
  <si>
    <t>Brown</t>
  </si>
  <si>
    <t>william.brown.90@gslingacademy.com</t>
  </si>
  <si>
    <t>Patrick</t>
  </si>
  <si>
    <t>Parker</t>
  </si>
  <si>
    <t>patrick.parker.91@gslingacademy.com</t>
  </si>
  <si>
    <t>Santiago</t>
  </si>
  <si>
    <t>james.santiago.92@gslingacademy.com</t>
  </si>
  <si>
    <t>Parsons</t>
  </si>
  <si>
    <t>robert.parsons.93@gslingacademy.com</t>
  </si>
  <si>
    <t>jacob.brown.94@gslingacademy.com</t>
  </si>
  <si>
    <t>Natalie</t>
  </si>
  <si>
    <t>Robinson</t>
  </si>
  <si>
    <t>natalie.robinson.95@gslingacademy.com</t>
  </si>
  <si>
    <t>Victoria</t>
  </si>
  <si>
    <t>Jones</t>
  </si>
  <si>
    <t>victoria.jones.96@gslingacademy.com</t>
  </si>
  <si>
    <t>Natasha</t>
  </si>
  <si>
    <t>Hansen</t>
  </si>
  <si>
    <t>natasha.hansen.97@gslingacademy.com</t>
  </si>
  <si>
    <t>Thomas</t>
  </si>
  <si>
    <t>thomas.white.98@gslingacademy.com</t>
  </si>
  <si>
    <t>Derrick</t>
  </si>
  <si>
    <t>Figueroa</t>
  </si>
  <si>
    <t>derrick.figueroa.99@gslingacademy.com</t>
  </si>
  <si>
    <t>Ward</t>
  </si>
  <si>
    <t>kimberly.ward.100@gslingacademy.com</t>
  </si>
  <si>
    <t>rhonda.jones.101@gslingacademy.com</t>
  </si>
  <si>
    <t>Abigail</t>
  </si>
  <si>
    <t>abigail.perez.102@gslingacademy.com</t>
  </si>
  <si>
    <t>Yang</t>
  </si>
  <si>
    <t>james.yang.103@gslingacademy.com</t>
  </si>
  <si>
    <t>Stephen</t>
  </si>
  <si>
    <t>Patton</t>
  </si>
  <si>
    <t>stephen.patton.104@gslingacademy.com</t>
  </si>
  <si>
    <t>Emma</t>
  </si>
  <si>
    <t>Wright</t>
  </si>
  <si>
    <t>emma.wright.105@gslingacademy.com</t>
  </si>
  <si>
    <t>cynthia.brown.106@gslingacademy.com</t>
  </si>
  <si>
    <t>Erin</t>
  </si>
  <si>
    <t>Kelley</t>
  </si>
  <si>
    <t>erin.kelley.107@gslingacademy.com</t>
  </si>
  <si>
    <t>Benjamin</t>
  </si>
  <si>
    <t>Morse</t>
  </si>
  <si>
    <t>benjamin.morse.108@gslingacademy.com</t>
  </si>
  <si>
    <t>Alexandra</t>
  </si>
  <si>
    <t>Gibson</t>
  </si>
  <si>
    <t>alexandra.gibson.109@gslingacademy.com</t>
  </si>
  <si>
    <t>Phillip</t>
  </si>
  <si>
    <t>Allen</t>
  </si>
  <si>
    <t>phillip.allen.110@gslingacademy.com</t>
  </si>
  <si>
    <t>Joshua</t>
  </si>
  <si>
    <t>Gonzalez</t>
  </si>
  <si>
    <t>joshua.gonzalez.111@gslingacademy.com</t>
  </si>
  <si>
    <t>erin.jones.112@gslingacademy.com</t>
  </si>
  <si>
    <t>Hayes</t>
  </si>
  <si>
    <t>charles.hayes.113@gslingacademy.com</t>
  </si>
  <si>
    <t>Kelsey</t>
  </si>
  <si>
    <t>kelsey.brown.114@gslingacademy.com</t>
  </si>
  <si>
    <t>Turner</t>
  </si>
  <si>
    <t>robert.turner.115@gslingacademy.com</t>
  </si>
  <si>
    <t>robert.hill.116@gslingacademy.com</t>
  </si>
  <si>
    <t>Alyssa</t>
  </si>
  <si>
    <t>Ritter</t>
  </si>
  <si>
    <t>alyssa.ritter.117@gslingacademy.com</t>
  </si>
  <si>
    <t>Beth</t>
  </si>
  <si>
    <t>Bell</t>
  </si>
  <si>
    <t>beth.bell.118@gslingacademy.com</t>
  </si>
  <si>
    <t>Andrew</t>
  </si>
  <si>
    <t>Dixon</t>
  </si>
  <si>
    <t>andrew.dixon.119@gslingacademy.com</t>
  </si>
  <si>
    <t>Crystal</t>
  </si>
  <si>
    <t>Walker</t>
  </si>
  <si>
    <t>crystal.walker.120@gslingacademy.com</t>
  </si>
  <si>
    <t>Jordan</t>
  </si>
  <si>
    <t>Bennett</t>
  </si>
  <si>
    <t>jordan.bennett.121@gslingacademy.com</t>
  </si>
  <si>
    <t>Antonio</t>
  </si>
  <si>
    <t>Caldwell</t>
  </si>
  <si>
    <t>antonio.caldwell.122@gslingacademy.com</t>
  </si>
  <si>
    <t>jacob.reyes.123@gslingacademy.com</t>
  </si>
  <si>
    <t>Wendy</t>
  </si>
  <si>
    <t>wendy.lewis.124@gslingacademy.com</t>
  </si>
  <si>
    <t>jennifer.miller.125@gslingacademy.com</t>
  </si>
  <si>
    <t>Ware</t>
  </si>
  <si>
    <t>lisa.ware.126@gslingacademy.com</t>
  </si>
  <si>
    <t>brian.lee.127@gslingacademy.com</t>
  </si>
  <si>
    <t>Mario</t>
  </si>
  <si>
    <t>mario.taylor.128@gslingacademy.com</t>
  </si>
  <si>
    <t>Amanda</t>
  </si>
  <si>
    <t>Williamson</t>
  </si>
  <si>
    <t>amanda.williamson.129@gslingacademy.com</t>
  </si>
  <si>
    <t>michael.miller.130@gslingacademy.com</t>
  </si>
  <si>
    <t>Vasquez</t>
  </si>
  <si>
    <t>amanda.vasquez.131@gslingacademy.com</t>
  </si>
  <si>
    <t>Obrien</t>
  </si>
  <si>
    <t>chelsea.obrien.132@gslingacademy.com</t>
  </si>
  <si>
    <t>Perkins</t>
  </si>
  <si>
    <t>tina.perkins.133@gslingacademy.com</t>
  </si>
  <si>
    <t>Cory</t>
  </si>
  <si>
    <t>cory.perez.134@gslingacademy.com</t>
  </si>
  <si>
    <t>Jenkins</t>
  </si>
  <si>
    <t>christopher.jenkins.135@gslingacademy.com</t>
  </si>
  <si>
    <t>Joanne</t>
  </si>
  <si>
    <t>joanne.campos.136@gslingacademy.com</t>
  </si>
  <si>
    <t>Patel</t>
  </si>
  <si>
    <t>david.patel.137@gslingacademy.com</t>
  </si>
  <si>
    <t>michelle.hill.138@gslingacademy.com</t>
  </si>
  <si>
    <t>Jessica</t>
  </si>
  <si>
    <t>Boyd</t>
  </si>
  <si>
    <t>jessica.boyd.139@gslingacademy.com</t>
  </si>
  <si>
    <t>Lawrence</t>
  </si>
  <si>
    <t>Russell</t>
  </si>
  <si>
    <t>lawrence.russell.140@gslingacademy.com</t>
  </si>
  <si>
    <t>Singh</t>
  </si>
  <si>
    <t>james.singh.141@gslingacademy.com</t>
  </si>
  <si>
    <t>Marc</t>
  </si>
  <si>
    <t>Villanueva</t>
  </si>
  <si>
    <t>marc.villanueva.142@gslingacademy.com</t>
  </si>
  <si>
    <t>Cathy</t>
  </si>
  <si>
    <t>Wilson</t>
  </si>
  <si>
    <t>cathy.wilson.143@gslingacademy.com</t>
  </si>
  <si>
    <t>Adam</t>
  </si>
  <si>
    <t>Mitchell</t>
  </si>
  <si>
    <t>adam.mitchell.144@gslingacademy.com</t>
  </si>
  <si>
    <t>Sherry</t>
  </si>
  <si>
    <t>Phillips</t>
  </si>
  <si>
    <t>sherry.phillips.145@gslingacademy.com</t>
  </si>
  <si>
    <t>Victor</t>
  </si>
  <si>
    <t>victor.jones.146@gslingacademy.com</t>
  </si>
  <si>
    <t>Mark</t>
  </si>
  <si>
    <t>Young</t>
  </si>
  <si>
    <t>mark.young.147@gslingacademy.com</t>
  </si>
  <si>
    <t>Matthew</t>
  </si>
  <si>
    <t>matthew.jackson.148@gslingacademy.com</t>
  </si>
  <si>
    <t>Tanya</t>
  </si>
  <si>
    <t>tanya.nichols.149@gslingacademy.com</t>
  </si>
  <si>
    <t>Julie</t>
  </si>
  <si>
    <t>Gray</t>
  </si>
  <si>
    <t>julie.gray.150@gslingacademy.com</t>
  </si>
  <si>
    <t>Courtney</t>
  </si>
  <si>
    <t>Perry</t>
  </si>
  <si>
    <t>courtney.perry.151@gslingacademy.com</t>
  </si>
  <si>
    <t>Rodriguez</t>
  </si>
  <si>
    <t>stephen.rodriguez.152@gslingacademy.com</t>
  </si>
  <si>
    <t>elizabeth.robinson.153@gslingacademy.com</t>
  </si>
  <si>
    <t>Graves</t>
  </si>
  <si>
    <t>william.graves.154@gslingacademy.com</t>
  </si>
  <si>
    <t>Nancy</t>
  </si>
  <si>
    <t>Moore</t>
  </si>
  <si>
    <t>nancy.moore.155@gslingacademy.com</t>
  </si>
  <si>
    <t>Newman</t>
  </si>
  <si>
    <t>matthew.newman.156@gslingacademy.com</t>
  </si>
  <si>
    <t>Anita</t>
  </si>
  <si>
    <t>anita.moore.157@gslingacademy.com</t>
  </si>
  <si>
    <t>Sanchez</t>
  </si>
  <si>
    <t>brian.sanchez.158@gslingacademy.com</t>
  </si>
  <si>
    <t>dennis.phillips.159@gslingacademy.com</t>
  </si>
  <si>
    <t>Rivas</t>
  </si>
  <si>
    <t>michael.rivas.160@gslingacademy.com</t>
  </si>
  <si>
    <t>ryan.smith.161@gslingacademy.com</t>
  </si>
  <si>
    <t>Sullivan</t>
  </si>
  <si>
    <t>anthony.sullivan.162@gslingacademy.com</t>
  </si>
  <si>
    <t>Troy</t>
  </si>
  <si>
    <t>Shepherd</t>
  </si>
  <si>
    <t>troy.shepherd.163@gslingacademy.com</t>
  </si>
  <si>
    <t>Nicholas</t>
  </si>
  <si>
    <t>Clayton</t>
  </si>
  <si>
    <t>nicholas.clayton.164@gslingacademy.com</t>
  </si>
  <si>
    <t>Denise</t>
  </si>
  <si>
    <t>Schneider</t>
  </si>
  <si>
    <t>denise.schneider.165@gslingacademy.com</t>
  </si>
  <si>
    <t>Silva</t>
  </si>
  <si>
    <t>lisa.silva.166@gslingacademy.com</t>
  </si>
  <si>
    <t>Reilly</t>
  </si>
  <si>
    <t>laura.reilly.167@gslingacademy.com</t>
  </si>
  <si>
    <t>Amy</t>
  </si>
  <si>
    <t>Peterson</t>
  </si>
  <si>
    <t>amy.peterson.168@gslingacademy.com</t>
  </si>
  <si>
    <t>Fernando</t>
  </si>
  <si>
    <t>Sexton</t>
  </si>
  <si>
    <t>fernando.sexton.169@gslingacademy.com</t>
  </si>
  <si>
    <t>Evan</t>
  </si>
  <si>
    <t>Christian</t>
  </si>
  <si>
    <t>evan.christian.170@gslingacademy.com</t>
  </si>
  <si>
    <t>Rebecca</t>
  </si>
  <si>
    <t>Norris</t>
  </si>
  <si>
    <t>rebecca.norris.171@gslingacademy.com</t>
  </si>
  <si>
    <t>Erica</t>
  </si>
  <si>
    <t>Marks</t>
  </si>
  <si>
    <t>erica.marks.172@gslingacademy.com</t>
  </si>
  <si>
    <t>Webster</t>
  </si>
  <si>
    <t>rhonda.webster.173@gslingacademy.com</t>
  </si>
  <si>
    <t>John</t>
  </si>
  <si>
    <t>john.bennett.174@gslingacademy.com</t>
  </si>
  <si>
    <t>amanda.murphy.175@gslingacademy.com</t>
  </si>
  <si>
    <t>Jeremy</t>
  </si>
  <si>
    <t>Barnes</t>
  </si>
  <si>
    <t>jeremy.barnes.176@gslingacademy.com</t>
  </si>
  <si>
    <t>john.brown.177@gslingacademy.com</t>
  </si>
  <si>
    <t>Traci</t>
  </si>
  <si>
    <t>traci.boyd.178@gslingacademy.com</t>
  </si>
  <si>
    <t>elizabeth.butler.179@gslingacademy.com</t>
  </si>
  <si>
    <t>Alex</t>
  </si>
  <si>
    <t>alex.clark.180@gslingacademy.com</t>
  </si>
  <si>
    <t>Wolfe</t>
  </si>
  <si>
    <t>christopher.wolfe.181@gslingacademy.com</t>
  </si>
  <si>
    <t>jason.bell.182@gslingacademy.com</t>
  </si>
  <si>
    <t>Donaldson</t>
  </si>
  <si>
    <t>victoria.donaldson.183@gslingacademy.com</t>
  </si>
  <si>
    <t>Logan</t>
  </si>
  <si>
    <t>Cox</t>
  </si>
  <si>
    <t>logan.cox.184@gslingacademy.com</t>
  </si>
  <si>
    <t>Rachel</t>
  </si>
  <si>
    <t>rachel.hill.185@gslingacademy.com</t>
  </si>
  <si>
    <t>Jenny</t>
  </si>
  <si>
    <t>Lloyd</t>
  </si>
  <si>
    <t>jenny.lloyd.186@gslingacademy.com</t>
  </si>
  <si>
    <t>Joan</t>
  </si>
  <si>
    <t>Cohen</t>
  </si>
  <si>
    <t>joan.cohen.187@gslingacademy.com</t>
  </si>
  <si>
    <t>Lopez</t>
  </si>
  <si>
    <t>kimberly.lopez.188@gslingacademy.com</t>
  </si>
  <si>
    <t>steven.walker.189@gslingacademy.com</t>
  </si>
  <si>
    <t>Bowers</t>
  </si>
  <si>
    <t>sonia.bowers.190@gslingacademy.com</t>
  </si>
  <si>
    <t>Penny</t>
  </si>
  <si>
    <t>penny.perez.191@gslingacademy.com</t>
  </si>
  <si>
    <t>Mike</t>
  </si>
  <si>
    <t>mike.harris.192@gslingacademy.com</t>
  </si>
  <si>
    <t>Vanessa</t>
  </si>
  <si>
    <t>Sweeney</t>
  </si>
  <si>
    <t>vanessa.sweeney.193@gslingacademy.com</t>
  </si>
  <si>
    <t>adam.edwards.194@gslingacademy.com</t>
  </si>
  <si>
    <t>Angelica</t>
  </si>
  <si>
    <t>Johnson</t>
  </si>
  <si>
    <t>angelica.johnson.195@gslingacademy.com</t>
  </si>
  <si>
    <t>Tiffany</t>
  </si>
  <si>
    <t>Hernandez</t>
  </si>
  <si>
    <t>tiffany.hernandez.196@gslingacademy.com</t>
  </si>
  <si>
    <t>Myers</t>
  </si>
  <si>
    <t>mark.myers.197@gslingacademy.com</t>
  </si>
  <si>
    <t>Cochran</t>
  </si>
  <si>
    <t>erica.cochran.198@gslingacademy.com</t>
  </si>
  <si>
    <t>Karen</t>
  </si>
  <si>
    <t>Watson</t>
  </si>
  <si>
    <t>karen.watson.199@gslingacademy.com</t>
  </si>
  <si>
    <t>Kathryn</t>
  </si>
  <si>
    <t>Frazier</t>
  </si>
  <si>
    <t>kathryn.frazier.200@gslingacademy.com</t>
  </si>
  <si>
    <t>anthony.jackson.201@gslingacademy.com</t>
  </si>
  <si>
    <t>jordan.perez.202@gslingacademy.com</t>
  </si>
  <si>
    <t>Burgess</t>
  </si>
  <si>
    <t>jennifer.burgess.203@gslingacademy.com</t>
  </si>
  <si>
    <t>Christina</t>
  </si>
  <si>
    <t>christina.davis.204@gslingacademy.com</t>
  </si>
  <si>
    <t>April</t>
  </si>
  <si>
    <t>april.ryan.205@gslingacademy.com</t>
  </si>
  <si>
    <t>maxwell.davis.206@gslingacademy.com</t>
  </si>
  <si>
    <t>Guzman</t>
  </si>
  <si>
    <t>matthew.guzman.207@gslingacademy.com</t>
  </si>
  <si>
    <t>Mayer</t>
  </si>
  <si>
    <t>robert.mayer.208@gslingacademy.com</t>
  </si>
  <si>
    <t>amanda.willis.209@gslingacademy.com</t>
  </si>
  <si>
    <t>Michele</t>
  </si>
  <si>
    <t>michele.thomas.210@gslingacademy.com</t>
  </si>
  <si>
    <t>tim.turner.211@gslingacademy.com</t>
  </si>
  <si>
    <t>Joe</t>
  </si>
  <si>
    <t>Strickland</t>
  </si>
  <si>
    <t>joe.strickland.212@gslingacademy.com</t>
  </si>
  <si>
    <t>Trevor</t>
  </si>
  <si>
    <t>Cruz</t>
  </si>
  <si>
    <t>trevor.cruz.213@gslingacademy.com</t>
  </si>
  <si>
    <t>Roberts</t>
  </si>
  <si>
    <t>melissa.roberts.214@gslingacademy.com</t>
  </si>
  <si>
    <t>Tammy</t>
  </si>
  <si>
    <t>tammy.miller.215@gslingacademy.com</t>
  </si>
  <si>
    <t>Chad</t>
  </si>
  <si>
    <t>Morgan</t>
  </si>
  <si>
    <t>chad.morgan.216@gslingacademy.com</t>
  </si>
  <si>
    <t>Samantha</t>
  </si>
  <si>
    <t>Maldonado</t>
  </si>
  <si>
    <t>samantha.maldonado.217@gslingacademy.com</t>
  </si>
  <si>
    <t>Marie</t>
  </si>
  <si>
    <t>marie.martin.218@gslingacademy.com</t>
  </si>
  <si>
    <t>Theresa</t>
  </si>
  <si>
    <t>Tucker</t>
  </si>
  <si>
    <t>theresa.tucker.219@gslingacademy.com</t>
  </si>
  <si>
    <t>Joseph</t>
  </si>
  <si>
    <t>Morris</t>
  </si>
  <si>
    <t>joseph.morris.220@gslingacademy.com</t>
  </si>
  <si>
    <t>charles.parker.221@gslingacademy.com</t>
  </si>
  <si>
    <t>Alvarez</t>
  </si>
  <si>
    <t>rachel.alvarez.222@gslingacademy.com</t>
  </si>
  <si>
    <t>Robertson</t>
  </si>
  <si>
    <t>charles.robertson.223@gslingacademy.com</t>
  </si>
  <si>
    <t>York</t>
  </si>
  <si>
    <t>steven.york.224@gslingacademy.com</t>
  </si>
  <si>
    <t>Dougherty</t>
  </si>
  <si>
    <t>robert.dougherty.225@gslingacademy.com</t>
  </si>
  <si>
    <t>Wheeler</t>
  </si>
  <si>
    <t>vanessa.wheeler.226@gslingacademy.com</t>
  </si>
  <si>
    <t>Mcclure</t>
  </si>
  <si>
    <t>emily.mcclure.227@gslingacademy.com</t>
  </si>
  <si>
    <t>angela.thomas.228@gslingacademy.com</t>
  </si>
  <si>
    <t>Roberto</t>
  </si>
  <si>
    <t>Evans</t>
  </si>
  <si>
    <t>roberto.evans.229@gslingacademy.com</t>
  </si>
  <si>
    <t>christopher.perez.230@gslingacademy.com</t>
  </si>
  <si>
    <t>Torres</t>
  </si>
  <si>
    <t>william.torres.231@gslingacademy.com</t>
  </si>
  <si>
    <t>Gardner</t>
  </si>
  <si>
    <t>lisa.gardner.232@gslingacademy.com</t>
  </si>
  <si>
    <t>Catherine</t>
  </si>
  <si>
    <t>Owens</t>
  </si>
  <si>
    <t>catherine.owens.233@gslingacademy.com</t>
  </si>
  <si>
    <t>Keith</t>
  </si>
  <si>
    <t>Summers</t>
  </si>
  <si>
    <t>keith.summers.234@gslingacademy.com</t>
  </si>
  <si>
    <t>Linda</t>
  </si>
  <si>
    <t>Adams</t>
  </si>
  <si>
    <t>linda.adams.235@gslingacademy.com</t>
  </si>
  <si>
    <t>michael.wright.236@gslingacademy.com</t>
  </si>
  <si>
    <t>kyle.james.237@gslingacademy.com</t>
  </si>
  <si>
    <t>Cook</t>
  </si>
  <si>
    <t>christopher.cook.238@gslingacademy.com</t>
  </si>
  <si>
    <t>Conley</t>
  </si>
  <si>
    <t>john.conley.239@gslingacademy.com</t>
  </si>
  <si>
    <t>Barnett</t>
  </si>
  <si>
    <t>david.barnett.240@gslingacademy.com</t>
  </si>
  <si>
    <t>Garner</t>
  </si>
  <si>
    <t>peter.garner.241@gslingacademy.com</t>
  </si>
  <si>
    <t>Douglas</t>
  </si>
  <si>
    <t>douglas.stewart.242@gslingacademy.com</t>
  </si>
  <si>
    <t>Heidi</t>
  </si>
  <si>
    <t>heidi.jones.243@gslingacademy.com</t>
  </si>
  <si>
    <t>Daniels</t>
  </si>
  <si>
    <t>jeremy.daniels.244@gslingacademy.com</t>
  </si>
  <si>
    <t>Dustin</t>
  </si>
  <si>
    <t>Dodson</t>
  </si>
  <si>
    <t>dustin.dodson.245@gslingacademy.com</t>
  </si>
  <si>
    <t>christopher.cohen.246@gslingacademy.com</t>
  </si>
  <si>
    <t>Willie</t>
  </si>
  <si>
    <t>Ellis</t>
  </si>
  <si>
    <t>willie.ellis.247@gslingacademy.com</t>
  </si>
  <si>
    <t>Hawkins</t>
  </si>
  <si>
    <t>robert.hawkins.248@gslingacademy.com</t>
  </si>
  <si>
    <t>Stacy</t>
  </si>
  <si>
    <t>stacy.jordan.249@gslingacademy.com</t>
  </si>
  <si>
    <t>Swanson</t>
  </si>
  <si>
    <t>robert.swanson.250@gslingacademy.com</t>
  </si>
  <si>
    <t>Holly</t>
  </si>
  <si>
    <t>Henderson</t>
  </si>
  <si>
    <t>holly.henderson.251@gslingacademy.com</t>
  </si>
  <si>
    <t>Debra</t>
  </si>
  <si>
    <t>Valdez</t>
  </si>
  <si>
    <t>debra.valdez.252@gslingacademy.com</t>
  </si>
  <si>
    <t>Vincent</t>
  </si>
  <si>
    <t>vincent.robertson.253@gslingacademy.com</t>
  </si>
  <si>
    <t>Spencer</t>
  </si>
  <si>
    <t>karen.spencer.254@gslingacademy.com</t>
  </si>
  <si>
    <t>Nathan</t>
  </si>
  <si>
    <t>Riley</t>
  </si>
  <si>
    <t>nathan.riley.255@gslingacademy.com</t>
  </si>
  <si>
    <t>Sutton</t>
  </si>
  <si>
    <t>andrea.sutton.256@gslingacademy.com</t>
  </si>
  <si>
    <t>Tracey</t>
  </si>
  <si>
    <t>tracey.turner.257@gslingacademy.com</t>
  </si>
  <si>
    <t>Olsen</t>
  </si>
  <si>
    <t>tammy.olsen.258@gslingacademy.com</t>
  </si>
  <si>
    <t>Sheila</t>
  </si>
  <si>
    <t>Wilkinson</t>
  </si>
  <si>
    <t>sheila.wilkinson.259@gslingacademy.com</t>
  </si>
  <si>
    <t>Padilla</t>
  </si>
  <si>
    <t>nathan.padilla.260@gslingacademy.com</t>
  </si>
  <si>
    <t>Sarah</t>
  </si>
  <si>
    <t>sarah.santiago.261@gslingacademy.com</t>
  </si>
  <si>
    <t>christopher.cruz.262@gslingacademy.com</t>
  </si>
  <si>
    <t>Sanders</t>
  </si>
  <si>
    <t>nicholas.sanders.263@gslingacademy.com</t>
  </si>
  <si>
    <t>Waters</t>
  </si>
  <si>
    <t>jessica.waters.264@gslingacademy.com</t>
  </si>
  <si>
    <t>james.miller.265@gslingacademy.com</t>
  </si>
  <si>
    <t>Kane</t>
  </si>
  <si>
    <t>adam.kane.266@gslingacademy.com</t>
  </si>
  <si>
    <t>patricia.gonzalez.267@gslingacademy.com</t>
  </si>
  <si>
    <t>Whitney</t>
  </si>
  <si>
    <t>Holmes</t>
  </si>
  <si>
    <t>whitney.holmes.268@gslingacademy.com</t>
  </si>
  <si>
    <t>Hamilton</t>
  </si>
  <si>
    <t>rachel.hamilton.269@gslingacademy.com</t>
  </si>
  <si>
    <t>Marshall</t>
  </si>
  <si>
    <t>melissa.marshall.270@gslingacademy.com</t>
  </si>
  <si>
    <t>jacob.henderson.271@gslingacademy.com</t>
  </si>
  <si>
    <t>Huerta</t>
  </si>
  <si>
    <t>melissa.huerta.272@gslingacademy.com</t>
  </si>
  <si>
    <t>Kevin</t>
  </si>
  <si>
    <t>Camacho</t>
  </si>
  <si>
    <t>kevin.camacho.273@gslingacademy.com</t>
  </si>
  <si>
    <t>anthony.martinez.274@gslingacademy.com</t>
  </si>
  <si>
    <t>Randy</t>
  </si>
  <si>
    <t>randy.rodriguez.275@gslingacademy.com</t>
  </si>
  <si>
    <t>Vazquez</t>
  </si>
  <si>
    <t>patrick.vazquez.276@gslingacademy.com</t>
  </si>
  <si>
    <t>Flores</t>
  </si>
  <si>
    <t>kim.flores.277@gslingacademy.com</t>
  </si>
  <si>
    <t>Salazar</t>
  </si>
  <si>
    <t>robert.salazar.278@gslingacademy.com</t>
  </si>
  <si>
    <t>victoria.vasquez.279@gslingacademy.com</t>
  </si>
  <si>
    <t>Ricardo</t>
  </si>
  <si>
    <t>Macias</t>
  </si>
  <si>
    <t>ricardo.macias.280@gslingacademy.com</t>
  </si>
  <si>
    <t>Brandi</t>
  </si>
  <si>
    <t>Bauer</t>
  </si>
  <si>
    <t>brandi.bauer.281@gslingacademy.com</t>
  </si>
  <si>
    <t>Jorge</t>
  </si>
  <si>
    <t>Roth</t>
  </si>
  <si>
    <t>jorge.roth.282@gslingacademy.com</t>
  </si>
  <si>
    <t>benjamin.davis.283@gslingacademy.com</t>
  </si>
  <si>
    <t>Pierce</t>
  </si>
  <si>
    <t>nancy.pierce.284@gslingacademy.com</t>
  </si>
  <si>
    <t>Weiss</t>
  </si>
  <si>
    <t>catherine.weiss.285@gslingacademy.com</t>
  </si>
  <si>
    <t>jacob.perez.286@gslingacademy.com</t>
  </si>
  <si>
    <t>Zuniga</t>
  </si>
  <si>
    <t>penny.zuniga.287@gslingacademy.com</t>
  </si>
  <si>
    <t>anthony.cox.288@gslingacademy.com</t>
  </si>
  <si>
    <t>Nelson</t>
  </si>
  <si>
    <t>angela.nelson.289@gslingacademy.com</t>
  </si>
  <si>
    <t>lisa.white.290@gslingacademy.com</t>
  </si>
  <si>
    <t>Robin</t>
  </si>
  <si>
    <t>robin.parker.291@gslingacademy.com</t>
  </si>
  <si>
    <t>Shields</t>
  </si>
  <si>
    <t>cynthia.shields.292@gslingacademy.com</t>
  </si>
  <si>
    <t>pamela.wilkinson.293@gslingacademy.com</t>
  </si>
  <si>
    <t>Brenda</t>
  </si>
  <si>
    <t>brenda.nichols.294@gslingacademy.com</t>
  </si>
  <si>
    <t>laura.rodriguez.295@gslingacademy.com</t>
  </si>
  <si>
    <t>Carey</t>
  </si>
  <si>
    <t>julie.carey.296@gslingacademy.com</t>
  </si>
  <si>
    <t>Barbara</t>
  </si>
  <si>
    <t>barbara.andrews.297@gslingacademy.com</t>
  </si>
  <si>
    <t>Tracy</t>
  </si>
  <si>
    <t>tracy.johnson.298@gslingacademy.com</t>
  </si>
  <si>
    <t>Oconnor</t>
  </si>
  <si>
    <t>sarah.oconnor.299@gslingacademy.com</t>
  </si>
  <si>
    <t>Landry</t>
  </si>
  <si>
    <t>joseph.landry.300@gslingacademy.com</t>
  </si>
  <si>
    <t>Terry</t>
  </si>
  <si>
    <t>Chen</t>
  </si>
  <si>
    <t>terry.chen.301@gslingacademy.com</t>
  </si>
  <si>
    <t>Heather</t>
  </si>
  <si>
    <t>Faulkner</t>
  </si>
  <si>
    <t>heather.faulkner.302@gslingacademy.com</t>
  </si>
  <si>
    <t>Wanda</t>
  </si>
  <si>
    <t>Baxter</t>
  </si>
  <si>
    <t>wanda.baxter.303@gslingacademy.com</t>
  </si>
  <si>
    <t>amanda.davis.304@gslingacademy.com</t>
  </si>
  <si>
    <t>Gina</t>
  </si>
  <si>
    <t>Powell</t>
  </si>
  <si>
    <t>gina.powell.305@gslingacademy.com</t>
  </si>
  <si>
    <t>Sabrina</t>
  </si>
  <si>
    <t>Hall</t>
  </si>
  <si>
    <t>sabrina.hall.306@gslingacademy.com</t>
  </si>
  <si>
    <t>lauren.miller.307@gslingacademy.com</t>
  </si>
  <si>
    <t>jessica.diaz.308@gslingacademy.com</t>
  </si>
  <si>
    <t>Ashley</t>
  </si>
  <si>
    <t>ashley.garcia.309@gslingacademy.com</t>
  </si>
  <si>
    <t>Miranda</t>
  </si>
  <si>
    <t>miranda.johnson.310@gslingacademy.com</t>
  </si>
  <si>
    <t>Johnston</t>
  </si>
  <si>
    <t>tracy.johnston.311@gslingacademy.com</t>
  </si>
  <si>
    <t>Erik</t>
  </si>
  <si>
    <t>erik.butler.312@gslingacademy.com</t>
  </si>
  <si>
    <t>tiffany.jones.313@gslingacademy.com</t>
  </si>
  <si>
    <t>Brandy</t>
  </si>
  <si>
    <t>Campbell</t>
  </si>
  <si>
    <t>brandy.campbell.314@gslingacademy.com</t>
  </si>
  <si>
    <t>Joel</t>
  </si>
  <si>
    <t>Hicks</t>
  </si>
  <si>
    <t>joel.hicks.315@gslingacademy.com</t>
  </si>
  <si>
    <t>john.miller.316@gslingacademy.com</t>
  </si>
  <si>
    <t>nancy.jones.317@gslingacademy.com</t>
  </si>
  <si>
    <t>Jody</t>
  </si>
  <si>
    <t>Mueller</t>
  </si>
  <si>
    <t>jody.mueller.318@gslingacademy.com</t>
  </si>
  <si>
    <t>Fox</t>
  </si>
  <si>
    <t>steven.fox.319@gslingacademy.com</t>
  </si>
  <si>
    <t>Klein</t>
  </si>
  <si>
    <t>taylor.klein.320@gslingacademy.com</t>
  </si>
  <si>
    <t>Barron</t>
  </si>
  <si>
    <t>david.barron.321@gslingacademy.com</t>
  </si>
  <si>
    <t>kevin.thompson.322@gslingacademy.com</t>
  </si>
  <si>
    <t>Walters</t>
  </si>
  <si>
    <t>andrea.walters.323@gslingacademy.com</t>
  </si>
  <si>
    <t>david.wright.324@gslingacademy.com</t>
  </si>
  <si>
    <t>anthony.oconnor.325@gslingacademy.com</t>
  </si>
  <si>
    <t>laura.miller.326@gslingacademy.com</t>
  </si>
  <si>
    <t>Barrett</t>
  </si>
  <si>
    <t>steven.barrett.327@gslingacademy.com</t>
  </si>
  <si>
    <t>Ruiz</t>
  </si>
  <si>
    <t>miranda.ruiz.328@gslingacademy.com</t>
  </si>
  <si>
    <t>Anderson</t>
  </si>
  <si>
    <t>matthew.anderson.329@gslingacademy.com</t>
  </si>
  <si>
    <t>kenneth.flores.330@gslingacademy.com</t>
  </si>
  <si>
    <t>Sydney</t>
  </si>
  <si>
    <t>sydney.johnson.331@gslingacademy.com</t>
  </si>
  <si>
    <t>Carla</t>
  </si>
  <si>
    <t>carla.lewis.332@gslingacademy.com</t>
  </si>
  <si>
    <t>jeffrey.shannon.333@gslingacademy.com</t>
  </si>
  <si>
    <t>Park</t>
  </si>
  <si>
    <t>angela.park.334@gslingacademy.com</t>
  </si>
  <si>
    <t>Brandon</t>
  </si>
  <si>
    <t>brandon.smith.335@gslingacademy.com</t>
  </si>
  <si>
    <t>Moody</t>
  </si>
  <si>
    <t>kenneth.moody.336@gslingacademy.com</t>
  </si>
  <si>
    <t>Scott</t>
  </si>
  <si>
    <t>Hughes</t>
  </si>
  <si>
    <t>scott.hughes.337@gslingacademy.com</t>
  </si>
  <si>
    <t>Cody</t>
  </si>
  <si>
    <t>Jimenez</t>
  </si>
  <si>
    <t>cody.jimenez.338@gslingacademy.com</t>
  </si>
  <si>
    <t>allen.farmer.339@gslingacademy.com</t>
  </si>
  <si>
    <t>james.young.340@gslingacademy.com</t>
  </si>
  <si>
    <t>laura.dawson.341@gslingacademy.com</t>
  </si>
  <si>
    <t>Donald</t>
  </si>
  <si>
    <t>Carson</t>
  </si>
  <si>
    <t>donald.carson.342@gslingacademy.com</t>
  </si>
  <si>
    <t>Wayne</t>
  </si>
  <si>
    <t>Lane</t>
  </si>
  <si>
    <t>wayne.lane.343@gslingacademy.com</t>
  </si>
  <si>
    <t>robert.johnson.344@gslingacademy.com</t>
  </si>
  <si>
    <t>Le</t>
  </si>
  <si>
    <t>melissa.le.345@gslingacademy.com</t>
  </si>
  <si>
    <t>Rice</t>
  </si>
  <si>
    <t>david.rice.346@gslingacademy.com</t>
  </si>
  <si>
    <t>Dawn</t>
  </si>
  <si>
    <t>dawn.gomez.347@gslingacademy.com</t>
  </si>
  <si>
    <t>Ricky</t>
  </si>
  <si>
    <t>ricky.nichols.348@gslingacademy.com</t>
  </si>
  <si>
    <t>Pitts</t>
  </si>
  <si>
    <t>henry.pitts.349@gslingacademy.com</t>
  </si>
  <si>
    <t>Price</t>
  </si>
  <si>
    <t>christopher.price.350@gslingacademy.com</t>
  </si>
  <si>
    <t>Aimee</t>
  </si>
  <si>
    <t>aimee.adams.351@gslingacademy.com</t>
  </si>
  <si>
    <t>Barry</t>
  </si>
  <si>
    <t>tammy.barry.352@gslingacademy.com</t>
  </si>
  <si>
    <t>Hull</t>
  </si>
  <si>
    <t>ryan.hull.353@gslingacademy.com</t>
  </si>
  <si>
    <t>Samuel</t>
  </si>
  <si>
    <t>samuel.jackson.354@gslingacademy.com</t>
  </si>
  <si>
    <t>joshua.smith.355@gslingacademy.com</t>
  </si>
  <si>
    <t>Stevenson</t>
  </si>
  <si>
    <t>sydney.stevenson.356@gslingacademy.com</t>
  </si>
  <si>
    <t>christopher.rios.357@gslingacademy.com</t>
  </si>
  <si>
    <t>Collins</t>
  </si>
  <si>
    <t>brenda.collins.358@gslingacademy.com</t>
  </si>
  <si>
    <t>Diana</t>
  </si>
  <si>
    <t>diana.griffin.359@gslingacademy.com</t>
  </si>
  <si>
    <t>Gary</t>
  </si>
  <si>
    <t>gary.gray.360@gslingacademy.com</t>
  </si>
  <si>
    <t>kimberly.torres.361@gslingacademy.com</t>
  </si>
  <si>
    <t>Booker</t>
  </si>
  <si>
    <t>jeffrey.booker.362@gslingacademy.com</t>
  </si>
  <si>
    <t>Nicole</t>
  </si>
  <si>
    <t>Buchanan</t>
  </si>
  <si>
    <t>nicole.buchanan.363@gslingacademy.com</t>
  </si>
  <si>
    <t>Kristin</t>
  </si>
  <si>
    <t>kristin.johnson.364@gslingacademy.com</t>
  </si>
  <si>
    <t>emily.bell.365@gslingacademy.com</t>
  </si>
  <si>
    <t>Francis</t>
  </si>
  <si>
    <t>francis.nelson.366@gslingacademy.com</t>
  </si>
  <si>
    <t>tracy.harris.367@gslingacademy.com</t>
  </si>
  <si>
    <t>Sosa</t>
  </si>
  <si>
    <t>sheila.sosa.368@gslingacademy.com</t>
  </si>
  <si>
    <t>Mendez</t>
  </si>
  <si>
    <t>ashley.mendez.369@gslingacademy.com</t>
  </si>
  <si>
    <t>matthew.griffin.370@gslingacademy.com</t>
  </si>
  <si>
    <t>Mann</t>
  </si>
  <si>
    <t>timothy.mann.371@gslingacademy.com</t>
  </si>
  <si>
    <t>Christine</t>
  </si>
  <si>
    <t>Foster</t>
  </si>
  <si>
    <t>christine.foster.372@gslingacademy.com</t>
  </si>
  <si>
    <t>Yates</t>
  </si>
  <si>
    <t>julie.yates.373@gslingacademy.com</t>
  </si>
  <si>
    <t>Ballard</t>
  </si>
  <si>
    <t>william.ballard.374@gslingacademy.com</t>
  </si>
  <si>
    <t>Kristen</t>
  </si>
  <si>
    <t>kristen.adams.375@gslingacademy.com</t>
  </si>
  <si>
    <t>chelsea.mitchell.376@gslingacademy.com</t>
  </si>
  <si>
    <t>Everett</t>
  </si>
  <si>
    <t>patrick.everett.377@gslingacademy.com</t>
  </si>
  <si>
    <t>carla.parker.378@gslingacademy.com</t>
  </si>
  <si>
    <t>Galvan</t>
  </si>
  <si>
    <t>casey.galvan.379@gslingacademy.com</t>
  </si>
  <si>
    <t>Moran</t>
  </si>
  <si>
    <t>eric.moran.380@gslingacademy.com</t>
  </si>
  <si>
    <t>Tabitha</t>
  </si>
  <si>
    <t>Hudson</t>
  </si>
  <si>
    <t>tabitha.hudson.381@gslingacademy.com</t>
  </si>
  <si>
    <t>Lance</t>
  </si>
  <si>
    <t>lance.salazar.382@gslingacademy.com</t>
  </si>
  <si>
    <t>melissa.williamson.383@gslingacademy.com</t>
  </si>
  <si>
    <t>Castro</t>
  </si>
  <si>
    <t>james.castro.384@gslingacademy.com</t>
  </si>
  <si>
    <t>joseph.johnson.385@gslingacademy.com</t>
  </si>
  <si>
    <t>Gene</t>
  </si>
  <si>
    <t>Woodward</t>
  </si>
  <si>
    <t>gene.woodward.386@gslingacademy.com</t>
  </si>
  <si>
    <t>patricia.watson.387@gslingacademy.com</t>
  </si>
  <si>
    <t>john.carey.388@gslingacademy.com</t>
  </si>
  <si>
    <t>Sara</t>
  </si>
  <si>
    <t>sara.cochran.389@gslingacademy.com</t>
  </si>
  <si>
    <t>Suarez</t>
  </si>
  <si>
    <t>jamie.suarez.390@gslingacademy.com</t>
  </si>
  <si>
    <t>steven.frazier.391@gslingacademy.com</t>
  </si>
  <si>
    <t>Hart</t>
  </si>
  <si>
    <t>nicholas.hart.392@gslingacademy.com</t>
  </si>
  <si>
    <t>Cheryl</t>
  </si>
  <si>
    <t>Arias</t>
  </si>
  <si>
    <t>cheryl.arias.393@gslingacademy.com</t>
  </si>
  <si>
    <t>Brock</t>
  </si>
  <si>
    <t>marc.brock.394@gslingacademy.com</t>
  </si>
  <si>
    <t>timothy.perez.395@gslingacademy.com</t>
  </si>
  <si>
    <t>courtney.rodriguez.396@gslingacademy.com</t>
  </si>
  <si>
    <t>samantha.clark.397@gslingacademy.com</t>
  </si>
  <si>
    <t>Francisco</t>
  </si>
  <si>
    <t>francisco.reilly.398@gslingacademy.com</t>
  </si>
  <si>
    <t>denise.young.399@gslingacademy.com</t>
  </si>
  <si>
    <t>Darrell</t>
  </si>
  <si>
    <t>darrell.williams.400@gslingacademy.com</t>
  </si>
  <si>
    <t>andrew.smith.401@gslingacademy.com</t>
  </si>
  <si>
    <t>Teresa</t>
  </si>
  <si>
    <t>Stafford</t>
  </si>
  <si>
    <t>teresa.stafford.402@gslingacademy.com</t>
  </si>
  <si>
    <t>cory.harris.403@gslingacademy.com</t>
  </si>
  <si>
    <t>Irwin</t>
  </si>
  <si>
    <t>douglas.irwin.404@gslingacademy.com</t>
  </si>
  <si>
    <t>Deborah</t>
  </si>
  <si>
    <t>deborah.miller.405@gslingacademy.com</t>
  </si>
  <si>
    <t>Autumn</t>
  </si>
  <si>
    <t>autumn.hernandez.406@gslingacademy.com</t>
  </si>
  <si>
    <t>Serrano</t>
  </si>
  <si>
    <t>paul.serrano.407@gslingacademy.com</t>
  </si>
  <si>
    <t>matthew.griffin.408@gslingacademy.com</t>
  </si>
  <si>
    <t>evan.holmes.409@gslingacademy.com</t>
  </si>
  <si>
    <t>Baker</t>
  </si>
  <si>
    <t>cynthia.baker.410@gslingacademy.com</t>
  </si>
  <si>
    <t>Melendez</t>
  </si>
  <si>
    <t>sandra.melendez.411@gslingacademy.com</t>
  </si>
  <si>
    <t>Claudia</t>
  </si>
  <si>
    <t>Munoz</t>
  </si>
  <si>
    <t>claudia.munoz.412@gslingacademy.com</t>
  </si>
  <si>
    <t>Nguyen</t>
  </si>
  <si>
    <t>christopher.nguyen.413@gslingacademy.com</t>
  </si>
  <si>
    <t>Jennings</t>
  </si>
  <si>
    <t>david.jennings.414@gslingacademy.com</t>
  </si>
  <si>
    <t>joel.morris.415@gslingacademy.com</t>
  </si>
  <si>
    <t>Bradley</t>
  </si>
  <si>
    <t>rhonda.bradley.416@gslingacademy.com</t>
  </si>
  <si>
    <t>melissa.brown.417@gslingacademy.com</t>
  </si>
  <si>
    <t>Kramer</t>
  </si>
  <si>
    <t>matthew.kramer.418@gslingacademy.com</t>
  </si>
  <si>
    <t>Austin</t>
  </si>
  <si>
    <t>Bass</t>
  </si>
  <si>
    <t>austin.bass.419@gslingacademy.com</t>
  </si>
  <si>
    <t>jennifer.west.420@gslingacademy.com</t>
  </si>
  <si>
    <t>Mccormick</t>
  </si>
  <si>
    <t>patricia.mccormick.421@gslingacademy.com</t>
  </si>
  <si>
    <t>Jacobs</t>
  </si>
  <si>
    <t>sandra.jacobs.422@gslingacademy.com</t>
  </si>
  <si>
    <t>Jasmine</t>
  </si>
  <si>
    <t>jasmine.clark.423@gslingacademy.com</t>
  </si>
  <si>
    <t>jeffrey.young.424@gslingacademy.com</t>
  </si>
  <si>
    <t>jason.hernandez.425@gslingacademy.com</t>
  </si>
  <si>
    <t>christopher.hamilton.426@gslingacademy.com</t>
  </si>
  <si>
    <t>Monique</t>
  </si>
  <si>
    <t>monique.peterson.427@gslingacademy.com</t>
  </si>
  <si>
    <t>jill.sexton.428@gslingacademy.com</t>
  </si>
  <si>
    <t>Kemp</t>
  </si>
  <si>
    <t>jennifer.kemp.429@gslingacademy.com</t>
  </si>
  <si>
    <t>david.harris.430@gslingacademy.com</t>
  </si>
  <si>
    <t>cheryl.snyder.431@gslingacademy.com</t>
  </si>
  <si>
    <t>Armstrong</t>
  </si>
  <si>
    <t>nathan.armstrong.432@gslingacademy.com</t>
  </si>
  <si>
    <t>patrick.ryan.433@gslingacademy.com</t>
  </si>
  <si>
    <t>Wilkins</t>
  </si>
  <si>
    <t>christian.wilkins.434@gslingacademy.com</t>
  </si>
  <si>
    <t>clinton.martin.435@gslingacademy.com</t>
  </si>
  <si>
    <t>Adriana</t>
  </si>
  <si>
    <t>adriana.sandoval.436@gslingacademy.com</t>
  </si>
  <si>
    <t>Harvey</t>
  </si>
  <si>
    <t>jeremy.harvey.437@gslingacademy.com</t>
  </si>
  <si>
    <t>Caitlin</t>
  </si>
  <si>
    <t>Murillo</t>
  </si>
  <si>
    <t>caitlin.murillo.438@gslingacademy.com</t>
  </si>
  <si>
    <t>Green</t>
  </si>
  <si>
    <t>andrew.green.439@gslingacademy.com</t>
  </si>
  <si>
    <t>Rodney</t>
  </si>
  <si>
    <t>rodney.bennett.440@gslingacademy.com</t>
  </si>
  <si>
    <t>Megan</t>
  </si>
  <si>
    <t>Moyer</t>
  </si>
  <si>
    <t>megan.moyer.441@gslingacademy.com</t>
  </si>
  <si>
    <t>Mathew</t>
  </si>
  <si>
    <t>mathew.burns.442@gslingacademy.com</t>
  </si>
  <si>
    <t>Tammie</t>
  </si>
  <si>
    <t>tammie.stanley.443@gslingacademy.com</t>
  </si>
  <si>
    <t>Glover</t>
  </si>
  <si>
    <t>james.glover.444@gslingacademy.com</t>
  </si>
  <si>
    <t>Reeves</t>
  </si>
  <si>
    <t>michelle.reeves.445@gslingacademy.com</t>
  </si>
  <si>
    <t>rhonda.hall.446@gslingacademy.com</t>
  </si>
  <si>
    <t>Kidd</t>
  </si>
  <si>
    <t>matthew.kidd.447@gslingacademy.com</t>
  </si>
  <si>
    <t>Stone</t>
  </si>
  <si>
    <t>joseph.stone.448@gslingacademy.com</t>
  </si>
  <si>
    <t>Mendoza</t>
  </si>
  <si>
    <t>jessica.mendoza.449@gslingacademy.com</t>
  </si>
  <si>
    <t>Susan</t>
  </si>
  <si>
    <t>susan.brown.450@gslingacademy.com</t>
  </si>
  <si>
    <t>Lori</t>
  </si>
  <si>
    <t>lori.ryan.451@gslingacademy.com</t>
  </si>
  <si>
    <t>ryan.cruz.452@gslingacademy.com</t>
  </si>
  <si>
    <t>nicholas.johnson.453@gslingacademy.com</t>
  </si>
  <si>
    <t>Schmidt</t>
  </si>
  <si>
    <t>joseph.schmidt.454@gslingacademy.com</t>
  </si>
  <si>
    <t>Daniel</t>
  </si>
  <si>
    <t>daniel.brown.455@gslingacademy.com</t>
  </si>
  <si>
    <t>Harold</t>
  </si>
  <si>
    <t>harold.vazquez.456@gslingacademy.com</t>
  </si>
  <si>
    <t>lance.parsons.457@gslingacademy.com</t>
  </si>
  <si>
    <t>Mathews</t>
  </si>
  <si>
    <t>jill.mathews.458@gslingacademy.com</t>
  </si>
  <si>
    <t>crystal.nguyen.459@gslingacademy.com</t>
  </si>
  <si>
    <t>susan.perez.460@gslingacademy.com</t>
  </si>
  <si>
    <t>Powers</t>
  </si>
  <si>
    <t>brenda.powers.461@gslingacademy.com</t>
  </si>
  <si>
    <t>samuel.thompson.462@gslingacademy.com</t>
  </si>
  <si>
    <t>taylor.nelson.463@gslingacademy.com</t>
  </si>
  <si>
    <t>kimberly.west.464@gslingacademy.com</t>
  </si>
  <si>
    <t>Brad</t>
  </si>
  <si>
    <t>brad.lee.465@gslingacademy.com</t>
  </si>
  <si>
    <t>clayton.green.466@gslingacademy.com</t>
  </si>
  <si>
    <t>Richard</t>
  </si>
  <si>
    <t>richard.anderson.467@gslingacademy.com</t>
  </si>
  <si>
    <t>antonio.flores.468@gslingacademy.com</t>
  </si>
  <si>
    <t>Margaret</t>
  </si>
  <si>
    <t>Mullins</t>
  </si>
  <si>
    <t>margaret.mullins.469@gslingacademy.com</t>
  </si>
  <si>
    <t>Ball</t>
  </si>
  <si>
    <t>michael.ball.470@gslingacademy.com</t>
  </si>
  <si>
    <t>Booth</t>
  </si>
  <si>
    <t>allen.booth.471@gslingacademy.com</t>
  </si>
  <si>
    <t>Stephanie</t>
  </si>
  <si>
    <t>stephanie.clark.472@gslingacademy.com</t>
  </si>
  <si>
    <t>Sharon</t>
  </si>
  <si>
    <t>sharon.nelson.473@gslingacademy.com</t>
  </si>
  <si>
    <t>Marco</t>
  </si>
  <si>
    <t>marco.clark.474@gslingacademy.com</t>
  </si>
  <si>
    <t>victor.smith.475@gslingacademy.com</t>
  </si>
  <si>
    <t>Patterson</t>
  </si>
  <si>
    <t>christina.patterson.476@gslingacademy.com</t>
  </si>
  <si>
    <t>Jerry</t>
  </si>
  <si>
    <t>Knight</t>
  </si>
  <si>
    <t>jerry.knight.477@gslingacademy.com</t>
  </si>
  <si>
    <t>Madison</t>
  </si>
  <si>
    <t>madison.jacobs.478@gslingacademy.com</t>
  </si>
  <si>
    <t>douglas.watson.479@gslingacademy.com</t>
  </si>
  <si>
    <t>Manuel</t>
  </si>
  <si>
    <t>manuel.barrett.480@gslingacademy.com</t>
  </si>
  <si>
    <t>Janet</t>
  </si>
  <si>
    <t>janet.martin.481@gslingacademy.com</t>
  </si>
  <si>
    <t>teresa.flores.482@gslingacademy.com</t>
  </si>
  <si>
    <t>anthony.mullins.483@gslingacademy.com</t>
  </si>
  <si>
    <t>Zamora</t>
  </si>
  <si>
    <t>julie.zamora.484@gslingacademy.com</t>
  </si>
  <si>
    <t>Maria</t>
  </si>
  <si>
    <t>maria.nguyen.485@gslingacademy.com</t>
  </si>
  <si>
    <t>Selena</t>
  </si>
  <si>
    <t>selena.castro.486@gslingacademy.com</t>
  </si>
  <si>
    <t>whitney.miller.487@gslingacademy.com</t>
  </si>
  <si>
    <t>Mooney</t>
  </si>
  <si>
    <t>brenda.mooney.488@gslingacademy.com</t>
  </si>
  <si>
    <t>angela.allen.489@gslingacademy.com</t>
  </si>
  <si>
    <t>erica.cohen.490@gslingacademy.com</t>
  </si>
  <si>
    <t>kelly.sanders.491@gslingacademy.com</t>
  </si>
  <si>
    <t>michael.clark.492@gslingacademy.com</t>
  </si>
  <si>
    <t>Fields</t>
  </si>
  <si>
    <t>tammy.fields.493@gslingacademy.com</t>
  </si>
  <si>
    <t>Pennington</t>
  </si>
  <si>
    <t>steven.pennington.494@gslingacademy.com</t>
  </si>
  <si>
    <t>matthew.chavez.495@gslingacademy.com</t>
  </si>
  <si>
    <t>Gallagher</t>
  </si>
  <si>
    <t>stephen.gallagher.496@gslingacademy.com</t>
  </si>
  <si>
    <t>victoria.anderson.497@gslingacademy.com</t>
  </si>
  <si>
    <t>Schroeder</t>
  </si>
  <si>
    <t>thomas.schroeder.498@gslingacademy.com</t>
  </si>
  <si>
    <t>mark.sanchez.499@gslingacademy.com</t>
  </si>
  <si>
    <t>Katelyn</t>
  </si>
  <si>
    <t>Moses</t>
  </si>
  <si>
    <t>katelyn.moses.500@gslingacademy.com</t>
  </si>
  <si>
    <t>Corey</t>
  </si>
  <si>
    <t>corey.davis.501@gslingacademy.com</t>
  </si>
  <si>
    <t>susan.klein.502@gslingacademy.com</t>
  </si>
  <si>
    <t>john.martinez.503@gslingacademy.com</t>
  </si>
  <si>
    <t>Kendra</t>
  </si>
  <si>
    <t>kendra.robertson.504@gslingacademy.com</t>
  </si>
  <si>
    <t>Tamara</t>
  </si>
  <si>
    <t>Olson</t>
  </si>
  <si>
    <t>tamara.olson.505@gslingacademy.com</t>
  </si>
  <si>
    <t>sara.frazier.506@gslingacademy.com</t>
  </si>
  <si>
    <t>morgan.moore.507@gslingacademy.com</t>
  </si>
  <si>
    <t>eric.snyder.508@gslingacademy.com</t>
  </si>
  <si>
    <t>Hale</t>
  </si>
  <si>
    <t>paul.hale.509@gslingacademy.com</t>
  </si>
  <si>
    <t>Dale</t>
  </si>
  <si>
    <t>dale.martinez.510@gslingacademy.com</t>
  </si>
  <si>
    <t>Prince</t>
  </si>
  <si>
    <t>sandra.prince.511@gslingacademy.com</t>
  </si>
  <si>
    <t>Poole</t>
  </si>
  <si>
    <t>dawn.poole.512@gslingacademy.com</t>
  </si>
  <si>
    <t>emily.jordan.513@gslingacademy.com</t>
  </si>
  <si>
    <t>Owen</t>
  </si>
  <si>
    <t>john.owen.514@gslingacademy.com</t>
  </si>
  <si>
    <t>Best</t>
  </si>
  <si>
    <t>andrew.best.515@gslingacademy.com</t>
  </si>
  <si>
    <t>holly.burns.516@gslingacademy.com</t>
  </si>
  <si>
    <t>Alicia</t>
  </si>
  <si>
    <t>alicia.rodriguez.517@gslingacademy.com</t>
  </si>
  <si>
    <t>Ray</t>
  </si>
  <si>
    <t>erin.ray.518@gslingacademy.com</t>
  </si>
  <si>
    <t>Todd</t>
  </si>
  <si>
    <t>Griffith</t>
  </si>
  <si>
    <t>todd.griffith.519@gslingacademy.com</t>
  </si>
  <si>
    <t>Melinda</t>
  </si>
  <si>
    <t>Payne</t>
  </si>
  <si>
    <t>melinda.payne.520@gslingacademy.com</t>
  </si>
  <si>
    <t>cynthia.williams.521@gslingacademy.com</t>
  </si>
  <si>
    <t>Washington</t>
  </si>
  <si>
    <t>jenny.washington.522@gslingacademy.com</t>
  </si>
  <si>
    <t>Joyce</t>
  </si>
  <si>
    <t>angela.joyce.523@gslingacademy.com</t>
  </si>
  <si>
    <t>Alvarado</t>
  </si>
  <si>
    <t>william.alvarado.524@gslingacademy.com</t>
  </si>
  <si>
    <t>Mercer</t>
  </si>
  <si>
    <t>michael.mercer.525@gslingacademy.com</t>
  </si>
  <si>
    <t>erin.miller.526@gslingacademy.com</t>
  </si>
  <si>
    <t>Heath</t>
  </si>
  <si>
    <t>robert.heath.527@gslingacademy.com</t>
  </si>
  <si>
    <t>Rojas</t>
  </si>
  <si>
    <t>deborah.rojas.528@gslingacademy.com</t>
  </si>
  <si>
    <t>diana.jones.529@gslingacademy.com</t>
  </si>
  <si>
    <t>Meredith</t>
  </si>
  <si>
    <t>meredith.clark.530@gslingacademy.com</t>
  </si>
  <si>
    <t>Garrett</t>
  </si>
  <si>
    <t>christina.garrett.531@gslingacademy.com</t>
  </si>
  <si>
    <t>daniel.jackson.532@gslingacademy.com</t>
  </si>
  <si>
    <t>bradley.robinson.533@gslingacademy.com</t>
  </si>
  <si>
    <t>phyllis.schneider.534@gslingacademy.com</t>
  </si>
  <si>
    <t>thomas.clark.535@gslingacademy.com</t>
  </si>
  <si>
    <t>Gregory</t>
  </si>
  <si>
    <t>gregory.gonzalez.536@gslingacademy.com</t>
  </si>
  <si>
    <t>michelle.roth.537@gslingacademy.com</t>
  </si>
  <si>
    <t>christopher.murphy.538@gslingacademy.com</t>
  </si>
  <si>
    <t>mark.davis.539@gslingacademy.com</t>
  </si>
  <si>
    <t>Harrington</t>
  </si>
  <si>
    <t>lauren.harrington.540@gslingacademy.com</t>
  </si>
  <si>
    <t>michelle.owens.541@gslingacademy.com</t>
  </si>
  <si>
    <t>Weaver</t>
  </si>
  <si>
    <t>scott.weaver.542@gslingacademy.com</t>
  </si>
  <si>
    <t>Monica</t>
  </si>
  <si>
    <t>monica.williams.543@gslingacademy.com</t>
  </si>
  <si>
    <t>Hampton</t>
  </si>
  <si>
    <t>kathryn.hampton.544@gslingacademy.com</t>
  </si>
  <si>
    <t>christina.shields.545@gslingacademy.com</t>
  </si>
  <si>
    <t>andrew.thomas.546@gslingacademy.com</t>
  </si>
  <si>
    <t>holly.sexton.547@gslingacademy.com</t>
  </si>
  <si>
    <t>christopher.peterson.548@gslingacademy.com</t>
  </si>
  <si>
    <t>Murray</t>
  </si>
  <si>
    <t>eric.murray.549@gslingacademy.com</t>
  </si>
  <si>
    <t>Kristina</t>
  </si>
  <si>
    <t>kristina.watson.550@gslingacademy.com</t>
  </si>
  <si>
    <t>Greg</t>
  </si>
  <si>
    <t>greg.martin.551@gslingacademy.com</t>
  </si>
  <si>
    <t>Shaffer</t>
  </si>
  <si>
    <t>paul.shaffer.552@gslingacademy.com</t>
  </si>
  <si>
    <t>Alexander</t>
  </si>
  <si>
    <t>alexander.daniel.553@gslingacademy.com</t>
  </si>
  <si>
    <t>carla.davis.554@gslingacademy.com</t>
  </si>
  <si>
    <t>chelsea.clark.555@gslingacademy.com</t>
  </si>
  <si>
    <t>Justin</t>
  </si>
  <si>
    <t>justin.douglas.556@gslingacademy.com</t>
  </si>
  <si>
    <t>Reid</t>
  </si>
  <si>
    <t>charles.reid.557@gslingacademy.com</t>
  </si>
  <si>
    <t>Moreno</t>
  </si>
  <si>
    <t>courtney.moreno.558@gslingacademy.com</t>
  </si>
  <si>
    <t>justin.mitchell.559@gslingacademy.com</t>
  </si>
  <si>
    <t>Bruce</t>
  </si>
  <si>
    <t>Woods</t>
  </si>
  <si>
    <t>bruce.woods.560@gslingacademy.com</t>
  </si>
  <si>
    <t>Hines</t>
  </si>
  <si>
    <t>christopher.hines.561@gslingacademy.com</t>
  </si>
  <si>
    <t>Theodore</t>
  </si>
  <si>
    <t>theodore.williams.562@gslingacademy.com</t>
  </si>
  <si>
    <t>jennifer.valdez.563@gslingacademy.com</t>
  </si>
  <si>
    <t>Day</t>
  </si>
  <si>
    <t>alexandra.day.564@gslingacademy.com</t>
  </si>
  <si>
    <t>Pacheco</t>
  </si>
  <si>
    <t>john.pacheco.565@gslingacademy.com</t>
  </si>
  <si>
    <t>sherry.brown.566@gslingacademy.com</t>
  </si>
  <si>
    <t>douglas.clark.567@gslingacademy.com</t>
  </si>
  <si>
    <t>alex.farmer.568@gslingacademy.com</t>
  </si>
  <si>
    <t>Gonzales</t>
  </si>
  <si>
    <t>brandon.gonzales.569@gslingacademy.com</t>
  </si>
  <si>
    <t>Trevino</t>
  </si>
  <si>
    <t>wayne.trevino.570@gslingacademy.com</t>
  </si>
  <si>
    <t>Horne</t>
  </si>
  <si>
    <t>pamela.horne.571@gslingacademy.com</t>
  </si>
  <si>
    <t>Schaefer</t>
  </si>
  <si>
    <t>michael.schaefer.572@gslingacademy.com</t>
  </si>
  <si>
    <t>Carlos</t>
  </si>
  <si>
    <t>Ramirez</t>
  </si>
  <si>
    <t>carlos.ramirez.573@gslingacademy.com</t>
  </si>
  <si>
    <t>Lucero</t>
  </si>
  <si>
    <t>antonio.lucero.574@gslingacademy.com</t>
  </si>
  <si>
    <t>terry.ashley.575@gslingacademy.com</t>
  </si>
  <si>
    <t>Rita</t>
  </si>
  <si>
    <t>rita.cochran.576@gslingacademy.com</t>
  </si>
  <si>
    <t>joseph.gregory.577@gslingacademy.com</t>
  </si>
  <si>
    <t>alexandra.robinson.578@gslingacademy.com</t>
  </si>
  <si>
    <t>Sparks</t>
  </si>
  <si>
    <t>tina.sparks.579@gslingacademy.com</t>
  </si>
  <si>
    <t>christopher.buchanan.580@gslingacademy.com</t>
  </si>
  <si>
    <t>Guerrero</t>
  </si>
  <si>
    <t>christina.guerrero.581@gslingacademy.com</t>
  </si>
  <si>
    <t>Hutchinson</t>
  </si>
  <si>
    <t>jessica.hutchinson.582@gslingacademy.com</t>
  </si>
  <si>
    <t>Tyler</t>
  </si>
  <si>
    <t>Carrillo</t>
  </si>
  <si>
    <t>tyler.carrillo.583@gslingacademy.com</t>
  </si>
  <si>
    <t>Brady</t>
  </si>
  <si>
    <t>lindsay.brady.584@gslingacademy.com</t>
  </si>
  <si>
    <t>Rivera</t>
  </si>
  <si>
    <t>gary.rivera.585@gslingacademy.com</t>
  </si>
  <si>
    <t>luke.moore.586@gslingacademy.com</t>
  </si>
  <si>
    <t>tanya.green.587@gslingacademy.com</t>
  </si>
  <si>
    <t>Bryan</t>
  </si>
  <si>
    <t>bryan.lee.588@gslingacademy.com</t>
  </si>
  <si>
    <t>Melanie</t>
  </si>
  <si>
    <t>melanie.bridges.589@gslingacademy.com</t>
  </si>
  <si>
    <t>eric.bowers.590@gslingacademy.com</t>
  </si>
  <si>
    <t>Reed</t>
  </si>
  <si>
    <t>meredith.reed.591@gslingacademy.com</t>
  </si>
  <si>
    <t>david.brown.592@gslingacademy.com</t>
  </si>
  <si>
    <t>Johns</t>
  </si>
  <si>
    <t>william.johns.593@gslingacademy.com</t>
  </si>
  <si>
    <t>eric.patton.594@gslingacademy.com</t>
  </si>
  <si>
    <t>Warner</t>
  </si>
  <si>
    <t>wendy.warner.595@gslingacademy.com</t>
  </si>
  <si>
    <t>timothy.powell.596@gslingacademy.com</t>
  </si>
  <si>
    <t>victoria.thompson.597@gslingacademy.com</t>
  </si>
  <si>
    <t>jeremy.brown.598@gslingacademy.com</t>
  </si>
  <si>
    <t>barbara.schneider.599@gslingacademy.com</t>
  </si>
  <si>
    <t>Morales</t>
  </si>
  <si>
    <t>lindsay.morales.600@gslingacademy.com</t>
  </si>
  <si>
    <t>gary.patel.601@gslingacademy.com</t>
  </si>
  <si>
    <t>Ortiz</t>
  </si>
  <si>
    <t>michelle.ortiz.602@gslingacademy.com</t>
  </si>
  <si>
    <t>Lynch</t>
  </si>
  <si>
    <t>susan.lynch.603@gslingacademy.com</t>
  </si>
  <si>
    <t>tammy.hernandez.604@gslingacademy.com</t>
  </si>
  <si>
    <t>Guerra</t>
  </si>
  <si>
    <t>jennifer.guerra.605@gslingacademy.com</t>
  </si>
  <si>
    <t>Schwartz</t>
  </si>
  <si>
    <t>kelly.schwartz.606@gslingacademy.com</t>
  </si>
  <si>
    <t>Orozco</t>
  </si>
  <si>
    <t>brittany.orozco.607@gslingacademy.com</t>
  </si>
  <si>
    <t>samantha.alvarado.608@gslingacademy.com</t>
  </si>
  <si>
    <t>christopher.anderson.609@gslingacademy.com</t>
  </si>
  <si>
    <t>william.smith.610@gslingacademy.com</t>
  </si>
  <si>
    <t>courtney.patterson.611@gslingacademy.com</t>
  </si>
  <si>
    <t>Hess</t>
  </si>
  <si>
    <t>kevin.hess.612@gslingacademy.com</t>
  </si>
  <si>
    <t>Higgins</t>
  </si>
  <si>
    <t>melissa.higgins.613@gslingacademy.com</t>
  </si>
  <si>
    <t>elizabeth.chavez.614@gslingacademy.com</t>
  </si>
  <si>
    <t>Mary</t>
  </si>
  <si>
    <t>mary.taylor.615@gslingacademy.com</t>
  </si>
  <si>
    <t>joshua.parker.616@gslingacademy.com</t>
  </si>
  <si>
    <t>joshua.kelly.617@gslingacademy.com</t>
  </si>
  <si>
    <t>Travis</t>
  </si>
  <si>
    <t>Ross</t>
  </si>
  <si>
    <t>travis.ross.618@gslingacademy.com</t>
  </si>
  <si>
    <t>kenneth.buchanan.619@gslingacademy.com</t>
  </si>
  <si>
    <t>Clarke</t>
  </si>
  <si>
    <t>ryan.clarke.620@gslingacademy.com</t>
  </si>
  <si>
    <t>Solomon</t>
  </si>
  <si>
    <t>gina.solomon.621@gslingacademy.com</t>
  </si>
  <si>
    <t>Madden</t>
  </si>
  <si>
    <t>david.madden.622@gslingacademy.com</t>
  </si>
  <si>
    <t>Brennan</t>
  </si>
  <si>
    <t>william.brennan.623@gslingacademy.com</t>
  </si>
  <si>
    <t>Judy</t>
  </si>
  <si>
    <t>Mckenzie</t>
  </si>
  <si>
    <t>judy.mckenzie.624@gslingacademy.com</t>
  </si>
  <si>
    <t>Lindsey</t>
  </si>
  <si>
    <t>logan.lindsey.625@gslingacademy.com</t>
  </si>
  <si>
    <t>kyle.williams.626@gslingacademy.com</t>
  </si>
  <si>
    <t>mark.padilla.627@gslingacademy.com</t>
  </si>
  <si>
    <t>Eugene</t>
  </si>
  <si>
    <t>eugene.clark.628@gslingacademy.com</t>
  </si>
  <si>
    <t>Wagner</t>
  </si>
  <si>
    <t>sean.wagner.629@gslingacademy.com</t>
  </si>
  <si>
    <t>Larson</t>
  </si>
  <si>
    <t>christine.larson.630@gslingacademy.com</t>
  </si>
  <si>
    <t>Freeman</t>
  </si>
  <si>
    <t>melinda.freeman.631@gslingacademy.com</t>
  </si>
  <si>
    <t>elizabeth.smith.632@gslingacademy.com</t>
  </si>
  <si>
    <t>Walter</t>
  </si>
  <si>
    <t>King</t>
  </si>
  <si>
    <t>walter.king.633@gslingacademy.com</t>
  </si>
  <si>
    <t>Bean</t>
  </si>
  <si>
    <t>lisa.bean.634@gslingacademy.com</t>
  </si>
  <si>
    <t>douglas.hayes.635@gslingacademy.com</t>
  </si>
  <si>
    <t>Jefferson</t>
  </si>
  <si>
    <t>heather.jefferson.636@gslingacademy.com</t>
  </si>
  <si>
    <t>Byrd</t>
  </si>
  <si>
    <t>melinda.byrd.637@gslingacademy.com</t>
  </si>
  <si>
    <t>Burnett</t>
  </si>
  <si>
    <t>alexander.burnett.638@gslingacademy.com</t>
  </si>
  <si>
    <t>maria.campos.639@gslingacademy.com</t>
  </si>
  <si>
    <t>lindsey.anthony.640@gslingacademy.com</t>
  </si>
  <si>
    <t>Darryl</t>
  </si>
  <si>
    <t>Schultz</t>
  </si>
  <si>
    <t>darryl.schultz.641@gslingacademy.com</t>
  </si>
  <si>
    <t>Bethany</t>
  </si>
  <si>
    <t>French</t>
  </si>
  <si>
    <t>bethany.french.642@gslingacademy.com</t>
  </si>
  <si>
    <t>tyler.scott.643@gslingacademy.com</t>
  </si>
  <si>
    <t>patricia.hall.644@gslingacademy.com</t>
  </si>
  <si>
    <t>ryan.williams.645@gslingacademy.com</t>
  </si>
  <si>
    <t>Levi</t>
  </si>
  <si>
    <t>Mason</t>
  </si>
  <si>
    <t>levi.mason.646@gslingacademy.com</t>
  </si>
  <si>
    <t>Vang</t>
  </si>
  <si>
    <t>michael.vang.647@gslingacademy.com</t>
  </si>
  <si>
    <t>Humphrey</t>
  </si>
  <si>
    <t>april.humphrey.648@gslingacademy.com</t>
  </si>
  <si>
    <t>Hancock</t>
  </si>
  <si>
    <t>steven.hancock.649@gslingacademy.com</t>
  </si>
  <si>
    <t>chelsea.olson.650@gslingacademy.com</t>
  </si>
  <si>
    <t>Huang</t>
  </si>
  <si>
    <t>emily.huang.651@gslingacademy.com</t>
  </si>
  <si>
    <t>rachel.jones.652@gslingacademy.com</t>
  </si>
  <si>
    <t>Philip</t>
  </si>
  <si>
    <t>philip.walker.653@gslingacademy.com</t>
  </si>
  <si>
    <t>laura.rivera.654@gslingacademy.com</t>
  </si>
  <si>
    <t>pamela.henry.655@gslingacademy.com</t>
  </si>
  <si>
    <t>nicole.davidson.656@gslingacademy.com</t>
  </si>
  <si>
    <t>Jeffery</t>
  </si>
  <si>
    <t>jeffery.parker.657@gslingacademy.com</t>
  </si>
  <si>
    <t>Banks</t>
  </si>
  <si>
    <t>christopher.banks.658@gslingacademy.com</t>
  </si>
  <si>
    <t>tara.griffin.659@gslingacademy.com</t>
  </si>
  <si>
    <t>lisa.lloyd.660@gslingacademy.com</t>
  </si>
  <si>
    <t>elizabeth.maldonado.661@gslingacademy.com</t>
  </si>
  <si>
    <t>samuel.anderson.662@gslingacademy.com</t>
  </si>
  <si>
    <t>Xavier</t>
  </si>
  <si>
    <t>xavier.johnson.663@gslingacademy.com</t>
  </si>
  <si>
    <t>Cordova</t>
  </si>
  <si>
    <t>lauren.cordova.664@gslingacademy.com</t>
  </si>
  <si>
    <t>amanda.hawkins.665@gslingacademy.com</t>
  </si>
  <si>
    <t>Coleman</t>
  </si>
  <si>
    <t>donald.coleman.666@gslingacademy.com</t>
  </si>
  <si>
    <t>phillip.bennett.667@gslingacademy.com</t>
  </si>
  <si>
    <t>john.george.668@gslingacademy.com</t>
  </si>
  <si>
    <t>Katherine</t>
  </si>
  <si>
    <t>katherine.moore.669@gslingacademy.com</t>
  </si>
  <si>
    <t>Jose</t>
  </si>
  <si>
    <t>Dominguez</t>
  </si>
  <si>
    <t>jose.dominguez.670@gslingacademy.com</t>
  </si>
  <si>
    <t>Morrow</t>
  </si>
  <si>
    <t>lauren.morrow.671@gslingacademy.com</t>
  </si>
  <si>
    <t>Katie</t>
  </si>
  <si>
    <t>katie.davenport.672@gslingacademy.com</t>
  </si>
  <si>
    <t>michelle.martinez.673@gslingacademy.com</t>
  </si>
  <si>
    <t>Jeremiah</t>
  </si>
  <si>
    <t>jeremiah.stanley.674@gslingacademy.com</t>
  </si>
  <si>
    <t>Isaac</t>
  </si>
  <si>
    <t>isaac.tucker.675@gslingacademy.com</t>
  </si>
  <si>
    <t>Hannah</t>
  </si>
  <si>
    <t>hannah.garcia.676@gslingacademy.com</t>
  </si>
  <si>
    <t>thomas.nelson.677@gslingacademy.com</t>
  </si>
  <si>
    <t>Kennedy</t>
  </si>
  <si>
    <t>william.kennedy.678@gslingacademy.com</t>
  </si>
  <si>
    <t>jennifer.williams.679@gslingacademy.com</t>
  </si>
  <si>
    <t>jeffrey.price.680@gslingacademy.com</t>
  </si>
  <si>
    <t>Zachary</t>
  </si>
  <si>
    <t>zachary.burns.681@gslingacademy.com</t>
  </si>
  <si>
    <t>Curtis</t>
  </si>
  <si>
    <t>Duffy</t>
  </si>
  <si>
    <t>curtis.duffy.682@gslingacademy.com</t>
  </si>
  <si>
    <t>Allison</t>
  </si>
  <si>
    <t>allison.alvarado.683@gslingacademy.com</t>
  </si>
  <si>
    <t>jeffery.kelley.684@gslingacademy.com</t>
  </si>
  <si>
    <t>kenneth.clark.685@gslingacademy.com</t>
  </si>
  <si>
    <t>Hayley</t>
  </si>
  <si>
    <t>hayley.case.686@gslingacademy.com</t>
  </si>
  <si>
    <t>vanessa.martinez.687@gslingacademy.com</t>
  </si>
  <si>
    <t>tara.thomas.688@gslingacademy.com</t>
  </si>
  <si>
    <t>Aaron</t>
  </si>
  <si>
    <t>aaron.williamson.689@gslingacademy.com</t>
  </si>
  <si>
    <t>phillip.nelson.690@gslingacademy.com</t>
  </si>
  <si>
    <t>Hinton</t>
  </si>
  <si>
    <t>michael.hinton.691@gslingacademy.com</t>
  </si>
  <si>
    <t>Shelton</t>
  </si>
  <si>
    <t>alex.shelton.692@gslingacademy.com</t>
  </si>
  <si>
    <t>Esparza</t>
  </si>
  <si>
    <t>ross.esparza.693@gslingacademy.com</t>
  </si>
  <si>
    <t>lisa.murphy.694@gslingacademy.com</t>
  </si>
  <si>
    <t>richard.gibson.695@gslingacademy.com</t>
  </si>
  <si>
    <t>jackson.olson.696@gslingacademy.com</t>
  </si>
  <si>
    <t>michael.waters.697@gslingacademy.com</t>
  </si>
  <si>
    <t>Mcneil</t>
  </si>
  <si>
    <t>daniel.mcneil.698@gslingacademy.com</t>
  </si>
  <si>
    <t>Mcgee</t>
  </si>
  <si>
    <t>james.mcgee.699@gslingacademy.com</t>
  </si>
  <si>
    <t>dennis.park.700@gslingacademy.com</t>
  </si>
  <si>
    <t>gregory.jones.701@gslingacademy.com</t>
  </si>
  <si>
    <t>Petersen</t>
  </si>
  <si>
    <t>barbara.petersen.702@gslingacademy.com</t>
  </si>
  <si>
    <t>andrea.baker.703@gslingacademy.com</t>
  </si>
  <si>
    <t>robert.holmes.704@gslingacademy.com</t>
  </si>
  <si>
    <t>autumn.jones.705@gslingacademy.com</t>
  </si>
  <si>
    <t>richard.davis.706@gslingacademy.com</t>
  </si>
  <si>
    <t>anthony.armstrong.707@gslingacademy.com</t>
  </si>
  <si>
    <t>Julian</t>
  </si>
  <si>
    <t>julian.ortiz.708@gslingacademy.com</t>
  </si>
  <si>
    <t>melinda.sanchez.709@gslingacademy.com</t>
  </si>
  <si>
    <t>Carter</t>
  </si>
  <si>
    <t>james.carter.710@gslingacademy.com</t>
  </si>
  <si>
    <t>Alejandra</t>
  </si>
  <si>
    <t>alejandra.johns.711@gslingacademy.com</t>
  </si>
  <si>
    <t>Long</t>
  </si>
  <si>
    <t>susan.long.712@gslingacademy.com</t>
  </si>
  <si>
    <t>sharon.allen.713@gslingacademy.com</t>
  </si>
  <si>
    <t>Leah</t>
  </si>
  <si>
    <t>leah.brown.714@gslingacademy.com</t>
  </si>
  <si>
    <t>Barker</t>
  </si>
  <si>
    <t>maria.barker.715@gslingacademy.com</t>
  </si>
  <si>
    <t>Church</t>
  </si>
  <si>
    <t>kelly.church.716@gslingacademy.com</t>
  </si>
  <si>
    <t>Walsh</t>
  </si>
  <si>
    <t>michael.walsh.717@gslingacademy.com</t>
  </si>
  <si>
    <t>alyssa.gallagher.718@gslingacademy.com</t>
  </si>
  <si>
    <t>kelly.morris.719@gslingacademy.com</t>
  </si>
  <si>
    <t>ryan.brown.720@gslingacademy.com</t>
  </si>
  <si>
    <t>maria.hall.721@gslingacademy.com</t>
  </si>
  <si>
    <t>mark.brown.722@gslingacademy.com</t>
  </si>
  <si>
    <t>Kerr</t>
  </si>
  <si>
    <t>william.kerr.723@gslingacademy.com</t>
  </si>
  <si>
    <t>Jake</t>
  </si>
  <si>
    <t>jake.gonzalez.724@gslingacademy.com</t>
  </si>
  <si>
    <t>theresa.gray.725@gslingacademy.com</t>
  </si>
  <si>
    <t>Ayers</t>
  </si>
  <si>
    <t>ashley.ayers.726@gslingacademy.com</t>
  </si>
  <si>
    <t>Ann</t>
  </si>
  <si>
    <t>Mccann</t>
  </si>
  <si>
    <t>ann.mccann.727@gslingacademy.com</t>
  </si>
  <si>
    <t>curtis.bennett.728@gslingacademy.com</t>
  </si>
  <si>
    <t>debra.gutierrez.729@gslingacademy.com</t>
  </si>
  <si>
    <t>linda.west.730@gslingacademy.com</t>
  </si>
  <si>
    <t>justin.hughes.731@gslingacademy.com</t>
  </si>
  <si>
    <t>jose.jackson.732@gslingacademy.com</t>
  </si>
  <si>
    <t>Larry</t>
  </si>
  <si>
    <t>larry.smith.733@gslingacademy.com</t>
  </si>
  <si>
    <t>Dunn</t>
  </si>
  <si>
    <t>austin.dunn.734@gslingacademy.com</t>
  </si>
  <si>
    <t>michael.heath.735@gslingacademy.com</t>
  </si>
  <si>
    <t>Acosta</t>
  </si>
  <si>
    <t>beth.acosta.736@gslingacademy.com</t>
  </si>
  <si>
    <t>Tracie</t>
  </si>
  <si>
    <t>Weeks</t>
  </si>
  <si>
    <t>tracie.weeks.737@gslingacademy.com</t>
  </si>
  <si>
    <t>brandi.ray.738@gslingacademy.com</t>
  </si>
  <si>
    <t>Brandt</t>
  </si>
  <si>
    <t>carla.brandt.739@gslingacademy.com</t>
  </si>
  <si>
    <t>thomas.cruz.740@gslingacademy.com</t>
  </si>
  <si>
    <t>nicholas.martin.741@gslingacademy.com</t>
  </si>
  <si>
    <t>Breanna</t>
  </si>
  <si>
    <t>breanna.lee.742@gslingacademy.com</t>
  </si>
  <si>
    <t>angie.white.743@gslingacademy.com</t>
  </si>
  <si>
    <t>Lester</t>
  </si>
  <si>
    <t>william.lester.744@gslingacademy.com</t>
  </si>
  <si>
    <t>joshua.miller.745@gslingacademy.com</t>
  </si>
  <si>
    <t>thomas.stone.746@gslingacademy.com</t>
  </si>
  <si>
    <t>sarah.king.747@gslingacademy.com</t>
  </si>
  <si>
    <t>Carlson</t>
  </si>
  <si>
    <t>jeffery.carlson.748@gslingacademy.com</t>
  </si>
  <si>
    <t>ashley.gutierrez.749@gslingacademy.com</t>
  </si>
  <si>
    <t>Herring</t>
  </si>
  <si>
    <t>adam.herring.750@gslingacademy.com</t>
  </si>
  <si>
    <t>david.ramirez.751@gslingacademy.com</t>
  </si>
  <si>
    <t>angela.brown.752@gslingacademy.com</t>
  </si>
  <si>
    <t>eric.jones.753@gslingacademy.com</t>
  </si>
  <si>
    <t>Angel</t>
  </si>
  <si>
    <t>angel.garner.754@gslingacademy.com</t>
  </si>
  <si>
    <t>Cowan</t>
  </si>
  <si>
    <t>lisa.cowan.755@gslingacademy.com</t>
  </si>
  <si>
    <t>nicole.perry.756@gslingacademy.com</t>
  </si>
  <si>
    <t>Annette</t>
  </si>
  <si>
    <t>Wells</t>
  </si>
  <si>
    <t>annette.wells.757@gslingacademy.com</t>
  </si>
  <si>
    <t>Ian</t>
  </si>
  <si>
    <t>ian.scott.758@gslingacademy.com</t>
  </si>
  <si>
    <t>Kari</t>
  </si>
  <si>
    <t>kari.hernandez.759@gslingacademy.com</t>
  </si>
  <si>
    <t>Haynes</t>
  </si>
  <si>
    <t>mary.haynes.760@gslingacademy.com</t>
  </si>
  <si>
    <t>raymond.smith.761@gslingacademy.com</t>
  </si>
  <si>
    <t>Ayala</t>
  </si>
  <si>
    <t>christopher.ayala.762@gslingacademy.com</t>
  </si>
  <si>
    <t>Jacqueline</t>
  </si>
  <si>
    <t>jacqueline.frazier.763@gslingacademy.com</t>
  </si>
  <si>
    <t>Jesse</t>
  </si>
  <si>
    <t>jesse.kelly.764@gslingacademy.com</t>
  </si>
  <si>
    <t>teresa.lee.765@gslingacademy.com</t>
  </si>
  <si>
    <t>Aguirre</t>
  </si>
  <si>
    <t>michael.aguirre.766@gslingacademy.com</t>
  </si>
  <si>
    <t>Delgado</t>
  </si>
  <si>
    <t>april.delgado.767@gslingacademy.com</t>
  </si>
  <si>
    <t>troy.prince.768@gslingacademy.com</t>
  </si>
  <si>
    <t>Martha</t>
  </si>
  <si>
    <t>martha.summers.769@gslingacademy.com</t>
  </si>
  <si>
    <t>Dean</t>
  </si>
  <si>
    <t>william.dean.770@gslingacademy.com</t>
  </si>
  <si>
    <t>cheryl.gutierrez.771@gslingacademy.com</t>
  </si>
  <si>
    <t>Diane</t>
  </si>
  <si>
    <t>Spears</t>
  </si>
  <si>
    <t>diane.spears.772@gslingacademy.com</t>
  </si>
  <si>
    <t>brian.david.773@gslingacademy.com</t>
  </si>
  <si>
    <t>Brooks</t>
  </si>
  <si>
    <t>heather.brooks.774@gslingacademy.com</t>
  </si>
  <si>
    <t>Rodgers</t>
  </si>
  <si>
    <t>pamela.rodgers.775@gslingacademy.com</t>
  </si>
  <si>
    <t>Betty</t>
  </si>
  <si>
    <t>Nash</t>
  </si>
  <si>
    <t>betty.nash.776@gslingacademy.com</t>
  </si>
  <si>
    <t>heather.donaldson.777@gslingacademy.com</t>
  </si>
  <si>
    <t>Ebony</t>
  </si>
  <si>
    <t>ebony.shepherd.778@gslingacademy.com</t>
  </si>
  <si>
    <t>sean.thomas.779@gslingacademy.com</t>
  </si>
  <si>
    <t>Howard</t>
  </si>
  <si>
    <t>todd.howard.780@gslingacademy.com</t>
  </si>
  <si>
    <t>Julia</t>
  </si>
  <si>
    <t>Richmond</t>
  </si>
  <si>
    <t>julia.richmond.781@gslingacademy.com</t>
  </si>
  <si>
    <t>mary.mccormick.782@gslingacademy.com</t>
  </si>
  <si>
    <t>Jimmy</t>
  </si>
  <si>
    <t>Warren</t>
  </si>
  <si>
    <t>jimmy.warren.783@gslingacademy.com</t>
  </si>
  <si>
    <t>henry.spencer.784@gslingacademy.com</t>
  </si>
  <si>
    <t>peter.yates.785@gslingacademy.com</t>
  </si>
  <si>
    <t>robert.campbell.786@gslingacademy.com</t>
  </si>
  <si>
    <t>Conway</t>
  </si>
  <si>
    <t>matthew.conway.787@gslingacademy.com</t>
  </si>
  <si>
    <t>Calderon</t>
  </si>
  <si>
    <t>tyler.calderon.788@gslingacademy.com</t>
  </si>
  <si>
    <t>Brittney</t>
  </si>
  <si>
    <t>Moon</t>
  </si>
  <si>
    <t>brittney.moon.789@gslingacademy.com</t>
  </si>
  <si>
    <t>tracy.white.790@gslingacademy.com</t>
  </si>
  <si>
    <t>Welch</t>
  </si>
  <si>
    <t>gregory.welch.791@gslingacademy.com</t>
  </si>
  <si>
    <t>Caroline</t>
  </si>
  <si>
    <t>Cooper</t>
  </si>
  <si>
    <t>caroline.cooper.792@gslingacademy.com</t>
  </si>
  <si>
    <t>kelly.rivera.793@gslingacademy.com</t>
  </si>
  <si>
    <t>Stacey</t>
  </si>
  <si>
    <t>stacey.wilson.794@gslingacademy.com</t>
  </si>
  <si>
    <t>Graham</t>
  </si>
  <si>
    <t>craig.graham.795@gslingacademy.com</t>
  </si>
  <si>
    <t>Earl</t>
  </si>
  <si>
    <t>Santana</t>
  </si>
  <si>
    <t>earl.santana.796@gslingacademy.com</t>
  </si>
  <si>
    <t>lisa.mitchell.797@gslingacademy.com</t>
  </si>
  <si>
    <t>michael.williams.798@gslingacademy.com</t>
  </si>
  <si>
    <t>jerry.jones.799@gslingacademy.com</t>
  </si>
  <si>
    <t>Miles</t>
  </si>
  <si>
    <t>matthew.miles.800@gslingacademy.com</t>
  </si>
  <si>
    <t>mary.cox.801@gslingacademy.com</t>
  </si>
  <si>
    <t>jessica.young.802@gslingacademy.com</t>
  </si>
  <si>
    <t>Small</t>
  </si>
  <si>
    <t>tiffany.small.803@gslingacademy.com</t>
  </si>
  <si>
    <t>Wyatt</t>
  </si>
  <si>
    <t>mary.wyatt.804@gslingacademy.com</t>
  </si>
  <si>
    <t>maria.mercer.805@gslingacademy.com</t>
  </si>
  <si>
    <t>erin.moore.806@gslingacademy.com</t>
  </si>
  <si>
    <t>Dalton</t>
  </si>
  <si>
    <t>kendra.dalton.807@gslingacademy.com</t>
  </si>
  <si>
    <t>anthony.gomez.808@gslingacademy.com</t>
  </si>
  <si>
    <t>Molly</t>
  </si>
  <si>
    <t>molly.jackson.809@gslingacademy.com</t>
  </si>
  <si>
    <t>Brianna</t>
  </si>
  <si>
    <t>brianna.gutierrez.810@gslingacademy.com</t>
  </si>
  <si>
    <t>john.henderson.811@gslingacademy.com</t>
  </si>
  <si>
    <t>steven.martin.812@gslingacademy.com</t>
  </si>
  <si>
    <t>tina.bowers.813@gslingacademy.com</t>
  </si>
  <si>
    <t>Luis</t>
  </si>
  <si>
    <t>luis.jones.814@gslingacademy.com</t>
  </si>
  <si>
    <t>jeffrey.thomas.815@gslingacademy.com</t>
  </si>
  <si>
    <t>jeffrey.cox.816@gslingacademy.com</t>
  </si>
  <si>
    <t>Bautista</t>
  </si>
  <si>
    <t>jennifer.bautista.817@gslingacademy.com</t>
  </si>
  <si>
    <t>Pugh</t>
  </si>
  <si>
    <t>judy.pugh.818@gslingacademy.com</t>
  </si>
  <si>
    <t>henry.craig.819@gslingacademy.com</t>
  </si>
  <si>
    <t>steven.alvarez.820@gslingacademy.com</t>
  </si>
  <si>
    <t>Mckay</t>
  </si>
  <si>
    <t>rebecca.mckay.821@gslingacademy.com</t>
  </si>
  <si>
    <t>Reynolds</t>
  </si>
  <si>
    <t>james.reynolds.822@gslingacademy.com</t>
  </si>
  <si>
    <t>Bentley</t>
  </si>
  <si>
    <t>heather.bentley.823@gslingacademy.com</t>
  </si>
  <si>
    <t>Alexis</t>
  </si>
  <si>
    <t>alexis.hall.824@gslingacademy.com</t>
  </si>
  <si>
    <t>ryan.soto.825@gslingacademy.com</t>
  </si>
  <si>
    <t>Brent</t>
  </si>
  <si>
    <t>Clements</t>
  </si>
  <si>
    <t>brent.clements.826@gslingacademy.com</t>
  </si>
  <si>
    <t>thomas.hernandez.827@gslingacademy.com</t>
  </si>
  <si>
    <t>Mack</t>
  </si>
  <si>
    <t>kevin.mack.828@gslingacademy.com</t>
  </si>
  <si>
    <t>Kirk</t>
  </si>
  <si>
    <t>patrick.kirk.829@gslingacademy.com</t>
  </si>
  <si>
    <t>christopher.jenkins.830@gslingacademy.com</t>
  </si>
  <si>
    <t>Hodges</t>
  </si>
  <si>
    <t>cassandra.hodges.831@gslingacademy.com</t>
  </si>
  <si>
    <t>christian.powers.832@gslingacademy.com</t>
  </si>
  <si>
    <t>Collier</t>
  </si>
  <si>
    <t>brittany.collier.833@gslingacademy.com</t>
  </si>
  <si>
    <t>james.bridges.834@gslingacademy.com</t>
  </si>
  <si>
    <t>Fowler</t>
  </si>
  <si>
    <t>alexander.fowler.835@gslingacademy.com</t>
  </si>
  <si>
    <t>Wong</t>
  </si>
  <si>
    <t>andrew.wong.836@gslingacademy.com</t>
  </si>
  <si>
    <t>Bobby</t>
  </si>
  <si>
    <t>bobby.valdez.837@gslingacademy.com</t>
  </si>
  <si>
    <t>Bird</t>
  </si>
  <si>
    <t>mary.bird.838@gslingacademy.com</t>
  </si>
  <si>
    <t>andrew.rodriguez.839@gslingacademy.com</t>
  </si>
  <si>
    <t>melanie.carter.840@gslingacademy.com</t>
  </si>
  <si>
    <t>randy.lopez.841@gslingacademy.com</t>
  </si>
  <si>
    <t>david.cole.842@gslingacademy.com</t>
  </si>
  <si>
    <t>jennifer.baxter.843@gslingacademy.com</t>
  </si>
  <si>
    <t>shannon.graham.844@gslingacademy.com</t>
  </si>
  <si>
    <t>Bush</t>
  </si>
  <si>
    <t>stephanie.bush.845@gslingacademy.com</t>
  </si>
  <si>
    <t>Tanner</t>
  </si>
  <si>
    <t>keith.tanner.846@gslingacademy.com</t>
  </si>
  <si>
    <t>robert.anderson.847@gslingacademy.com</t>
  </si>
  <si>
    <t>Cantu</t>
  </si>
  <si>
    <t>matthew.cantu.848@gslingacademy.com</t>
  </si>
  <si>
    <t>heather.johnson.849@gslingacademy.com</t>
  </si>
  <si>
    <t>lee.taylor.850@gslingacademy.com</t>
  </si>
  <si>
    <t>jessica.williams.851@gslingacademy.com</t>
  </si>
  <si>
    <t>holly.sanchez.852@gslingacademy.com</t>
  </si>
  <si>
    <t>james.ray.853@gslingacademy.com</t>
  </si>
  <si>
    <t>william.hernandez.854@gslingacademy.com</t>
  </si>
  <si>
    <t>lisa.brown.855@gslingacademy.com</t>
  </si>
  <si>
    <t>kevin.york.856@gslingacademy.com</t>
  </si>
  <si>
    <t>benjamin.davis.857@gslingacademy.com</t>
  </si>
  <si>
    <t>Nielsen</t>
  </si>
  <si>
    <t>sarah.nielsen.858@gslingacademy.com</t>
  </si>
  <si>
    <t>Parks</t>
  </si>
  <si>
    <t>elizabeth.parks.859@gslingacademy.com</t>
  </si>
  <si>
    <t>deborah.moore.860@gslingacademy.com</t>
  </si>
  <si>
    <t>michael.anderson.861@gslingacademy.com</t>
  </si>
  <si>
    <t>brian.adams.862@gslingacademy.com</t>
  </si>
  <si>
    <t>anthony.silva.863@gslingacademy.com</t>
  </si>
  <si>
    <t>Velazquez</t>
  </si>
  <si>
    <t>melinda.velazquez.864@gslingacademy.com</t>
  </si>
  <si>
    <t>Andre</t>
  </si>
  <si>
    <t>Hoffman</t>
  </si>
  <si>
    <t>andre.hoffman.865@gslingacademy.com</t>
  </si>
  <si>
    <t>vanessa.coleman.866@gslingacademy.com</t>
  </si>
  <si>
    <t>stephanie.hernandez.867@gslingacademy.com</t>
  </si>
  <si>
    <t>timothy.david.868@gslingacademy.com</t>
  </si>
  <si>
    <t>Cortez</t>
  </si>
  <si>
    <t>carol.cortez.869@gslingacademy.com</t>
  </si>
  <si>
    <t>justin.kelly.870@gslingacademy.com</t>
  </si>
  <si>
    <t>george.king.871@gslingacademy.com</t>
  </si>
  <si>
    <t>ashley.craig.872@gslingacademy.com</t>
  </si>
  <si>
    <t>patricia.sullivan.873@gslingacademy.com</t>
  </si>
  <si>
    <t>david.jones.874@gslingacademy.com</t>
  </si>
  <si>
    <t>cody.smith.875@gslingacademy.com</t>
  </si>
  <si>
    <t>joseph.jackson.876@gslingacademy.com</t>
  </si>
  <si>
    <t>adam.edwards.877@gslingacademy.com</t>
  </si>
  <si>
    <t>brian.morales.878@gslingacademy.com</t>
  </si>
  <si>
    <t>Fry</t>
  </si>
  <si>
    <t>melissa.fry.879@gslingacademy.com</t>
  </si>
  <si>
    <t>Jacobson</t>
  </si>
  <si>
    <t>lori.jacobson.880@gslingacademy.com</t>
  </si>
  <si>
    <t>jessica.shannon.881@gslingacademy.com</t>
  </si>
  <si>
    <t>sharon.ramirez.882@gslingacademy.com</t>
  </si>
  <si>
    <t>nicole.rice.883@gslingacademy.com</t>
  </si>
  <si>
    <t>Alison</t>
  </si>
  <si>
    <t>alison.webster.884@gslingacademy.com</t>
  </si>
  <si>
    <t>alexander.mitchell.885@gslingacademy.com</t>
  </si>
  <si>
    <t>Grimes</t>
  </si>
  <si>
    <t>bryan.grimes.886@gslingacademy.com</t>
  </si>
  <si>
    <t>Mcdonald</t>
  </si>
  <si>
    <t>nicole.mcdonald.887@gslingacademy.com</t>
  </si>
  <si>
    <t>christopher.ramirez.888@gslingacademy.com</t>
  </si>
  <si>
    <t>lawrence.fields.889@gslingacademy.com</t>
  </si>
  <si>
    <t>Molina</t>
  </si>
  <si>
    <t>rebecca.molina.890@gslingacademy.com</t>
  </si>
  <si>
    <t>Castillo</t>
  </si>
  <si>
    <t>john.castillo.891@gslingacademy.com</t>
  </si>
  <si>
    <t>sandra.davis.892@gslingacademy.com</t>
  </si>
  <si>
    <t>andrew.smith.893@gslingacademy.com</t>
  </si>
  <si>
    <t>elizabeth.smith.894@gslingacademy.com</t>
  </si>
  <si>
    <t>scott.schultz.895@gslingacademy.com</t>
  </si>
  <si>
    <t>Harper</t>
  </si>
  <si>
    <t>joseph.harper.896@gslingacademy.com</t>
  </si>
  <si>
    <t>ryan.salazar.897@gslingacademy.com</t>
  </si>
  <si>
    <t>brenda.davis.898@gslingacademy.com</t>
  </si>
  <si>
    <t>chad.taylor.899@gslingacademy.com</t>
  </si>
  <si>
    <t>natasha.edwards.900@gslingacademy.com</t>
  </si>
  <si>
    <t>pamela.edwards.901@gslingacademy.com</t>
  </si>
  <si>
    <t>Richardson</t>
  </si>
  <si>
    <t>cynthia.richardson.902@gslingacademy.com</t>
  </si>
  <si>
    <t>robert.johnson.903@gslingacademy.com</t>
  </si>
  <si>
    <t>kevin.ryan.904@gslingacademy.com</t>
  </si>
  <si>
    <t>Eileen</t>
  </si>
  <si>
    <t>Nicholson</t>
  </si>
  <si>
    <t>eileen.nicholson.905@gslingacademy.com</t>
  </si>
  <si>
    <t>robert.torres.906@gslingacademy.com</t>
  </si>
  <si>
    <t>Beltran</t>
  </si>
  <si>
    <t>alicia.beltran.907@gslingacademy.com</t>
  </si>
  <si>
    <t>jessica.wong.908@gslingacademy.com</t>
  </si>
  <si>
    <t>Ruben</t>
  </si>
  <si>
    <t>Meyer</t>
  </si>
  <si>
    <t>ruben.meyer.909@gslingacademy.com</t>
  </si>
  <si>
    <t>megan.alexander.910@gslingacademy.com</t>
  </si>
  <si>
    <t>jennifer.gonzalez.911@gslingacademy.com</t>
  </si>
  <si>
    <t>Carl</t>
  </si>
  <si>
    <t>Ferguson</t>
  </si>
  <si>
    <t>carl.ferguson.912@gslingacademy.com</t>
  </si>
  <si>
    <t>Valerie</t>
  </si>
  <si>
    <t>Romero</t>
  </si>
  <si>
    <t>valerie.romero.913@gslingacademy.com</t>
  </si>
  <si>
    <t>laura.romero.914@gslingacademy.com</t>
  </si>
  <si>
    <t>heidi.adams.915@gslingacademy.com</t>
  </si>
  <si>
    <t>Regina</t>
  </si>
  <si>
    <t>regina.spencer.916@gslingacademy.com</t>
  </si>
  <si>
    <t>lee.campbell.917@gslingacademy.com</t>
  </si>
  <si>
    <t>Noah</t>
  </si>
  <si>
    <t>Mcdaniel</t>
  </si>
  <si>
    <t>noah.mcdaniel.918@gslingacademy.com</t>
  </si>
  <si>
    <t>Dorothy</t>
  </si>
  <si>
    <t>dorothy.mitchell.919@gslingacademy.com</t>
  </si>
  <si>
    <t>Mccarthy</t>
  </si>
  <si>
    <t>michael.mccarthy.920@gslingacademy.com</t>
  </si>
  <si>
    <t>matthew.jones.921@gslingacademy.com</t>
  </si>
  <si>
    <t>john.riley.922@gslingacademy.com</t>
  </si>
  <si>
    <t>Shelly</t>
  </si>
  <si>
    <t>shelly.dominguez.923@gslingacademy.com</t>
  </si>
  <si>
    <t>ann.evans.924@gslingacademy.com</t>
  </si>
  <si>
    <t>david.perez.925@gslingacademy.com</t>
  </si>
  <si>
    <t>nicole.bell.926@gslingacademy.com</t>
  </si>
  <si>
    <t>amanda.garcia.927@gslingacademy.com</t>
  </si>
  <si>
    <t>charles.owens.928@gslingacademy.com</t>
  </si>
  <si>
    <t>teresa.henry.929@gslingacademy.com</t>
  </si>
  <si>
    <t>Frank</t>
  </si>
  <si>
    <t>luis.frank.930@gslingacademy.com</t>
  </si>
  <si>
    <t>timothy.booth.931@gslingacademy.com</t>
  </si>
  <si>
    <t>michael.moon.932@gslingacademy.com</t>
  </si>
  <si>
    <t>rachel.hall.933@gslingacademy.com</t>
  </si>
  <si>
    <t>thomas.nguyen.934@gslingacademy.com</t>
  </si>
  <si>
    <t>tiffany.fields.935@gslingacademy.com</t>
  </si>
  <si>
    <t>jessica.marshall.936@gslingacademy.com</t>
  </si>
  <si>
    <t>Maurice</t>
  </si>
  <si>
    <t>maurice.nguyen.937@gslingacademy.com</t>
  </si>
  <si>
    <t>william.kelly.938@gslingacademy.com</t>
  </si>
  <si>
    <t>Harry</t>
  </si>
  <si>
    <t>Hunter</t>
  </si>
  <si>
    <t>harry.hunter.939@gslingacademy.com</t>
  </si>
  <si>
    <t>Gentry</t>
  </si>
  <si>
    <t>gary.gentry.940@gslingacademy.com</t>
  </si>
  <si>
    <t>Malone</t>
  </si>
  <si>
    <t>maria.malone.941@gslingacademy.com</t>
  </si>
  <si>
    <t>jason.vazquez.942@gslingacademy.com</t>
  </si>
  <si>
    <t>patrick.west.943@gslingacademy.com</t>
  </si>
  <si>
    <t>alexandra.brown.944@gslingacademy.com</t>
  </si>
  <si>
    <t>jennifer.torres.945@gslingacademy.com</t>
  </si>
  <si>
    <t>daniel.smith.946@gslingacademy.com</t>
  </si>
  <si>
    <t>Boyle</t>
  </si>
  <si>
    <t>catherine.boyle.947@gslingacademy.com</t>
  </si>
  <si>
    <t>amanda.bush.948@gslingacademy.com</t>
  </si>
  <si>
    <t>Copeland</t>
  </si>
  <si>
    <t>emma.copeland.949@gslingacademy.com</t>
  </si>
  <si>
    <t>Avery</t>
  </si>
  <si>
    <t>bradley.avery.950@gslingacademy.com</t>
  </si>
  <si>
    <t>danielle.martinez.951@gslingacademy.com</t>
  </si>
  <si>
    <t>Wolf</t>
  </si>
  <si>
    <t>anna.wolf.952@gslingacademy.com</t>
  </si>
  <si>
    <t>Whitaker</t>
  </si>
  <si>
    <t>megan.whitaker.953@gslingacademy.com</t>
  </si>
  <si>
    <t>melissa.richard.954@gslingacademy.com</t>
  </si>
  <si>
    <t>richard.small.955@gslingacademy.com</t>
  </si>
  <si>
    <t>victor.phillips.956@gslingacademy.com</t>
  </si>
  <si>
    <t>Callahan</t>
  </si>
  <si>
    <t>madison.callahan.957@gslingacademy.com</t>
  </si>
  <si>
    <t>Connor</t>
  </si>
  <si>
    <t>connor.olson.958@gslingacademy.com</t>
  </si>
  <si>
    <t>hunter.allen.959@gslingacademy.com</t>
  </si>
  <si>
    <t>shannon.johnson.960@gslingacademy.com</t>
  </si>
  <si>
    <t>samantha.alexander.961@gslingacademy.com</t>
  </si>
  <si>
    <t>justin.lester.962@gslingacademy.com</t>
  </si>
  <si>
    <t>hunter.miller.963@gslingacademy.com</t>
  </si>
  <si>
    <t>Shelia</t>
  </si>
  <si>
    <t>Rogers</t>
  </si>
  <si>
    <t>shelia.rogers.964@gslingacademy.com</t>
  </si>
  <si>
    <t>laura.walker.965@gslingacademy.com</t>
  </si>
  <si>
    <t>ashley.green.966@gslingacademy.com</t>
  </si>
  <si>
    <t>beth.bonilla.967@gslingacademy.com</t>
  </si>
  <si>
    <t>ray.padilla.968@gslingacademy.com</t>
  </si>
  <si>
    <t>Cummings</t>
  </si>
  <si>
    <t>jennifer.cummings.969@gslingacademy.com</t>
  </si>
  <si>
    <t>daniel.peterson.970@gslingacademy.com</t>
  </si>
  <si>
    <t>andrew.miller.971@gslingacademy.com</t>
  </si>
  <si>
    <t>scott.jacobson.972@gslingacademy.com</t>
  </si>
  <si>
    <t>jennifer.baker.973@gslingacademy.com</t>
  </si>
  <si>
    <t>Suzanne</t>
  </si>
  <si>
    <t>suzanne.morrow.974@gslingacademy.com</t>
  </si>
  <si>
    <t>melissa.gonzales.975@gslingacademy.com</t>
  </si>
  <si>
    <t>erik.miller.976@gslingacademy.com</t>
  </si>
  <si>
    <t>pamela.flores.977@gslingacademy.com</t>
  </si>
  <si>
    <t>amanda.hernandez.978@gslingacademy.com</t>
  </si>
  <si>
    <t>gregory.schaefer.979@gslingacademy.com</t>
  </si>
  <si>
    <t>annette.logan.980@gslingacademy.com</t>
  </si>
  <si>
    <t>tamara.long.981@gslingacademy.com</t>
  </si>
  <si>
    <t>john.baker.982@gslingacademy.com</t>
  </si>
  <si>
    <t>justin.lynch.983@gslingacademy.com</t>
  </si>
  <si>
    <t>daniel.knight.984@gslingacademy.com</t>
  </si>
  <si>
    <t>angelica.jones.985@gslingacademy.com</t>
  </si>
  <si>
    <t>lance.nelson.986@gslingacademy.com</t>
  </si>
  <si>
    <t>katherine.jacobson.987@gslingacademy.com</t>
  </si>
  <si>
    <t>corey.taylor.988@gslingacademy.com</t>
  </si>
  <si>
    <t>laura.russell.989@gslingacademy.com</t>
  </si>
  <si>
    <t>Arthur</t>
  </si>
  <si>
    <t>arthur.harris.990@gslingacademy.com</t>
  </si>
  <si>
    <t>victoria.garcia.991@gslingacademy.com</t>
  </si>
  <si>
    <t>david.gonzales.992@gslingacademy.com</t>
  </si>
  <si>
    <t>charles.thomas.993@gslingacademy.com</t>
  </si>
  <si>
    <t>Oscar</t>
  </si>
  <si>
    <t>oscar.gonzalez.994@gslingacademy.com</t>
  </si>
  <si>
    <t>sarah.miller.995@gslingacademy.com</t>
  </si>
  <si>
    <t>eric.davis.996@gslingacademy.com</t>
  </si>
  <si>
    <t>patrick.martin.997@gslingacademy.com</t>
  </si>
  <si>
    <t>susan.schmidt.998@gslingacademy.com</t>
  </si>
  <si>
    <t>Brett</t>
  </si>
  <si>
    <t>brett.bell.999@gslingacademy.com</t>
  </si>
  <si>
    <t>dennis.summers.1000@gslingacademy.com</t>
  </si>
  <si>
    <t>brandon.smith.1001@gslingacademy.com</t>
  </si>
  <si>
    <t>nicole.williams.1002@gslingacademy.com</t>
  </si>
  <si>
    <t>Frye</t>
  </si>
  <si>
    <t>rachel.frye.1003@gslingacademy.com</t>
  </si>
  <si>
    <t>Cabrera</t>
  </si>
  <si>
    <t>tyler.cabrera.1004@gslingacademy.com</t>
  </si>
  <si>
    <t>Maureen</t>
  </si>
  <si>
    <t>maureen.jones.1005@gslingacademy.com</t>
  </si>
  <si>
    <t>pamela.green.1006@gslingacademy.com</t>
  </si>
  <si>
    <t>jeffery.mcdonald.1007@gslingacademy.com</t>
  </si>
  <si>
    <t>Matthews</t>
  </si>
  <si>
    <t>austin.matthews.1008@gslingacademy.com</t>
  </si>
  <si>
    <t>jacqueline.allen.1009@gslingacademy.com</t>
  </si>
  <si>
    <t>Joanna</t>
  </si>
  <si>
    <t>joanna.dominguez.1010@gslingacademy.com</t>
  </si>
  <si>
    <t>brian.griffin.1011@gslingacademy.com</t>
  </si>
  <si>
    <t>dean.lee.1012@gslingacademy.com</t>
  </si>
  <si>
    <t>denise.rodriguez.1013@gslingacademy.com</t>
  </si>
  <si>
    <t>Brendan</t>
  </si>
  <si>
    <t>brendan.rivera.1014@gslingacademy.com</t>
  </si>
  <si>
    <t>jackson.smith.1015@gslingacademy.com</t>
  </si>
  <si>
    <t>craig.weber.1016@gslingacademy.com</t>
  </si>
  <si>
    <t>Carpenter</t>
  </si>
  <si>
    <t>joseph.carpenter.1017@gslingacademy.com</t>
  </si>
  <si>
    <t>sarah.tucker.1018@gslingacademy.com</t>
  </si>
  <si>
    <t>steven.hernandez.1019@gslingacademy.com</t>
  </si>
  <si>
    <t>Foley</t>
  </si>
  <si>
    <t>robert.foley.1020@gslingacademy.com</t>
  </si>
  <si>
    <t>Carr</t>
  </si>
  <si>
    <t>michael.carr.1021@gslingacademy.com</t>
  </si>
  <si>
    <t>Herrera</t>
  </si>
  <si>
    <t>walter.herrera.1022@gslingacademy.com</t>
  </si>
  <si>
    <t>Mckinney</t>
  </si>
  <si>
    <t>sarah.mckinney.1023@gslingacademy.com</t>
  </si>
  <si>
    <t>jacob.nguyen.1024@gslingacademy.com</t>
  </si>
  <si>
    <t>Garza</t>
  </si>
  <si>
    <t>mary.garza.1025@gslingacademy.com</t>
  </si>
  <si>
    <t>jesse.hawkins.1026@gslingacademy.com</t>
  </si>
  <si>
    <t>jordan.boyd.1027@gslingacademy.com</t>
  </si>
  <si>
    <t>Latoya</t>
  </si>
  <si>
    <t>latoya.mullins.1028@gslingacademy.com</t>
  </si>
  <si>
    <t>jill.armstrong.1029@gslingacademy.com</t>
  </si>
  <si>
    <t>aaron.peterson.1030@gslingacademy.com</t>
  </si>
  <si>
    <t>Greene</t>
  </si>
  <si>
    <t>april.greene.1031@gslingacademy.com</t>
  </si>
  <si>
    <t>theodore.gomez.1032@gslingacademy.com</t>
  </si>
  <si>
    <t>john.gardner.1033@gslingacademy.com</t>
  </si>
  <si>
    <t>joseph.petersen.1034@gslingacademy.com</t>
  </si>
  <si>
    <t>Potter</t>
  </si>
  <si>
    <t>matthew.potter.1035@gslingacademy.com</t>
  </si>
  <si>
    <t>linda.munoz.1036@gslingacademy.com</t>
  </si>
  <si>
    <t>samantha.stewart.1037@gslingacademy.com</t>
  </si>
  <si>
    <t>michael.reyes.1038@gslingacademy.com</t>
  </si>
  <si>
    <t>sarah.murphy.1039@gslingacademy.com</t>
  </si>
  <si>
    <t>Melton</t>
  </si>
  <si>
    <t>derrick.melton.1040@gslingacademy.com</t>
  </si>
  <si>
    <t>Donna</t>
  </si>
  <si>
    <t>donna.horne.1041@gslingacademy.com</t>
  </si>
  <si>
    <t>natasha.butler.1042@gslingacademy.com</t>
  </si>
  <si>
    <t>david.vasquez.1043@gslingacademy.com</t>
  </si>
  <si>
    <t>christopher.lester.1044@gslingacademy.com</t>
  </si>
  <si>
    <t>Franco</t>
  </si>
  <si>
    <t>martin.franco.1045@gslingacademy.com</t>
  </si>
  <si>
    <t>katherine.donaldson.1046@gslingacademy.com</t>
  </si>
  <si>
    <t>harold.daniels.1047@gslingacademy.com</t>
  </si>
  <si>
    <t>michael.anderson.1048@gslingacademy.com</t>
  </si>
  <si>
    <t>Nichole</t>
  </si>
  <si>
    <t>nichole.harrington.1049@gslingacademy.com</t>
  </si>
  <si>
    <t>wendy.clark.1050@gslingacademy.com</t>
  </si>
  <si>
    <t>chelsea.taylor.1051@gslingacademy.com</t>
  </si>
  <si>
    <t>jeffrey.knight.1052@gslingacademy.com</t>
  </si>
  <si>
    <t>Watkins</t>
  </si>
  <si>
    <t>katelyn.watkins.1053@gslingacademy.com</t>
  </si>
  <si>
    <t>Anne</t>
  </si>
  <si>
    <t>anne.johnston.1054@gslingacademy.com</t>
  </si>
  <si>
    <t>rebecca.carpenter.1055@gslingacademy.com</t>
  </si>
  <si>
    <t>ashley.baker.1056@gslingacademy.com</t>
  </si>
  <si>
    <t>Lacey</t>
  </si>
  <si>
    <t>lacey.norris.1057@gslingacademy.com</t>
  </si>
  <si>
    <t>angela.moore.1058@gslingacademy.com</t>
  </si>
  <si>
    <t>maria.obrien.1059@gslingacademy.com</t>
  </si>
  <si>
    <t>Larsen</t>
  </si>
  <si>
    <t>rebecca.larsen.1060@gslingacademy.com</t>
  </si>
  <si>
    <t>amanda.rodriguez.1061@gslingacademy.com</t>
  </si>
  <si>
    <t>patrick.clark.1062@gslingacademy.com</t>
  </si>
  <si>
    <t>Morrison</t>
  </si>
  <si>
    <t>janet.morrison.1063@gslingacademy.com</t>
  </si>
  <si>
    <t>james.acosta.1064@gslingacademy.com</t>
  </si>
  <si>
    <t>Burke</t>
  </si>
  <si>
    <t>richard.burke.1065@gslingacademy.com</t>
  </si>
  <si>
    <t>Contreras</t>
  </si>
  <si>
    <t>donald.contreras.1066@gslingacademy.com</t>
  </si>
  <si>
    <t>kenneth.mendez.1067@gslingacademy.com</t>
  </si>
  <si>
    <t>kenneth.sparks.1068@gslingacademy.com</t>
  </si>
  <si>
    <t>natasha.morales.1069@gslingacademy.com</t>
  </si>
  <si>
    <t>david.mendoza.1070@gslingacademy.com</t>
  </si>
  <si>
    <t>melissa.wright.1071@gslingacademy.com</t>
  </si>
  <si>
    <t>Cindy</t>
  </si>
  <si>
    <t>cindy.hamilton.1072@gslingacademy.com</t>
  </si>
  <si>
    <t>nancy.walker.1073@gslingacademy.com</t>
  </si>
  <si>
    <t>matthew.peterson.1074@gslingacademy.com</t>
  </si>
  <si>
    <t>Grant</t>
  </si>
  <si>
    <t>grant.mason.1075@gslingacademy.com</t>
  </si>
  <si>
    <t>Mays</t>
  </si>
  <si>
    <t>david.mays.1076@gslingacademy.com</t>
  </si>
  <si>
    <t>Sheryl</t>
  </si>
  <si>
    <t>sheryl.parker.1077@gslingacademy.com</t>
  </si>
  <si>
    <t>ross.sanchez.1078@gslingacademy.com</t>
  </si>
  <si>
    <t>robert.barnett.1079@gslingacademy.com</t>
  </si>
  <si>
    <t>Sims</t>
  </si>
  <si>
    <t>dean.sims.1080@gslingacademy.com</t>
  </si>
  <si>
    <t>Jaime</t>
  </si>
  <si>
    <t>jaime.morrison.1081@gslingacademy.com</t>
  </si>
  <si>
    <t>regina.hernandez.1082@gslingacademy.com</t>
  </si>
  <si>
    <t>margaret.smith.1083@gslingacademy.com</t>
  </si>
  <si>
    <t>kyle.garcia.1084@gslingacademy.com</t>
  </si>
  <si>
    <t>Stark</t>
  </si>
  <si>
    <t>trevor.stark.1085@gslingacademy.com</t>
  </si>
  <si>
    <t>Nathaniel</t>
  </si>
  <si>
    <t>nathaniel.adams.1086@gslingacademy.com</t>
  </si>
  <si>
    <t>Gabriela</t>
  </si>
  <si>
    <t>gabriela.martinez.1087@gslingacademy.com</t>
  </si>
  <si>
    <t>debra.walter.1088@gslingacademy.com</t>
  </si>
  <si>
    <t>kimberly.herrera.1089@gslingacademy.com</t>
  </si>
  <si>
    <t>Fleming</t>
  </si>
  <si>
    <t>william.fleming.1090@gslingacademy.com</t>
  </si>
  <si>
    <t>brandon.foster.1091@gslingacademy.com</t>
  </si>
  <si>
    <t>john.wilson.1092@gslingacademy.com</t>
  </si>
  <si>
    <t>george.kerr.1093@gslingacademy.com</t>
  </si>
  <si>
    <t>Gilbert</t>
  </si>
  <si>
    <t>kenneth.gilbert.1094@gslingacademy.com</t>
  </si>
  <si>
    <t>Jodi</t>
  </si>
  <si>
    <t>jodi.price.1095@gslingacademy.com</t>
  </si>
  <si>
    <t>Sheppard</t>
  </si>
  <si>
    <t>jordan.sheppard.1096@gslingacademy.com</t>
  </si>
  <si>
    <t>Tristan</t>
  </si>
  <si>
    <t>tristan.martinez.1097@gslingacademy.com</t>
  </si>
  <si>
    <t>Chandler</t>
  </si>
  <si>
    <t>sharon.chandler.1098@gslingacademy.com</t>
  </si>
  <si>
    <t>steven.allen.1099@gslingacademy.com</t>
  </si>
  <si>
    <t>douglas.robertson.1100@gslingacademy.com</t>
  </si>
  <si>
    <t>Zavala</t>
  </si>
  <si>
    <t>sabrina.zavala.1101@gslingacademy.com</t>
  </si>
  <si>
    <t>Merritt</t>
  </si>
  <si>
    <t>corey.merritt.1102@gslingacademy.com</t>
  </si>
  <si>
    <t>Salas</t>
  </si>
  <si>
    <t>jennifer.salas.1103@gslingacademy.com</t>
  </si>
  <si>
    <t>john.klein.1104@gslingacademy.com</t>
  </si>
  <si>
    <t>rachel.grant.1105@gslingacademy.com</t>
  </si>
  <si>
    <t>Wood</t>
  </si>
  <si>
    <t>jose.wood.1106@gslingacademy.com</t>
  </si>
  <si>
    <t>michelle.mcdonald.1107@gslingacademy.com</t>
  </si>
  <si>
    <t>thomas.george.1108@gslingacademy.com</t>
  </si>
  <si>
    <t>charles.torres.1109@gslingacademy.com</t>
  </si>
  <si>
    <t>Finley</t>
  </si>
  <si>
    <t>jonathan.finley.1110@gslingacademy.com</t>
  </si>
  <si>
    <t>diana.long.1111@gslingacademy.com</t>
  </si>
  <si>
    <t>jonathan.johnson.1112@gslingacademy.com</t>
  </si>
  <si>
    <t>nicole.robinson.1113@gslingacademy.com</t>
  </si>
  <si>
    <t>rebecca.mckinney.1114@gslingacademy.com</t>
  </si>
  <si>
    <t>daniel.guerrero.1115@gslingacademy.com</t>
  </si>
  <si>
    <t>Jillian</t>
  </si>
  <si>
    <t>jillian.dominguez.1116@gslingacademy.com</t>
  </si>
  <si>
    <t>samantha.phillips.1117@gslingacademy.com</t>
  </si>
  <si>
    <t>Dylan</t>
  </si>
  <si>
    <t>dylan.rogers.1118@gslingacademy.com</t>
  </si>
  <si>
    <t>brittany.spencer.1119@gslingacademy.com</t>
  </si>
  <si>
    <t>melissa.terry.1120@gslingacademy.com</t>
  </si>
  <si>
    <t>robin.perez.1121@gslingacademy.com</t>
  </si>
  <si>
    <t>Hopkins</t>
  </si>
  <si>
    <t>veronica.hopkins.1122@gslingacademy.com</t>
  </si>
  <si>
    <t>daniel.lewis.1123@gslingacademy.com</t>
  </si>
  <si>
    <t>Mallory</t>
  </si>
  <si>
    <t>mallory.collins.1124@gslingacademy.com</t>
  </si>
  <si>
    <t>stephen.sosa.1125@gslingacademy.com</t>
  </si>
  <si>
    <t>andrew.hunter.1126@gslingacademy.com</t>
  </si>
  <si>
    <t>Hartman</t>
  </si>
  <si>
    <t>david.hartman.1127@gslingacademy.com</t>
  </si>
  <si>
    <t>paul.taylor.1128@gslingacademy.com</t>
  </si>
  <si>
    <t>Simmons</t>
  </si>
  <si>
    <t>brittany.simmons.1129@gslingacademy.com</t>
  </si>
  <si>
    <t>emma.jones.1130@gslingacademy.com</t>
  </si>
  <si>
    <t>Aguilar</t>
  </si>
  <si>
    <t>matthew.aguilar.1131@gslingacademy.com</t>
  </si>
  <si>
    <t>brett.myers.1132@gslingacademy.com</t>
  </si>
  <si>
    <t>lisa.alexander.1133@gslingacademy.com</t>
  </si>
  <si>
    <t>stephanie.allen.1134@gslingacademy.com</t>
  </si>
  <si>
    <t>rebecca.clark.1135@gslingacademy.com</t>
  </si>
  <si>
    <t>andrew.sanders.1136@gslingacademy.com</t>
  </si>
  <si>
    <t>julia.day.1137@gslingacademy.com</t>
  </si>
  <si>
    <t>Amber</t>
  </si>
  <si>
    <t>Levy</t>
  </si>
  <si>
    <t>amber.levy.1138@gslingacademy.com</t>
  </si>
  <si>
    <t>nicole.daniel.1139@gslingacademy.com</t>
  </si>
  <si>
    <t>sarah.wells.1140@gslingacademy.com</t>
  </si>
  <si>
    <t>laura.stone.1141@gslingacademy.com</t>
  </si>
  <si>
    <t>Glenn</t>
  </si>
  <si>
    <t>katherine.glenn.1142@gslingacademy.com</t>
  </si>
  <si>
    <t>Mccall</t>
  </si>
  <si>
    <t>catherine.mccall.1143@gslingacademy.com</t>
  </si>
  <si>
    <t>tammy.andrews.1144@gslingacademy.com</t>
  </si>
  <si>
    <t>kathryn.powell.1145@gslingacademy.com</t>
  </si>
  <si>
    <t>Lutz</t>
  </si>
  <si>
    <t>michael.lutz.1146@gslingacademy.com</t>
  </si>
  <si>
    <t>brian.myers.1147@gslingacademy.com</t>
  </si>
  <si>
    <t>maria.adams.1148@gslingacademy.com</t>
  </si>
  <si>
    <t>Ronnie</t>
  </si>
  <si>
    <t>ronnie.nguyen.1149@gslingacademy.com</t>
  </si>
  <si>
    <t>daniel.stephens.1150@gslingacademy.com</t>
  </si>
  <si>
    <t>Oliver</t>
  </si>
  <si>
    <t>brandon.oliver.1151@gslingacademy.com</t>
  </si>
  <si>
    <t>david.vazquez.1152@gslingacademy.com</t>
  </si>
  <si>
    <t>Desiree</t>
  </si>
  <si>
    <t>desiree.moore.1153@gslingacademy.com</t>
  </si>
  <si>
    <t>jessica.turner.1154@gslingacademy.com</t>
  </si>
  <si>
    <t>Bishop</t>
  </si>
  <si>
    <t>scott.bishop.1155@gslingacademy.com</t>
  </si>
  <si>
    <t>cassandra.flores.1156@gslingacademy.com</t>
  </si>
  <si>
    <t>miguel.hernandez.1157@gslingacademy.com</t>
  </si>
  <si>
    <t>brittany.welch.1158@gslingacademy.com</t>
  </si>
  <si>
    <t>robert.ross.1159@gslingacademy.com</t>
  </si>
  <si>
    <t>jennifer.white.1160@gslingacademy.com</t>
  </si>
  <si>
    <t>rebecca.smith.1161@gslingacademy.com</t>
  </si>
  <si>
    <t>Ferrell</t>
  </si>
  <si>
    <t>jessica.ferrell.1162@gslingacademy.com</t>
  </si>
  <si>
    <t>Montgomery</t>
  </si>
  <si>
    <t>jeremy.montgomery.1163@gslingacademy.com</t>
  </si>
  <si>
    <t>angel.gilbert.1164@gslingacademy.com</t>
  </si>
  <si>
    <t>rebecca.roman.1165@gslingacademy.com</t>
  </si>
  <si>
    <t>frank.lopez.1166@gslingacademy.com</t>
  </si>
  <si>
    <t>thomas.hernandez.1167@gslingacademy.com</t>
  </si>
  <si>
    <t>crystal.miller.1168@gslingacademy.com</t>
  </si>
  <si>
    <t>Wallace</t>
  </si>
  <si>
    <t>nicholas.wallace.1169@gslingacademy.com</t>
  </si>
  <si>
    <t>arthur.brown.1170@gslingacademy.com</t>
  </si>
  <si>
    <t>Monroe</t>
  </si>
  <si>
    <t>corey.monroe.1171@gslingacademy.com</t>
  </si>
  <si>
    <t>angel.green.1172@gslingacademy.com</t>
  </si>
  <si>
    <t>tina.anderson.1173@gslingacademy.com</t>
  </si>
  <si>
    <t>Khan</t>
  </si>
  <si>
    <t>rebecca.khan.1174@gslingacademy.com</t>
  </si>
  <si>
    <t>terry.dean.1175@gslingacademy.com</t>
  </si>
  <si>
    <t>tyler.martin.1176@gslingacademy.com</t>
  </si>
  <si>
    <t>derrick.hartman.1177@gslingacademy.com</t>
  </si>
  <si>
    <t>Stevens</t>
  </si>
  <si>
    <t>mark.stevens.1178@gslingacademy.com</t>
  </si>
  <si>
    <t>Tate</t>
  </si>
  <si>
    <t>scott.tate.1179@gslingacademy.com</t>
  </si>
  <si>
    <t>Deleon</t>
  </si>
  <si>
    <t>melissa.deleon.1180@gslingacademy.com</t>
  </si>
  <si>
    <t>nicole.newman.1181@gslingacademy.com</t>
  </si>
  <si>
    <t>Burton</t>
  </si>
  <si>
    <t>brent.burton.1182@gslingacademy.com</t>
  </si>
  <si>
    <t>Bright</t>
  </si>
  <si>
    <t>victor.bright.1183@gslingacademy.com</t>
  </si>
  <si>
    <t>kenneth.turner.1184@gslingacademy.com</t>
  </si>
  <si>
    <t>Bailey</t>
  </si>
  <si>
    <t>lisa.bailey.1185@gslingacademy.com</t>
  </si>
  <si>
    <t>nancy.fowler.1186@gslingacademy.com</t>
  </si>
  <si>
    <t>Gabriel</t>
  </si>
  <si>
    <t>gabriel.wilson.1187@gslingacademy.com</t>
  </si>
  <si>
    <t>andrea.barrett.1188@gslingacademy.com</t>
  </si>
  <si>
    <t>jessica.williams.1189@gslingacademy.com</t>
  </si>
  <si>
    <t>Hector</t>
  </si>
  <si>
    <t>hector.cox.1190@gslingacademy.com</t>
  </si>
  <si>
    <t>michelle.mendoza.1191@gslingacademy.com</t>
  </si>
  <si>
    <t>adam.wallace.1192@gslingacademy.com</t>
  </si>
  <si>
    <t>kelly.harris.1193@gslingacademy.com</t>
  </si>
  <si>
    <t>anthony.clark.1194@gslingacademy.com</t>
  </si>
  <si>
    <t>Randall</t>
  </si>
  <si>
    <t>randall.wyatt.1195@gslingacademy.com</t>
  </si>
  <si>
    <t>ryan.sutton.1196@gslingacademy.com</t>
  </si>
  <si>
    <t>Rick</t>
  </si>
  <si>
    <t>rick.garcia.1197@gslingacademy.com</t>
  </si>
  <si>
    <t>Schmitt</t>
  </si>
  <si>
    <t>frank.schmitt.1198@gslingacademy.com</t>
  </si>
  <si>
    <t>Alan</t>
  </si>
  <si>
    <t>Mcgrath</t>
  </si>
  <si>
    <t>alan.mcgrath.1199@gslingacademy.com</t>
  </si>
  <si>
    <t>lauren.gomez.1200@gslingacademy.com</t>
  </si>
  <si>
    <t>katherine.taylor.1201@gslingacademy.com</t>
  </si>
  <si>
    <t>ashley.york.1202@gslingacademy.com</t>
  </si>
  <si>
    <t>Rangel</t>
  </si>
  <si>
    <t>charles.rangel.1203@gslingacademy.com</t>
  </si>
  <si>
    <t>Brooke</t>
  </si>
  <si>
    <t>brooke.burnett.1204@gslingacademy.com</t>
  </si>
  <si>
    <t>Ronald</t>
  </si>
  <si>
    <t>ronald.lane.1205@gslingacademy.com</t>
  </si>
  <si>
    <t>emma.andrews.1206@gslingacademy.com</t>
  </si>
  <si>
    <t>nancy.esparza.1207@gslingacademy.com</t>
  </si>
  <si>
    <t>Erickson</t>
  </si>
  <si>
    <t>sean.erickson.1208@gslingacademy.com</t>
  </si>
  <si>
    <t>heather.davis.1209@gslingacademy.com</t>
  </si>
  <si>
    <t>kimberly.bailey.1210@gslingacademy.com</t>
  </si>
  <si>
    <t>tracy.garcia.1211@gslingacademy.com</t>
  </si>
  <si>
    <t>Rhodes</t>
  </si>
  <si>
    <t>brenda.rhodes.1212@gslingacademy.com</t>
  </si>
  <si>
    <t>sarah.brooks.1213@gslingacademy.com</t>
  </si>
  <si>
    <t>Beck</t>
  </si>
  <si>
    <t>jennifer.beck.1214@gslingacademy.com</t>
  </si>
  <si>
    <t>Bond</t>
  </si>
  <si>
    <t>allison.bond.1215@gslingacademy.com</t>
  </si>
  <si>
    <t>jessica.smith.1216@gslingacademy.com</t>
  </si>
  <si>
    <t>carol.nguyen.1217@gslingacademy.com</t>
  </si>
  <si>
    <t>george.francis.1218@gslingacademy.com</t>
  </si>
  <si>
    <t>michelle.dixon.1219@gslingacademy.com</t>
  </si>
  <si>
    <t>linda.george.1220@gslingacademy.com</t>
  </si>
  <si>
    <t>larry.bruce.1221@gslingacademy.com</t>
  </si>
  <si>
    <t>charles.myers.1222@gslingacademy.com</t>
  </si>
  <si>
    <t>matthew.boyd.1223@gslingacademy.com</t>
  </si>
  <si>
    <t>Brewer</t>
  </si>
  <si>
    <t>ronald.brewer.1224@gslingacademy.com</t>
  </si>
  <si>
    <t>kimberly.mcgee.1225@gslingacademy.com</t>
  </si>
  <si>
    <t>jill.anderson.1226@gslingacademy.com</t>
  </si>
  <si>
    <t>Coffey</t>
  </si>
  <si>
    <t>david.coffey.1227@gslingacademy.com</t>
  </si>
  <si>
    <t>brittany.henderson.1228@gslingacademy.com</t>
  </si>
  <si>
    <t>holly.richardson.1229@gslingacademy.com</t>
  </si>
  <si>
    <t>justin.brooks.1230@gslingacademy.com</t>
  </si>
  <si>
    <t>Frederick</t>
  </si>
  <si>
    <t>joan.frederick.1231@gslingacademy.com</t>
  </si>
  <si>
    <t>Loretta</t>
  </si>
  <si>
    <t>Webb</t>
  </si>
  <si>
    <t>loretta.webb.1232@gslingacademy.com</t>
  </si>
  <si>
    <t>Toni</t>
  </si>
  <si>
    <t>Zimmerman</t>
  </si>
  <si>
    <t>toni.zimmerman.1233@gslingacademy.com</t>
  </si>
  <si>
    <t>Houston</t>
  </si>
  <si>
    <t>jaime.houston.1234@gslingacademy.com</t>
  </si>
  <si>
    <t>Goodman</t>
  </si>
  <si>
    <t>jacqueline.goodman.1235@gslingacademy.com</t>
  </si>
  <si>
    <t>Crawford</t>
  </si>
  <si>
    <t>brian.crawford.1236@gslingacademy.com</t>
  </si>
  <si>
    <t>john.reynolds.1237@gslingacademy.com</t>
  </si>
  <si>
    <t>Marsh</t>
  </si>
  <si>
    <t>heather.marsh.1238@gslingacademy.com</t>
  </si>
  <si>
    <t>dawn.flores.1239@gslingacademy.com</t>
  </si>
  <si>
    <t>Christie</t>
  </si>
  <si>
    <t>christie.lane.1240@gslingacademy.com</t>
  </si>
  <si>
    <t>traci.johnson.1241@gslingacademy.com</t>
  </si>
  <si>
    <t>robert.hartman.1242@gslingacademy.com</t>
  </si>
  <si>
    <t>Porter</t>
  </si>
  <si>
    <t>christopher.porter.1243@gslingacademy.com</t>
  </si>
  <si>
    <t>phillip.lynch.1244@gslingacademy.com</t>
  </si>
  <si>
    <t>matthew.green.1245@gslingacademy.com</t>
  </si>
  <si>
    <t>jesse.johnson.1246@gslingacademy.com</t>
  </si>
  <si>
    <t>donna.andrews.1247@gslingacademy.com</t>
  </si>
  <si>
    <t>timothy.hall.1248@gslingacademy.com</t>
  </si>
  <si>
    <t>amy.hicks.1249@gslingacademy.com</t>
  </si>
  <si>
    <t>Wall</t>
  </si>
  <si>
    <t>susan.wall.1250@gslingacademy.com</t>
  </si>
  <si>
    <t>david.fields.1251@gslingacademy.com</t>
  </si>
  <si>
    <t>Terri</t>
  </si>
  <si>
    <t>Lyons</t>
  </si>
  <si>
    <t>terri.lyons.1252@gslingacademy.com</t>
  </si>
  <si>
    <t>eric.jones.1253@gslingacademy.com</t>
  </si>
  <si>
    <t>betty.nguyen.1254@gslingacademy.com</t>
  </si>
  <si>
    <t>Albert</t>
  </si>
  <si>
    <t>albert.anderson.1255@gslingacademy.com</t>
  </si>
  <si>
    <t>Katrina</t>
  </si>
  <si>
    <t>katrina.montgomery.1256@gslingacademy.com</t>
  </si>
  <si>
    <t>samantha.cole.1257@gslingacademy.com</t>
  </si>
  <si>
    <t>Kathleen</t>
  </si>
  <si>
    <t>Potts</t>
  </si>
  <si>
    <t>kathleen.potts.1258@gslingacademy.com</t>
  </si>
  <si>
    <t>melissa.edwards.1259@gslingacademy.com</t>
  </si>
  <si>
    <t>mark.delgado.1260@gslingacademy.com</t>
  </si>
  <si>
    <t>Derek</t>
  </si>
  <si>
    <t>Bates</t>
  </si>
  <si>
    <t>derek.bates.1261@gslingacademy.com</t>
  </si>
  <si>
    <t>ryan.ruiz.1262@gslingacademy.com</t>
  </si>
  <si>
    <t>Gill</t>
  </si>
  <si>
    <t>charles.gill.1263@gslingacademy.com</t>
  </si>
  <si>
    <t>amanda.edwards.1264@gslingacademy.com</t>
  </si>
  <si>
    <t>emily.waters.1265@gslingacademy.com</t>
  </si>
  <si>
    <t>john.stevenson.1266@gslingacademy.com</t>
  </si>
  <si>
    <t>kevin.hoffman.1267@gslingacademy.com</t>
  </si>
  <si>
    <t>Mcconnell</t>
  </si>
  <si>
    <t>joseph.mcconnell.1268@gslingacademy.com</t>
  </si>
  <si>
    <t>jessica.smith.1269@gslingacademy.com</t>
  </si>
  <si>
    <t>shannon.martinez.1270@gslingacademy.com</t>
  </si>
  <si>
    <t>kenneth.baker.1271@gslingacademy.com</t>
  </si>
  <si>
    <t>margaret.sanchez.1272@gslingacademy.com</t>
  </si>
  <si>
    <t>Hensley</t>
  </si>
  <si>
    <t>ryan.hensley.1273@gslingacademy.com</t>
  </si>
  <si>
    <t>Stephenson</t>
  </si>
  <si>
    <t>sharon.stephenson.1274@gslingacademy.com</t>
  </si>
  <si>
    <t>shawn.cameron.1275@gslingacademy.com</t>
  </si>
  <si>
    <t>stephanie.kennedy.1276@gslingacademy.com</t>
  </si>
  <si>
    <t>Abbott</t>
  </si>
  <si>
    <t>hayley.abbott.1277@gslingacademy.com</t>
  </si>
  <si>
    <t>rachel.jacobs.1278@gslingacademy.com</t>
  </si>
  <si>
    <t>Tran</t>
  </si>
  <si>
    <t>danielle.tran.1279@gslingacademy.com</t>
  </si>
  <si>
    <t>autumn.barrett.1280@gslingacademy.com</t>
  </si>
  <si>
    <t>jennifer.landry.1281@gslingacademy.com</t>
  </si>
  <si>
    <t>sean.rodriguez.1282@gslingacademy.com</t>
  </si>
  <si>
    <t>ryan.long.1283@gslingacademy.com</t>
  </si>
  <si>
    <t>robert.hancock.1284@gslingacademy.com</t>
  </si>
  <si>
    <t>stephanie.rodriguez.1285@gslingacademy.com</t>
  </si>
  <si>
    <t>kristen.evans.1286@gslingacademy.com</t>
  </si>
  <si>
    <t>jaime.white.1287@gslingacademy.com</t>
  </si>
  <si>
    <t>Marcus</t>
  </si>
  <si>
    <t>marcus.howard.1288@gslingacademy.com</t>
  </si>
  <si>
    <t>Lucas</t>
  </si>
  <si>
    <t>lucas.jenkins.1289@gslingacademy.com</t>
  </si>
  <si>
    <t>aaron.ortiz.1290@gslingacademy.com</t>
  </si>
  <si>
    <t>todd.stephens.1291@gslingacademy.com</t>
  </si>
  <si>
    <t>Blackburn</t>
  </si>
  <si>
    <t>denise.blackburn.1292@gslingacademy.com</t>
  </si>
  <si>
    <t>susan.perez.1293@gslingacademy.com</t>
  </si>
  <si>
    <t>tyler.green.1294@gslingacademy.com</t>
  </si>
  <si>
    <t>rebecca.daniel.1295@gslingacademy.com</t>
  </si>
  <si>
    <t>Alexandria</t>
  </si>
  <si>
    <t>alexandria.harris.1296@gslingacademy.com</t>
  </si>
  <si>
    <t>Danny</t>
  </si>
  <si>
    <t>danny.taylor.1297@gslingacademy.com</t>
  </si>
  <si>
    <t>amanda.evans.1298@gslingacademy.com</t>
  </si>
  <si>
    <t>scott.owens.1299@gslingacademy.com</t>
  </si>
  <si>
    <t>jesus.jones.1300@gslingacademy.com</t>
  </si>
  <si>
    <t>Spence</t>
  </si>
  <si>
    <t>april.spence.1301@gslingacademy.com</t>
  </si>
  <si>
    <t>christopher.lopez.1302@gslingacademy.com</t>
  </si>
  <si>
    <t>mario.hopkins.1303@gslingacademy.com</t>
  </si>
  <si>
    <t>cody.burke.1304@gslingacademy.com</t>
  </si>
  <si>
    <t>Candace</t>
  </si>
  <si>
    <t>candace.white.1305@gslingacademy.com</t>
  </si>
  <si>
    <t>robert.brown.1306@gslingacademy.com</t>
  </si>
  <si>
    <t>erica.woodward.1307@gslingacademy.com</t>
  </si>
  <si>
    <t>elizabeth.smith.1308@gslingacademy.com</t>
  </si>
  <si>
    <t>jennifer.martin.1309@gslingacademy.com</t>
  </si>
  <si>
    <t>david.smith.1310@gslingacademy.com</t>
  </si>
  <si>
    <t>lori.johnson.1311@gslingacademy.com</t>
  </si>
  <si>
    <t>martin.garcia.1312@gslingacademy.com</t>
  </si>
  <si>
    <t>stacy.collins.1313@gslingacademy.com</t>
  </si>
  <si>
    <t>timothy.bailey.1314@gslingacademy.com</t>
  </si>
  <si>
    <t>susan.gonzalez.1315@gslingacademy.com</t>
  </si>
  <si>
    <t>nicole.harris.1316@gslingacademy.com</t>
  </si>
  <si>
    <t>courtney.moran.1317@gslingacademy.com</t>
  </si>
  <si>
    <t>Barton</t>
  </si>
  <si>
    <t>gregory.barton.1318@gslingacademy.com</t>
  </si>
  <si>
    <t>Dakota</t>
  </si>
  <si>
    <t>dakota.clark.1319@gslingacademy.com</t>
  </si>
  <si>
    <t>Leonard</t>
  </si>
  <si>
    <t>robin.leonard.1320@gslingacademy.com</t>
  </si>
  <si>
    <t>Edward</t>
  </si>
  <si>
    <t>edward.smith.1321@gslingacademy.com</t>
  </si>
  <si>
    <t>Little</t>
  </si>
  <si>
    <t>julie.little.1322@gslingacademy.com</t>
  </si>
  <si>
    <t>Norman</t>
  </si>
  <si>
    <t>maureen.norman.1323@gslingacademy.com</t>
  </si>
  <si>
    <t>jeffrey.andrews.1324@gslingacademy.com</t>
  </si>
  <si>
    <t>christina.martinez.1325@gslingacademy.com</t>
  </si>
  <si>
    <t>Becker</t>
  </si>
  <si>
    <t>samuel.becker.1326@gslingacademy.com</t>
  </si>
  <si>
    <t>Flynn</t>
  </si>
  <si>
    <t>carlos.flynn.1327@gslingacademy.com</t>
  </si>
  <si>
    <t>roberto.martin.1328@gslingacademy.com</t>
  </si>
  <si>
    <t>jennifer.johnson.1329@gslingacademy.com</t>
  </si>
  <si>
    <t>Shah</t>
  </si>
  <si>
    <t>anthony.shah.1330@gslingacademy.com</t>
  </si>
  <si>
    <t>aimee.cook.1331@gslingacademy.com</t>
  </si>
  <si>
    <t>angela.collins.1332@gslingacademy.com</t>
  </si>
  <si>
    <t>Jensen</t>
  </si>
  <si>
    <t>john.jensen.1333@gslingacademy.com</t>
  </si>
  <si>
    <t>julie.gomez.1334@gslingacademy.com</t>
  </si>
  <si>
    <t>bryan.mitchell.1335@gslingacademy.com</t>
  </si>
  <si>
    <t>katie.clark.1336@gslingacademy.com</t>
  </si>
  <si>
    <t>kathleen.simpson.1337@gslingacademy.com</t>
  </si>
  <si>
    <t>Carolyn</t>
  </si>
  <si>
    <t>carolyn.reyes.1338@gslingacademy.com</t>
  </si>
  <si>
    <t>derrick.ortiz.1339@gslingacademy.com</t>
  </si>
  <si>
    <t>Calvin</t>
  </si>
  <si>
    <t>Huynh</t>
  </si>
  <si>
    <t>calvin.huynh.1340@gslingacademy.com</t>
  </si>
  <si>
    <t>margaret.wells.1341@gslingacademy.com</t>
  </si>
  <si>
    <t>Fitzpatrick</t>
  </si>
  <si>
    <t>heather.fitzpatrick.1342@gslingacademy.com</t>
  </si>
  <si>
    <t>kimberly.wood.1343@gslingacademy.com</t>
  </si>
  <si>
    <t>gina.kennedy.1344@gslingacademy.com</t>
  </si>
  <si>
    <t>jeremy.ward.1345@gslingacademy.com</t>
  </si>
  <si>
    <t>patricia.rhodes.1346@gslingacademy.com</t>
  </si>
  <si>
    <t>Connie</t>
  </si>
  <si>
    <t>Colon</t>
  </si>
  <si>
    <t>connie.colon.1347@gslingacademy.com</t>
  </si>
  <si>
    <t>pamela.moyer.1348@gslingacademy.com</t>
  </si>
  <si>
    <t>rachel.williams.1349@gslingacademy.com</t>
  </si>
  <si>
    <t>sean.malone.1350@gslingacademy.com</t>
  </si>
  <si>
    <t>Fitzgerald</t>
  </si>
  <si>
    <t>natalie.fitzgerald.1351@gslingacademy.com</t>
  </si>
  <si>
    <t>kevin.diaz.1352@gslingacademy.com</t>
  </si>
  <si>
    <t>beth.jones.1353@gslingacademy.com</t>
  </si>
  <si>
    <t>kathryn.bates.1354@gslingacademy.com</t>
  </si>
  <si>
    <t>aaron.mcdaniel.1355@gslingacademy.com</t>
  </si>
  <si>
    <t>angela.king.1356@gslingacademy.com</t>
  </si>
  <si>
    <t>lauren.arias.1357@gslingacademy.com</t>
  </si>
  <si>
    <t>alyssa.miller.1358@gslingacademy.com</t>
  </si>
  <si>
    <t>lisa.best.1359@gslingacademy.com</t>
  </si>
  <si>
    <t>nicole.garcia.1360@gslingacademy.com</t>
  </si>
  <si>
    <t>william.lee.1361@gslingacademy.com</t>
  </si>
  <si>
    <t>Bowen</t>
  </si>
  <si>
    <t>christopher.bowen.1362@gslingacademy.com</t>
  </si>
  <si>
    <t>Bradford</t>
  </si>
  <si>
    <t>david.bradford.1363@gslingacademy.com</t>
  </si>
  <si>
    <t>stephanie.jordan.1364@gslingacademy.com</t>
  </si>
  <si>
    <t>Blake</t>
  </si>
  <si>
    <t>joseph.blake.1365@gslingacademy.com</t>
  </si>
  <si>
    <t>Velasquez</t>
  </si>
  <si>
    <t>christina.velasquez.1366@gslingacademy.com</t>
  </si>
  <si>
    <t>thomas.calderon.1367@gslingacademy.com</t>
  </si>
  <si>
    <t>jorge.lee.1368@gslingacademy.com</t>
  </si>
  <si>
    <t>Jasmin</t>
  </si>
  <si>
    <t>jasmin.phillips.1369@gslingacademy.com</t>
  </si>
  <si>
    <t>vincent.wilson.1370@gslingacademy.com</t>
  </si>
  <si>
    <t>richard.ryan.1371@gslingacademy.com</t>
  </si>
  <si>
    <t>jesse.garcia.1372@gslingacademy.com</t>
  </si>
  <si>
    <t>james.tate.1373@gslingacademy.com</t>
  </si>
  <si>
    <t>charles.may.1374@gslingacademy.com</t>
  </si>
  <si>
    <t>jeremiah.lee.1375@gslingacademy.com</t>
  </si>
  <si>
    <t>debra.reynolds.1376@gslingacademy.com</t>
  </si>
  <si>
    <t>Doyle</t>
  </si>
  <si>
    <t>eric.doyle.1377@gslingacademy.com</t>
  </si>
  <si>
    <t>john.perez.1378@gslingacademy.com</t>
  </si>
  <si>
    <t>hector.garcia.1379@gslingacademy.com</t>
  </si>
  <si>
    <t>Andres</t>
  </si>
  <si>
    <t>andres.rodriguez.1380@gslingacademy.com</t>
  </si>
  <si>
    <t>Shelley</t>
  </si>
  <si>
    <t>shelley.murphy.1381@gslingacademy.com</t>
  </si>
  <si>
    <t>robin.carr.1382@gslingacademy.com</t>
  </si>
  <si>
    <t>Lambert</t>
  </si>
  <si>
    <t>julie.lambert.1383@gslingacademy.com</t>
  </si>
  <si>
    <t>cynthia.rodriguez.1384@gslingacademy.com</t>
  </si>
  <si>
    <t>thomas.ball.1385@gslingacademy.com</t>
  </si>
  <si>
    <t>Pope</t>
  </si>
  <si>
    <t>patricia.pope.1386@gslingacademy.com</t>
  </si>
  <si>
    <t>bryan.pacheco.1387@gslingacademy.com</t>
  </si>
  <si>
    <t>steven.richardson.1388@gslingacademy.com</t>
  </si>
  <si>
    <t>Hood</t>
  </si>
  <si>
    <t>deborah.hood.1389@gslingacademy.com</t>
  </si>
  <si>
    <t>laura.campbell.1390@gslingacademy.com</t>
  </si>
  <si>
    <t>bradley.patel.1391@gslingacademy.com</t>
  </si>
  <si>
    <t>angela.moran.1392@gslingacademy.com</t>
  </si>
  <si>
    <t>samuel.lee.1393@gslingacademy.com</t>
  </si>
  <si>
    <t>catherine.miles.1394@gslingacademy.com</t>
  </si>
  <si>
    <t>joseph.erickson.1395@gslingacademy.com</t>
  </si>
  <si>
    <t>bradley.cook.1396@gslingacademy.com</t>
  </si>
  <si>
    <t>Tony</t>
  </si>
  <si>
    <t>tony.montgomery.1397@gslingacademy.com</t>
  </si>
  <si>
    <t>Drew</t>
  </si>
  <si>
    <t>drew.williams.1398@gslingacademy.com</t>
  </si>
  <si>
    <t>Gwendolyn</t>
  </si>
  <si>
    <t>gwendolyn.martinez.1399@gslingacademy.com</t>
  </si>
  <si>
    <t>nathan.calhoun.1400@gslingacademy.com</t>
  </si>
  <si>
    <t>Krista</t>
  </si>
  <si>
    <t>krista.myers.1401@gslingacademy.com</t>
  </si>
  <si>
    <t>jeremy.bailey.1402@gslingacademy.com</t>
  </si>
  <si>
    <t>nicholas.lester.1403@gslingacademy.com</t>
  </si>
  <si>
    <t>Ford</t>
  </si>
  <si>
    <t>jennifer.ford.1404@gslingacademy.com</t>
  </si>
  <si>
    <t>connor.mitchell.1405@gslingacademy.com</t>
  </si>
  <si>
    <t>christine.nelson.1406@gslingacademy.com</t>
  </si>
  <si>
    <t>rebecca.spencer.1407@gslingacademy.com</t>
  </si>
  <si>
    <t>kyle.rojas.1408@gslingacademy.com</t>
  </si>
  <si>
    <t>stacy.sanders.1409@gslingacademy.com</t>
  </si>
  <si>
    <t>taylor.waters.1410@gslingacademy.com</t>
  </si>
  <si>
    <t>julie.nichols.1411@gslingacademy.com</t>
  </si>
  <si>
    <t>Lin</t>
  </si>
  <si>
    <t>john.lin.1412@gslingacademy.com</t>
  </si>
  <si>
    <t>william.ryan.1413@gslingacademy.com</t>
  </si>
  <si>
    <t>joseph.phillips.1414@gslingacademy.com</t>
  </si>
  <si>
    <t>christina.ramirez.1415@gslingacademy.com</t>
  </si>
  <si>
    <t>laura.baxter.1416@gslingacademy.com</t>
  </si>
  <si>
    <t>kevin.jackson.1417@gslingacademy.com</t>
  </si>
  <si>
    <t>Kayla</t>
  </si>
  <si>
    <t>kayla.schwartz.1418@gslingacademy.com</t>
  </si>
  <si>
    <t>jason.myers.1419@gslingacademy.com</t>
  </si>
  <si>
    <t>Arnold</t>
  </si>
  <si>
    <t>mary.arnold.1420@gslingacademy.com</t>
  </si>
  <si>
    <t>suzanne.owens.1421@gslingacademy.com</t>
  </si>
  <si>
    <t>Misty</t>
  </si>
  <si>
    <t>misty.stewart.1422@gslingacademy.com</t>
  </si>
  <si>
    <t>paul.johnson.1423@gslingacademy.com</t>
  </si>
  <si>
    <t>Rocha</t>
  </si>
  <si>
    <t>jordan.rocha.1424@gslingacademy.com</t>
  </si>
  <si>
    <t>roger.dixon.1425@gslingacademy.com</t>
  </si>
  <si>
    <t>Garrison</t>
  </si>
  <si>
    <t>patricia.garrison.1426@gslingacademy.com</t>
  </si>
  <si>
    <t>amanda.davis.1427@gslingacademy.com</t>
  </si>
  <si>
    <t>michael.ferguson.1428@gslingacademy.com</t>
  </si>
  <si>
    <t>melissa.robinson.1429@gslingacademy.com</t>
  </si>
  <si>
    <t>kathryn.rivera.1430@gslingacademy.com</t>
  </si>
  <si>
    <t>Javier</t>
  </si>
  <si>
    <t>Macdonald</t>
  </si>
  <si>
    <t>javier.macdonald.1431@gslingacademy.com</t>
  </si>
  <si>
    <t>Elliott</t>
  </si>
  <si>
    <t>angela.elliott.1432@gslingacademy.com</t>
  </si>
  <si>
    <t>christine.collins.1433@gslingacademy.com</t>
  </si>
  <si>
    <t>calvin.taylor.1434@gslingacademy.com</t>
  </si>
  <si>
    <t>jennifer.contreras.1435@gslingacademy.com</t>
  </si>
  <si>
    <t>Mccoy</t>
  </si>
  <si>
    <t>jennifer.mccoy.1436@gslingacademy.com</t>
  </si>
  <si>
    <t>daniel.thomas.1437@gslingacademy.com</t>
  </si>
  <si>
    <t>brian.hess.1438@gslingacademy.com</t>
  </si>
  <si>
    <t>jessica.mathews.1439@gslingacademy.com</t>
  </si>
  <si>
    <t>kathryn.sanchez.1440@gslingacademy.com</t>
  </si>
  <si>
    <t>jeremy.cook.1441@gslingacademy.com</t>
  </si>
  <si>
    <t>michael.anderson.1442@gslingacademy.com</t>
  </si>
  <si>
    <t>Olivia</t>
  </si>
  <si>
    <t>olivia.garza.1443@gslingacademy.com</t>
  </si>
  <si>
    <t>emily.mason.1444@gslingacademy.com</t>
  </si>
  <si>
    <t>jennifer.gonzales.1445@gslingacademy.com</t>
  </si>
  <si>
    <t>samantha.rodriguez.1446@gslingacademy.com</t>
  </si>
  <si>
    <t>anthony.adams.1447@gslingacademy.com</t>
  </si>
  <si>
    <t>ronald.diaz.1448@gslingacademy.com</t>
  </si>
  <si>
    <t>Dana</t>
  </si>
  <si>
    <t>dana.lambert.1449@gslingacademy.com</t>
  </si>
  <si>
    <t>jonathan.mckay.1450@gslingacademy.com</t>
  </si>
  <si>
    <t>Odom</t>
  </si>
  <si>
    <t>thomas.odom.1451@gslingacademy.com</t>
  </si>
  <si>
    <t>john.wells.1452@gslingacademy.com</t>
  </si>
  <si>
    <t>richard.castillo.1453@gslingacademy.com</t>
  </si>
  <si>
    <t>Peck</t>
  </si>
  <si>
    <t>peter.peck.1454@gslingacademy.com</t>
  </si>
  <si>
    <t>Chris</t>
  </si>
  <si>
    <t>chris.greene.1455@gslingacademy.com</t>
  </si>
  <si>
    <t>Vance</t>
  </si>
  <si>
    <t>michael.vance.1456@gslingacademy.com</t>
  </si>
  <si>
    <t>joanne.howard.1457@gslingacademy.com</t>
  </si>
  <si>
    <t>james.clarke.1458@gslingacademy.com</t>
  </si>
  <si>
    <t>michael.smith.1459@gslingacademy.com</t>
  </si>
  <si>
    <t>nicole.king.1460@gslingacademy.com</t>
  </si>
  <si>
    <t>Ruth</t>
  </si>
  <si>
    <t>ruth.miller.1461@gslingacademy.com</t>
  </si>
  <si>
    <t>katelyn.roman.1462@gslingacademy.com</t>
  </si>
  <si>
    <t>Hendricks</t>
  </si>
  <si>
    <t>allison.hendricks.1463@gslingacademy.com</t>
  </si>
  <si>
    <t>zachary.lucero.1464@gslingacademy.com</t>
  </si>
  <si>
    <t>gregory.ryan.1465@gslingacademy.com</t>
  </si>
  <si>
    <t>jacob.hall.1466@gslingacademy.com</t>
  </si>
  <si>
    <t>mark.wright.1467@gslingacademy.com</t>
  </si>
  <si>
    <t>jennifer.wright.1468@gslingacademy.com</t>
  </si>
  <si>
    <t>Dyer</t>
  </si>
  <si>
    <t>kimberly.dyer.1469@gslingacademy.com</t>
  </si>
  <si>
    <t>nicole.grant.1470@gslingacademy.com</t>
  </si>
  <si>
    <t>peter.anderson.1471@gslingacademy.com</t>
  </si>
  <si>
    <t>christine.hernandez.1472@gslingacademy.com</t>
  </si>
  <si>
    <t>christine.smith.1473@gslingacademy.com</t>
  </si>
  <si>
    <t>mark.robinson.1474@gslingacademy.com</t>
  </si>
  <si>
    <t>Estrada</t>
  </si>
  <si>
    <t>joan.estrada.1475@gslingacademy.com</t>
  </si>
  <si>
    <t>Shelby</t>
  </si>
  <si>
    <t>shelby.lewis.1476@gslingacademy.com</t>
  </si>
  <si>
    <t>joshua.williams.1477@gslingacademy.com</t>
  </si>
  <si>
    <t>cynthia.martinez.1478@gslingacademy.com</t>
  </si>
  <si>
    <t>Holt</t>
  </si>
  <si>
    <t>kevin.holt.1479@gslingacademy.com</t>
  </si>
  <si>
    <t>Nolan</t>
  </si>
  <si>
    <t>jessica.nolan.1480@gslingacademy.com</t>
  </si>
  <si>
    <t>timothy.fowler.1481@gslingacademy.com</t>
  </si>
  <si>
    <t>Ibarra</t>
  </si>
  <si>
    <t>samantha.ibarra.1482@gslingacademy.com</t>
  </si>
  <si>
    <t>michelle.guerrero.1483@gslingacademy.com</t>
  </si>
  <si>
    <t>Pineda</t>
  </si>
  <si>
    <t>stephanie.pineda.1484@gslingacademy.com</t>
  </si>
  <si>
    <t>Blair</t>
  </si>
  <si>
    <t>philip.blair.1485@gslingacademy.com</t>
  </si>
  <si>
    <t>david.jimenez.1486@gslingacademy.com</t>
  </si>
  <si>
    <t>megan.bright.1487@gslingacademy.com</t>
  </si>
  <si>
    <t>Montoya</t>
  </si>
  <si>
    <t>thomas.montoya.1488@gslingacademy.com</t>
  </si>
  <si>
    <t>brenda.houston.1489@gslingacademy.com</t>
  </si>
  <si>
    <t>daniel.lee.1490@gslingacademy.com</t>
  </si>
  <si>
    <t>stephanie.jones.1491@gslingacademy.com</t>
  </si>
  <si>
    <t>rachel.salas.1492@gslingacademy.com</t>
  </si>
  <si>
    <t>oscar.benjamin.1493@gslingacademy.com</t>
  </si>
  <si>
    <t>debra.brown.1494@gslingacademy.com</t>
  </si>
  <si>
    <t>jennifer.martin.1495@gslingacademy.com</t>
  </si>
  <si>
    <t>jeffrey.conley.1496@gslingacademy.com</t>
  </si>
  <si>
    <t>cory.cook.1497@gslingacademy.com</t>
  </si>
  <si>
    <t>david.walters.1498@gslingacademy.com</t>
  </si>
  <si>
    <t>jeffrey.moore.1499@gslingacademy.com</t>
  </si>
  <si>
    <t>stacey.williams.1500@gslingacademy.com</t>
  </si>
  <si>
    <t>beth.stephens.1501@gslingacademy.com</t>
  </si>
  <si>
    <t>lisa.franco.1502@gslingacademy.com</t>
  </si>
  <si>
    <t>Snow</t>
  </si>
  <si>
    <t>sarah.snow.1503@gslingacademy.com</t>
  </si>
  <si>
    <t>frederick.lopez.1504@gslingacademy.com</t>
  </si>
  <si>
    <t>cynthia.white.1505@gslingacademy.com</t>
  </si>
  <si>
    <t>samantha.hopkins.1506@gslingacademy.com</t>
  </si>
  <si>
    <t>Destiny</t>
  </si>
  <si>
    <t>destiny.rhodes.1507@gslingacademy.com</t>
  </si>
  <si>
    <t>jessica.jones.1508@gslingacademy.com</t>
  </si>
  <si>
    <t>mark.smith.1509@gslingacademy.com</t>
  </si>
  <si>
    <t>Cain</t>
  </si>
  <si>
    <t>maureen.cain.1510@gslingacademy.com</t>
  </si>
  <si>
    <t>Fuentes</t>
  </si>
  <si>
    <t>jennifer.fuentes.1511@gslingacademy.com</t>
  </si>
  <si>
    <t>jennifer.arnold.1512@gslingacademy.com</t>
  </si>
  <si>
    <t>laura.smith.1513@gslingacademy.com</t>
  </si>
  <si>
    <t>Shaw</t>
  </si>
  <si>
    <t>david.shaw.1514@gslingacademy.com</t>
  </si>
  <si>
    <t>Russo</t>
  </si>
  <si>
    <t>diana.russo.1515@gslingacademy.com</t>
  </si>
  <si>
    <t>hayley.johnson.1516@gslingacademy.com</t>
  </si>
  <si>
    <t>melissa.jackson.1517@gslingacademy.com</t>
  </si>
  <si>
    <t>kimberly.miller.1518@gslingacademy.com</t>
  </si>
  <si>
    <t>andrew.stanley.1519@gslingacademy.com</t>
  </si>
  <si>
    <t>mary.taylor.1520@gslingacademy.com</t>
  </si>
  <si>
    <t>Mindy</t>
  </si>
  <si>
    <t>mindy.jones.1521@gslingacademy.com</t>
  </si>
  <si>
    <t>john.powell.1522@gslingacademy.com</t>
  </si>
  <si>
    <t>amanda.padilla.1523@gslingacademy.com</t>
  </si>
  <si>
    <t>kevin.koch.1524@gslingacademy.com</t>
  </si>
  <si>
    <t>chad.moreno.1525@gslingacademy.com</t>
  </si>
  <si>
    <t>stephanie.spencer.1526@gslingacademy.com</t>
  </si>
  <si>
    <t>Vargas</t>
  </si>
  <si>
    <t>peter.vargas.1527@gslingacademy.com</t>
  </si>
  <si>
    <t>kayla.bailey.1528@gslingacademy.com</t>
  </si>
  <si>
    <t>stephanie.jones.1529@gslingacademy.com</t>
  </si>
  <si>
    <t>nancy.hartman.1530@gslingacademy.com</t>
  </si>
  <si>
    <t>Eduardo</t>
  </si>
  <si>
    <t>eduardo.brown.1531@gslingacademy.com</t>
  </si>
  <si>
    <t>thomas.stone.1532@gslingacademy.com</t>
  </si>
  <si>
    <t>craig.carter.1533@gslingacademy.com</t>
  </si>
  <si>
    <t>michael.harrington.1534@gslingacademy.com</t>
  </si>
  <si>
    <t>valerie.nichols.1535@gslingacademy.com</t>
  </si>
  <si>
    <t>brian.garcia.1536@gslingacademy.com</t>
  </si>
  <si>
    <t>Renee</t>
  </si>
  <si>
    <t>renee.smith.1537@gslingacademy.com</t>
  </si>
  <si>
    <t>Kaitlyn</t>
  </si>
  <si>
    <t>kaitlyn.frazier.1538@gslingacademy.com</t>
  </si>
  <si>
    <t>jesse.green.1539@gslingacademy.com</t>
  </si>
  <si>
    <t>kimberly.cooper.1540@gslingacademy.com</t>
  </si>
  <si>
    <t>Chambers</t>
  </si>
  <si>
    <t>matthew.chambers.1541@gslingacademy.com</t>
  </si>
  <si>
    <t>Yu</t>
  </si>
  <si>
    <t>stephanie.yu.1542@gslingacademy.com</t>
  </si>
  <si>
    <t>jose.hodge.1543@gslingacademy.com</t>
  </si>
  <si>
    <t>Steve</t>
  </si>
  <si>
    <t>steve.kelly.1544@gslingacademy.com</t>
  </si>
  <si>
    <t>justin.morgan.1545@gslingacademy.com</t>
  </si>
  <si>
    <t>Black</t>
  </si>
  <si>
    <t>robert.black.1546@gslingacademy.com</t>
  </si>
  <si>
    <t>Gabriella</t>
  </si>
  <si>
    <t>gabriella.pierce.1547@gslingacademy.com</t>
  </si>
  <si>
    <t>Clay</t>
  </si>
  <si>
    <t>william.clay.1548@gslingacademy.com</t>
  </si>
  <si>
    <t>nicholas.shea.1549@gslingacademy.com</t>
  </si>
  <si>
    <t>heidi.ellis.1550@gslingacademy.com</t>
  </si>
  <si>
    <t>Mills</t>
  </si>
  <si>
    <t>cassandra.mills.1551@gslingacademy.com</t>
  </si>
  <si>
    <t>robert.hart.1552@gslingacademy.com</t>
  </si>
  <si>
    <t>natalie.garrison.1553@gslingacademy.com</t>
  </si>
  <si>
    <t>melissa.campbell.1554@gslingacademy.com</t>
  </si>
  <si>
    <t>Cervantes</t>
  </si>
  <si>
    <t>joshua.cervantes.1555@gslingacademy.com</t>
  </si>
  <si>
    <t>carlos.long.1556@gslingacademy.com</t>
  </si>
  <si>
    <t>Hunt</t>
  </si>
  <si>
    <t>keith.hunt.1557@gslingacademy.com</t>
  </si>
  <si>
    <t>kevin.turner.1558@gslingacademy.com</t>
  </si>
  <si>
    <t>Shane</t>
  </si>
  <si>
    <t>shane.washington.1559@gslingacademy.com</t>
  </si>
  <si>
    <t>Duke</t>
  </si>
  <si>
    <t>mark.duke.1560@gslingacademy.com</t>
  </si>
  <si>
    <t>anna.lane.1561@gslingacademy.com</t>
  </si>
  <si>
    <t>catherine.ibarra.1562@gslingacademy.com</t>
  </si>
  <si>
    <t>brian.adams.1563@gslingacademy.com</t>
  </si>
  <si>
    <t>michael.james.1564@gslingacademy.com</t>
  </si>
  <si>
    <t>robert.hernandez.1565@gslingacademy.com</t>
  </si>
  <si>
    <t>Walton</t>
  </si>
  <si>
    <t>anthony.walton.1566@gslingacademy.com</t>
  </si>
  <si>
    <t>Meghan</t>
  </si>
  <si>
    <t>meghan.lewis.1567@gslingacademy.com</t>
  </si>
  <si>
    <t>Holland</t>
  </si>
  <si>
    <t>crystal.holland.1568@gslingacademy.com</t>
  </si>
  <si>
    <t>brian.gibson.1569@gslingacademy.com</t>
  </si>
  <si>
    <t>eric.heath.1570@gslingacademy.com</t>
  </si>
  <si>
    <t>holly.dunn.1571@gslingacademy.com</t>
  </si>
  <si>
    <t>paul.miller.1572@gslingacademy.com</t>
  </si>
  <si>
    <t>katherine.reyes.1573@gslingacademy.com</t>
  </si>
  <si>
    <t>Paula</t>
  </si>
  <si>
    <t>paula.hernandez.1574@gslingacademy.com</t>
  </si>
  <si>
    <t>Ortega</t>
  </si>
  <si>
    <t>aaron.ortega.1575@gslingacademy.com</t>
  </si>
  <si>
    <t>jonathan.carter.1576@gslingacademy.com</t>
  </si>
  <si>
    <t>christina.nguyen.1577@gslingacademy.com</t>
  </si>
  <si>
    <t>anita.carter.1578@gslingacademy.com</t>
  </si>
  <si>
    <t>Madeline</t>
  </si>
  <si>
    <t>madeline.holmes.1579@gslingacademy.com</t>
  </si>
  <si>
    <t>luis.klein.1580@gslingacademy.com</t>
  </si>
  <si>
    <t>laura.thornton.1581@gslingacademy.com</t>
  </si>
  <si>
    <t>william.ball.1582@gslingacademy.com</t>
  </si>
  <si>
    <t>kristin.gilbert.1583@gslingacademy.com</t>
  </si>
  <si>
    <t>aaron.ware.1584@gslingacademy.com</t>
  </si>
  <si>
    <t>danny.carlson.1585@gslingacademy.com</t>
  </si>
  <si>
    <t>Adkins</t>
  </si>
  <si>
    <t>julie.adkins.1586@gslingacademy.com</t>
  </si>
  <si>
    <t>jerry.aguirre.1587@gslingacademy.com</t>
  </si>
  <si>
    <t>jason.thomas.1588@gslingacademy.com</t>
  </si>
  <si>
    <t>zachary.houston.1589@gslingacademy.com</t>
  </si>
  <si>
    <t>donna.hoffman.1590@gslingacademy.com</t>
  </si>
  <si>
    <t>austin.sanders.1591@gslingacademy.com</t>
  </si>
  <si>
    <t>Leslie</t>
  </si>
  <si>
    <t>Mercado</t>
  </si>
  <si>
    <t>leslie.mercado.1592@gslingacademy.com</t>
  </si>
  <si>
    <t>derrick.tucker.1593@gslingacademy.com</t>
  </si>
  <si>
    <t>kelsey.alexander.1594@gslingacademy.com</t>
  </si>
  <si>
    <t>rhonda.smith.1595@gslingacademy.com</t>
  </si>
  <si>
    <t>Santos</t>
  </si>
  <si>
    <t>isaac.santos.1596@gslingacademy.com</t>
  </si>
  <si>
    <t>Sloan</t>
  </si>
  <si>
    <t>david.sloan.1597@gslingacademy.com</t>
  </si>
  <si>
    <t>amanda.peterson.1598@gslingacademy.com</t>
  </si>
  <si>
    <t>cynthia.weeks.1599@gslingacademy.com</t>
  </si>
  <si>
    <t>katherine.turner.1600@gslingacademy.com</t>
  </si>
  <si>
    <t>joseph.patterson.1601@gslingacademy.com</t>
  </si>
  <si>
    <t>jill.davis.1602@gslingacademy.com</t>
  </si>
  <si>
    <t>amy.moore.1603@gslingacademy.com</t>
  </si>
  <si>
    <t>eric.matthews.1604@gslingacademy.com</t>
  </si>
  <si>
    <t>tamara.bennett.1605@gslingacademy.com</t>
  </si>
  <si>
    <t>maria.perkins.1606@gslingacademy.com</t>
  </si>
  <si>
    <t>jillian.reed.1607@gslingacademy.com</t>
  </si>
  <si>
    <t>Mora</t>
  </si>
  <si>
    <t>melissa.mora.1608@gslingacademy.com</t>
  </si>
  <si>
    <t>tina.smith.1609@gslingacademy.com</t>
  </si>
  <si>
    <t>rhonda.munoz.1610@gslingacademy.com</t>
  </si>
  <si>
    <t>heidi.johnson.1611@gslingacademy.com</t>
  </si>
  <si>
    <t>joshua.davis.1612@gslingacademy.com</t>
  </si>
  <si>
    <t>laura.sanders.1613@gslingacademy.com</t>
  </si>
  <si>
    <t>evan.francis.1614@gslingacademy.com</t>
  </si>
  <si>
    <t>cynthia.miller.1615@gslingacademy.com</t>
  </si>
  <si>
    <t>bobby.miller.1616@gslingacademy.com</t>
  </si>
  <si>
    <t>justin.brooks.1617@gslingacademy.com</t>
  </si>
  <si>
    <t>Krueger</t>
  </si>
  <si>
    <t>kayla.krueger.1618@gslingacademy.com</t>
  </si>
  <si>
    <t>justin.kim.1619@gslingacademy.com</t>
  </si>
  <si>
    <t>Blankenship</t>
  </si>
  <si>
    <t>christian.blankenship.1620@gslingacademy.com</t>
  </si>
  <si>
    <t>todd.williams.1621@gslingacademy.com</t>
  </si>
  <si>
    <t>victoria.perez.1622@gslingacademy.com</t>
  </si>
  <si>
    <t>madeline.hart.1623@gslingacademy.com</t>
  </si>
  <si>
    <t>christopher.meyer.1624@gslingacademy.com</t>
  </si>
  <si>
    <t>christopher.fleming.1625@gslingacademy.com</t>
  </si>
  <si>
    <t>Ramsey</t>
  </si>
  <si>
    <t>karen.ramsey.1626@gslingacademy.com</t>
  </si>
  <si>
    <t>monica.dalton.1627@gslingacademy.com</t>
  </si>
  <si>
    <t>Odonnell</t>
  </si>
  <si>
    <t>gary.odonnell.1628@gslingacademy.com</t>
  </si>
  <si>
    <t>ann.scott.1629@gslingacademy.com</t>
  </si>
  <si>
    <t>jessica.jackson.1630@gslingacademy.com</t>
  </si>
  <si>
    <t>lauren.morrison.1631@gslingacademy.com</t>
  </si>
  <si>
    <t>alexander.brown.1632@gslingacademy.com</t>
  </si>
  <si>
    <t>thomas.smith.1633@gslingacademy.com</t>
  </si>
  <si>
    <t>jonathan.torres.1634@gslingacademy.com</t>
  </si>
  <si>
    <t>robin.daniel.1635@gslingacademy.com</t>
  </si>
  <si>
    <t>anthony.peterson.1636@gslingacademy.com</t>
  </si>
  <si>
    <t>ashley.blankenship.1637@gslingacademy.com</t>
  </si>
  <si>
    <t>jennifer.stewart.1638@gslingacademy.com</t>
  </si>
  <si>
    <t>Compton</t>
  </si>
  <si>
    <t>james.compton.1639@gslingacademy.com</t>
  </si>
  <si>
    <t>david.bates.1640@gslingacademy.com</t>
  </si>
  <si>
    <t>stephanie.green.1641@gslingacademy.com</t>
  </si>
  <si>
    <t>garrett.nichols.1642@gslingacademy.com</t>
  </si>
  <si>
    <t>erica.lopez.1643@gslingacademy.com</t>
  </si>
  <si>
    <t>Benitez</t>
  </si>
  <si>
    <t>lisa.benitez.1644@gslingacademy.com</t>
  </si>
  <si>
    <t>cheryl.gutierrez.1645@gslingacademy.com</t>
  </si>
  <si>
    <t>stephen.hawkins.1646@gslingacademy.com</t>
  </si>
  <si>
    <t>natalie.williams.1647@gslingacademy.com</t>
  </si>
  <si>
    <t>anthony.arnold.1648@gslingacademy.com</t>
  </si>
  <si>
    <t>Deanna</t>
  </si>
  <si>
    <t>deanna.coleman.1649@gslingacademy.com</t>
  </si>
  <si>
    <t>Barber</t>
  </si>
  <si>
    <t>lisa.barber.1650@gslingacademy.com</t>
  </si>
  <si>
    <t>stephanie.miller.1651@gslingacademy.com</t>
  </si>
  <si>
    <t>amy.white.1652@gslingacademy.com</t>
  </si>
  <si>
    <t>Beverly</t>
  </si>
  <si>
    <t>beverly.chavez.1653@gslingacademy.com</t>
  </si>
  <si>
    <t>richard.cortez.1654@gslingacademy.com</t>
  </si>
  <si>
    <t>kevin.morgan.1655@gslingacademy.com</t>
  </si>
  <si>
    <t>Hebert</t>
  </si>
  <si>
    <t>emily.hebert.1656@gslingacademy.com</t>
  </si>
  <si>
    <t>lori.roberts.1657@gslingacademy.com</t>
  </si>
  <si>
    <t>Kirby</t>
  </si>
  <si>
    <t>robert.kirby.1658@gslingacademy.com</t>
  </si>
  <si>
    <t>eric.ross.1659@gslingacademy.com</t>
  </si>
  <si>
    <t>Rachael</t>
  </si>
  <si>
    <t>rachael.perry.1660@gslingacademy.com</t>
  </si>
  <si>
    <t>kenneth.gallagher.1661@gslingacademy.com</t>
  </si>
  <si>
    <t>thomas.scott.1662@gslingacademy.com</t>
  </si>
  <si>
    <t>elizabeth.jones.1663@gslingacademy.com</t>
  </si>
  <si>
    <t>Bartlett</t>
  </si>
  <si>
    <t>matthew.bartlett.1664@gslingacademy.com</t>
  </si>
  <si>
    <t>kendra.perez.1665@gslingacademy.com</t>
  </si>
  <si>
    <t>daniel.brewer.1666@gslingacademy.com</t>
  </si>
  <si>
    <t>cody.tyler.1667@gslingacademy.com</t>
  </si>
  <si>
    <t>Conrad</t>
  </si>
  <si>
    <t>nicholas.conrad.1668@gslingacademy.com</t>
  </si>
  <si>
    <t>emma.morris.1669@gslingacademy.com</t>
  </si>
  <si>
    <t>david.brown.1670@gslingacademy.com</t>
  </si>
  <si>
    <t>Charlotte</t>
  </si>
  <si>
    <t>charlotte.zuniga.1671@gslingacademy.com</t>
  </si>
  <si>
    <t>luis.knight.1672@gslingacademy.com</t>
  </si>
  <si>
    <t>matthew.moore.1673@gslingacademy.com</t>
  </si>
  <si>
    <t>Chan</t>
  </si>
  <si>
    <t>jennifer.chan.1674@gslingacademy.com</t>
  </si>
  <si>
    <t>christopher.evans.1675@gslingacademy.com</t>
  </si>
  <si>
    <t>tara.haynes.1676@gslingacademy.com</t>
  </si>
  <si>
    <t>jason.flores.1677@gslingacademy.com</t>
  </si>
  <si>
    <t>david.flores.1678@gslingacademy.com</t>
  </si>
  <si>
    <t>patricia.rivera.1679@gslingacademy.com</t>
  </si>
  <si>
    <t>alexis.freeman.1680@gslingacademy.com</t>
  </si>
  <si>
    <t>scott.baxter.1681@gslingacademy.com</t>
  </si>
  <si>
    <t>Rubio</t>
  </si>
  <si>
    <t>kyle.rubio.1682@gslingacademy.com</t>
  </si>
  <si>
    <t>Montes</t>
  </si>
  <si>
    <t>nancy.montes.1683@gslingacademy.com</t>
  </si>
  <si>
    <t>andre.graham.1684@gslingacademy.com</t>
  </si>
  <si>
    <t>christine.rivera.1685@gslingacademy.com</t>
  </si>
  <si>
    <t>william.holt.1686@gslingacademy.com</t>
  </si>
  <si>
    <t>tammy.morris.1687@gslingacademy.com</t>
  </si>
  <si>
    <t>kimberly.bates.1688@gslingacademy.com</t>
  </si>
  <si>
    <t>Sheena</t>
  </si>
  <si>
    <t>sheena.murphy.1689@gslingacademy.com</t>
  </si>
  <si>
    <t>robert.mccall.1690@gslingacademy.com</t>
  </si>
  <si>
    <t>Floyd</t>
  </si>
  <si>
    <t>julie.floyd.1691@gslingacademy.com</t>
  </si>
  <si>
    <t>barry.taylor.1692@gslingacademy.com</t>
  </si>
  <si>
    <t>dennis.gonzalez.1693@gslingacademy.com</t>
  </si>
  <si>
    <t>angel.williams.1694@gslingacademy.com</t>
  </si>
  <si>
    <t>Palmer</t>
  </si>
  <si>
    <t>ronald.palmer.1695@gslingacademy.com</t>
  </si>
  <si>
    <t>dustin.stanley.1696@gslingacademy.com</t>
  </si>
  <si>
    <t>jennifer.lewis.1697@gslingacademy.com</t>
  </si>
  <si>
    <t>mark.gardner.1698@gslingacademy.com</t>
  </si>
  <si>
    <t>laura.barber.1699@gslingacademy.com</t>
  </si>
  <si>
    <t>nicole.weeks.1700@gslingacademy.com</t>
  </si>
  <si>
    <t>ricky.walker.1701@gslingacademy.com</t>
  </si>
  <si>
    <t>Walls</t>
  </si>
  <si>
    <t>whitney.walls.1702@gslingacademy.com</t>
  </si>
  <si>
    <t>catherine.may.1703@gslingacademy.com</t>
  </si>
  <si>
    <t>joel.williams.1704@gslingacademy.com</t>
  </si>
  <si>
    <t>Daisy</t>
  </si>
  <si>
    <t>daisy.ellis.1705@gslingacademy.com</t>
  </si>
  <si>
    <t>deborah.miller.1706@gslingacademy.com</t>
  </si>
  <si>
    <t>david.hoffman.1707@gslingacademy.com</t>
  </si>
  <si>
    <t>Pearson</t>
  </si>
  <si>
    <t>rebecca.pearson.1708@gslingacademy.com</t>
  </si>
  <si>
    <t>mitchell.walker.1709@gslingacademy.com</t>
  </si>
  <si>
    <t>Sherman</t>
  </si>
  <si>
    <t>james.sherman.1710@gslingacademy.com</t>
  </si>
  <si>
    <t>justin.johnson.1711@gslingacademy.com</t>
  </si>
  <si>
    <t>brenda.morales.1712@gslingacademy.com</t>
  </si>
  <si>
    <t>jesse.melton.1713@gslingacademy.com</t>
  </si>
  <si>
    <t>Jon</t>
  </si>
  <si>
    <t>jon.mendoza.1714@gslingacademy.com</t>
  </si>
  <si>
    <t>samantha.anderson.1715@gslingacademy.com</t>
  </si>
  <si>
    <t>Love</t>
  </si>
  <si>
    <t>lindsay.love.1716@gslingacademy.com</t>
  </si>
  <si>
    <t>Benson</t>
  </si>
  <si>
    <t>john.benson.1717@gslingacademy.com</t>
  </si>
  <si>
    <t>Isaiah</t>
  </si>
  <si>
    <t>isaiah.cruz.1718@gslingacademy.com</t>
  </si>
  <si>
    <t>brian.baker.1719@gslingacademy.com</t>
  </si>
  <si>
    <t>Dillon</t>
  </si>
  <si>
    <t>joshua.dillon.1720@gslingacademy.com</t>
  </si>
  <si>
    <t>christopher.stephens.1721@gslingacademy.com</t>
  </si>
  <si>
    <t>kimberly.shaw.1722@gslingacademy.com</t>
  </si>
  <si>
    <t>Colleen</t>
  </si>
  <si>
    <t>colleen.vargas.1723@gslingacademy.com</t>
  </si>
  <si>
    <t>mark.mathews.1724@gslingacademy.com</t>
  </si>
  <si>
    <t>teresa.lopez.1725@gslingacademy.com</t>
  </si>
  <si>
    <t>laura.allen.1726@gslingacademy.com</t>
  </si>
  <si>
    <t>lisa.sosa.1727@gslingacademy.com</t>
  </si>
  <si>
    <t>drew.nelson.1728@gslingacademy.com</t>
  </si>
  <si>
    <t>kimberly.brooks.1729@gslingacademy.com</t>
  </si>
  <si>
    <t>carla.lopez.1730@gslingacademy.com</t>
  </si>
  <si>
    <t>keith.smith.1731@gslingacademy.com</t>
  </si>
  <si>
    <t>eric.erickson.1732@gslingacademy.com</t>
  </si>
  <si>
    <t>Juan</t>
  </si>
  <si>
    <t>juan.baker.1733@gslingacademy.com</t>
  </si>
  <si>
    <t>Harrison</t>
  </si>
  <si>
    <t>kyle.harrison.1734@gslingacademy.com</t>
  </si>
  <si>
    <t>Duane</t>
  </si>
  <si>
    <t>Meyers</t>
  </si>
  <si>
    <t>duane.meyers.1735@gslingacademy.com</t>
  </si>
  <si>
    <t>Marissa</t>
  </si>
  <si>
    <t>marissa.may.1736@gslingacademy.com</t>
  </si>
  <si>
    <t>shane.lopez.1737@gslingacademy.com</t>
  </si>
  <si>
    <t>eric.obrien.1738@gslingacademy.com</t>
  </si>
  <si>
    <t>kevin.joyce.1739@gslingacademy.com</t>
  </si>
  <si>
    <t>thomas.ward.1740@gslingacademy.com</t>
  </si>
  <si>
    <t>toni.smith.1741@gslingacademy.com</t>
  </si>
  <si>
    <t>caitlin.moody.1742@gslingacademy.com</t>
  </si>
  <si>
    <t>justin.ryan.1743@gslingacademy.com</t>
  </si>
  <si>
    <t>joseph.griffin.1744@gslingacademy.com</t>
  </si>
  <si>
    <t>dawn.fox.1745@gslingacademy.com</t>
  </si>
  <si>
    <t>Ochoa</t>
  </si>
  <si>
    <t>david.ochoa.1746@gslingacademy.com</t>
  </si>
  <si>
    <t>Bonnie</t>
  </si>
  <si>
    <t>bonnie.brown.1747@gslingacademy.com</t>
  </si>
  <si>
    <t>michael.evans.1748@gslingacademy.com</t>
  </si>
  <si>
    <t>Meadows</t>
  </si>
  <si>
    <t>molly.meadows.1749@gslingacademy.com</t>
  </si>
  <si>
    <t>Peters</t>
  </si>
  <si>
    <t>dana.peters.1750@gslingacademy.com</t>
  </si>
  <si>
    <t>Phelps</t>
  </si>
  <si>
    <t>patricia.phelps.1751@gslingacademy.com</t>
  </si>
  <si>
    <t>maria.jones.1752@gslingacademy.com</t>
  </si>
  <si>
    <t>anthony.johns.1753@gslingacademy.com</t>
  </si>
  <si>
    <t>david.schmidt.1754@gslingacademy.com</t>
  </si>
  <si>
    <t>amanda.cox.1755@gslingacademy.com</t>
  </si>
  <si>
    <t>william.patterson.1756@gslingacademy.com</t>
  </si>
  <si>
    <t>sydney.wood.1757@gslingacademy.com</t>
  </si>
  <si>
    <t>Fischer</t>
  </si>
  <si>
    <t>donald.fischer.1758@gslingacademy.com</t>
  </si>
  <si>
    <t>anthony.palmer.1759@gslingacademy.com</t>
  </si>
  <si>
    <t>christina.garcia.1760@gslingacademy.com</t>
  </si>
  <si>
    <t>misty.anderson.1761@gslingacademy.com</t>
  </si>
  <si>
    <t>shannon.weber.1762@gslingacademy.com</t>
  </si>
  <si>
    <t>jennifer.palmer.1763@gslingacademy.com</t>
  </si>
  <si>
    <t>michael.arnold.1764@gslingacademy.com</t>
  </si>
  <si>
    <t>james.hernandez.1765@gslingacademy.com</t>
  </si>
  <si>
    <t>Cannon</t>
  </si>
  <si>
    <t>erin.cannon.1766@gslingacademy.com</t>
  </si>
  <si>
    <t>nicole.lee.1767@gslingacademy.com</t>
  </si>
  <si>
    <t>jacob.ross.1768@gslingacademy.com</t>
  </si>
  <si>
    <t>Cisneros</t>
  </si>
  <si>
    <t>morgan.cisneros.1769@gslingacademy.com</t>
  </si>
  <si>
    <t>Stuart</t>
  </si>
  <si>
    <t>amber.stuart.1770@gslingacademy.com</t>
  </si>
  <si>
    <t>tyler.griffin.1771@gslingacademy.com</t>
  </si>
  <si>
    <t>daniel.gonzalez.1772@gslingacademy.com</t>
  </si>
  <si>
    <t>joseph.jones.1773@gslingacademy.com</t>
  </si>
  <si>
    <t>jessica.hampton.1774@gslingacademy.com</t>
  </si>
  <si>
    <t>deborah.butler.1775@gslingacademy.com</t>
  </si>
  <si>
    <t>julie.black.1776@gslingacademy.com</t>
  </si>
  <si>
    <t>Dorsey</t>
  </si>
  <si>
    <t>bryan.dorsey.1777@gslingacademy.com</t>
  </si>
  <si>
    <t>chad.gomez.1778@gslingacademy.com</t>
  </si>
  <si>
    <t>andrew.clark.1779@gslingacademy.com</t>
  </si>
  <si>
    <t>brian.wright.1780@gslingacademy.com</t>
  </si>
  <si>
    <t>jessica.smith.1781@gslingacademy.com</t>
  </si>
  <si>
    <t>thomas.brooks.1782@gslingacademy.com</t>
  </si>
  <si>
    <t>Knox</t>
  </si>
  <si>
    <t>kimberly.knox.1783@gslingacademy.com</t>
  </si>
  <si>
    <t>jamie.mccarthy.1784@gslingacademy.com</t>
  </si>
  <si>
    <t>kristen.werner.1785@gslingacademy.com</t>
  </si>
  <si>
    <t>jonathan.weiss.1786@gslingacademy.com</t>
  </si>
  <si>
    <t>renee.smith.1787@gslingacademy.com</t>
  </si>
  <si>
    <t>tony.hopkins.1788@gslingacademy.com</t>
  </si>
  <si>
    <t>Buckley</t>
  </si>
  <si>
    <t>thomas.buckley.1789@gslingacademy.com</t>
  </si>
  <si>
    <t>debra.evans.1790@gslingacademy.com</t>
  </si>
  <si>
    <t>richard.bell.1791@gslingacademy.com</t>
  </si>
  <si>
    <t>katelyn.watkins.1792@gslingacademy.com</t>
  </si>
  <si>
    <t>Stout</t>
  </si>
  <si>
    <t>michele.stout.1793@gslingacademy.com</t>
  </si>
  <si>
    <t>Estes</t>
  </si>
  <si>
    <t>lisa.estes.1794@gslingacademy.com</t>
  </si>
  <si>
    <t>casey.hall.1795@gslingacademy.com</t>
  </si>
  <si>
    <t>joshua.cole.1796@gslingacademy.com</t>
  </si>
  <si>
    <t>andrew.jackson.1797@gslingacademy.com</t>
  </si>
  <si>
    <t>karen.rodriguez.1798@gslingacademy.com</t>
  </si>
  <si>
    <t>sara.johnson.1799@gslingacademy.com</t>
  </si>
  <si>
    <t>Costa</t>
  </si>
  <si>
    <t>alyssa.costa.1800@gslingacademy.com</t>
  </si>
  <si>
    <t>daniel.poole.1801@gslingacademy.com</t>
  </si>
  <si>
    <t>Juarez</t>
  </si>
  <si>
    <t>ricardo.juarez.1802@gslingacademy.com</t>
  </si>
  <si>
    <t>tony.castillo.1803@gslingacademy.com</t>
  </si>
  <si>
    <t>brian.kelly.1804@gslingacademy.com</t>
  </si>
  <si>
    <t>tyler.moore.1805@gslingacademy.com</t>
  </si>
  <si>
    <t>sharon.martinez.1806@gslingacademy.com</t>
  </si>
  <si>
    <t>mary.malone.1807@gslingacademy.com</t>
  </si>
  <si>
    <t>rebecca.huang.1808@gslingacademy.com</t>
  </si>
  <si>
    <t>alan.santos.1809@gslingacademy.com</t>
  </si>
  <si>
    <t>Duran</t>
  </si>
  <si>
    <t>martin.duran.1810@gslingacademy.com</t>
  </si>
  <si>
    <t>christopher.gutierrez.1811@gslingacademy.com</t>
  </si>
  <si>
    <t>brandy.maldonado.1812@gslingacademy.com</t>
  </si>
  <si>
    <t>brenda.sanders.1813@gslingacademy.com</t>
  </si>
  <si>
    <t>drew.mccann.1814@gslingacademy.com</t>
  </si>
  <si>
    <t>joshua.ayala.1815@gslingacademy.com</t>
  </si>
  <si>
    <t>Rose</t>
  </si>
  <si>
    <t>tina.rose.1816@gslingacademy.com</t>
  </si>
  <si>
    <t>william.khan.1817@gslingacademy.com</t>
  </si>
  <si>
    <t>william.avery.1818@gslingacademy.com</t>
  </si>
  <si>
    <t>Fuller</t>
  </si>
  <si>
    <t>john.fuller.1819@gslingacademy.com</t>
  </si>
  <si>
    <t>jeremy.coleman.1820@gslingacademy.com</t>
  </si>
  <si>
    <t>laura.wright.1821@gslingacademy.com</t>
  </si>
  <si>
    <t>Luna</t>
  </si>
  <si>
    <t>david.luna.1822@gslingacademy.com</t>
  </si>
  <si>
    <t>christopher.jensen.1823@gslingacademy.com</t>
  </si>
  <si>
    <t>luis.little.1824@gslingacademy.com</t>
  </si>
  <si>
    <t>joseph.garcia.1825@gslingacademy.com</t>
  </si>
  <si>
    <t>michael.york.1826@gslingacademy.com</t>
  </si>
  <si>
    <t>Debbie</t>
  </si>
  <si>
    <t>debbie.landry.1827@gslingacademy.com</t>
  </si>
  <si>
    <t>Gordon</t>
  </si>
  <si>
    <t>michael.gordon.1828@gslingacademy.com</t>
  </si>
  <si>
    <t>melissa.harris.1829@gslingacademy.com</t>
  </si>
  <si>
    <t>Jonathon</t>
  </si>
  <si>
    <t>jonathon.wilson.1830@gslingacademy.com</t>
  </si>
  <si>
    <t>margaret.santos.1831@gslingacademy.com</t>
  </si>
  <si>
    <t>Hailey</t>
  </si>
  <si>
    <t>Arroyo</t>
  </si>
  <si>
    <t>hailey.arroyo.1832@gslingacademy.com</t>
  </si>
  <si>
    <t>steven.webster.1833@gslingacademy.com</t>
  </si>
  <si>
    <t>tina.harrison.1834@gslingacademy.com</t>
  </si>
  <si>
    <t>Nunez</t>
  </si>
  <si>
    <t>andrew.nunez.1835@gslingacademy.com</t>
  </si>
  <si>
    <t>renee.cruz.1836@gslingacademy.com</t>
  </si>
  <si>
    <t>victoria.taylor.1837@gslingacademy.com</t>
  </si>
  <si>
    <t>joseph.dixon.1838@gslingacademy.com</t>
  </si>
  <si>
    <t>heather.gutierrez.1839@gslingacademy.com</t>
  </si>
  <si>
    <t>cynthia.hodges.1840@gslingacademy.com</t>
  </si>
  <si>
    <t>danielle.kelley.1841@gslingacademy.com</t>
  </si>
  <si>
    <t>michael.mccall.1842@gslingacademy.com</t>
  </si>
  <si>
    <t>dylan.edwards.1843@gslingacademy.com</t>
  </si>
  <si>
    <t>Franklin</t>
  </si>
  <si>
    <t>franklin.riley.1844@gslingacademy.com</t>
  </si>
  <si>
    <t>Duncan</t>
  </si>
  <si>
    <t>caitlin.duncan.1845@gslingacademy.com</t>
  </si>
  <si>
    <t>robin.reeves.1846@gslingacademy.com</t>
  </si>
  <si>
    <t>rebecca.gibbs.1847@gslingacademy.com</t>
  </si>
  <si>
    <t>peter.santos.1848@gslingacademy.com</t>
  </si>
  <si>
    <t>Daryl</t>
  </si>
  <si>
    <t>daryl.arnold.1849@gslingacademy.com</t>
  </si>
  <si>
    <t>michael.davis.1850@gslingacademy.com</t>
  </si>
  <si>
    <t>leslie.cox.1851@gslingacademy.com</t>
  </si>
  <si>
    <t>jamie.carter.1852@gslingacademy.com</t>
  </si>
  <si>
    <t>shane.payne.1853@gslingacademy.com</t>
  </si>
  <si>
    <t>Haley</t>
  </si>
  <si>
    <t>kimberly.haley.1854@gslingacademy.com</t>
  </si>
  <si>
    <t>george.duran.1855@gslingacademy.com</t>
  </si>
  <si>
    <t>Carney</t>
  </si>
  <si>
    <t>donald.carney.1856@gslingacademy.com</t>
  </si>
  <si>
    <t>michelle.brown.1857@gslingacademy.com</t>
  </si>
  <si>
    <t>elizabeth.hawkins.1858@gslingacademy.com</t>
  </si>
  <si>
    <t>Johnny</t>
  </si>
  <si>
    <t>johnny.gomez.1859@gslingacademy.com</t>
  </si>
  <si>
    <t>christopher.mcconnell.1860@gslingacademy.com</t>
  </si>
  <si>
    <t>kyle.rodriguez.1861@gslingacademy.com</t>
  </si>
  <si>
    <t>rhonda.cook.1862@gslingacademy.com</t>
  </si>
  <si>
    <t>nathan.fitzpatrick.1863@gslingacademy.com</t>
  </si>
  <si>
    <t>john.mitchell.1864@gslingacademy.com</t>
  </si>
  <si>
    <t>billy.compton.1865@gslingacademy.com</t>
  </si>
  <si>
    <t>richard.chavez.1866@gslingacademy.com</t>
  </si>
  <si>
    <t>Andrade</t>
  </si>
  <si>
    <t>victor.andrade.1867@gslingacademy.com</t>
  </si>
  <si>
    <t>gregory.lee.1868@gslingacademy.com</t>
  </si>
  <si>
    <t>alexandra.blackburn.1869@gslingacademy.com</t>
  </si>
  <si>
    <t>Kristopher</t>
  </si>
  <si>
    <t>kristopher.murray.1870@gslingacademy.com</t>
  </si>
  <si>
    <t>wanda.pearson.1871@gslingacademy.com</t>
  </si>
  <si>
    <t>denise.rose.1872@gslingacademy.com</t>
  </si>
  <si>
    <t>andrew.reed.1873@gslingacademy.com</t>
  </si>
  <si>
    <t>david.castro.1874@gslingacademy.com</t>
  </si>
  <si>
    <t>tim.duncan.1875@gslingacademy.com</t>
  </si>
  <si>
    <t>joshua.walker.1876@gslingacademy.com</t>
  </si>
  <si>
    <t>julie.rogers.1877@gslingacademy.com</t>
  </si>
  <si>
    <t>gina.gilbert.1878@gslingacademy.com</t>
  </si>
  <si>
    <t>miguel.nicholson.1879@gslingacademy.com</t>
  </si>
  <si>
    <t>daniel.murray.1880@gslingacademy.com</t>
  </si>
  <si>
    <t>lauren.ellis.1881@gslingacademy.com</t>
  </si>
  <si>
    <t>Bridget</t>
  </si>
  <si>
    <t>bridget.martin.1882@gslingacademy.com</t>
  </si>
  <si>
    <t>maureen.hart.1883@gslingacademy.com</t>
  </si>
  <si>
    <t>sabrina.davis.1884@gslingacademy.com</t>
  </si>
  <si>
    <t>richard.davis.1885@gslingacademy.com</t>
  </si>
  <si>
    <t>angela.koch.1886@gslingacademy.com</t>
  </si>
  <si>
    <t>william.smith.1887@gslingacademy.com</t>
  </si>
  <si>
    <t>catherine.coffey.1888@gslingacademy.com</t>
  </si>
  <si>
    <t>Pace</t>
  </si>
  <si>
    <t>christopher.pace.1889@gslingacademy.com</t>
  </si>
  <si>
    <t>rachel.reeves.1890@gslingacademy.com</t>
  </si>
  <si>
    <t>jillian.arroyo.1891@gslingacademy.com</t>
  </si>
  <si>
    <t>patricia.douglas.1892@gslingacademy.com</t>
  </si>
  <si>
    <t>brandon.butler.1893@gslingacademy.com</t>
  </si>
  <si>
    <t>erica.valdez.1894@gslingacademy.com</t>
  </si>
  <si>
    <t>alexis.byrd.1895@gslingacademy.com</t>
  </si>
  <si>
    <t>james.simpson.1896@gslingacademy.com</t>
  </si>
  <si>
    <t>robert.campbell.1897@gslingacademy.com</t>
  </si>
  <si>
    <t>nicole.smith.1898@gslingacademy.com</t>
  </si>
  <si>
    <t>patricia.porter.1899@gslingacademy.com</t>
  </si>
  <si>
    <t>brian.chan.1900@gslingacademy.com</t>
  </si>
  <si>
    <t>katherine.norman.1901@gslingacademy.com</t>
  </si>
  <si>
    <t>pamela.gomez.1902@gslingacademy.com</t>
  </si>
  <si>
    <t>amy.morrow.1903@gslingacademy.com</t>
  </si>
  <si>
    <t>luke.hernandez.1904@gslingacademy.com</t>
  </si>
  <si>
    <t>roberto.rodriguez.1905@gslingacademy.com</t>
  </si>
  <si>
    <t>carla.jackson.1906@gslingacademy.com</t>
  </si>
  <si>
    <t>aaron.allen.1907@gslingacademy.com</t>
  </si>
  <si>
    <t>Burch</t>
  </si>
  <si>
    <t>wendy.burch.1908@gslingacademy.com</t>
  </si>
  <si>
    <t>sarah.hansen.1909@gslingacademy.com</t>
  </si>
  <si>
    <t>amy.dominguez.1910@gslingacademy.com</t>
  </si>
  <si>
    <t>mark.jacobs.1911@gslingacademy.com</t>
  </si>
  <si>
    <t>melissa.mendoza.1912@gslingacademy.com</t>
  </si>
  <si>
    <t>bethany.thomas.1913@gslingacademy.com</t>
  </si>
  <si>
    <t>michael.webb.1914@gslingacademy.com</t>
  </si>
  <si>
    <t>gregory.cole.1915@gslingacademy.com</t>
  </si>
  <si>
    <t>jeffrey.miller.1916@gslingacademy.com</t>
  </si>
  <si>
    <t>rebecca.castillo.1917@gslingacademy.com</t>
  </si>
  <si>
    <t>amanda.green.1918@gslingacademy.com</t>
  </si>
  <si>
    <t>joseph.hess.1919@gslingacademy.com</t>
  </si>
  <si>
    <t>Novak</t>
  </si>
  <si>
    <t>kyle.novak.1920@gslingacademy.com</t>
  </si>
  <si>
    <t>Kara</t>
  </si>
  <si>
    <t>kara.coleman.1921@gslingacademy.com</t>
  </si>
  <si>
    <t>daniel.martin.1922@gslingacademy.com</t>
  </si>
  <si>
    <t>Richards</t>
  </si>
  <si>
    <t>andrea.richards.1923@gslingacademy.com</t>
  </si>
  <si>
    <t>sydney.clay.1924@gslingacademy.com</t>
  </si>
  <si>
    <t>jeremy.tran.1925@gslingacademy.com</t>
  </si>
  <si>
    <t>Hayden</t>
  </si>
  <si>
    <t>michael.hayden.1926@gslingacademy.com</t>
  </si>
  <si>
    <t>Beasley</t>
  </si>
  <si>
    <t>antonio.beasley.1927@gslingacademy.com</t>
  </si>
  <si>
    <t>michelle.lopez.1928@gslingacademy.com</t>
  </si>
  <si>
    <t>catherine.brooks.1929@gslingacademy.com</t>
  </si>
  <si>
    <t>anita.gonzalez.1930@gslingacademy.com</t>
  </si>
  <si>
    <t>james.hudson.1931@gslingacademy.com</t>
  </si>
  <si>
    <t>alicia.rodriguez.1932@gslingacademy.com</t>
  </si>
  <si>
    <t>tracy.martinez.1933@gslingacademy.com</t>
  </si>
  <si>
    <t>christopher.montgomery.1934@gslingacademy.com</t>
  </si>
  <si>
    <t>Sherri</t>
  </si>
  <si>
    <t>sherri.cruz.1935@gslingacademy.com</t>
  </si>
  <si>
    <t>elizabeth.adams.1936@gslingacademy.com</t>
  </si>
  <si>
    <t>melissa.simmons.1937@gslingacademy.com</t>
  </si>
  <si>
    <t>Ramos</t>
  </si>
  <si>
    <t>carol.ramos.1938@gslingacademy.com</t>
  </si>
  <si>
    <t>michael.adams.1939@gslingacademy.com</t>
  </si>
  <si>
    <t>michael.wilson.1940@gslingacademy.com</t>
  </si>
  <si>
    <t>matthew.gonzalez.1941@gslingacademy.com</t>
  </si>
  <si>
    <t>lisa.palmer.1942@gslingacademy.com</t>
  </si>
  <si>
    <t>andrew.olson.1943@gslingacademy.com</t>
  </si>
  <si>
    <t>jennifer.johnson.1944@gslingacademy.com</t>
  </si>
  <si>
    <t>benjamin.marks.1945@gslingacademy.com</t>
  </si>
  <si>
    <t>christopher.gonzales.1946@gslingacademy.com</t>
  </si>
  <si>
    <t>melissa.finley.1947@gslingacademy.com</t>
  </si>
  <si>
    <t>tracy.hendricks.1948@gslingacademy.com</t>
  </si>
  <si>
    <t>steven.ramsey.1949@gslingacademy.com</t>
  </si>
  <si>
    <t>pamela.smith.1950@gslingacademy.com</t>
  </si>
  <si>
    <t>vicki.jackson.1951@gslingacademy.com</t>
  </si>
  <si>
    <t>anne.malone.1952@gslingacademy.com</t>
  </si>
  <si>
    <t>danielle.johnson.1953@gslingacademy.com</t>
  </si>
  <si>
    <t>willie.miller.1954@gslingacademy.com</t>
  </si>
  <si>
    <t>andrea.delgado.1955@gslingacademy.com</t>
  </si>
  <si>
    <t>melanie.clark.1956@gslingacademy.com</t>
  </si>
  <si>
    <t>jessica.beasley.1957@gslingacademy.com</t>
  </si>
  <si>
    <t>cindy.bradley.1958@gslingacademy.com</t>
  </si>
  <si>
    <t>dennis.richardson.1959@gslingacademy.com</t>
  </si>
  <si>
    <t>Peggy</t>
  </si>
  <si>
    <t>Hoover</t>
  </si>
  <si>
    <t>peggy.hoover.1960@gslingacademy.com</t>
  </si>
  <si>
    <t>peter.rice.1961@gslingacademy.com</t>
  </si>
  <si>
    <t>sabrina.perez.1962@gslingacademy.com</t>
  </si>
  <si>
    <t>michael.parker.1963@gslingacademy.com</t>
  </si>
  <si>
    <t>david.calderon.1964@gslingacademy.com</t>
  </si>
  <si>
    <t>james.gordon.1965@gslingacademy.com</t>
  </si>
  <si>
    <t>Leblanc</t>
  </si>
  <si>
    <t>jennifer.leblanc.1966@gslingacademy.com</t>
  </si>
  <si>
    <t>paul.bailey.1967@gslingacademy.com</t>
  </si>
  <si>
    <t>tiffany.smith.1968@gslingacademy.com</t>
  </si>
  <si>
    <t>victoria.alvarez.1969@gslingacademy.com</t>
  </si>
  <si>
    <t>willie.elliott.1970@gslingacademy.com</t>
  </si>
  <si>
    <t>james.bryant.1971@gslingacademy.com</t>
  </si>
  <si>
    <t>kimberly.swanson.1972@gslingacademy.com</t>
  </si>
  <si>
    <t>beverly.dawson.1973@gslingacademy.com</t>
  </si>
  <si>
    <t>lisa.stewart.1974@gslingacademy.com</t>
  </si>
  <si>
    <t>Dwayne</t>
  </si>
  <si>
    <t>dwayne.sims.1975@gslingacademy.com</t>
  </si>
  <si>
    <t>ashley.fleming.1976@gslingacademy.com</t>
  </si>
  <si>
    <t>lisa.stafford.1977@gslingacademy.com</t>
  </si>
  <si>
    <t>kristin.garcia.1978@gslingacademy.com</t>
  </si>
  <si>
    <t>eric.adkins.1979@gslingacademy.com</t>
  </si>
  <si>
    <t>allison.henderson.1980@gslingacademy.com</t>
  </si>
  <si>
    <t>alison.palmer.1981@gslingacademy.com</t>
  </si>
  <si>
    <t>shane.parker.1982@gslingacademy.com</t>
  </si>
  <si>
    <t>debra.gilbert.1983@gslingacademy.com</t>
  </si>
  <si>
    <t>mary.jackson.1984@gslingacademy.com</t>
  </si>
  <si>
    <t>joshua.stuart.1985@gslingacademy.com</t>
  </si>
  <si>
    <t>benjamin.williams.1986@gslingacademy.com</t>
  </si>
  <si>
    <t>david.frank.1987@gslingacademy.com</t>
  </si>
  <si>
    <t>holly.erickson.1988@gslingacademy.com</t>
  </si>
  <si>
    <t>charles.miller.1989@gslingacademy.com</t>
  </si>
  <si>
    <t>samuel.baker.1990@gslingacademy.com</t>
  </si>
  <si>
    <t>anthony.moore.1991@gslingacademy.com</t>
  </si>
  <si>
    <t>Rowe</t>
  </si>
  <si>
    <t>charlotte.rowe.1992@gslingacademy.com</t>
  </si>
  <si>
    <t>john.peterson.1993@gslingacademy.com</t>
  </si>
  <si>
    <t>shawn.ochoa.1994@gslingacademy.com</t>
  </si>
  <si>
    <t>steven.lewis.1995@gslingacademy.com</t>
  </si>
  <si>
    <t>alan.reynolds.1996@gslingacademy.com</t>
  </si>
  <si>
    <t>thomas.gilbert.1997@gslingacademy.com</t>
  </si>
  <si>
    <t>Cross</t>
  </si>
  <si>
    <t>madison.cross.1998@gslingacademy.com</t>
  </si>
  <si>
    <t>brittany.compton.1999@gslingacademy.com</t>
  </si>
  <si>
    <t>natalie.smith.2000@gslingacademy.com</t>
  </si>
  <si>
    <t>Row Labels</t>
  </si>
  <si>
    <t>Grand Total</t>
  </si>
  <si>
    <t>Overall Performance Summary</t>
  </si>
  <si>
    <t>Total_Score</t>
  </si>
  <si>
    <t>Avg_Score</t>
  </si>
  <si>
    <t>Study_Hours</t>
  </si>
  <si>
    <t>Absence_grp</t>
  </si>
  <si>
    <t>Top_Performer</t>
  </si>
  <si>
    <t>Count of id</t>
  </si>
  <si>
    <t>Average of Avg_Score</t>
  </si>
  <si>
    <t>Average of Total_Score</t>
  </si>
  <si>
    <t>Average Scores by Gender</t>
  </si>
  <si>
    <t>Average of math_score</t>
  </si>
  <si>
    <t>Average of history_score</t>
  </si>
  <si>
    <t>Average of physics_score</t>
  </si>
  <si>
    <t>Average of chemistry_score</t>
  </si>
  <si>
    <t>Average of biology_score</t>
  </si>
  <si>
    <t>Average of english_score</t>
  </si>
  <si>
    <t>Average of geography_score</t>
  </si>
  <si>
    <t>Average Scores by Career Aspiration</t>
  </si>
  <si>
    <t>Top 10 Careers by Average Total Score</t>
  </si>
  <si>
    <t>Study Hours vs Performance</t>
  </si>
  <si>
    <t>11 - 20</t>
  </si>
  <si>
    <t>21 - 30</t>
  </si>
  <si>
    <t>31+</t>
  </si>
  <si>
    <t>Absence Days Impact</t>
  </si>
  <si>
    <t>0</t>
  </si>
  <si>
    <t>1-3</t>
  </si>
  <si>
    <t>4-6</t>
  </si>
  <si>
    <t>7-10</t>
  </si>
  <si>
    <t>Part-time Job &amp; Extracurricular Combination</t>
  </si>
  <si>
    <t>FALSE</t>
  </si>
  <si>
    <t>Distribution of Students by Career Aspiration</t>
  </si>
  <si>
    <t>High Performers Analysis</t>
  </si>
  <si>
    <t>High Performer</t>
  </si>
  <si>
    <t>Avg Study Hours</t>
  </si>
  <si>
    <t>Yes</t>
  </si>
  <si>
    <t>Number of Students</t>
  </si>
  <si>
    <t>KPI Name</t>
  </si>
  <si>
    <t>Total Students</t>
  </si>
  <si>
    <t>Overall Average Score</t>
  </si>
  <si>
    <t>Average Weekly Study Hours</t>
  </si>
  <si>
    <t>Average Absence Days</t>
  </si>
  <si>
    <t>% Top Performers</t>
  </si>
  <si>
    <t>TRUE</t>
  </si>
  <si>
    <t>Avg Score per Subject</t>
  </si>
  <si>
    <t>Number of students as per gender</t>
  </si>
  <si>
    <t>0 - 5</t>
  </si>
  <si>
    <t>6 - 10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</si>
</sst>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pivotButton="1" applyAlignment="1">
      <alignment wrapText="1"/>
    </xf>
    <xf numFmtId="0" fontId="0" fillId="0" borderId="0" xfId="0" applyAlignment="1">
      <alignment wrapText="1"/>
    </xf>
    <xf numFmtId="0" fontId="0" fillId="0" borderId="0" xfId="0" applyAlignment="1">
      <alignment horizontal="center"/>
    </xf>
    <xf numFmtId="0" fontId="0" fillId="0" borderId="0" xfId="0" applyAlignment="1">
      <alignment horizontal="left" indent="1"/>
    </xf>
    <xf numFmtId="0" fontId="1" fillId="3" borderId="1" xfId="0" applyFont="1" applyFill="1" applyBorder="1"/>
    <xf numFmtId="10" fontId="0" fillId="0" borderId="0" xfId="0" applyNumberFormat="1"/>
    <xf numFmtId="0" fontId="1" fillId="0" borderId="0" xfId="0" applyFont="1" applyAlignment="1">
      <alignment horizontal="center" wrapText="1"/>
    </xf>
    <xf numFmtId="0" fontId="1" fillId="2" borderId="0" xfId="0" applyFont="1" applyFill="1" applyAlignment="1">
      <alignment horizontal="center" wrapText="1"/>
    </xf>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103">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9FF99"/>
      <color rgb="FFBB11BF"/>
      <color rgb="FFFF6E25"/>
      <color rgb="FFFF7C80"/>
      <color rgb="FFFF9966"/>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[72252243G_ANJALI_BARGE_ACEM.xlsx]Record!PivotTable2</c:name>
    <c:fmtId val="5"/>
  </c:pivotSource>
  <c:chart>
    <c:title>
      <c:tx>
        <c:rich>
          <a:bodyPr/>
          <a:lstStyle/>
          <a:p>
            <a:pPr>
              <a:defRPr/>
            </a:pPr>
            <a:r>
              <a:rPr lang="en-IN" sz="1600">
                <a:effectLst/>
              </a:rPr>
              <a:t>Average Subject Scores by Gender</a:t>
            </a:r>
          </a:p>
        </c:rich>
      </c:tx>
      <c:overlay val="0"/>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3"/>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24"/>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
        <c:idx val="25"/>
        <c:spPr>
          <a:solidFill>
            <a:schemeClr val="accent5"/>
          </a:solidFill>
          <a:ln>
            <a:noFill/>
          </a:ln>
          <a:effectLst/>
          <a:sp3d/>
        </c:spPr>
        <c:marker>
          <c:symbol val="none"/>
        </c:marker>
        <c:dLbl>
          <c:idx val="0"/>
          <c:delete val="1"/>
          <c:extLst>
            <c:ext xmlns:c15="http://schemas.microsoft.com/office/drawing/2012/chart" uri="{CE6537A1-D6FC-4f65-9D91-7224C49458BB}"/>
          </c:extLst>
        </c:dLbl>
      </c:pivotFmt>
      <c:pivotFmt>
        <c:idx val="26"/>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27"/>
        <c:spPr>
          <a:solidFill>
            <a:schemeClr val="accent1">
              <a:lumMod val="60000"/>
            </a:schemeClr>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Record!$G$2</c:f>
              <c:strCache>
                <c:ptCount val="1"/>
                <c:pt idx="0">
                  <c:v>Average of math_score</c:v>
                </c:pt>
              </c:strCache>
            </c:strRef>
          </c:tx>
          <c:spPr>
            <a:solidFill>
              <a:schemeClr val="accent1"/>
            </a:solidFill>
            <a:ln>
              <a:noFill/>
            </a:ln>
            <a:effectLst/>
            <a:sp3d/>
          </c:spPr>
          <c:invertIfNegative val="0"/>
          <c:cat>
            <c:strRef>
              <c:f>Record!$F$3:$F$5</c:f>
              <c:strCache>
                <c:ptCount val="2"/>
                <c:pt idx="0">
                  <c:v>female</c:v>
                </c:pt>
                <c:pt idx="1">
                  <c:v>male</c:v>
                </c:pt>
              </c:strCache>
            </c:strRef>
          </c:cat>
          <c:val>
            <c:numRef>
              <c:f>Record!$G$3:$G$5</c:f>
              <c:numCache>
                <c:formatCode>General</c:formatCode>
                <c:ptCount val="2"/>
                <c:pt idx="0">
                  <c:v>82.792415169660686</c:v>
                </c:pt>
                <c:pt idx="1">
                  <c:v>84.114228456913821</c:v>
                </c:pt>
              </c:numCache>
            </c:numRef>
          </c:val>
          <c:extLst>
            <c:ext xmlns:c16="http://schemas.microsoft.com/office/drawing/2014/chart" uri="{C3380CC4-5D6E-409C-BE32-E72D297353CC}">
              <c16:uniqueId val="{00000001-797D-4369-B5EF-C8FECB5D8AB3}"/>
            </c:ext>
          </c:extLst>
        </c:ser>
        <c:ser>
          <c:idx val="1"/>
          <c:order val="1"/>
          <c:tx>
            <c:strRef>
              <c:f>Record!$H$2</c:f>
              <c:strCache>
                <c:ptCount val="1"/>
                <c:pt idx="0">
                  <c:v>Average of history_score</c:v>
                </c:pt>
              </c:strCache>
            </c:strRef>
          </c:tx>
          <c:spPr>
            <a:solidFill>
              <a:schemeClr val="accent2"/>
            </a:solidFill>
            <a:ln>
              <a:noFill/>
            </a:ln>
            <a:effectLst/>
            <a:sp3d/>
          </c:spPr>
          <c:invertIfNegative val="0"/>
          <c:cat>
            <c:strRef>
              <c:f>Record!$F$3:$F$5</c:f>
              <c:strCache>
                <c:ptCount val="2"/>
                <c:pt idx="0">
                  <c:v>female</c:v>
                </c:pt>
                <c:pt idx="1">
                  <c:v>male</c:v>
                </c:pt>
              </c:strCache>
            </c:strRef>
          </c:cat>
          <c:val>
            <c:numRef>
              <c:f>Record!$H$3:$H$5</c:f>
              <c:numCache>
                <c:formatCode>General</c:formatCode>
                <c:ptCount val="2"/>
                <c:pt idx="0">
                  <c:v>80.495009980039924</c:v>
                </c:pt>
                <c:pt idx="1">
                  <c:v>80.168336673346687</c:v>
                </c:pt>
              </c:numCache>
            </c:numRef>
          </c:val>
          <c:extLst>
            <c:ext xmlns:c16="http://schemas.microsoft.com/office/drawing/2014/chart" uri="{C3380CC4-5D6E-409C-BE32-E72D297353CC}">
              <c16:uniqueId val="{00000003-797D-4369-B5EF-C8FECB5D8AB3}"/>
            </c:ext>
          </c:extLst>
        </c:ser>
        <c:ser>
          <c:idx val="2"/>
          <c:order val="2"/>
          <c:tx>
            <c:strRef>
              <c:f>Record!$I$2</c:f>
              <c:strCache>
                <c:ptCount val="1"/>
                <c:pt idx="0">
                  <c:v>Average of physics_score</c:v>
                </c:pt>
              </c:strCache>
            </c:strRef>
          </c:tx>
          <c:spPr>
            <a:solidFill>
              <a:schemeClr val="accent3"/>
            </a:solidFill>
            <a:ln>
              <a:noFill/>
            </a:ln>
            <a:effectLst/>
            <a:sp3d/>
          </c:spPr>
          <c:invertIfNegative val="0"/>
          <c:cat>
            <c:strRef>
              <c:f>Record!$F$3:$F$5</c:f>
              <c:strCache>
                <c:ptCount val="2"/>
                <c:pt idx="0">
                  <c:v>female</c:v>
                </c:pt>
                <c:pt idx="1">
                  <c:v>male</c:v>
                </c:pt>
              </c:strCache>
            </c:strRef>
          </c:cat>
          <c:val>
            <c:numRef>
              <c:f>Record!$I$3:$I$5</c:f>
              <c:numCache>
                <c:formatCode>General</c:formatCode>
                <c:ptCount val="2"/>
                <c:pt idx="0">
                  <c:v>80.678642714570856</c:v>
                </c:pt>
                <c:pt idx="1">
                  <c:v>81.996993987975955</c:v>
                </c:pt>
              </c:numCache>
            </c:numRef>
          </c:val>
          <c:extLst>
            <c:ext xmlns:c16="http://schemas.microsoft.com/office/drawing/2014/chart" uri="{C3380CC4-5D6E-409C-BE32-E72D297353CC}">
              <c16:uniqueId val="{00000005-797D-4369-B5EF-C8FECB5D8AB3}"/>
            </c:ext>
          </c:extLst>
        </c:ser>
        <c:ser>
          <c:idx val="3"/>
          <c:order val="3"/>
          <c:tx>
            <c:strRef>
              <c:f>Record!$J$2</c:f>
              <c:strCache>
                <c:ptCount val="1"/>
                <c:pt idx="0">
                  <c:v>Average of chemistry_score</c:v>
                </c:pt>
              </c:strCache>
            </c:strRef>
          </c:tx>
          <c:spPr>
            <a:solidFill>
              <a:schemeClr val="accent4"/>
            </a:solidFill>
            <a:ln>
              <a:noFill/>
            </a:ln>
            <a:effectLst/>
            <a:sp3d/>
          </c:spPr>
          <c:invertIfNegative val="0"/>
          <c:cat>
            <c:strRef>
              <c:f>Record!$F$3:$F$5</c:f>
              <c:strCache>
                <c:ptCount val="2"/>
                <c:pt idx="0">
                  <c:v>female</c:v>
                </c:pt>
                <c:pt idx="1">
                  <c:v>male</c:v>
                </c:pt>
              </c:strCache>
            </c:strRef>
          </c:cat>
          <c:val>
            <c:numRef>
              <c:f>Record!$J$3:$J$5</c:f>
              <c:numCache>
                <c:formatCode>General</c:formatCode>
                <c:ptCount val="2"/>
                <c:pt idx="0">
                  <c:v>80.382235528942118</c:v>
                </c:pt>
                <c:pt idx="1">
                  <c:v>79.606212424849701</c:v>
                </c:pt>
              </c:numCache>
            </c:numRef>
          </c:val>
          <c:extLst>
            <c:ext xmlns:c16="http://schemas.microsoft.com/office/drawing/2014/chart" uri="{C3380CC4-5D6E-409C-BE32-E72D297353CC}">
              <c16:uniqueId val="{00000007-797D-4369-B5EF-C8FECB5D8AB3}"/>
            </c:ext>
          </c:extLst>
        </c:ser>
        <c:ser>
          <c:idx val="4"/>
          <c:order val="4"/>
          <c:tx>
            <c:strRef>
              <c:f>Record!$K$2</c:f>
              <c:strCache>
                <c:ptCount val="1"/>
                <c:pt idx="0">
                  <c:v>Average of biology_score</c:v>
                </c:pt>
              </c:strCache>
            </c:strRef>
          </c:tx>
          <c:spPr>
            <a:solidFill>
              <a:schemeClr val="accent5"/>
            </a:solidFill>
            <a:ln>
              <a:noFill/>
            </a:ln>
            <a:effectLst/>
            <a:sp3d/>
          </c:spPr>
          <c:invertIfNegative val="0"/>
          <c:cat>
            <c:strRef>
              <c:f>Record!$F$3:$F$5</c:f>
              <c:strCache>
                <c:ptCount val="2"/>
                <c:pt idx="0">
                  <c:v>female</c:v>
                </c:pt>
                <c:pt idx="1">
                  <c:v>male</c:v>
                </c:pt>
              </c:strCache>
            </c:strRef>
          </c:cat>
          <c:val>
            <c:numRef>
              <c:f>Record!$K$3:$K$5</c:f>
              <c:numCache>
                <c:formatCode>General</c:formatCode>
                <c:ptCount val="2"/>
                <c:pt idx="0">
                  <c:v>79.21656686626747</c:v>
                </c:pt>
                <c:pt idx="1">
                  <c:v>79.947895791583164</c:v>
                </c:pt>
              </c:numCache>
            </c:numRef>
          </c:val>
          <c:extLst>
            <c:ext xmlns:c16="http://schemas.microsoft.com/office/drawing/2014/chart" uri="{C3380CC4-5D6E-409C-BE32-E72D297353CC}">
              <c16:uniqueId val="{00000009-797D-4369-B5EF-C8FECB5D8AB3}"/>
            </c:ext>
          </c:extLst>
        </c:ser>
        <c:ser>
          <c:idx val="5"/>
          <c:order val="5"/>
          <c:tx>
            <c:strRef>
              <c:f>Record!$L$2</c:f>
              <c:strCache>
                <c:ptCount val="1"/>
                <c:pt idx="0">
                  <c:v>Average of english_score</c:v>
                </c:pt>
              </c:strCache>
            </c:strRef>
          </c:tx>
          <c:spPr>
            <a:solidFill>
              <a:schemeClr val="accent6"/>
            </a:solidFill>
            <a:ln>
              <a:noFill/>
            </a:ln>
            <a:effectLst/>
            <a:sp3d/>
          </c:spPr>
          <c:invertIfNegative val="0"/>
          <c:cat>
            <c:strRef>
              <c:f>Record!$F$3:$F$5</c:f>
              <c:strCache>
                <c:ptCount val="2"/>
                <c:pt idx="0">
                  <c:v>female</c:v>
                </c:pt>
                <c:pt idx="1">
                  <c:v>male</c:v>
                </c:pt>
              </c:strCache>
            </c:strRef>
          </c:cat>
          <c:val>
            <c:numRef>
              <c:f>Record!$L$3:$L$5</c:f>
              <c:numCache>
                <c:formatCode>General</c:formatCode>
                <c:ptCount val="2"/>
                <c:pt idx="0">
                  <c:v>81.740518962075853</c:v>
                </c:pt>
                <c:pt idx="1">
                  <c:v>80.812625250501</c:v>
                </c:pt>
              </c:numCache>
            </c:numRef>
          </c:val>
          <c:extLst>
            <c:ext xmlns:c16="http://schemas.microsoft.com/office/drawing/2014/chart" uri="{C3380CC4-5D6E-409C-BE32-E72D297353CC}">
              <c16:uniqueId val="{0000000B-797D-4369-B5EF-C8FECB5D8AB3}"/>
            </c:ext>
          </c:extLst>
        </c:ser>
        <c:ser>
          <c:idx val="6"/>
          <c:order val="6"/>
          <c:tx>
            <c:strRef>
              <c:f>Record!$M$2</c:f>
              <c:strCache>
                <c:ptCount val="1"/>
                <c:pt idx="0">
                  <c:v>Average of geography_score</c:v>
                </c:pt>
              </c:strCache>
            </c:strRef>
          </c:tx>
          <c:spPr>
            <a:solidFill>
              <a:schemeClr val="accent1">
                <a:lumMod val="60000"/>
              </a:schemeClr>
            </a:solidFill>
            <a:ln>
              <a:noFill/>
            </a:ln>
            <a:effectLst/>
            <a:sp3d/>
          </c:spPr>
          <c:invertIfNegative val="0"/>
          <c:cat>
            <c:strRef>
              <c:f>Record!$F$3:$F$5</c:f>
              <c:strCache>
                <c:ptCount val="2"/>
                <c:pt idx="0">
                  <c:v>female</c:v>
                </c:pt>
                <c:pt idx="1">
                  <c:v>male</c:v>
                </c:pt>
              </c:strCache>
            </c:strRef>
          </c:cat>
          <c:val>
            <c:numRef>
              <c:f>Record!$M$3:$M$5</c:f>
              <c:numCache>
                <c:formatCode>General</c:formatCode>
                <c:ptCount val="2"/>
                <c:pt idx="0">
                  <c:v>80.953093812375243</c:v>
                </c:pt>
                <c:pt idx="1">
                  <c:v>80.822645290581164</c:v>
                </c:pt>
              </c:numCache>
            </c:numRef>
          </c:val>
          <c:extLst>
            <c:ext xmlns:c16="http://schemas.microsoft.com/office/drawing/2014/chart" uri="{C3380CC4-5D6E-409C-BE32-E72D297353CC}">
              <c16:uniqueId val="{0000000D-797D-4369-B5EF-C8FECB5D8AB3}"/>
            </c:ext>
          </c:extLst>
        </c:ser>
        <c:dLbls>
          <c:showLegendKey val="0"/>
          <c:showVal val="0"/>
          <c:showCatName val="0"/>
          <c:showSerName val="0"/>
          <c:showPercent val="0"/>
          <c:showBubbleSize val="0"/>
        </c:dLbls>
        <c:gapWidth val="150"/>
        <c:shape val="box"/>
        <c:axId val="2009036751"/>
        <c:axId val="2009046831"/>
        <c:axId val="0"/>
      </c:bar3DChart>
      <c:catAx>
        <c:axId val="2009036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046831"/>
        <c:crosses val="autoZero"/>
        <c:auto val="1"/>
        <c:lblAlgn val="ctr"/>
        <c:lblOffset val="100"/>
        <c:noMultiLvlLbl val="0"/>
      </c:catAx>
      <c:valAx>
        <c:axId val="200904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03675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[72252243G_ANJALI_BARGE_ACEM.xlsx]Record!PivotTable8</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effectLst/>
              </a:rPr>
              <a:t>Top Career Aspirations by Student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Record!$F$30</c:f>
              <c:strCache>
                <c:ptCount val="1"/>
                <c:pt idx="0">
                  <c:v>Total</c:v>
                </c:pt>
              </c:strCache>
            </c:strRef>
          </c:tx>
          <c:spPr>
            <a:solidFill>
              <a:schemeClr val="accent1"/>
            </a:solidFill>
            <a:ln>
              <a:noFill/>
            </a:ln>
            <a:effectLst/>
          </c:spPr>
          <c:invertIfNegative val="0"/>
          <c:cat>
            <c:strRef>
              <c:f>Record!$E$31:$E$48</c:f>
              <c:strCache>
                <c:ptCount val="17"/>
                <c:pt idx="0">
                  <c:v>Software Engineer</c:v>
                </c:pt>
                <c:pt idx="1">
                  <c:v>Business Owner</c:v>
                </c:pt>
                <c:pt idx="2">
                  <c:v>Unknown</c:v>
                </c:pt>
                <c:pt idx="3">
                  <c:v>Banker</c:v>
                </c:pt>
                <c:pt idx="4">
                  <c:v>Lawyer</c:v>
                </c:pt>
                <c:pt idx="5">
                  <c:v>Accountant</c:v>
                </c:pt>
                <c:pt idx="6">
                  <c:v>Doctor</c:v>
                </c:pt>
                <c:pt idx="7">
                  <c:v>Real Estate Developer</c:v>
                </c:pt>
                <c:pt idx="8">
                  <c:v>Stock Investor</c:v>
                </c:pt>
                <c:pt idx="9">
                  <c:v>Construction Engineer</c:v>
                </c:pt>
                <c:pt idx="10">
                  <c:v>Artist</c:v>
                </c:pt>
                <c:pt idx="11">
                  <c:v>Game Developer</c:v>
                </c:pt>
                <c:pt idx="12">
                  <c:v>Government Officer</c:v>
                </c:pt>
                <c:pt idx="13">
                  <c:v>Teacher</c:v>
                </c:pt>
                <c:pt idx="14">
                  <c:v>Designer</c:v>
                </c:pt>
                <c:pt idx="15">
                  <c:v>Scientist</c:v>
                </c:pt>
                <c:pt idx="16">
                  <c:v>Writer</c:v>
                </c:pt>
              </c:strCache>
            </c:strRef>
          </c:cat>
          <c:val>
            <c:numRef>
              <c:f>Record!$F$31:$F$48</c:f>
              <c:numCache>
                <c:formatCode>General</c:formatCode>
                <c:ptCount val="17"/>
                <c:pt idx="0">
                  <c:v>315</c:v>
                </c:pt>
                <c:pt idx="1">
                  <c:v>309</c:v>
                </c:pt>
                <c:pt idx="2">
                  <c:v>223</c:v>
                </c:pt>
                <c:pt idx="3">
                  <c:v>169</c:v>
                </c:pt>
                <c:pt idx="4">
                  <c:v>138</c:v>
                </c:pt>
                <c:pt idx="5">
                  <c:v>126</c:v>
                </c:pt>
                <c:pt idx="6">
                  <c:v>119</c:v>
                </c:pt>
                <c:pt idx="7">
                  <c:v>83</c:v>
                </c:pt>
                <c:pt idx="8">
                  <c:v>73</c:v>
                </c:pt>
                <c:pt idx="9">
                  <c:v>68</c:v>
                </c:pt>
                <c:pt idx="10">
                  <c:v>67</c:v>
                </c:pt>
                <c:pt idx="11">
                  <c:v>63</c:v>
                </c:pt>
                <c:pt idx="12">
                  <c:v>61</c:v>
                </c:pt>
                <c:pt idx="13">
                  <c:v>59</c:v>
                </c:pt>
                <c:pt idx="14">
                  <c:v>56</c:v>
                </c:pt>
                <c:pt idx="15">
                  <c:v>39</c:v>
                </c:pt>
                <c:pt idx="16">
                  <c:v>32</c:v>
                </c:pt>
              </c:numCache>
            </c:numRef>
          </c:val>
          <c:extLst>
            <c:ext xmlns:c16="http://schemas.microsoft.com/office/drawing/2014/chart" uri="{C3380CC4-5D6E-409C-BE32-E72D297353CC}">
              <c16:uniqueId val="{00000000-1BC1-4518-9920-6F747DBF6123}"/>
            </c:ext>
          </c:extLst>
        </c:ser>
        <c:dLbls>
          <c:showLegendKey val="0"/>
          <c:showVal val="0"/>
          <c:showCatName val="0"/>
          <c:showSerName val="0"/>
          <c:showPercent val="0"/>
          <c:showBubbleSize val="0"/>
        </c:dLbls>
        <c:gapWidth val="150"/>
        <c:overlap val="100"/>
        <c:axId val="205552271"/>
        <c:axId val="205537871"/>
      </c:barChart>
      <c:catAx>
        <c:axId val="20555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7871"/>
        <c:crosses val="autoZero"/>
        <c:auto val="1"/>
        <c:lblAlgn val="ctr"/>
        <c:lblOffset val="100"/>
        <c:noMultiLvlLbl val="0"/>
      </c:catAx>
      <c:valAx>
        <c:axId val="205537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5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[72252243G_ANJALI_BARGE_ACEM.xlsx]Record!PivotTable5</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600" b="1">
                <a:solidFill>
                  <a:sysClr val="windowText" lastClr="000000"/>
                </a:solidFill>
                <a:effectLst/>
              </a:rPr>
              <a:t>Average Score by Weekly Study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Record!$J$8</c:f>
              <c:strCache>
                <c:ptCount val="1"/>
                <c:pt idx="0">
                  <c:v>Count of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Record!$I$9:$I$14</c:f>
              <c:strCache>
                <c:ptCount val="5"/>
                <c:pt idx="0">
                  <c:v>0 - 5</c:v>
                </c:pt>
                <c:pt idx="1">
                  <c:v>11 - 20</c:v>
                </c:pt>
                <c:pt idx="2">
                  <c:v>21 - 30</c:v>
                </c:pt>
                <c:pt idx="3">
                  <c:v>31+</c:v>
                </c:pt>
                <c:pt idx="4">
                  <c:v>6 - 10</c:v>
                </c:pt>
              </c:strCache>
            </c:strRef>
          </c:cat>
          <c:val>
            <c:numRef>
              <c:f>Record!$J$9:$J$14</c:f>
              <c:numCache>
                <c:formatCode>General</c:formatCode>
                <c:ptCount val="5"/>
                <c:pt idx="0">
                  <c:v>546</c:v>
                </c:pt>
                <c:pt idx="1">
                  <c:v>426</c:v>
                </c:pt>
                <c:pt idx="2">
                  <c:v>527</c:v>
                </c:pt>
                <c:pt idx="3">
                  <c:v>372</c:v>
                </c:pt>
                <c:pt idx="4">
                  <c:v>129</c:v>
                </c:pt>
              </c:numCache>
            </c:numRef>
          </c:val>
          <c:smooth val="0"/>
          <c:extLst>
            <c:ext xmlns:c16="http://schemas.microsoft.com/office/drawing/2014/chart" uri="{C3380CC4-5D6E-409C-BE32-E72D297353CC}">
              <c16:uniqueId val="{00000000-3825-467D-9E7C-1990216ABB35}"/>
            </c:ext>
          </c:extLst>
        </c:ser>
        <c:ser>
          <c:idx val="1"/>
          <c:order val="1"/>
          <c:tx>
            <c:strRef>
              <c:f>Record!$K$8</c:f>
              <c:strCache>
                <c:ptCount val="1"/>
                <c:pt idx="0">
                  <c:v>Average of Avg_Score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Record!$I$9:$I$14</c:f>
              <c:strCache>
                <c:ptCount val="5"/>
                <c:pt idx="0">
                  <c:v>0 - 5</c:v>
                </c:pt>
                <c:pt idx="1">
                  <c:v>11 - 20</c:v>
                </c:pt>
                <c:pt idx="2">
                  <c:v>21 - 30</c:v>
                </c:pt>
                <c:pt idx="3">
                  <c:v>31+</c:v>
                </c:pt>
                <c:pt idx="4">
                  <c:v>6 - 10</c:v>
                </c:pt>
              </c:strCache>
            </c:strRef>
          </c:cat>
          <c:val>
            <c:numRef>
              <c:f>Record!$K$9:$K$14</c:f>
              <c:numCache>
                <c:formatCode>0.00</c:formatCode>
                <c:ptCount val="5"/>
                <c:pt idx="0">
                  <c:v>77.09576138147564</c:v>
                </c:pt>
                <c:pt idx="1">
                  <c:v>80.980885311871219</c:v>
                </c:pt>
                <c:pt idx="2">
                  <c:v>81.795879642179386</c:v>
                </c:pt>
                <c:pt idx="3">
                  <c:v>85.872887864823326</c:v>
                </c:pt>
                <c:pt idx="4">
                  <c:v>79.980066445182715</c:v>
                </c:pt>
              </c:numCache>
            </c:numRef>
          </c:val>
          <c:smooth val="0"/>
          <c:extLst>
            <c:ext xmlns:c16="http://schemas.microsoft.com/office/drawing/2014/chart" uri="{C3380CC4-5D6E-409C-BE32-E72D297353CC}">
              <c16:uniqueId val="{00000001-3825-467D-9E7C-1990216ABB35}"/>
            </c:ext>
          </c:extLst>
        </c:ser>
        <c:dLbls>
          <c:showLegendKey val="0"/>
          <c:showVal val="0"/>
          <c:showCatName val="0"/>
          <c:showSerName val="0"/>
          <c:showPercent val="0"/>
          <c:showBubbleSize val="0"/>
        </c:dLbls>
        <c:marker val="1"/>
        <c:smooth val="0"/>
        <c:axId val="1114324287"/>
        <c:axId val="1114324767"/>
      </c:lineChart>
      <c:catAx>
        <c:axId val="111432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324767"/>
        <c:crosses val="autoZero"/>
        <c:auto val="1"/>
        <c:lblAlgn val="ctr"/>
        <c:lblOffset val="100"/>
        <c:noMultiLvlLbl val="0"/>
      </c:catAx>
      <c:valAx>
        <c:axId val="111432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32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[72252243G_ANJALI_BARGE_ACEM.xlsx]Record!PivotTable7</c:name>
    <c:fmtId val="1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effectLst/>
              </a:rPr>
              <a:t>Average Score by Part-Time Job &amp; Extracurricular Combination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Record!$B$30</c:f>
              <c:strCache>
                <c:ptCount val="1"/>
                <c:pt idx="0">
                  <c:v>Number of Students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Record!$A$31:$A$37</c:f>
              <c:multiLvlStrCache>
                <c:ptCount val="4"/>
                <c:lvl>
                  <c:pt idx="0">
                    <c:v>FALSE</c:v>
                  </c:pt>
                  <c:pt idx="1">
                    <c:v>TRUE</c:v>
                  </c:pt>
                  <c:pt idx="2">
                    <c:v>FALSE</c:v>
                  </c:pt>
                  <c:pt idx="3">
                    <c:v>TRUE</c:v>
                  </c:pt>
                </c:lvl>
                <c:lvl>
                  <c:pt idx="0">
                    <c:v>FALSE</c:v>
                  </c:pt>
                  <c:pt idx="2">
                    <c:v>TRUE</c:v>
                  </c:pt>
                </c:lvl>
              </c:multiLvlStrCache>
            </c:multiLvlStrRef>
          </c:cat>
          <c:val>
            <c:numRef>
              <c:f>Record!$B$31:$B$37</c:f>
              <c:numCache>
                <c:formatCode>General</c:formatCode>
                <c:ptCount val="4"/>
                <c:pt idx="0">
                  <c:v>1338</c:v>
                </c:pt>
                <c:pt idx="1">
                  <c:v>346</c:v>
                </c:pt>
                <c:pt idx="2">
                  <c:v>254</c:v>
                </c:pt>
                <c:pt idx="3">
                  <c:v>62</c:v>
                </c:pt>
              </c:numCache>
            </c:numRef>
          </c:val>
          <c:extLst>
            <c:ext xmlns:c16="http://schemas.microsoft.com/office/drawing/2014/chart" uri="{C3380CC4-5D6E-409C-BE32-E72D297353CC}">
              <c16:uniqueId val="{00000000-6FFF-4283-8F4A-F84D3F7E0F43}"/>
            </c:ext>
          </c:extLst>
        </c:ser>
        <c:ser>
          <c:idx val="1"/>
          <c:order val="1"/>
          <c:tx>
            <c:strRef>
              <c:f>Record!$C$30</c:f>
              <c:strCache>
                <c:ptCount val="1"/>
                <c:pt idx="0">
                  <c:v>Avg Score per Subject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Record!$A$31:$A$37</c:f>
              <c:multiLvlStrCache>
                <c:ptCount val="4"/>
                <c:lvl>
                  <c:pt idx="0">
                    <c:v>FALSE</c:v>
                  </c:pt>
                  <c:pt idx="1">
                    <c:v>TRUE</c:v>
                  </c:pt>
                  <c:pt idx="2">
                    <c:v>FALSE</c:v>
                  </c:pt>
                  <c:pt idx="3">
                    <c:v>TRUE</c:v>
                  </c:pt>
                </c:lvl>
                <c:lvl>
                  <c:pt idx="0">
                    <c:v>FALSE</c:v>
                  </c:pt>
                  <c:pt idx="2">
                    <c:v>TRUE</c:v>
                  </c:pt>
                </c:lvl>
              </c:multiLvlStrCache>
            </c:multiLvlStrRef>
          </c:cat>
          <c:val>
            <c:numRef>
              <c:f>Record!$C$31:$C$37</c:f>
              <c:numCache>
                <c:formatCode>0.00</c:formatCode>
                <c:ptCount val="4"/>
                <c:pt idx="0">
                  <c:v>81.584454409566533</c:v>
                </c:pt>
                <c:pt idx="1">
                  <c:v>81.100330305532665</c:v>
                </c:pt>
                <c:pt idx="2">
                  <c:v>78.410573678290149</c:v>
                </c:pt>
                <c:pt idx="3">
                  <c:v>77.801843317972356</c:v>
                </c:pt>
              </c:numCache>
            </c:numRef>
          </c:val>
          <c:extLst>
            <c:ext xmlns:c16="http://schemas.microsoft.com/office/drawing/2014/chart" uri="{C3380CC4-5D6E-409C-BE32-E72D297353CC}">
              <c16:uniqueId val="{00000001-6FFF-4283-8F4A-F84D3F7E0F43}"/>
            </c:ext>
          </c:extLst>
        </c:ser>
        <c:dLbls>
          <c:showLegendKey val="0"/>
          <c:showVal val="1"/>
          <c:showCatName val="0"/>
          <c:showSerName val="0"/>
          <c:showPercent val="0"/>
          <c:showBubbleSize val="0"/>
        </c:dLbls>
        <c:gapWidth val="150"/>
        <c:shape val="box"/>
        <c:axId val="1829468719"/>
        <c:axId val="1829481199"/>
        <c:axId val="0"/>
      </c:bar3DChart>
      <c:catAx>
        <c:axId val="1829468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81199"/>
        <c:crosses val="autoZero"/>
        <c:auto val="1"/>
        <c:lblAlgn val="ctr"/>
        <c:lblOffset val="100"/>
        <c:noMultiLvlLbl val="0"/>
      </c:catAx>
      <c:valAx>
        <c:axId val="182948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46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[72252243G_ANJALI_BARGE_ACEM.xlsx]Record!PivotTable6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effectLst/>
              </a:rPr>
              <a:t>Impact of Absence Days on Average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Record!$N$8</c:f>
              <c:strCache>
                <c:ptCount val="1"/>
                <c:pt idx="0">
                  <c:v>Average of Avg_Score</c:v>
                </c:pt>
              </c:strCache>
            </c:strRef>
          </c:tx>
          <c:spPr>
            <a:solidFill>
              <a:schemeClr val="accent1"/>
            </a:solidFill>
            <a:ln>
              <a:noFill/>
            </a:ln>
            <a:effectLst/>
            <a:sp3d/>
          </c:spPr>
          <c:invertIfNegative val="0"/>
          <c:cat>
            <c:strRef>
              <c:f>Record!$M$9:$M$13</c:f>
              <c:strCache>
                <c:ptCount val="4"/>
                <c:pt idx="0">
                  <c:v>0</c:v>
                </c:pt>
                <c:pt idx="1">
                  <c:v>1-3</c:v>
                </c:pt>
                <c:pt idx="2">
                  <c:v>4-6</c:v>
                </c:pt>
                <c:pt idx="3">
                  <c:v>7-10</c:v>
                </c:pt>
              </c:strCache>
            </c:strRef>
          </c:cat>
          <c:val>
            <c:numRef>
              <c:f>Record!$N$9:$N$13</c:f>
              <c:numCache>
                <c:formatCode>0.00</c:formatCode>
                <c:ptCount val="4"/>
                <c:pt idx="0">
                  <c:v>81.616724738675956</c:v>
                </c:pt>
                <c:pt idx="1">
                  <c:v>82.032321253672833</c:v>
                </c:pt>
                <c:pt idx="2">
                  <c:v>80.630616088243215</c:v>
                </c:pt>
                <c:pt idx="3">
                  <c:v>78.00615384615385</c:v>
                </c:pt>
              </c:numCache>
            </c:numRef>
          </c:val>
          <c:extLst>
            <c:ext xmlns:c16="http://schemas.microsoft.com/office/drawing/2014/chart" uri="{C3380CC4-5D6E-409C-BE32-E72D297353CC}">
              <c16:uniqueId val="{00000000-D590-4141-8BCD-D07FC06F9005}"/>
            </c:ext>
          </c:extLst>
        </c:ser>
        <c:ser>
          <c:idx val="1"/>
          <c:order val="1"/>
          <c:tx>
            <c:strRef>
              <c:f>Record!$O$8</c:f>
              <c:strCache>
                <c:ptCount val="1"/>
                <c:pt idx="0">
                  <c:v>Average of math_score</c:v>
                </c:pt>
              </c:strCache>
            </c:strRef>
          </c:tx>
          <c:spPr>
            <a:solidFill>
              <a:schemeClr val="accent2"/>
            </a:solidFill>
            <a:ln>
              <a:noFill/>
            </a:ln>
            <a:effectLst/>
            <a:sp3d/>
          </c:spPr>
          <c:invertIfNegative val="0"/>
          <c:cat>
            <c:strRef>
              <c:f>Record!$M$9:$M$13</c:f>
              <c:strCache>
                <c:ptCount val="4"/>
                <c:pt idx="0">
                  <c:v>0</c:v>
                </c:pt>
                <c:pt idx="1">
                  <c:v>1-3</c:v>
                </c:pt>
                <c:pt idx="2">
                  <c:v>4-6</c:v>
                </c:pt>
                <c:pt idx="3">
                  <c:v>7-10</c:v>
                </c:pt>
              </c:strCache>
            </c:strRef>
          </c:cat>
          <c:val>
            <c:numRef>
              <c:f>Record!$O$9:$O$13</c:f>
              <c:numCache>
                <c:formatCode>General</c:formatCode>
                <c:ptCount val="4"/>
                <c:pt idx="0">
                  <c:v>85.934959349593498</c:v>
                </c:pt>
                <c:pt idx="1">
                  <c:v>85.373163565132216</c:v>
                </c:pt>
                <c:pt idx="2">
                  <c:v>83.37099811676083</c:v>
                </c:pt>
                <c:pt idx="3">
                  <c:v>76.609230769230763</c:v>
                </c:pt>
              </c:numCache>
            </c:numRef>
          </c:val>
          <c:extLst>
            <c:ext xmlns:c16="http://schemas.microsoft.com/office/drawing/2014/chart" uri="{C3380CC4-5D6E-409C-BE32-E72D297353CC}">
              <c16:uniqueId val="{00000001-D590-4141-8BCD-D07FC06F9005}"/>
            </c:ext>
          </c:extLst>
        </c:ser>
        <c:ser>
          <c:idx val="2"/>
          <c:order val="2"/>
          <c:tx>
            <c:strRef>
              <c:f>Record!$P$8</c:f>
              <c:strCache>
                <c:ptCount val="1"/>
                <c:pt idx="0">
                  <c:v>Average of history_score</c:v>
                </c:pt>
              </c:strCache>
            </c:strRef>
          </c:tx>
          <c:spPr>
            <a:solidFill>
              <a:schemeClr val="accent3"/>
            </a:solidFill>
            <a:ln>
              <a:noFill/>
            </a:ln>
            <a:effectLst/>
            <a:sp3d/>
          </c:spPr>
          <c:invertIfNegative val="0"/>
          <c:cat>
            <c:strRef>
              <c:f>Record!$M$9:$M$13</c:f>
              <c:strCache>
                <c:ptCount val="4"/>
                <c:pt idx="0">
                  <c:v>0</c:v>
                </c:pt>
                <c:pt idx="1">
                  <c:v>1-3</c:v>
                </c:pt>
                <c:pt idx="2">
                  <c:v>4-6</c:v>
                </c:pt>
                <c:pt idx="3">
                  <c:v>7-10</c:v>
                </c:pt>
              </c:strCache>
            </c:strRef>
          </c:cat>
          <c:val>
            <c:numRef>
              <c:f>Record!$P$9:$P$13</c:f>
              <c:numCache>
                <c:formatCode>General</c:formatCode>
                <c:ptCount val="4"/>
                <c:pt idx="0">
                  <c:v>81.463414634146346</c:v>
                </c:pt>
                <c:pt idx="1">
                  <c:v>81.407443682664052</c:v>
                </c:pt>
                <c:pt idx="2">
                  <c:v>80.225988700564969</c:v>
                </c:pt>
                <c:pt idx="3">
                  <c:v>76.698461538461544</c:v>
                </c:pt>
              </c:numCache>
            </c:numRef>
          </c:val>
          <c:extLst>
            <c:ext xmlns:c16="http://schemas.microsoft.com/office/drawing/2014/chart" uri="{C3380CC4-5D6E-409C-BE32-E72D297353CC}">
              <c16:uniqueId val="{00000002-D590-4141-8BCD-D07FC06F9005}"/>
            </c:ext>
          </c:extLst>
        </c:ser>
        <c:ser>
          <c:idx val="3"/>
          <c:order val="3"/>
          <c:tx>
            <c:strRef>
              <c:f>Record!$Q$8</c:f>
              <c:strCache>
                <c:ptCount val="1"/>
                <c:pt idx="0">
                  <c:v>Average of physics_score</c:v>
                </c:pt>
              </c:strCache>
            </c:strRef>
          </c:tx>
          <c:spPr>
            <a:solidFill>
              <a:schemeClr val="accent4"/>
            </a:solidFill>
            <a:ln>
              <a:noFill/>
            </a:ln>
            <a:effectLst/>
            <a:sp3d/>
          </c:spPr>
          <c:invertIfNegative val="0"/>
          <c:cat>
            <c:strRef>
              <c:f>Record!$M$9:$M$13</c:f>
              <c:strCache>
                <c:ptCount val="4"/>
                <c:pt idx="0">
                  <c:v>0</c:v>
                </c:pt>
                <c:pt idx="1">
                  <c:v>1-3</c:v>
                </c:pt>
                <c:pt idx="2">
                  <c:v>4-6</c:v>
                </c:pt>
                <c:pt idx="3">
                  <c:v>7-10</c:v>
                </c:pt>
              </c:strCache>
            </c:strRef>
          </c:cat>
          <c:val>
            <c:numRef>
              <c:f>Record!$Q$9:$Q$13</c:f>
              <c:numCache>
                <c:formatCode>General</c:formatCode>
                <c:ptCount val="4"/>
                <c:pt idx="0">
                  <c:v>82.162601626016254</c:v>
                </c:pt>
                <c:pt idx="1">
                  <c:v>82.694417238001961</c:v>
                </c:pt>
                <c:pt idx="2">
                  <c:v>80.225988700564969</c:v>
                </c:pt>
                <c:pt idx="3">
                  <c:v>78.572307692307689</c:v>
                </c:pt>
              </c:numCache>
            </c:numRef>
          </c:val>
          <c:extLst>
            <c:ext xmlns:c16="http://schemas.microsoft.com/office/drawing/2014/chart" uri="{C3380CC4-5D6E-409C-BE32-E72D297353CC}">
              <c16:uniqueId val="{00000003-D590-4141-8BCD-D07FC06F9005}"/>
            </c:ext>
          </c:extLst>
        </c:ser>
        <c:ser>
          <c:idx val="4"/>
          <c:order val="4"/>
          <c:tx>
            <c:strRef>
              <c:f>Record!$R$8</c:f>
              <c:strCache>
                <c:ptCount val="1"/>
                <c:pt idx="0">
                  <c:v>Average of chemistry_score</c:v>
                </c:pt>
              </c:strCache>
            </c:strRef>
          </c:tx>
          <c:spPr>
            <a:solidFill>
              <a:schemeClr val="accent5"/>
            </a:solidFill>
            <a:ln>
              <a:noFill/>
            </a:ln>
            <a:effectLst/>
            <a:sp3d/>
          </c:spPr>
          <c:invertIfNegative val="0"/>
          <c:cat>
            <c:strRef>
              <c:f>Record!$M$9:$M$13</c:f>
              <c:strCache>
                <c:ptCount val="4"/>
                <c:pt idx="0">
                  <c:v>0</c:v>
                </c:pt>
                <c:pt idx="1">
                  <c:v>1-3</c:v>
                </c:pt>
                <c:pt idx="2">
                  <c:v>4-6</c:v>
                </c:pt>
                <c:pt idx="3">
                  <c:v>7-10</c:v>
                </c:pt>
              </c:strCache>
            </c:strRef>
          </c:cat>
          <c:val>
            <c:numRef>
              <c:f>Record!$R$9:$R$13</c:f>
              <c:numCache>
                <c:formatCode>General</c:formatCode>
                <c:ptCount val="4"/>
                <c:pt idx="0">
                  <c:v>80.203252032520325</c:v>
                </c:pt>
                <c:pt idx="1">
                  <c:v>80.846229187071501</c:v>
                </c:pt>
                <c:pt idx="2">
                  <c:v>79.920903954802256</c:v>
                </c:pt>
                <c:pt idx="3">
                  <c:v>77.363076923076918</c:v>
                </c:pt>
              </c:numCache>
            </c:numRef>
          </c:val>
          <c:extLst>
            <c:ext xmlns:c16="http://schemas.microsoft.com/office/drawing/2014/chart" uri="{C3380CC4-5D6E-409C-BE32-E72D297353CC}">
              <c16:uniqueId val="{00000004-D590-4141-8BCD-D07FC06F9005}"/>
            </c:ext>
          </c:extLst>
        </c:ser>
        <c:ser>
          <c:idx val="5"/>
          <c:order val="5"/>
          <c:tx>
            <c:strRef>
              <c:f>Record!$S$8</c:f>
              <c:strCache>
                <c:ptCount val="1"/>
                <c:pt idx="0">
                  <c:v>Average of biology_score</c:v>
                </c:pt>
              </c:strCache>
            </c:strRef>
          </c:tx>
          <c:spPr>
            <a:solidFill>
              <a:schemeClr val="accent6"/>
            </a:solidFill>
            <a:ln>
              <a:noFill/>
            </a:ln>
            <a:effectLst/>
            <a:sp3d/>
          </c:spPr>
          <c:invertIfNegative val="0"/>
          <c:cat>
            <c:strRef>
              <c:f>Record!$M$9:$M$13</c:f>
              <c:strCache>
                <c:ptCount val="4"/>
                <c:pt idx="0">
                  <c:v>0</c:v>
                </c:pt>
                <c:pt idx="1">
                  <c:v>1-3</c:v>
                </c:pt>
                <c:pt idx="2">
                  <c:v>4-6</c:v>
                </c:pt>
                <c:pt idx="3">
                  <c:v>7-10</c:v>
                </c:pt>
              </c:strCache>
            </c:strRef>
          </c:cat>
          <c:val>
            <c:numRef>
              <c:f>Record!$S$9:$S$13</c:f>
              <c:numCache>
                <c:formatCode>General</c:formatCode>
                <c:ptCount val="4"/>
                <c:pt idx="0">
                  <c:v>78.869918699186996</c:v>
                </c:pt>
                <c:pt idx="1">
                  <c:v>80.889324191968655</c:v>
                </c:pt>
                <c:pt idx="2">
                  <c:v>78.531073446327682</c:v>
                </c:pt>
                <c:pt idx="3">
                  <c:v>77.458461538461535</c:v>
                </c:pt>
              </c:numCache>
            </c:numRef>
          </c:val>
          <c:extLst>
            <c:ext xmlns:c16="http://schemas.microsoft.com/office/drawing/2014/chart" uri="{C3380CC4-5D6E-409C-BE32-E72D297353CC}">
              <c16:uniqueId val="{00000005-D590-4141-8BCD-D07FC06F9005}"/>
            </c:ext>
          </c:extLst>
        </c:ser>
        <c:ser>
          <c:idx val="6"/>
          <c:order val="6"/>
          <c:tx>
            <c:strRef>
              <c:f>Record!$T$8</c:f>
              <c:strCache>
                <c:ptCount val="1"/>
                <c:pt idx="0">
                  <c:v>Average of english_score</c:v>
                </c:pt>
              </c:strCache>
            </c:strRef>
          </c:tx>
          <c:spPr>
            <a:solidFill>
              <a:schemeClr val="accent1">
                <a:lumMod val="60000"/>
              </a:schemeClr>
            </a:solidFill>
            <a:ln>
              <a:noFill/>
            </a:ln>
            <a:effectLst/>
            <a:sp3d/>
          </c:spPr>
          <c:invertIfNegative val="0"/>
          <c:cat>
            <c:strRef>
              <c:f>Record!$M$9:$M$13</c:f>
              <c:strCache>
                <c:ptCount val="4"/>
                <c:pt idx="0">
                  <c:v>0</c:v>
                </c:pt>
                <c:pt idx="1">
                  <c:v>1-3</c:v>
                </c:pt>
                <c:pt idx="2">
                  <c:v>4-6</c:v>
                </c:pt>
                <c:pt idx="3">
                  <c:v>7-10</c:v>
                </c:pt>
              </c:strCache>
            </c:strRef>
          </c:cat>
          <c:val>
            <c:numRef>
              <c:f>Record!$T$9:$T$13</c:f>
              <c:numCache>
                <c:formatCode>General</c:formatCode>
                <c:ptCount val="4"/>
                <c:pt idx="0">
                  <c:v>80.292682926829272</c:v>
                </c:pt>
                <c:pt idx="1">
                  <c:v>82.339862879529875</c:v>
                </c:pt>
                <c:pt idx="2">
                  <c:v>80.990583804143128</c:v>
                </c:pt>
                <c:pt idx="3">
                  <c:v>78.78153846153846</c:v>
                </c:pt>
              </c:numCache>
            </c:numRef>
          </c:val>
          <c:extLst>
            <c:ext xmlns:c16="http://schemas.microsoft.com/office/drawing/2014/chart" uri="{C3380CC4-5D6E-409C-BE32-E72D297353CC}">
              <c16:uniqueId val="{00000006-D590-4141-8BCD-D07FC06F9005}"/>
            </c:ext>
          </c:extLst>
        </c:ser>
        <c:ser>
          <c:idx val="7"/>
          <c:order val="7"/>
          <c:tx>
            <c:strRef>
              <c:f>Record!$U$8</c:f>
              <c:strCache>
                <c:ptCount val="1"/>
                <c:pt idx="0">
                  <c:v>Average of geography_score</c:v>
                </c:pt>
              </c:strCache>
            </c:strRef>
          </c:tx>
          <c:spPr>
            <a:solidFill>
              <a:schemeClr val="accent2">
                <a:lumMod val="60000"/>
              </a:schemeClr>
            </a:solidFill>
            <a:ln>
              <a:noFill/>
            </a:ln>
            <a:effectLst/>
            <a:sp3d/>
          </c:spPr>
          <c:invertIfNegative val="0"/>
          <c:cat>
            <c:strRef>
              <c:f>Record!$M$9:$M$13</c:f>
              <c:strCache>
                <c:ptCount val="4"/>
                <c:pt idx="0">
                  <c:v>0</c:v>
                </c:pt>
                <c:pt idx="1">
                  <c:v>1-3</c:v>
                </c:pt>
                <c:pt idx="2">
                  <c:v>4-6</c:v>
                </c:pt>
                <c:pt idx="3">
                  <c:v>7-10</c:v>
                </c:pt>
              </c:strCache>
            </c:strRef>
          </c:cat>
          <c:val>
            <c:numRef>
              <c:f>Record!$U$9:$U$13</c:f>
              <c:numCache>
                <c:formatCode>General</c:formatCode>
                <c:ptCount val="4"/>
                <c:pt idx="0">
                  <c:v>82.390243902439025</c:v>
                </c:pt>
                <c:pt idx="1">
                  <c:v>80.675808031341816</c:v>
                </c:pt>
                <c:pt idx="2">
                  <c:v>81.148775894538602</c:v>
                </c:pt>
                <c:pt idx="3">
                  <c:v>80.56</c:v>
                </c:pt>
              </c:numCache>
            </c:numRef>
          </c:val>
          <c:extLst>
            <c:ext xmlns:c16="http://schemas.microsoft.com/office/drawing/2014/chart" uri="{C3380CC4-5D6E-409C-BE32-E72D297353CC}">
              <c16:uniqueId val="{00000007-D590-4141-8BCD-D07FC06F9005}"/>
            </c:ext>
          </c:extLst>
        </c:ser>
        <c:dLbls>
          <c:showLegendKey val="0"/>
          <c:showVal val="0"/>
          <c:showCatName val="0"/>
          <c:showSerName val="0"/>
          <c:showPercent val="0"/>
          <c:showBubbleSize val="0"/>
        </c:dLbls>
        <c:gapWidth val="150"/>
        <c:shape val="box"/>
        <c:axId val="2115794352"/>
        <c:axId val="2115791472"/>
        <c:axId val="0"/>
      </c:bar3DChart>
      <c:catAx>
        <c:axId val="211579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791472"/>
        <c:crosses val="autoZero"/>
        <c:auto val="1"/>
        <c:lblAlgn val="ctr"/>
        <c:lblOffset val="100"/>
        <c:noMultiLvlLbl val="0"/>
      </c:catAx>
      <c:valAx>
        <c:axId val="2115791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79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[72252243G_ANJALI_BARGE_ACEM.xlsx]Record!PivotTable8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Career Aspiration Distribution (%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5400">
            <a:solidFill>
              <a:schemeClr val="lt1"/>
            </a:solidFill>
          </a:ln>
          <a:effectLst/>
          <a:sp3d contourW="25400">
            <a:contourClr>
              <a:schemeClr val="lt1"/>
            </a:contourClr>
          </a:sp3d>
        </c:spPr>
      </c:pivotFmt>
      <c:pivotFmt>
        <c:idx val="21"/>
        <c:spPr>
          <a:solidFill>
            <a:schemeClr val="accent6"/>
          </a:solidFill>
          <a:ln w="25400">
            <a:solidFill>
              <a:schemeClr val="lt1"/>
            </a:solidFill>
          </a:ln>
          <a:effectLst/>
          <a:sp3d contourW="25400">
            <a:contourClr>
              <a:schemeClr val="lt1"/>
            </a:contourClr>
          </a:sp3d>
        </c:spPr>
      </c:pivotFmt>
      <c:pivotFmt>
        <c:idx val="22"/>
        <c:spPr>
          <a:solidFill>
            <a:schemeClr val="accent6"/>
          </a:solidFill>
          <a:ln w="25400">
            <a:solidFill>
              <a:schemeClr val="lt1"/>
            </a:solidFill>
          </a:ln>
          <a:effectLst/>
          <a:sp3d contourW="25400">
            <a:contourClr>
              <a:schemeClr val="lt1"/>
            </a:contourClr>
          </a:sp3d>
        </c:spPr>
      </c:pivotFmt>
      <c:pivotFmt>
        <c:idx val="23"/>
        <c:spPr>
          <a:solidFill>
            <a:schemeClr val="accent6"/>
          </a:solidFill>
          <a:ln w="25400">
            <a:solidFill>
              <a:schemeClr val="lt1"/>
            </a:solidFill>
          </a:ln>
          <a:effectLst/>
          <a:sp3d contourW="25400">
            <a:contourClr>
              <a:schemeClr val="lt1"/>
            </a:contourClr>
          </a:sp3d>
        </c:spPr>
      </c:pivotFmt>
      <c:pivotFmt>
        <c:idx val="24"/>
        <c:spPr>
          <a:solidFill>
            <a:schemeClr val="accent6"/>
          </a:solidFill>
          <a:ln w="25400">
            <a:solidFill>
              <a:schemeClr val="lt1"/>
            </a:solidFill>
          </a:ln>
          <a:effectLst/>
          <a:sp3d contourW="25400">
            <a:contourClr>
              <a:schemeClr val="lt1"/>
            </a:contourClr>
          </a:sp3d>
        </c:spPr>
      </c:pivotFmt>
      <c:pivotFmt>
        <c:idx val="25"/>
        <c:spPr>
          <a:solidFill>
            <a:schemeClr val="accent6"/>
          </a:solidFill>
          <a:ln w="25400">
            <a:solidFill>
              <a:schemeClr val="lt1"/>
            </a:solidFill>
          </a:ln>
          <a:effectLst/>
          <a:sp3d contourW="25400">
            <a:contourClr>
              <a:schemeClr val="lt1"/>
            </a:contourClr>
          </a:sp3d>
        </c:spPr>
      </c:pivotFmt>
      <c:pivotFmt>
        <c:idx val="26"/>
        <c:spPr>
          <a:solidFill>
            <a:schemeClr val="accent6"/>
          </a:solidFill>
          <a:ln w="25400">
            <a:solidFill>
              <a:schemeClr val="lt1"/>
            </a:solidFill>
          </a:ln>
          <a:effectLst/>
          <a:sp3d contourW="25400">
            <a:contourClr>
              <a:schemeClr val="lt1"/>
            </a:contourClr>
          </a:sp3d>
        </c:spPr>
      </c:pivotFmt>
      <c:pivotFmt>
        <c:idx val="27"/>
        <c:spPr>
          <a:solidFill>
            <a:schemeClr val="accent6"/>
          </a:solidFill>
          <a:ln w="25400">
            <a:solidFill>
              <a:schemeClr val="lt1"/>
            </a:solidFill>
          </a:ln>
          <a:effectLst/>
          <a:sp3d contourW="25400">
            <a:contourClr>
              <a:schemeClr val="lt1"/>
            </a:contourClr>
          </a:sp3d>
        </c:spPr>
      </c:pivotFmt>
      <c:pivotFmt>
        <c:idx val="28"/>
        <c:spPr>
          <a:solidFill>
            <a:schemeClr val="accent6"/>
          </a:solidFill>
          <a:ln w="25400">
            <a:solidFill>
              <a:schemeClr val="lt1"/>
            </a:solidFill>
          </a:ln>
          <a:effectLst/>
          <a:sp3d contourW="25400">
            <a:contourClr>
              <a:schemeClr val="lt1"/>
            </a:contourClr>
          </a:sp3d>
        </c:spPr>
      </c:pivotFmt>
      <c:pivotFmt>
        <c:idx val="29"/>
        <c:spPr>
          <a:solidFill>
            <a:schemeClr val="accent6"/>
          </a:solidFill>
          <a:ln w="25400">
            <a:solidFill>
              <a:schemeClr val="lt1"/>
            </a:solidFill>
          </a:ln>
          <a:effectLst/>
          <a:sp3d contourW="25400">
            <a:contourClr>
              <a:schemeClr val="lt1"/>
            </a:contourClr>
          </a:sp3d>
        </c:spPr>
      </c:pivotFmt>
      <c:pivotFmt>
        <c:idx val="30"/>
        <c:spPr>
          <a:solidFill>
            <a:schemeClr val="accent6"/>
          </a:solidFill>
          <a:ln w="25400">
            <a:solidFill>
              <a:schemeClr val="lt1"/>
            </a:solidFill>
          </a:ln>
          <a:effectLst/>
          <a:sp3d contourW="25400">
            <a:contourClr>
              <a:schemeClr val="lt1"/>
            </a:contourClr>
          </a:sp3d>
        </c:spPr>
      </c:pivotFmt>
      <c:pivotFmt>
        <c:idx val="31"/>
        <c:spPr>
          <a:solidFill>
            <a:schemeClr val="accent6"/>
          </a:solidFill>
          <a:ln w="25400">
            <a:solidFill>
              <a:schemeClr val="lt1"/>
            </a:solidFill>
          </a:ln>
          <a:effectLst/>
          <a:sp3d contourW="25400">
            <a:contourClr>
              <a:schemeClr val="lt1"/>
            </a:contourClr>
          </a:sp3d>
        </c:spPr>
      </c:pivotFmt>
      <c:pivotFmt>
        <c:idx val="32"/>
        <c:spPr>
          <a:solidFill>
            <a:schemeClr val="accent6"/>
          </a:solidFill>
          <a:ln w="25400">
            <a:solidFill>
              <a:schemeClr val="lt1"/>
            </a:solidFill>
          </a:ln>
          <a:effectLst/>
          <a:sp3d contourW="25400">
            <a:contourClr>
              <a:schemeClr val="lt1"/>
            </a:contourClr>
          </a:sp3d>
        </c:spPr>
      </c:pivotFmt>
      <c:pivotFmt>
        <c:idx val="33"/>
        <c:spPr>
          <a:solidFill>
            <a:schemeClr val="accent6"/>
          </a:solidFill>
          <a:ln w="25400">
            <a:solidFill>
              <a:schemeClr val="lt1"/>
            </a:solidFill>
          </a:ln>
          <a:effectLst/>
          <a:sp3d contourW="25400">
            <a:contourClr>
              <a:schemeClr val="lt1"/>
            </a:contourClr>
          </a:sp3d>
        </c:spPr>
      </c:pivotFmt>
      <c:pivotFmt>
        <c:idx val="34"/>
        <c:spPr>
          <a:solidFill>
            <a:schemeClr val="accent6"/>
          </a:solidFill>
          <a:ln w="25400">
            <a:solidFill>
              <a:schemeClr val="lt1"/>
            </a:solidFill>
          </a:ln>
          <a:effectLst/>
          <a:sp3d contourW="25400">
            <a:contourClr>
              <a:schemeClr val="lt1"/>
            </a:contourClr>
          </a:sp3d>
        </c:spPr>
      </c:pivotFmt>
      <c:pivotFmt>
        <c:idx val="35"/>
        <c:spPr>
          <a:solidFill>
            <a:schemeClr val="accent6"/>
          </a:solidFill>
          <a:ln w="25400">
            <a:solidFill>
              <a:schemeClr val="lt1"/>
            </a:solidFill>
          </a:ln>
          <a:effectLst/>
          <a:sp3d contourW="25400">
            <a:contourClr>
              <a:schemeClr val="lt1"/>
            </a:contourClr>
          </a:sp3d>
        </c:spPr>
      </c:pivotFmt>
      <c:pivotFmt>
        <c:idx val="36"/>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Record!$F$30</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2C76-49B2-BE2E-9DD06A3CB5E8}"/>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2C76-49B2-BE2E-9DD06A3CB5E8}"/>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2C76-49B2-BE2E-9DD06A3CB5E8}"/>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2C76-49B2-BE2E-9DD06A3CB5E8}"/>
              </c:ext>
            </c:extLst>
          </c:dPt>
          <c:dPt>
            <c:idx val="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2C76-49B2-BE2E-9DD06A3CB5E8}"/>
              </c:ext>
            </c:extLst>
          </c:dPt>
          <c:dPt>
            <c:idx val="5"/>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2C76-49B2-BE2E-9DD06A3CB5E8}"/>
              </c:ext>
            </c:extLst>
          </c:dPt>
          <c:dPt>
            <c:idx val="6"/>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C76-49B2-BE2E-9DD06A3CB5E8}"/>
              </c:ext>
            </c:extLst>
          </c:dPt>
          <c:dPt>
            <c:idx val="7"/>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C76-49B2-BE2E-9DD06A3CB5E8}"/>
              </c:ext>
            </c:extLst>
          </c:dPt>
          <c:dPt>
            <c:idx val="8"/>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C76-49B2-BE2E-9DD06A3CB5E8}"/>
              </c:ext>
            </c:extLst>
          </c:dPt>
          <c:dPt>
            <c:idx val="9"/>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C76-49B2-BE2E-9DD06A3CB5E8}"/>
              </c:ext>
            </c:extLst>
          </c:dPt>
          <c:dPt>
            <c:idx val="10"/>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C76-49B2-BE2E-9DD06A3CB5E8}"/>
              </c:ext>
            </c:extLst>
          </c:dPt>
          <c:dPt>
            <c:idx val="1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2C76-49B2-BE2E-9DD06A3CB5E8}"/>
              </c:ext>
            </c:extLst>
          </c:dPt>
          <c:dPt>
            <c:idx val="12"/>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2C76-49B2-BE2E-9DD06A3CB5E8}"/>
              </c:ext>
            </c:extLst>
          </c:dPt>
          <c:dPt>
            <c:idx val="13"/>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2C76-49B2-BE2E-9DD06A3CB5E8}"/>
              </c:ext>
            </c:extLst>
          </c:dPt>
          <c:dPt>
            <c:idx val="14"/>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2C76-49B2-BE2E-9DD06A3CB5E8}"/>
              </c:ext>
            </c:extLst>
          </c:dPt>
          <c:dPt>
            <c:idx val="1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2C76-49B2-BE2E-9DD06A3CB5E8}"/>
              </c:ext>
            </c:extLst>
          </c:dPt>
          <c:dPt>
            <c:idx val="16"/>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2C76-49B2-BE2E-9DD06A3CB5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Record!$E$31:$E$48</c:f>
              <c:strCache>
                <c:ptCount val="17"/>
                <c:pt idx="0">
                  <c:v>Software Engineer</c:v>
                </c:pt>
                <c:pt idx="1">
                  <c:v>Business Owner</c:v>
                </c:pt>
                <c:pt idx="2">
                  <c:v>Unknown</c:v>
                </c:pt>
                <c:pt idx="3">
                  <c:v>Banker</c:v>
                </c:pt>
                <c:pt idx="4">
                  <c:v>Lawyer</c:v>
                </c:pt>
                <c:pt idx="5">
                  <c:v>Accountant</c:v>
                </c:pt>
                <c:pt idx="6">
                  <c:v>Doctor</c:v>
                </c:pt>
                <c:pt idx="7">
                  <c:v>Real Estate Developer</c:v>
                </c:pt>
                <c:pt idx="8">
                  <c:v>Stock Investor</c:v>
                </c:pt>
                <c:pt idx="9">
                  <c:v>Construction Engineer</c:v>
                </c:pt>
                <c:pt idx="10">
                  <c:v>Artist</c:v>
                </c:pt>
                <c:pt idx="11">
                  <c:v>Game Developer</c:v>
                </c:pt>
                <c:pt idx="12">
                  <c:v>Government Officer</c:v>
                </c:pt>
                <c:pt idx="13">
                  <c:v>Teacher</c:v>
                </c:pt>
                <c:pt idx="14">
                  <c:v>Designer</c:v>
                </c:pt>
                <c:pt idx="15">
                  <c:v>Scientist</c:v>
                </c:pt>
                <c:pt idx="16">
                  <c:v>Writer</c:v>
                </c:pt>
              </c:strCache>
            </c:strRef>
          </c:cat>
          <c:val>
            <c:numRef>
              <c:f>Record!$F$31:$F$48</c:f>
              <c:numCache>
                <c:formatCode>General</c:formatCode>
                <c:ptCount val="17"/>
                <c:pt idx="0">
                  <c:v>315</c:v>
                </c:pt>
                <c:pt idx="1">
                  <c:v>309</c:v>
                </c:pt>
                <c:pt idx="2">
                  <c:v>223</c:v>
                </c:pt>
                <c:pt idx="3">
                  <c:v>169</c:v>
                </c:pt>
                <c:pt idx="4">
                  <c:v>138</c:v>
                </c:pt>
                <c:pt idx="5">
                  <c:v>126</c:v>
                </c:pt>
                <c:pt idx="6">
                  <c:v>119</c:v>
                </c:pt>
                <c:pt idx="7">
                  <c:v>83</c:v>
                </c:pt>
                <c:pt idx="8">
                  <c:v>73</c:v>
                </c:pt>
                <c:pt idx="9">
                  <c:v>68</c:v>
                </c:pt>
                <c:pt idx="10">
                  <c:v>67</c:v>
                </c:pt>
                <c:pt idx="11">
                  <c:v>63</c:v>
                </c:pt>
                <c:pt idx="12">
                  <c:v>61</c:v>
                </c:pt>
                <c:pt idx="13">
                  <c:v>59</c:v>
                </c:pt>
                <c:pt idx="14">
                  <c:v>56</c:v>
                </c:pt>
                <c:pt idx="15">
                  <c:v>39</c:v>
                </c:pt>
                <c:pt idx="16">
                  <c:v>32</c:v>
                </c:pt>
              </c:numCache>
            </c:numRef>
          </c:val>
          <c:extLst>
            <c:ext xmlns:c16="http://schemas.microsoft.com/office/drawing/2014/chart" uri="{C3380CC4-5D6E-409C-BE32-E72D297353CC}">
              <c16:uniqueId val="{00000022-2C76-49B2-BE2E-9DD06A3CB5E8}"/>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58</xdr:row>
      <xdr:rowOff>135325</xdr:rowOff>
    </xdr:from>
    <xdr:to>
      <xdr:col>11</xdr:col>
      <xdr:colOff>1446968</xdr:colOff>
      <xdr:row>97</xdr:row>
      <xdr:rowOff>135328</xdr:rowOff>
    </xdr:to>
    <xdr:sp macro="" textlink="">
      <xdr:nvSpPr>
        <xdr:cNvPr id="6" name="TextBox 5">
          <a:extLst>
            <a:ext uri="{FF2B5EF4-FFF2-40B4-BE49-F238E27FC236}">
              <a16:creationId xmlns:a16="http://schemas.microsoft.com/office/drawing/2014/main" id="{EC2E45F8-8A34-5FBA-F41F-8C8F9F5567EA}"/>
            </a:ext>
          </a:extLst>
        </xdr:cNvPr>
        <xdr:cNvSpPr txBox="1"/>
      </xdr:nvSpPr>
      <xdr:spPr>
        <a:xfrm>
          <a:off x="0" y="11721473"/>
          <a:ext cx="14761148" cy="7307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Insights:</a:t>
          </a:r>
        </a:p>
        <a:p>
          <a:r>
            <a:rPr lang="en-IN" sz="1800"/>
            <a:t>The dataset includes 2,000 students with a balanced gender distribution (1,002 females and 998 males). </a:t>
          </a:r>
        </a:p>
        <a:p>
          <a:r>
            <a:rPr lang="en-IN" sz="1800"/>
            <a:t>The overall average score across all students is 80.98 out of 100. </a:t>
          </a:r>
        </a:p>
        <a:p>
          <a:r>
            <a:rPr lang="en-IN" sz="1800"/>
            <a:t>On average, students study 17.76 hours per week and miss 3.67 school days. </a:t>
          </a:r>
        </a:p>
        <a:p>
          <a:r>
            <a:rPr lang="en-IN" sz="1800"/>
            <a:t>Only 20.25% of students (405 students) qualify as top performers (average score ≥ 85). </a:t>
          </a:r>
        </a:p>
        <a:p>
          <a:r>
            <a:rPr lang="en-IN" sz="1800"/>
            <a:t>Gender differences in overall performance are very small (females: 80.89, males: 81.07). </a:t>
          </a:r>
        </a:p>
        <a:p>
          <a:r>
            <a:rPr lang="en-IN" sz="1800"/>
            <a:t>Males perform slightly better in mathematics (84.11 vs 82.79) and physics (82.00 vs 80.68). </a:t>
          </a:r>
        </a:p>
        <a:p>
          <a:r>
            <a:rPr lang="en-IN" sz="1800"/>
            <a:t>Females perform slightly better in English (81.74 vs 80.81) and geography (80.95 vs 80.82). </a:t>
          </a:r>
        </a:p>
        <a:p>
          <a:r>
            <a:rPr lang="en-IN" sz="1800"/>
            <a:t>The most popular career aspirations are Software Engineer (315 students ≈ 15.8%) and Business Owner (309 students ≈ 15.5%). Students aspiring to become Doctors achieve the highest average score (89.68), followed by Scientists (86.44) and Lawyers (84.16). Students aspiring to become Business Owners have the lowest average score among major groups (74.48). </a:t>
          </a:r>
        </a:p>
        <a:p>
          <a:r>
            <a:rPr lang="en-IN" sz="1800"/>
            <a:t>There is a strong positive relationship between weekly self-study hours and academic performance. Students studying 31+ hours per week achieve the highest average score (85.87). Students studying 0–5 hours per week have the lowest average score (77.10). Top performers (405 students) study significantly more hours per week (average 26.45 hours) than the overall average. </a:t>
          </a:r>
        </a:p>
        <a:p>
          <a:r>
            <a:rPr lang="en-IN" sz="1800"/>
            <a:t>School absence has a clear negative impact on academic performance. Students with 0 absence days achieve the highest average score (81.62). Students with 7–10 absence days have the lowest average score (78.01). Mathematics and other STEM subjects appear most affected by higher absence rates. </a:t>
          </a:r>
        </a:p>
        <a:p>
          <a:r>
            <a:rPr lang="en-IN" sz="1800"/>
            <a:t>Students with no part-time job and no extracurricular activities achieve the highest average score (81.58). Students who have both a part-time job and extracurricular activities achieve the lowest average score (77.80). Balancing part-time jobs and extracurricular activities appears to negatively impact academic performance. Consistent self-study (20+ hours/week) and low absence rates (&lt;3 days) are the strongest predictors of high academic performance in this dataset. Career aspiration, study habits, and attendance show stronger influence on performance than gender.</a:t>
          </a:r>
        </a:p>
        <a:p>
          <a:pPr marL="0" marR="0" lvl="0" indent="0" defTabSz="914400" eaLnBrk="1" fontAlgn="auto" latinLnBrk="0" hangingPunct="1">
            <a:lnSpc>
              <a:spcPct val="100000"/>
            </a:lnSpc>
            <a:spcBef>
              <a:spcPts val="0"/>
            </a:spcBef>
            <a:spcAft>
              <a:spcPts val="0"/>
            </a:spcAft>
            <a:buClrTx/>
            <a:buSzTx/>
            <a:buFontTx/>
            <a:buNone/>
            <a:tabLst/>
            <a:defRPr/>
          </a:pPr>
          <a:r>
            <a:rPr lang="en-IN" sz="1800" b="1"/>
            <a:t>Conclusion:</a:t>
          </a:r>
          <a:r>
            <a:rPr lang="en-IN" sz="1800" b="1">
              <a:effectLst/>
            </a:rPr>
            <a:t>The analysis of 2,000 high school students reveals that academic success is primarily driven by consistent effort and good attendance rather than gender or other demographic factors. Students who study 20+ hours per week, maintain minimal absences (preferably 0–3 days), and pursue high-skill career aspirations (especially Doctor and Scientist) demonstrate significantly better performance. In contrast, frequent absences, heavy workload from part-time jobs combined with extracurriculars, and less demanding career goals are associated with lower average scores. These findings suggest that schools and students should prioritize structured self-study routines and regular attendance as the most effective strategies for improving academic outcomes.</a:t>
          </a:r>
        </a:p>
        <a:p>
          <a:endParaRPr lang="en-IN" sz="1800"/>
        </a:p>
        <a:p>
          <a:endParaRPr lang="en-IN" sz="1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7982</xdr:colOff>
      <xdr:row>2</xdr:row>
      <xdr:rowOff>16085</xdr:rowOff>
    </xdr:from>
    <xdr:to>
      <xdr:col>31</xdr:col>
      <xdr:colOff>168658</xdr:colOff>
      <xdr:row>54</xdr:row>
      <xdr:rowOff>148618</xdr:rowOff>
    </xdr:to>
    <xdr:sp macro="" textlink="">
      <xdr:nvSpPr>
        <xdr:cNvPr id="3" name="Rectangle 2">
          <a:extLst>
            <a:ext uri="{FF2B5EF4-FFF2-40B4-BE49-F238E27FC236}">
              <a16:creationId xmlns:a16="http://schemas.microsoft.com/office/drawing/2014/main" id="{34D872BE-3D13-20E4-CE02-BC18D41121ED}"/>
            </a:ext>
          </a:extLst>
        </xdr:cNvPr>
        <xdr:cNvSpPr/>
      </xdr:nvSpPr>
      <xdr:spPr>
        <a:xfrm>
          <a:off x="613447" y="370504"/>
          <a:ext cx="18324630" cy="9347416"/>
        </a:xfrm>
        <a:prstGeom prst="rect">
          <a:avLst/>
        </a:prstGeom>
        <a:gradFill flip="none" rotWithShape="1">
          <a:gsLst>
            <a:gs pos="0">
              <a:srgbClr val="BB11BF">
                <a:lumMod val="39000"/>
              </a:srgbClr>
            </a:gs>
            <a:gs pos="24500">
              <a:srgbClr val="F0658E">
                <a:lumMod val="61000"/>
              </a:srgbClr>
            </a:gs>
            <a:gs pos="14000">
              <a:srgbClr val="E14D9C">
                <a:lumMod val="65000"/>
              </a:srgbClr>
            </a:gs>
            <a:gs pos="100000">
              <a:srgbClr val="FF6E25">
                <a:lumMod val="73000"/>
              </a:srgbClr>
            </a:gs>
            <a:gs pos="85000">
              <a:srgbClr val="FF7449"/>
            </a:gs>
            <a:gs pos="89000">
              <a:srgbClr val="FF6E25">
                <a:lumMod val="72000"/>
              </a:srgbClr>
            </a:gs>
            <a:gs pos="59000">
              <a:srgbClr val="FF7C80">
                <a:lumMod val="47000"/>
                <a:alpha val="81000"/>
              </a:srgbClr>
            </a:gs>
            <a:gs pos="36000">
              <a:srgbClr val="FF7C80">
                <a:lumMod val="66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oneCell">
    <xdr:from>
      <xdr:col>1</xdr:col>
      <xdr:colOff>118825</xdr:colOff>
      <xdr:row>17</xdr:row>
      <xdr:rowOff>102542</xdr:rowOff>
    </xdr:from>
    <xdr:to>
      <xdr:col>4</xdr:col>
      <xdr:colOff>123689</xdr:colOff>
      <xdr:row>23</xdr:row>
      <xdr:rowOff>130257</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B4C6430F-FCCB-49B6-8CFD-7906A1D842B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26804" y="1994031"/>
              <a:ext cx="1828800" cy="1162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148617</xdr:colOff>
      <xdr:row>9</xdr:row>
      <xdr:rowOff>1</xdr:rowOff>
    </xdr:from>
    <xdr:to>
      <xdr:col>5</xdr:col>
      <xdr:colOff>402683</xdr:colOff>
      <xdr:row>16</xdr:row>
      <xdr:rowOff>54043</xdr:rowOff>
    </xdr:to>
    <xdr:sp macro="" textlink="">
      <xdr:nvSpPr>
        <xdr:cNvPr id="10" name="TextBox 9">
          <a:extLst>
            <a:ext uri="{FF2B5EF4-FFF2-40B4-BE49-F238E27FC236}">
              <a16:creationId xmlns:a16="http://schemas.microsoft.com/office/drawing/2014/main" id="{9A637E25-3F35-2B93-F7A9-03763429360E}"/>
            </a:ext>
          </a:extLst>
        </xdr:cNvPr>
        <xdr:cNvSpPr txBox="1"/>
      </xdr:nvSpPr>
      <xdr:spPr>
        <a:xfrm>
          <a:off x="752641" y="371708"/>
          <a:ext cx="2670164" cy="1355018"/>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latin typeface="Aptos" panose="020B0004020202020204" pitchFamily="34" charset="0"/>
            </a:rPr>
            <a:t>Total Students</a:t>
          </a:r>
        </a:p>
      </xdr:txBody>
    </xdr:sp>
    <xdr:clientData/>
  </xdr:twoCellAnchor>
  <xdr:twoCellAnchor>
    <xdr:from>
      <xdr:col>5</xdr:col>
      <xdr:colOff>588537</xdr:colOff>
      <xdr:row>9</xdr:row>
      <xdr:rowOff>13509</xdr:rowOff>
    </xdr:from>
    <xdr:to>
      <xdr:col>12</xdr:col>
      <xdr:colOff>263292</xdr:colOff>
      <xdr:row>16</xdr:row>
      <xdr:rowOff>54042</xdr:rowOff>
    </xdr:to>
    <xdr:sp macro="" textlink="">
      <xdr:nvSpPr>
        <xdr:cNvPr id="11" name="TextBox 10">
          <a:extLst>
            <a:ext uri="{FF2B5EF4-FFF2-40B4-BE49-F238E27FC236}">
              <a16:creationId xmlns:a16="http://schemas.microsoft.com/office/drawing/2014/main" id="{E095907C-4664-C54D-48B8-B719D5905714}"/>
            </a:ext>
          </a:extLst>
        </xdr:cNvPr>
        <xdr:cNvSpPr txBox="1"/>
      </xdr:nvSpPr>
      <xdr:spPr>
        <a:xfrm>
          <a:off x="3608659" y="385216"/>
          <a:ext cx="3902926" cy="1341509"/>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latin typeface="Aptos" panose="020B0004020202020204" pitchFamily="34" charset="0"/>
            </a:rPr>
            <a:t>Overall Average Score</a:t>
          </a:r>
        </a:p>
      </xdr:txBody>
    </xdr:sp>
    <xdr:clientData/>
  </xdr:twoCellAnchor>
  <xdr:twoCellAnchor>
    <xdr:from>
      <xdr:col>2</xdr:col>
      <xdr:colOff>216171</xdr:colOff>
      <xdr:row>11</xdr:row>
      <xdr:rowOff>148617</xdr:rowOff>
    </xdr:from>
    <xdr:to>
      <xdr:col>4</xdr:col>
      <xdr:colOff>553937</xdr:colOff>
      <xdr:row>14</xdr:row>
      <xdr:rowOff>175638</xdr:rowOff>
    </xdr:to>
    <xdr:sp macro="" textlink="Record!B56">
      <xdr:nvSpPr>
        <xdr:cNvPr id="4" name="Rectangle 3">
          <a:extLst>
            <a:ext uri="{FF2B5EF4-FFF2-40B4-BE49-F238E27FC236}">
              <a16:creationId xmlns:a16="http://schemas.microsoft.com/office/drawing/2014/main" id="{DF888AD8-4174-5EE5-A1AE-83DDEFA16BDE}"/>
            </a:ext>
          </a:extLst>
        </xdr:cNvPr>
        <xdr:cNvSpPr/>
      </xdr:nvSpPr>
      <xdr:spPr>
        <a:xfrm>
          <a:off x="1432128" y="905213"/>
          <a:ext cx="1553724" cy="5944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D20FCE3-376D-4A7E-AADD-B048BFFD528A}" type="TxLink">
            <a:rPr lang="en-US" sz="3200" b="0" i="0" u="none" strike="noStrike">
              <a:solidFill>
                <a:srgbClr val="000000"/>
              </a:solidFill>
              <a:latin typeface="Arial Black" panose="020B0A04020102020204" pitchFamily="34" charset="0"/>
              <a:ea typeface="Calibri"/>
              <a:cs typeface="Calibri"/>
            </a:rPr>
            <a:pPr algn="l"/>
            <a:t>2000</a:t>
          </a:fld>
          <a:endParaRPr lang="en-US" sz="3200">
            <a:latin typeface="Arial Black" panose="020B0A04020102020204" pitchFamily="34" charset="0"/>
          </a:endParaRPr>
        </a:p>
      </xdr:txBody>
    </xdr:sp>
    <xdr:clientData/>
  </xdr:twoCellAnchor>
  <xdr:twoCellAnchor>
    <xdr:from>
      <xdr:col>6</xdr:col>
      <xdr:colOff>317006</xdr:colOff>
      <xdr:row>11</xdr:row>
      <xdr:rowOff>140646</xdr:rowOff>
    </xdr:from>
    <xdr:to>
      <xdr:col>12</xdr:col>
      <xdr:colOff>154878</xdr:colOff>
      <xdr:row>15</xdr:row>
      <xdr:rowOff>135108</xdr:rowOff>
    </xdr:to>
    <xdr:sp macro="" textlink="Record!C56">
      <xdr:nvSpPr>
        <xdr:cNvPr id="6" name="Rectangle 5">
          <a:extLst>
            <a:ext uri="{FF2B5EF4-FFF2-40B4-BE49-F238E27FC236}">
              <a16:creationId xmlns:a16="http://schemas.microsoft.com/office/drawing/2014/main" id="{DCB04CF4-133A-44E5-B131-9015F5BA5179}"/>
            </a:ext>
          </a:extLst>
        </xdr:cNvPr>
        <xdr:cNvSpPr/>
      </xdr:nvSpPr>
      <xdr:spPr>
        <a:xfrm>
          <a:off x="3941152" y="884061"/>
          <a:ext cx="3462019" cy="7378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99F4CEF-0D90-49C5-B81F-91C6793CB3BF}" type="TxLink">
            <a:rPr lang="en-US" sz="3200" b="1" i="0" u="none" strike="noStrike">
              <a:solidFill>
                <a:srgbClr val="000000"/>
              </a:solidFill>
              <a:latin typeface="Arial Black" panose="020B0A04020102020204" pitchFamily="34" charset="0"/>
              <a:ea typeface="Calibri"/>
              <a:cs typeface="Calibri"/>
            </a:rPr>
            <a:pPr algn="l"/>
            <a:t>80.98035714</a:t>
          </a:fld>
          <a:endParaRPr lang="en-US" sz="32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12</xdr:col>
      <xdr:colOff>480122</xdr:colOff>
      <xdr:row>9</xdr:row>
      <xdr:rowOff>27022</xdr:rowOff>
    </xdr:from>
    <xdr:to>
      <xdr:col>19</xdr:col>
      <xdr:colOff>108415</xdr:colOff>
      <xdr:row>16</xdr:row>
      <xdr:rowOff>54044</xdr:rowOff>
    </xdr:to>
    <xdr:sp macro="" textlink="">
      <xdr:nvSpPr>
        <xdr:cNvPr id="12" name="TextBox 11">
          <a:extLst>
            <a:ext uri="{FF2B5EF4-FFF2-40B4-BE49-F238E27FC236}">
              <a16:creationId xmlns:a16="http://schemas.microsoft.com/office/drawing/2014/main" id="{2946844C-8545-F5B9-52BA-12E5ED9E63F3}"/>
            </a:ext>
          </a:extLst>
        </xdr:cNvPr>
        <xdr:cNvSpPr txBox="1"/>
      </xdr:nvSpPr>
      <xdr:spPr>
        <a:xfrm>
          <a:off x="7728415" y="398729"/>
          <a:ext cx="3856463" cy="13279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latin typeface="Aptos" panose="020B0004020202020204" pitchFamily="34" charset="0"/>
            </a:rPr>
            <a:t>Avg Weekly Study Hrs</a:t>
          </a:r>
        </a:p>
      </xdr:txBody>
    </xdr:sp>
    <xdr:clientData/>
  </xdr:twoCellAnchor>
  <xdr:twoCellAnchor>
    <xdr:from>
      <xdr:col>13</xdr:col>
      <xdr:colOff>556971</xdr:colOff>
      <xdr:row>11</xdr:row>
      <xdr:rowOff>157274</xdr:rowOff>
    </xdr:from>
    <xdr:to>
      <xdr:col>17</xdr:col>
      <xdr:colOff>460807</xdr:colOff>
      <xdr:row>15</xdr:row>
      <xdr:rowOff>80717</xdr:rowOff>
    </xdr:to>
    <xdr:sp macro="" textlink="Record!D56">
      <xdr:nvSpPr>
        <xdr:cNvPr id="7" name="Rectangle 6">
          <a:extLst>
            <a:ext uri="{FF2B5EF4-FFF2-40B4-BE49-F238E27FC236}">
              <a16:creationId xmlns:a16="http://schemas.microsoft.com/office/drawing/2014/main" id="{06E03314-33D4-4DC6-AA6E-8165B2C2510D}"/>
            </a:ext>
          </a:extLst>
        </xdr:cNvPr>
        <xdr:cNvSpPr/>
      </xdr:nvSpPr>
      <xdr:spPr>
        <a:xfrm>
          <a:off x="8409288" y="900689"/>
          <a:ext cx="2319934" cy="66685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3E2DD6F-41FD-4890-A053-6EEE2004D6FA}" type="TxLink">
            <a:rPr lang="en-US" sz="3200" b="0" i="0" u="none" strike="noStrike">
              <a:solidFill>
                <a:srgbClr val="000000"/>
              </a:solidFill>
              <a:latin typeface="Arial Black" panose="020B0A04020102020204" pitchFamily="34" charset="0"/>
              <a:ea typeface="Calibri"/>
              <a:cs typeface="Calibri"/>
            </a:rPr>
            <a:pPr algn="ctr"/>
            <a:t>17.7555</a:t>
          </a:fld>
          <a:endParaRPr lang="en-US" sz="32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25</xdr:col>
      <xdr:colOff>480123</xdr:colOff>
      <xdr:row>9</xdr:row>
      <xdr:rowOff>43303</xdr:rowOff>
    </xdr:from>
    <xdr:to>
      <xdr:col>30</xdr:col>
      <xdr:colOff>573049</xdr:colOff>
      <xdr:row>16</xdr:row>
      <xdr:rowOff>113974</xdr:rowOff>
    </xdr:to>
    <xdr:sp macro="" textlink="">
      <xdr:nvSpPr>
        <xdr:cNvPr id="3074" name="Text Box 2">
          <a:extLst>
            <a:ext uri="{FF2B5EF4-FFF2-40B4-BE49-F238E27FC236}">
              <a16:creationId xmlns:a16="http://schemas.microsoft.com/office/drawing/2014/main" id="{0EFC3F7F-97F3-80DB-8220-AD5BCCE62F54}"/>
            </a:ext>
          </a:extLst>
        </xdr:cNvPr>
        <xdr:cNvSpPr txBox="1">
          <a:spLocks noChangeArrowheads="1"/>
        </xdr:cNvSpPr>
      </xdr:nvSpPr>
      <xdr:spPr bwMode="auto">
        <a:xfrm>
          <a:off x="15580733" y="415010"/>
          <a:ext cx="3113048" cy="1371647"/>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ctr" rtl="0">
            <a:defRPr sz="1000"/>
          </a:pPr>
          <a:r>
            <a:rPr lang="en-IN" sz="2800" b="1" i="0" u="none" strike="noStrike" baseline="0">
              <a:solidFill>
                <a:srgbClr val="000000"/>
              </a:solidFill>
              <a:latin typeface="Aptos" panose="020B0004020202020204" pitchFamily="34" charset="0"/>
              <a:ea typeface="Calibri"/>
              <a:cs typeface="Calibri"/>
            </a:rPr>
            <a:t>% Top Performers</a:t>
          </a:r>
        </a:p>
      </xdr:txBody>
    </xdr:sp>
    <xdr:clientData/>
  </xdr:twoCellAnchor>
  <xdr:twoCellAnchor>
    <xdr:from>
      <xdr:col>19</xdr:col>
      <xdr:colOff>356220</xdr:colOff>
      <xdr:row>9</xdr:row>
      <xdr:rowOff>54043</xdr:rowOff>
    </xdr:from>
    <xdr:to>
      <xdr:col>25</xdr:col>
      <xdr:colOff>232317</xdr:colOff>
      <xdr:row>16</xdr:row>
      <xdr:rowOff>67555</xdr:rowOff>
    </xdr:to>
    <xdr:sp macro="" textlink="">
      <xdr:nvSpPr>
        <xdr:cNvPr id="13" name="TextBox 12">
          <a:extLst>
            <a:ext uri="{FF2B5EF4-FFF2-40B4-BE49-F238E27FC236}">
              <a16:creationId xmlns:a16="http://schemas.microsoft.com/office/drawing/2014/main" id="{8AB94ABF-BEE7-C1E4-7ED8-DAC92EA6224F}"/>
            </a:ext>
          </a:extLst>
        </xdr:cNvPr>
        <xdr:cNvSpPr txBox="1"/>
      </xdr:nvSpPr>
      <xdr:spPr>
        <a:xfrm>
          <a:off x="11832683" y="425750"/>
          <a:ext cx="3500244" cy="13144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latin typeface="Aptos" panose="020B0004020202020204" pitchFamily="34" charset="0"/>
            </a:rPr>
            <a:t>Avg Absence Days</a:t>
          </a:r>
        </a:p>
      </xdr:txBody>
    </xdr:sp>
    <xdr:clientData/>
  </xdr:twoCellAnchor>
  <xdr:twoCellAnchor>
    <xdr:from>
      <xdr:col>20</xdr:col>
      <xdr:colOff>459558</xdr:colOff>
      <xdr:row>11</xdr:row>
      <xdr:rowOff>160046</xdr:rowOff>
    </xdr:from>
    <xdr:to>
      <xdr:col>24</xdr:col>
      <xdr:colOff>4151</xdr:colOff>
      <xdr:row>15</xdr:row>
      <xdr:rowOff>113974</xdr:rowOff>
    </xdr:to>
    <xdr:sp macro="" textlink="Record!E56">
      <xdr:nvSpPr>
        <xdr:cNvPr id="8" name="Rectangle 7">
          <a:extLst>
            <a:ext uri="{FF2B5EF4-FFF2-40B4-BE49-F238E27FC236}">
              <a16:creationId xmlns:a16="http://schemas.microsoft.com/office/drawing/2014/main" id="{00621FC2-1E3B-4C1C-A614-B9E0695CEE54}"/>
            </a:ext>
          </a:extLst>
        </xdr:cNvPr>
        <xdr:cNvSpPr/>
      </xdr:nvSpPr>
      <xdr:spPr>
        <a:xfrm>
          <a:off x="12540046" y="903461"/>
          <a:ext cx="1960690" cy="6973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74A4CF-5D41-4EF2-8985-A9A2D5A1DC38}" type="TxLink">
            <a:rPr lang="en-US" sz="3200" b="0" i="0" u="none" strike="noStrike">
              <a:solidFill>
                <a:srgbClr val="000000"/>
              </a:solidFill>
              <a:latin typeface="Arial Black" panose="020B0A04020102020204" pitchFamily="34" charset="0"/>
              <a:ea typeface="Calibri"/>
              <a:cs typeface="Calibri"/>
            </a:rPr>
            <a:pPr algn="ctr"/>
            <a:t>3.6655</a:t>
          </a:fld>
          <a:endParaRPr lang="en-US" sz="32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26</xdr:col>
      <xdr:colOff>601735</xdr:colOff>
      <xdr:row>11</xdr:row>
      <xdr:rowOff>145741</xdr:rowOff>
    </xdr:from>
    <xdr:to>
      <xdr:col>30</xdr:col>
      <xdr:colOff>337553</xdr:colOff>
      <xdr:row>16</xdr:row>
      <xdr:rowOff>15487</xdr:rowOff>
    </xdr:to>
    <xdr:sp macro="" textlink="Record!F56">
      <xdr:nvSpPr>
        <xdr:cNvPr id="9" name="Rectangle 8">
          <a:extLst>
            <a:ext uri="{FF2B5EF4-FFF2-40B4-BE49-F238E27FC236}">
              <a16:creationId xmlns:a16="http://schemas.microsoft.com/office/drawing/2014/main" id="{EEC4FAC1-380B-42DD-8EC2-2B7AA92F6307}"/>
            </a:ext>
          </a:extLst>
        </xdr:cNvPr>
        <xdr:cNvSpPr/>
      </xdr:nvSpPr>
      <xdr:spPr>
        <a:xfrm>
          <a:off x="16306369" y="889156"/>
          <a:ext cx="2151916" cy="7990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113AB5E-5022-4496-86C2-F8914624FE23}" type="TxLink">
            <a:rPr lang="en-US" sz="3200" b="0" i="0" u="none" strike="noStrike">
              <a:solidFill>
                <a:srgbClr val="000000"/>
              </a:solidFill>
              <a:latin typeface="Arial Black" panose="020B0A04020102020204" pitchFamily="34" charset="0"/>
              <a:ea typeface="Calibri"/>
              <a:cs typeface="Calibri"/>
            </a:rPr>
            <a:pPr algn="l"/>
            <a:t>20.25%</a:t>
          </a:fld>
          <a:endParaRPr lang="en-US" sz="3200">
            <a:latin typeface="Arial Black" panose="020B0A04020102020204" pitchFamily="34" charset="0"/>
          </a:endParaRPr>
        </a:p>
      </xdr:txBody>
    </xdr:sp>
    <xdr:clientData/>
  </xdr:twoCellAnchor>
  <xdr:twoCellAnchor editAs="oneCell">
    <xdr:from>
      <xdr:col>1</xdr:col>
      <xdr:colOff>108431</xdr:colOff>
      <xdr:row>24</xdr:row>
      <xdr:rowOff>13160</xdr:rowOff>
    </xdr:from>
    <xdr:to>
      <xdr:col>4</xdr:col>
      <xdr:colOff>129923</xdr:colOff>
      <xdr:row>38</xdr:row>
      <xdr:rowOff>29851</xdr:rowOff>
    </xdr:to>
    <mc:AlternateContent xmlns:mc="http://schemas.openxmlformats.org/markup-compatibility/2006" xmlns:a14="http://schemas.microsoft.com/office/drawing/2010/main">
      <mc:Choice Requires="a14">
        <xdr:graphicFrame macro="">
          <xdr:nvGraphicFramePr>
            <xdr:cNvPr id="15" name="career_aspiration 1">
              <a:extLst>
                <a:ext uri="{FF2B5EF4-FFF2-40B4-BE49-F238E27FC236}">
                  <a16:creationId xmlns:a16="http://schemas.microsoft.com/office/drawing/2014/main" id="{86E66263-B747-4716-ABB6-924D05CA1E9E}"/>
                </a:ext>
              </a:extLst>
            </xdr:cNvPr>
            <xdr:cNvGraphicFramePr/>
          </xdr:nvGraphicFramePr>
          <xdr:xfrm>
            <a:off x="0" y="0"/>
            <a:ext cx="0" cy="0"/>
          </xdr:xfrm>
          <a:graphic>
            <a:graphicData uri="http://schemas.microsoft.com/office/drawing/2010/slicer">
              <sle:slicer xmlns:sle="http://schemas.microsoft.com/office/drawing/2010/slicer" name="career_aspiration 1"/>
            </a:graphicData>
          </a:graphic>
        </xdr:graphicFrame>
      </mc:Choice>
      <mc:Fallback xmlns="">
        <xdr:sp macro="" textlink="">
          <xdr:nvSpPr>
            <xdr:cNvPr id="0" name=""/>
            <xdr:cNvSpPr>
              <a:spLocks noTextEdit="1"/>
            </xdr:cNvSpPr>
          </xdr:nvSpPr>
          <xdr:spPr>
            <a:xfrm>
              <a:off x="716410" y="3228692"/>
              <a:ext cx="1845428" cy="2664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124712</xdr:colOff>
      <xdr:row>38</xdr:row>
      <xdr:rowOff>110853</xdr:rowOff>
    </xdr:from>
    <xdr:to>
      <xdr:col>4</xdr:col>
      <xdr:colOff>146204</xdr:colOff>
      <xdr:row>44</xdr:row>
      <xdr:rowOff>48846</xdr:rowOff>
    </xdr:to>
    <mc:AlternateContent xmlns:mc="http://schemas.openxmlformats.org/markup-compatibility/2006" xmlns:a14="http://schemas.microsoft.com/office/drawing/2010/main">
      <mc:Choice Requires="a14">
        <xdr:graphicFrame macro="">
          <xdr:nvGraphicFramePr>
            <xdr:cNvPr id="16" name="part_time_job 1">
              <a:extLst>
                <a:ext uri="{FF2B5EF4-FFF2-40B4-BE49-F238E27FC236}">
                  <a16:creationId xmlns:a16="http://schemas.microsoft.com/office/drawing/2014/main" id="{311EAD02-78DC-400A-B7AE-2F05E3FF9639}"/>
                </a:ext>
              </a:extLst>
            </xdr:cNvPr>
            <xdr:cNvGraphicFramePr/>
          </xdr:nvGraphicFramePr>
          <xdr:xfrm>
            <a:off x="0" y="0"/>
            <a:ext cx="0" cy="0"/>
          </xdr:xfrm>
          <a:graphic>
            <a:graphicData uri="http://schemas.microsoft.com/office/drawing/2010/slicer">
              <sle:slicer xmlns:sle="http://schemas.microsoft.com/office/drawing/2010/slicer" name="part_time_job 1"/>
            </a:graphicData>
          </a:graphic>
        </xdr:graphicFrame>
      </mc:Choice>
      <mc:Fallback xmlns="">
        <xdr:sp macro="" textlink="">
          <xdr:nvSpPr>
            <xdr:cNvPr id="0" name=""/>
            <xdr:cNvSpPr>
              <a:spLocks noTextEdit="1"/>
            </xdr:cNvSpPr>
          </xdr:nvSpPr>
          <xdr:spPr>
            <a:xfrm>
              <a:off x="732691" y="5974470"/>
              <a:ext cx="1845428" cy="1072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140994</xdr:colOff>
      <xdr:row>44</xdr:row>
      <xdr:rowOff>175981</xdr:rowOff>
    </xdr:from>
    <xdr:to>
      <xdr:col>4</xdr:col>
      <xdr:colOff>162486</xdr:colOff>
      <xdr:row>51</xdr:row>
      <xdr:rowOff>32565</xdr:rowOff>
    </xdr:to>
    <mc:AlternateContent xmlns:mc="http://schemas.openxmlformats.org/markup-compatibility/2006" xmlns:a14="http://schemas.microsoft.com/office/drawing/2010/main">
      <mc:Choice Requires="a14">
        <xdr:graphicFrame macro="">
          <xdr:nvGraphicFramePr>
            <xdr:cNvPr id="17" name="extracurricular_activities 1">
              <a:extLst>
                <a:ext uri="{FF2B5EF4-FFF2-40B4-BE49-F238E27FC236}">
                  <a16:creationId xmlns:a16="http://schemas.microsoft.com/office/drawing/2014/main" id="{5A30F82B-9781-4576-98BD-02C0AD1557B9}"/>
                </a:ext>
              </a:extLst>
            </xdr:cNvPr>
            <xdr:cNvGraphicFramePr/>
          </xdr:nvGraphicFramePr>
          <xdr:xfrm>
            <a:off x="0" y="0"/>
            <a:ext cx="0" cy="0"/>
          </xdr:xfrm>
          <a:graphic>
            <a:graphicData uri="http://schemas.microsoft.com/office/drawing/2010/slicer">
              <sle:slicer xmlns:sle="http://schemas.microsoft.com/office/drawing/2010/slicer" name="extracurricular_activities 1"/>
            </a:graphicData>
          </a:graphic>
        </xdr:graphicFrame>
      </mc:Choice>
      <mc:Fallback xmlns="">
        <xdr:sp macro="" textlink="">
          <xdr:nvSpPr>
            <xdr:cNvPr id="0" name=""/>
            <xdr:cNvSpPr>
              <a:spLocks noTextEdit="1"/>
            </xdr:cNvSpPr>
          </xdr:nvSpPr>
          <xdr:spPr>
            <a:xfrm>
              <a:off x="748973" y="7174492"/>
              <a:ext cx="1845428" cy="1180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456259</xdr:colOff>
      <xdr:row>17</xdr:row>
      <xdr:rowOff>118960</xdr:rowOff>
    </xdr:from>
    <xdr:to>
      <xdr:col>12</xdr:col>
      <xdr:colOff>391959</xdr:colOff>
      <xdr:row>33</xdr:row>
      <xdr:rowOff>61074</xdr:rowOff>
    </xdr:to>
    <xdr:graphicFrame macro="">
      <xdr:nvGraphicFramePr>
        <xdr:cNvPr id="20" name="Chart 19">
          <a:extLst>
            <a:ext uri="{FF2B5EF4-FFF2-40B4-BE49-F238E27FC236}">
              <a16:creationId xmlns:a16="http://schemas.microsoft.com/office/drawing/2014/main" id="{754433CA-7A44-4CC3-BA95-BF42E8DE2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41414</xdr:colOff>
      <xdr:row>17</xdr:row>
      <xdr:rowOff>123820</xdr:rowOff>
    </xdr:from>
    <xdr:to>
      <xdr:col>22</xdr:col>
      <xdr:colOff>162128</xdr:colOff>
      <xdr:row>33</xdr:row>
      <xdr:rowOff>51452</xdr:rowOff>
    </xdr:to>
    <xdr:graphicFrame macro="">
      <xdr:nvGraphicFramePr>
        <xdr:cNvPr id="21" name="Chart 20">
          <a:extLst>
            <a:ext uri="{FF2B5EF4-FFF2-40B4-BE49-F238E27FC236}">
              <a16:creationId xmlns:a16="http://schemas.microsoft.com/office/drawing/2014/main" id="{2ED5567F-D587-46C1-BCF6-2BC5152EC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372717</xdr:colOff>
      <xdr:row>17</xdr:row>
      <xdr:rowOff>138045</xdr:rowOff>
    </xdr:from>
    <xdr:to>
      <xdr:col>30</xdr:col>
      <xdr:colOff>567447</xdr:colOff>
      <xdr:row>33</xdr:row>
      <xdr:rowOff>96213</xdr:rowOff>
    </xdr:to>
    <xdr:graphicFrame macro="">
      <xdr:nvGraphicFramePr>
        <xdr:cNvPr id="22" name="Chart 21">
          <a:extLst>
            <a:ext uri="{FF2B5EF4-FFF2-40B4-BE49-F238E27FC236}">
              <a16:creationId xmlns:a16="http://schemas.microsoft.com/office/drawing/2014/main" id="{93E603BB-58C4-4666-8854-04905D7D7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549432</xdr:colOff>
      <xdr:row>3</xdr:row>
      <xdr:rowOff>113407</xdr:rowOff>
    </xdr:from>
    <xdr:to>
      <xdr:col>27</xdr:col>
      <xdr:colOff>364787</xdr:colOff>
      <xdr:row>8</xdr:row>
      <xdr:rowOff>94575</xdr:rowOff>
    </xdr:to>
    <xdr:sp macro="" textlink="">
      <xdr:nvSpPr>
        <xdr:cNvPr id="2" name="TextBox 1">
          <a:extLst>
            <a:ext uri="{FF2B5EF4-FFF2-40B4-BE49-F238E27FC236}">
              <a16:creationId xmlns:a16="http://schemas.microsoft.com/office/drawing/2014/main" id="{D48E72B6-2022-E6DE-6F7E-5BDBDA6DB9C6}"/>
            </a:ext>
          </a:extLst>
        </xdr:cNvPr>
        <xdr:cNvSpPr txBox="1"/>
      </xdr:nvSpPr>
      <xdr:spPr>
        <a:xfrm>
          <a:off x="2981347" y="680854"/>
          <a:ext cx="13798866" cy="926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3800">
              <a:effectLst/>
            </a:rPr>
            <a:t>📊 </a:t>
          </a:r>
          <a:r>
            <a:rPr lang="en-IN" sz="3800" b="1">
              <a:effectLst/>
              <a:latin typeface="Algerian" panose="04020705040A02060702" pitchFamily="82" charset="0"/>
            </a:rPr>
            <a:t>Students Performance Analytics Dashboard</a:t>
          </a:r>
        </a:p>
        <a:p>
          <a:pPr algn="ctr"/>
          <a:endParaRPr lang="en-IN" sz="4000"/>
        </a:p>
      </xdr:txBody>
    </xdr:sp>
    <xdr:clientData/>
  </xdr:twoCellAnchor>
  <xdr:twoCellAnchor editAs="oneCell">
    <xdr:from>
      <xdr:col>28</xdr:col>
      <xdr:colOff>0</xdr:colOff>
      <xdr:row>2</xdr:row>
      <xdr:rowOff>82045</xdr:rowOff>
    </xdr:from>
    <xdr:to>
      <xdr:col>30</xdr:col>
      <xdr:colOff>553936</xdr:colOff>
      <xdr:row>8</xdr:row>
      <xdr:rowOff>104326</xdr:rowOff>
    </xdr:to>
    <xdr:pic>
      <xdr:nvPicPr>
        <xdr:cNvPr id="18" name="Picture 17">
          <a:extLst>
            <a:ext uri="{FF2B5EF4-FFF2-40B4-BE49-F238E27FC236}">
              <a16:creationId xmlns:a16="http://schemas.microsoft.com/office/drawing/2014/main" id="{23CBB7A9-7A76-A6D0-794C-873F0847B9C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023404" y="460343"/>
          <a:ext cx="1769894" cy="1157174"/>
        </a:xfrm>
        <a:prstGeom prst="rect">
          <a:avLst/>
        </a:prstGeom>
      </xdr:spPr>
    </xdr:pic>
    <xdr:clientData/>
  </xdr:twoCellAnchor>
  <xdr:twoCellAnchor editAs="oneCell">
    <xdr:from>
      <xdr:col>25</xdr:col>
      <xdr:colOff>18523</xdr:colOff>
      <xdr:row>3</xdr:row>
      <xdr:rowOff>73953</xdr:rowOff>
    </xdr:from>
    <xdr:to>
      <xdr:col>27</xdr:col>
      <xdr:colOff>-1</xdr:colOff>
      <xdr:row>8</xdr:row>
      <xdr:rowOff>108086</xdr:rowOff>
    </xdr:to>
    <xdr:pic>
      <xdr:nvPicPr>
        <xdr:cNvPr id="26" name="Picture 25">
          <a:extLst>
            <a:ext uri="{FF2B5EF4-FFF2-40B4-BE49-F238E27FC236}">
              <a16:creationId xmlns:a16="http://schemas.microsoft.com/office/drawing/2014/main" id="{FCD76570-B68C-4B06-346C-B03C3286D7C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217991" y="641400"/>
          <a:ext cx="1197434" cy="979877"/>
        </a:xfrm>
        <a:prstGeom prst="rect">
          <a:avLst/>
        </a:prstGeom>
      </xdr:spPr>
    </xdr:pic>
    <xdr:clientData/>
  </xdr:twoCellAnchor>
  <xdr:twoCellAnchor editAs="oneCell">
    <xdr:from>
      <xdr:col>1</xdr:col>
      <xdr:colOff>460712</xdr:colOff>
      <xdr:row>2</xdr:row>
      <xdr:rowOff>81065</xdr:rowOff>
    </xdr:from>
    <xdr:to>
      <xdr:col>4</xdr:col>
      <xdr:colOff>202659</xdr:colOff>
      <xdr:row>8</xdr:row>
      <xdr:rowOff>160439</xdr:rowOff>
    </xdr:to>
    <xdr:pic>
      <xdr:nvPicPr>
        <xdr:cNvPr id="28" name="Picture 27">
          <a:extLst>
            <a:ext uri="{FF2B5EF4-FFF2-40B4-BE49-F238E27FC236}">
              <a16:creationId xmlns:a16="http://schemas.microsoft.com/office/drawing/2014/main" id="{77737FFB-2499-D75C-6399-7866E834DFB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68691" y="459363"/>
          <a:ext cx="1565883" cy="1214267"/>
        </a:xfrm>
        <a:prstGeom prst="rect">
          <a:avLst/>
        </a:prstGeom>
      </xdr:spPr>
    </xdr:pic>
    <xdr:clientData/>
  </xdr:twoCellAnchor>
  <xdr:twoCellAnchor>
    <xdr:from>
      <xdr:col>4</xdr:col>
      <xdr:colOff>466678</xdr:colOff>
      <xdr:row>34</xdr:row>
      <xdr:rowOff>136463</xdr:rowOff>
    </xdr:from>
    <xdr:to>
      <xdr:col>12</xdr:col>
      <xdr:colOff>408214</xdr:colOff>
      <xdr:row>52</xdr:row>
      <xdr:rowOff>169333</xdr:rowOff>
    </xdr:to>
    <xdr:graphicFrame macro="">
      <xdr:nvGraphicFramePr>
        <xdr:cNvPr id="14" name="Chart 13">
          <a:extLst>
            <a:ext uri="{FF2B5EF4-FFF2-40B4-BE49-F238E27FC236}">
              <a16:creationId xmlns:a16="http://schemas.microsoft.com/office/drawing/2014/main" id="{74D8182E-D455-4A98-B5D0-B6D4FB4DE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27022</xdr:colOff>
      <xdr:row>34</xdr:row>
      <xdr:rowOff>151190</xdr:rowOff>
    </xdr:from>
    <xdr:to>
      <xdr:col>22</xdr:col>
      <xdr:colOff>136070</xdr:colOff>
      <xdr:row>52</xdr:row>
      <xdr:rowOff>136070</xdr:rowOff>
    </xdr:to>
    <xdr:graphicFrame macro="">
      <xdr:nvGraphicFramePr>
        <xdr:cNvPr id="19" name="Chart 18">
          <a:extLst>
            <a:ext uri="{FF2B5EF4-FFF2-40B4-BE49-F238E27FC236}">
              <a16:creationId xmlns:a16="http://schemas.microsoft.com/office/drawing/2014/main" id="{DE18E8DA-8505-48FE-B9C6-A01492147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393096</xdr:colOff>
      <xdr:row>34</xdr:row>
      <xdr:rowOff>141111</xdr:rowOff>
    </xdr:from>
    <xdr:to>
      <xdr:col>30</xdr:col>
      <xdr:colOff>524127</xdr:colOff>
      <xdr:row>52</xdr:row>
      <xdr:rowOff>120951</xdr:rowOff>
    </xdr:to>
    <xdr:graphicFrame macro="">
      <xdr:nvGraphicFramePr>
        <xdr:cNvPr id="23" name="Chart 22">
          <a:extLst>
            <a:ext uri="{FF2B5EF4-FFF2-40B4-BE49-F238E27FC236}">
              <a16:creationId xmlns:a16="http://schemas.microsoft.com/office/drawing/2014/main" id="{ECBE2538-02E2-483F-887E-7157F0C54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refreshedDate="46038.752194328707" createdVersion="8" refreshedVersion="8" minRefreshableVersion="3" recordCount="2000" xr:uid="{802664F2-DF38-42EE-90CB-8278861A7113}">
  <cacheSource type="worksheet">
    <worksheetSource name="student_scores"/>
  </cacheSource>
  <cacheFields count="22">
    <cacheField name="id" numFmtId="0">
      <sharedItems containsSemiMixedTypes="0" containsString="0" containsNumber="1" containsInteger="1" minValue="1" maxValue="2000"/>
    </cacheField>
    <cacheField name="first_name" numFmtId="0">
      <sharedItems/>
    </cacheField>
    <cacheField name="last_name" numFmtId="0">
      <sharedItems/>
    </cacheField>
    <cacheField name="email" numFmtId="0">
      <sharedItems/>
    </cacheField>
    <cacheField name="gender" numFmtId="0">
      <sharedItems count="2">
        <s v="male"/>
        <s v="female"/>
      </sharedItems>
    </cacheField>
    <cacheField name="part_time_job" numFmtId="0">
      <sharedItems count="2">
        <b v="0"/>
        <b v="1"/>
      </sharedItems>
    </cacheField>
    <cacheField name="absence_days" numFmtId="0">
      <sharedItems containsSemiMixedTypes="0" containsString="0" containsNumber="1" containsInteger="1" minValue="0" maxValue="10" count="11">
        <n v="3"/>
        <n v="2"/>
        <n v="9"/>
        <n v="5"/>
        <n v="6"/>
        <n v="1"/>
        <n v="7"/>
        <n v="10"/>
        <n v="8"/>
        <n v="4"/>
        <n v="0"/>
      </sharedItems>
    </cacheField>
    <cacheField name="extracurricular_activities" numFmtId="0">
      <sharedItems count="2">
        <b v="0"/>
        <b v="1"/>
      </sharedItems>
    </cacheField>
    <cacheField name="weekly_self_study_hours" numFmtId="0">
      <sharedItems containsSemiMixedTypes="0" containsString="0" containsNumber="1" containsInteger="1" minValue="0" maxValue="50"/>
    </cacheField>
    <cacheField name="career_aspiration" numFmtId="0">
      <sharedItems count="17">
        <s v="Lawyer"/>
        <s v="Doctor"/>
        <s v="Government Officer"/>
        <s v="Artist"/>
        <s v="Unknown"/>
        <s v="Software Engineer"/>
        <s v="Teacher"/>
        <s v="Business Owner"/>
        <s v="Scientist"/>
        <s v="Banker"/>
        <s v="Writer"/>
        <s v="Accountant"/>
        <s v="Designer"/>
        <s v="Construction Engineer"/>
        <s v="Game Developer"/>
        <s v="Stock Investor"/>
        <s v="Real Estate Developer"/>
      </sharedItems>
    </cacheField>
    <cacheField name="math_score" numFmtId="0">
      <sharedItems containsSemiMixedTypes="0" containsString="0" containsNumber="1" containsInteger="1" minValue="40" maxValue="100"/>
    </cacheField>
    <cacheField name="history_score" numFmtId="0">
      <sharedItems containsSemiMixedTypes="0" containsString="0" containsNumber="1" containsInteger="1" minValue="50" maxValue="100"/>
    </cacheField>
    <cacheField name="physics_score" numFmtId="0">
      <sharedItems containsSemiMixedTypes="0" containsString="0" containsNumber="1" containsInteger="1" minValue="50" maxValue="100"/>
    </cacheField>
    <cacheField name="chemistry_score" numFmtId="0">
      <sharedItems containsSemiMixedTypes="0" containsString="0" containsNumber="1" containsInteger="1" minValue="50" maxValue="100"/>
    </cacheField>
    <cacheField name="biology_score" numFmtId="0">
      <sharedItems containsSemiMixedTypes="0" containsString="0" containsNumber="1" containsInteger="1" minValue="30" maxValue="100"/>
    </cacheField>
    <cacheField name="english_score" numFmtId="0">
      <sharedItems containsSemiMixedTypes="0" containsString="0" containsNumber="1" containsInteger="1" minValue="50" maxValue="99"/>
    </cacheField>
    <cacheField name="geography_score" numFmtId="0">
      <sharedItems containsSemiMixedTypes="0" containsString="0" containsNumber="1" containsInteger="1" minValue="60" maxValue="100"/>
    </cacheField>
    <cacheField name="Total_Score" numFmtId="0">
      <sharedItems containsSemiMixedTypes="0" containsString="0" containsNumber="1" containsInteger="1" minValue="414" maxValue="673"/>
    </cacheField>
    <cacheField name="Avg_Score" numFmtId="2">
      <sharedItems containsSemiMixedTypes="0" containsString="0" containsNumber="1" minValue="59.142857142857146" maxValue="96.142857142857139"/>
    </cacheField>
    <cacheField name="Study_Hours" numFmtId="2">
      <sharedItems count="5">
        <s v="21 - 30"/>
        <s v="31+"/>
        <s v="11 - 20"/>
        <s v="0 - 5"/>
        <s v="6 - 10"/>
      </sharedItems>
    </cacheField>
    <cacheField name="Absence_grp" numFmtId="0">
      <sharedItems count="4">
        <s v="1-3"/>
        <s v="7-10"/>
        <s v="4-6"/>
        <s v="0"/>
      </sharedItems>
    </cacheField>
    <cacheField name="Top_Performer" numFmtId="0">
      <sharedItems count="2">
        <s v="No"/>
        <s v="Yes"/>
      </sharedItems>
    </cacheField>
  </cacheFields>
  <extLst>
    <ext xmlns:x14="http://schemas.microsoft.com/office/spreadsheetml/2009/9/main" uri="{725AE2AE-9491-48be-B2B4-4EB974FC3084}">
      <x14:pivotCacheDefinition pivotCacheId="1099666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s v="Paul"/>
    <s v="Casey"/>
    <s v="paul.casey.1@gslingacademy.com"/>
    <x v="0"/>
    <x v="0"/>
    <x v="0"/>
    <x v="0"/>
    <n v="27"/>
    <x v="0"/>
    <n v="73"/>
    <n v="81"/>
    <n v="93"/>
    <n v="97"/>
    <n v="63"/>
    <n v="80"/>
    <n v="87"/>
    <n v="574"/>
    <n v="82"/>
    <x v="0"/>
    <x v="0"/>
    <x v="0"/>
  </r>
  <r>
    <n v="2"/>
    <s v="Danielle"/>
    <s v="Sandoval"/>
    <s v="danielle.sandoval.2@gslingacademy.com"/>
    <x v="1"/>
    <x v="0"/>
    <x v="1"/>
    <x v="0"/>
    <n v="47"/>
    <x v="1"/>
    <n v="90"/>
    <n v="86"/>
    <n v="96"/>
    <n v="100"/>
    <n v="90"/>
    <n v="88"/>
    <n v="90"/>
    <n v="640"/>
    <n v="91.428571428571431"/>
    <x v="1"/>
    <x v="0"/>
    <x v="1"/>
  </r>
  <r>
    <n v="3"/>
    <s v="Tina"/>
    <s v="Andrews"/>
    <s v="tina.andrews.3@gslingacademy.com"/>
    <x v="1"/>
    <x v="0"/>
    <x v="2"/>
    <x v="1"/>
    <n v="13"/>
    <x v="2"/>
    <n v="81"/>
    <n v="97"/>
    <n v="95"/>
    <n v="96"/>
    <n v="65"/>
    <n v="77"/>
    <n v="94"/>
    <n v="605"/>
    <n v="86.428571428571431"/>
    <x v="2"/>
    <x v="1"/>
    <x v="1"/>
  </r>
  <r>
    <n v="4"/>
    <s v="Tara"/>
    <s v="Clark"/>
    <s v="tara.clark.4@gslingacademy.com"/>
    <x v="1"/>
    <x v="0"/>
    <x v="3"/>
    <x v="0"/>
    <n v="3"/>
    <x v="3"/>
    <n v="71"/>
    <n v="74"/>
    <n v="88"/>
    <n v="80"/>
    <n v="89"/>
    <n v="63"/>
    <n v="86"/>
    <n v="551"/>
    <n v="78.714285714285708"/>
    <x v="3"/>
    <x v="2"/>
    <x v="0"/>
  </r>
  <r>
    <n v="5"/>
    <s v="Anthony"/>
    <s v="Campos"/>
    <s v="anthony.campos.5@gslingacademy.com"/>
    <x v="0"/>
    <x v="0"/>
    <x v="3"/>
    <x v="0"/>
    <n v="10"/>
    <x v="4"/>
    <n v="84"/>
    <n v="77"/>
    <n v="65"/>
    <n v="65"/>
    <n v="80"/>
    <n v="74"/>
    <n v="76"/>
    <n v="521"/>
    <n v="74.428571428571431"/>
    <x v="4"/>
    <x v="2"/>
    <x v="0"/>
  </r>
  <r>
    <n v="6"/>
    <s v="Kelly"/>
    <s v="Wade"/>
    <s v="kelly.wade.6@gslingacademy.com"/>
    <x v="1"/>
    <x v="0"/>
    <x v="1"/>
    <x v="0"/>
    <n v="26"/>
    <x v="4"/>
    <n v="93"/>
    <n v="100"/>
    <n v="67"/>
    <n v="78"/>
    <n v="72"/>
    <n v="80"/>
    <n v="84"/>
    <n v="574"/>
    <n v="82"/>
    <x v="0"/>
    <x v="0"/>
    <x v="0"/>
  </r>
  <r>
    <n v="7"/>
    <s v="Anthony"/>
    <s v="Smith"/>
    <s v="anthony.smith.7@gslingacademy.com"/>
    <x v="0"/>
    <x v="0"/>
    <x v="0"/>
    <x v="1"/>
    <n v="23"/>
    <x v="5"/>
    <n v="99"/>
    <n v="96"/>
    <n v="97"/>
    <n v="73"/>
    <n v="88"/>
    <n v="76"/>
    <n v="64"/>
    <n v="593"/>
    <n v="84.714285714285708"/>
    <x v="0"/>
    <x v="0"/>
    <x v="0"/>
  </r>
  <r>
    <n v="8"/>
    <s v="George"/>
    <s v="Short"/>
    <s v="george.short.8@gslingacademy.com"/>
    <x v="0"/>
    <x v="1"/>
    <x v="1"/>
    <x v="1"/>
    <n v="34"/>
    <x v="5"/>
    <n v="95"/>
    <n v="95"/>
    <n v="82"/>
    <n v="63"/>
    <n v="84"/>
    <n v="70"/>
    <n v="85"/>
    <n v="574"/>
    <n v="82"/>
    <x v="1"/>
    <x v="0"/>
    <x v="0"/>
  </r>
  <r>
    <n v="9"/>
    <s v="Stanley"/>
    <s v="Gutierrez"/>
    <s v="stanley.gutierrez.9@gslingacademy.com"/>
    <x v="0"/>
    <x v="0"/>
    <x v="4"/>
    <x v="0"/>
    <n v="25"/>
    <x v="4"/>
    <n v="94"/>
    <n v="68"/>
    <n v="94"/>
    <n v="85"/>
    <n v="81"/>
    <n v="74"/>
    <n v="72"/>
    <n v="568"/>
    <n v="81.142857142857139"/>
    <x v="0"/>
    <x v="2"/>
    <x v="0"/>
  </r>
  <r>
    <n v="10"/>
    <s v="Audrey"/>
    <s v="Simpson"/>
    <s v="audrey.simpson.10@gslingacademy.com"/>
    <x v="1"/>
    <x v="0"/>
    <x v="0"/>
    <x v="1"/>
    <n v="18"/>
    <x v="6"/>
    <n v="98"/>
    <n v="69"/>
    <n v="88"/>
    <n v="71"/>
    <n v="67"/>
    <n v="71"/>
    <n v="73"/>
    <n v="537"/>
    <n v="76.714285714285708"/>
    <x v="2"/>
    <x v="0"/>
    <x v="0"/>
  </r>
  <r>
    <n v="11"/>
    <s v="Gabrielle"/>
    <s v="White"/>
    <s v="gabrielle.white.11@gslingacademy.com"/>
    <x v="1"/>
    <x v="0"/>
    <x v="1"/>
    <x v="0"/>
    <n v="7"/>
    <x v="6"/>
    <n v="65"/>
    <n v="60"/>
    <n v="97"/>
    <n v="94"/>
    <n v="71"/>
    <n v="81"/>
    <n v="66"/>
    <n v="534"/>
    <n v="76.285714285714292"/>
    <x v="4"/>
    <x v="0"/>
    <x v="0"/>
  </r>
  <r>
    <n v="12"/>
    <s v="Clinton"/>
    <s v="Randolph"/>
    <s v="clinton.randolph.12@gslingacademy.com"/>
    <x v="0"/>
    <x v="0"/>
    <x v="5"/>
    <x v="0"/>
    <n v="7"/>
    <x v="4"/>
    <n v="80"/>
    <n v="61"/>
    <n v="100"/>
    <n v="65"/>
    <n v="87"/>
    <n v="64"/>
    <n v="61"/>
    <n v="518"/>
    <n v="74"/>
    <x v="4"/>
    <x v="0"/>
    <x v="0"/>
  </r>
  <r>
    <n v="13"/>
    <s v="Patricia"/>
    <s v="Gomez"/>
    <s v="patricia.gomez.13@gslingacademy.com"/>
    <x v="1"/>
    <x v="1"/>
    <x v="6"/>
    <x v="0"/>
    <n v="4"/>
    <x v="7"/>
    <n v="94"/>
    <n v="59"/>
    <n v="69"/>
    <n v="67"/>
    <n v="89"/>
    <n v="65"/>
    <n v="73"/>
    <n v="516"/>
    <n v="73.714285714285708"/>
    <x v="3"/>
    <x v="1"/>
    <x v="0"/>
  </r>
  <r>
    <n v="14"/>
    <s v="Pamela"/>
    <s v="Jackson"/>
    <s v="pamela.jackson.14@gslingacademy.com"/>
    <x v="1"/>
    <x v="0"/>
    <x v="7"/>
    <x v="0"/>
    <n v="2"/>
    <x v="7"/>
    <n v="66"/>
    <n v="94"/>
    <n v="86"/>
    <n v="100"/>
    <n v="57"/>
    <n v="90"/>
    <n v="63"/>
    <n v="556"/>
    <n v="79.428571428571431"/>
    <x v="3"/>
    <x v="1"/>
    <x v="0"/>
  </r>
  <r>
    <n v="15"/>
    <s v="Laura"/>
    <s v="Jackson"/>
    <s v="laura.jackson.15@gslingacademy.com"/>
    <x v="1"/>
    <x v="0"/>
    <x v="0"/>
    <x v="0"/>
    <n v="39"/>
    <x v="1"/>
    <n v="96"/>
    <n v="90"/>
    <n v="86"/>
    <n v="92"/>
    <n v="92"/>
    <n v="95"/>
    <n v="87"/>
    <n v="638"/>
    <n v="91.142857142857139"/>
    <x v="1"/>
    <x v="0"/>
    <x v="1"/>
  </r>
  <r>
    <n v="16"/>
    <s v="Roger"/>
    <s v="Wiley"/>
    <s v="roger.wiley.16@gslingacademy.com"/>
    <x v="0"/>
    <x v="0"/>
    <x v="4"/>
    <x v="0"/>
    <n v="0"/>
    <x v="7"/>
    <n v="94"/>
    <n v="50"/>
    <n v="78"/>
    <n v="64"/>
    <n v="79"/>
    <n v="74"/>
    <n v="84"/>
    <n v="523"/>
    <n v="74.714285714285708"/>
    <x v="3"/>
    <x v="2"/>
    <x v="0"/>
  </r>
  <r>
    <n v="17"/>
    <s v="Vicki"/>
    <s v="Thompson"/>
    <s v="vicki.thompson.17@gslingacademy.com"/>
    <x v="1"/>
    <x v="0"/>
    <x v="0"/>
    <x v="1"/>
    <n v="30"/>
    <x v="8"/>
    <n v="92"/>
    <n v="64"/>
    <n v="93"/>
    <n v="91"/>
    <n v="80"/>
    <n v="89"/>
    <n v="72"/>
    <n v="581"/>
    <n v="83"/>
    <x v="0"/>
    <x v="0"/>
    <x v="0"/>
  </r>
  <r>
    <n v="18"/>
    <s v="Maxwell"/>
    <s v="Davidson"/>
    <s v="maxwell.davidson.18@gslingacademy.com"/>
    <x v="0"/>
    <x v="0"/>
    <x v="1"/>
    <x v="1"/>
    <n v="28"/>
    <x v="5"/>
    <n v="86"/>
    <n v="83"/>
    <n v="85"/>
    <n v="79"/>
    <n v="93"/>
    <n v="76"/>
    <n v="77"/>
    <n v="579"/>
    <n v="82.714285714285708"/>
    <x v="0"/>
    <x v="0"/>
    <x v="0"/>
  </r>
  <r>
    <n v="19"/>
    <s v="Jonathan"/>
    <s v="Werner"/>
    <s v="jonathan.werner.19@gslingacademy.com"/>
    <x v="0"/>
    <x v="0"/>
    <x v="5"/>
    <x v="0"/>
    <n v="37"/>
    <x v="1"/>
    <n v="92"/>
    <n v="87"/>
    <n v="92"/>
    <n v="99"/>
    <n v="97"/>
    <n v="87"/>
    <n v="86"/>
    <n v="640"/>
    <n v="91.428571428571431"/>
    <x v="1"/>
    <x v="0"/>
    <x v="1"/>
  </r>
  <r>
    <n v="20"/>
    <s v="Angela"/>
    <s v="Rios"/>
    <s v="angela.rios.20@gslingacademy.com"/>
    <x v="1"/>
    <x v="0"/>
    <x v="1"/>
    <x v="0"/>
    <n v="27"/>
    <x v="5"/>
    <n v="99"/>
    <n v="65"/>
    <n v="98"/>
    <n v="75"/>
    <n v="66"/>
    <n v="72"/>
    <n v="100"/>
    <n v="575"/>
    <n v="82.142857142857139"/>
    <x v="0"/>
    <x v="0"/>
    <x v="0"/>
  </r>
  <r>
    <n v="21"/>
    <s v="Tim"/>
    <s v="Nichols"/>
    <s v="tim.nichols.21@gslingacademy.com"/>
    <x v="0"/>
    <x v="1"/>
    <x v="0"/>
    <x v="0"/>
    <n v="15"/>
    <x v="5"/>
    <n v="100"/>
    <n v="90"/>
    <n v="72"/>
    <n v="98"/>
    <n v="73"/>
    <n v="97"/>
    <n v="72"/>
    <n v="602"/>
    <n v="86"/>
    <x v="2"/>
    <x v="0"/>
    <x v="1"/>
  </r>
  <r>
    <n v="22"/>
    <s v="Kyle"/>
    <s v="Willis"/>
    <s v="kyle.willis.22@gslingacademy.com"/>
    <x v="0"/>
    <x v="0"/>
    <x v="8"/>
    <x v="0"/>
    <n v="4"/>
    <x v="7"/>
    <n v="57"/>
    <n v="55"/>
    <n v="78"/>
    <n v="94"/>
    <n v="83"/>
    <n v="88"/>
    <n v="88"/>
    <n v="543"/>
    <n v="77.571428571428569"/>
    <x v="3"/>
    <x v="1"/>
    <x v="0"/>
  </r>
  <r>
    <n v="23"/>
    <s v="Shannon"/>
    <s v="Simpson"/>
    <s v="shannon.simpson.23@gslingacademy.com"/>
    <x v="1"/>
    <x v="0"/>
    <x v="2"/>
    <x v="0"/>
    <n v="2"/>
    <x v="7"/>
    <n v="89"/>
    <n v="72"/>
    <n v="68"/>
    <n v="72"/>
    <n v="71"/>
    <n v="54"/>
    <n v="90"/>
    <n v="516"/>
    <n v="73.714285714285708"/>
    <x v="3"/>
    <x v="1"/>
    <x v="0"/>
  </r>
  <r>
    <n v="24"/>
    <s v="Sean"/>
    <s v="Griffin"/>
    <s v="sean.griffin.24@gslingacademy.com"/>
    <x v="0"/>
    <x v="0"/>
    <x v="2"/>
    <x v="0"/>
    <n v="1"/>
    <x v="7"/>
    <n v="50"/>
    <n v="76"/>
    <n v="81"/>
    <n v="55"/>
    <n v="56"/>
    <n v="80"/>
    <n v="79"/>
    <n v="477"/>
    <n v="68.142857142857139"/>
    <x v="3"/>
    <x v="1"/>
    <x v="0"/>
  </r>
  <r>
    <n v="25"/>
    <s v="Cassandra"/>
    <s v="West"/>
    <s v="cassandra.west.25@gslingacademy.com"/>
    <x v="1"/>
    <x v="0"/>
    <x v="9"/>
    <x v="0"/>
    <n v="35"/>
    <x v="5"/>
    <n v="87"/>
    <n v="91"/>
    <n v="90"/>
    <n v="88"/>
    <n v="95"/>
    <n v="88"/>
    <n v="93"/>
    <n v="632"/>
    <n v="90.285714285714292"/>
    <x v="1"/>
    <x v="2"/>
    <x v="1"/>
  </r>
  <r>
    <n v="26"/>
    <s v="Patricia"/>
    <s v="Chavez"/>
    <s v="patricia.chavez.26@gslingacademy.com"/>
    <x v="1"/>
    <x v="0"/>
    <x v="3"/>
    <x v="0"/>
    <n v="22"/>
    <x v="1"/>
    <n v="92"/>
    <n v="86"/>
    <n v="87"/>
    <n v="81"/>
    <n v="93"/>
    <n v="90"/>
    <n v="99"/>
    <n v="628"/>
    <n v="89.714285714285708"/>
    <x v="0"/>
    <x v="2"/>
    <x v="1"/>
  </r>
  <r>
    <n v="27"/>
    <s v="Jason"/>
    <s v="Williams"/>
    <s v="jason.williams.27@gslingacademy.com"/>
    <x v="0"/>
    <x v="0"/>
    <x v="0"/>
    <x v="0"/>
    <n v="34"/>
    <x v="9"/>
    <n v="100"/>
    <n v="77"/>
    <n v="80"/>
    <n v="94"/>
    <n v="63"/>
    <n v="90"/>
    <n v="90"/>
    <n v="594"/>
    <n v="84.857142857142861"/>
    <x v="1"/>
    <x v="0"/>
    <x v="0"/>
  </r>
  <r>
    <n v="28"/>
    <s v="Peter"/>
    <s v="Gibbs"/>
    <s v="peter.gibbs.28@gslingacademy.com"/>
    <x v="0"/>
    <x v="0"/>
    <x v="10"/>
    <x v="0"/>
    <n v="23"/>
    <x v="10"/>
    <n v="64"/>
    <n v="75"/>
    <n v="93"/>
    <n v="79"/>
    <n v="81"/>
    <n v="96"/>
    <n v="85"/>
    <n v="573"/>
    <n v="81.857142857142861"/>
    <x v="0"/>
    <x v="3"/>
    <x v="0"/>
  </r>
  <r>
    <n v="29"/>
    <s v="Jeffrey"/>
    <s v="Blanchard"/>
    <s v="jeffrey.blanchard.29@gslingacademy.com"/>
    <x v="0"/>
    <x v="0"/>
    <x v="5"/>
    <x v="1"/>
    <n v="17"/>
    <x v="11"/>
    <n v="79"/>
    <n v="65"/>
    <n v="99"/>
    <n v="71"/>
    <n v="76"/>
    <n v="77"/>
    <n v="83"/>
    <n v="550"/>
    <n v="78.571428571428569"/>
    <x v="2"/>
    <x v="0"/>
    <x v="0"/>
  </r>
  <r>
    <n v="30"/>
    <s v="Carol"/>
    <s v="Hill"/>
    <s v="carol.hill.30@gslingacademy.com"/>
    <x v="1"/>
    <x v="0"/>
    <x v="0"/>
    <x v="0"/>
    <n v="19"/>
    <x v="11"/>
    <n v="82"/>
    <n v="100"/>
    <n v="61"/>
    <n v="97"/>
    <n v="30"/>
    <n v="74"/>
    <n v="73"/>
    <n v="517"/>
    <n v="73.857142857142861"/>
    <x v="2"/>
    <x v="0"/>
    <x v="0"/>
  </r>
  <r>
    <n v="31"/>
    <s v="Angie"/>
    <s v="Miller"/>
    <s v="angie.miller.31@gslingacademy.com"/>
    <x v="1"/>
    <x v="0"/>
    <x v="10"/>
    <x v="0"/>
    <n v="14"/>
    <x v="5"/>
    <n v="88"/>
    <n v="69"/>
    <n v="87"/>
    <n v="100"/>
    <n v="88"/>
    <n v="85"/>
    <n v="72"/>
    <n v="589"/>
    <n v="84.142857142857139"/>
    <x v="2"/>
    <x v="3"/>
    <x v="0"/>
  </r>
  <r>
    <n v="32"/>
    <s v="Cynthia"/>
    <s v="Knapp"/>
    <s v="cynthia.knapp.32@gslingacademy.com"/>
    <x v="1"/>
    <x v="0"/>
    <x v="9"/>
    <x v="0"/>
    <n v="30"/>
    <x v="12"/>
    <n v="70"/>
    <n v="68"/>
    <n v="92"/>
    <n v="74"/>
    <n v="82"/>
    <n v="85"/>
    <n v="72"/>
    <n v="543"/>
    <n v="77.571428571428569"/>
    <x v="0"/>
    <x v="2"/>
    <x v="0"/>
  </r>
  <r>
    <n v="33"/>
    <s v="Timothy"/>
    <s v="Bryant"/>
    <s v="timothy.bryant.33@gslingacademy.com"/>
    <x v="0"/>
    <x v="0"/>
    <x v="9"/>
    <x v="0"/>
    <n v="30"/>
    <x v="11"/>
    <n v="77"/>
    <n v="96"/>
    <n v="98"/>
    <n v="89"/>
    <n v="85"/>
    <n v="62"/>
    <n v="62"/>
    <n v="569"/>
    <n v="81.285714285714292"/>
    <x v="0"/>
    <x v="2"/>
    <x v="0"/>
  </r>
  <r>
    <n v="34"/>
    <s v="Phyllis"/>
    <s v="Diaz"/>
    <s v="phyllis.diaz.34@gslingacademy.com"/>
    <x v="1"/>
    <x v="0"/>
    <x v="5"/>
    <x v="0"/>
    <n v="24"/>
    <x v="9"/>
    <n v="99"/>
    <n v="84"/>
    <n v="84"/>
    <n v="78"/>
    <n v="78"/>
    <n v="77"/>
    <n v="68"/>
    <n v="568"/>
    <n v="81.142857142857139"/>
    <x v="0"/>
    <x v="0"/>
    <x v="0"/>
  </r>
  <r>
    <n v="35"/>
    <s v="Lisa"/>
    <s v="Burns"/>
    <s v="lisa.burns.35@gslingacademy.com"/>
    <x v="1"/>
    <x v="0"/>
    <x v="0"/>
    <x v="1"/>
    <n v="31"/>
    <x v="4"/>
    <n v="90"/>
    <n v="93"/>
    <n v="91"/>
    <n v="80"/>
    <n v="86"/>
    <n v="69"/>
    <n v="62"/>
    <n v="571"/>
    <n v="81.571428571428569"/>
    <x v="1"/>
    <x v="0"/>
    <x v="0"/>
  </r>
  <r>
    <n v="36"/>
    <s v="Kelly"/>
    <s v="Farley"/>
    <s v="kelly.farley.36@gslingacademy.com"/>
    <x v="1"/>
    <x v="0"/>
    <x v="5"/>
    <x v="0"/>
    <n v="21"/>
    <x v="4"/>
    <n v="65"/>
    <n v="70"/>
    <n v="78"/>
    <n v="98"/>
    <n v="80"/>
    <n v="66"/>
    <n v="65"/>
    <n v="522"/>
    <n v="74.571428571428569"/>
    <x v="0"/>
    <x v="0"/>
    <x v="0"/>
  </r>
  <r>
    <n v="37"/>
    <s v="Ryan"/>
    <s v="Lee"/>
    <s v="ryan.lee.37@gslingacademy.com"/>
    <x v="0"/>
    <x v="0"/>
    <x v="1"/>
    <x v="1"/>
    <n v="19"/>
    <x v="13"/>
    <n v="99"/>
    <n v="94"/>
    <n v="87"/>
    <n v="71"/>
    <n v="89"/>
    <n v="91"/>
    <n v="96"/>
    <n v="627"/>
    <n v="89.571428571428569"/>
    <x v="2"/>
    <x v="0"/>
    <x v="1"/>
  </r>
  <r>
    <n v="38"/>
    <s v="Michael"/>
    <s v="Gilmore"/>
    <s v="michael.gilmore.38@gslingacademy.com"/>
    <x v="0"/>
    <x v="0"/>
    <x v="5"/>
    <x v="0"/>
    <n v="29"/>
    <x v="13"/>
    <n v="92"/>
    <n v="100"/>
    <n v="85"/>
    <n v="89"/>
    <n v="81"/>
    <n v="91"/>
    <n v="88"/>
    <n v="626"/>
    <n v="89.428571428571431"/>
    <x v="0"/>
    <x v="0"/>
    <x v="1"/>
  </r>
  <r>
    <n v="39"/>
    <s v="Miguel"/>
    <s v="Martinez"/>
    <s v="miguel.martinez.39@gslingacademy.com"/>
    <x v="0"/>
    <x v="0"/>
    <x v="9"/>
    <x v="0"/>
    <n v="21"/>
    <x v="9"/>
    <n v="77"/>
    <n v="64"/>
    <n v="64"/>
    <n v="88"/>
    <n v="94"/>
    <n v="82"/>
    <n v="78"/>
    <n v="547"/>
    <n v="78.142857142857139"/>
    <x v="0"/>
    <x v="2"/>
    <x v="0"/>
  </r>
  <r>
    <n v="40"/>
    <s v="Christopher"/>
    <s v="Taylor"/>
    <s v="christopher.taylor.40@gslingacademy.com"/>
    <x v="0"/>
    <x v="0"/>
    <x v="9"/>
    <x v="0"/>
    <n v="18"/>
    <x v="11"/>
    <n v="92"/>
    <n v="60"/>
    <n v="66"/>
    <n v="87"/>
    <n v="60"/>
    <n v="83"/>
    <n v="95"/>
    <n v="543"/>
    <n v="77.571428571428569"/>
    <x v="2"/>
    <x v="2"/>
    <x v="0"/>
  </r>
  <r>
    <n v="41"/>
    <s v="Emily"/>
    <s v="Holloway"/>
    <s v="emily.holloway.41@gslingacademy.com"/>
    <x v="1"/>
    <x v="0"/>
    <x v="9"/>
    <x v="0"/>
    <n v="31"/>
    <x v="5"/>
    <n v="85"/>
    <n v="97"/>
    <n v="64"/>
    <n v="90"/>
    <n v="79"/>
    <n v="81"/>
    <n v="81"/>
    <n v="577"/>
    <n v="82.428571428571431"/>
    <x v="1"/>
    <x v="2"/>
    <x v="0"/>
  </r>
  <r>
    <n v="42"/>
    <s v="Jesus"/>
    <s v="Rasmussen"/>
    <s v="jesus.rasmussen.42@gslingacademy.com"/>
    <x v="0"/>
    <x v="1"/>
    <x v="6"/>
    <x v="0"/>
    <n v="4"/>
    <x v="7"/>
    <n v="65"/>
    <n v="55"/>
    <n v="66"/>
    <n v="50"/>
    <n v="88"/>
    <n v="56"/>
    <n v="86"/>
    <n v="466"/>
    <n v="66.571428571428569"/>
    <x v="3"/>
    <x v="1"/>
    <x v="0"/>
  </r>
  <r>
    <n v="43"/>
    <s v="Lauren"/>
    <s v="Farmer"/>
    <s v="lauren.farmer.43@gslingacademy.com"/>
    <x v="1"/>
    <x v="1"/>
    <x v="4"/>
    <x v="0"/>
    <n v="3"/>
    <x v="7"/>
    <n v="93"/>
    <n v="94"/>
    <n v="92"/>
    <n v="77"/>
    <n v="87"/>
    <n v="98"/>
    <n v="63"/>
    <n v="604"/>
    <n v="86.285714285714292"/>
    <x v="3"/>
    <x v="2"/>
    <x v="1"/>
  </r>
  <r>
    <n v="44"/>
    <s v="Pamela"/>
    <s v="Cole"/>
    <s v="pamela.cole.44@gslingacademy.com"/>
    <x v="1"/>
    <x v="0"/>
    <x v="9"/>
    <x v="0"/>
    <n v="3"/>
    <x v="14"/>
    <n v="97"/>
    <n v="99"/>
    <n v="85"/>
    <n v="96"/>
    <n v="91"/>
    <n v="68"/>
    <n v="66"/>
    <n v="602"/>
    <n v="86"/>
    <x v="3"/>
    <x v="2"/>
    <x v="1"/>
  </r>
  <r>
    <n v="45"/>
    <s v="David"/>
    <s v="Gillespie"/>
    <s v="david.gillespie.45@gslingacademy.com"/>
    <x v="0"/>
    <x v="1"/>
    <x v="9"/>
    <x v="0"/>
    <n v="3"/>
    <x v="7"/>
    <n v="54"/>
    <n v="99"/>
    <n v="79"/>
    <n v="57"/>
    <n v="53"/>
    <n v="95"/>
    <n v="83"/>
    <n v="520"/>
    <n v="74.285714285714292"/>
    <x v="3"/>
    <x v="2"/>
    <x v="0"/>
  </r>
  <r>
    <n v="46"/>
    <s v="Kenneth"/>
    <s v="Davis"/>
    <s v="kenneth.davis.46@gslingacademy.com"/>
    <x v="0"/>
    <x v="1"/>
    <x v="3"/>
    <x v="1"/>
    <n v="5"/>
    <x v="7"/>
    <n v="88"/>
    <n v="53"/>
    <n v="50"/>
    <n v="58"/>
    <n v="84"/>
    <n v="53"/>
    <n v="96"/>
    <n v="482"/>
    <n v="68.857142857142861"/>
    <x v="3"/>
    <x v="2"/>
    <x v="0"/>
  </r>
  <r>
    <n v="47"/>
    <s v="Elizabeth"/>
    <s v="Martin"/>
    <s v="elizabeth.martin.47@gslingacademy.com"/>
    <x v="1"/>
    <x v="0"/>
    <x v="3"/>
    <x v="1"/>
    <n v="27"/>
    <x v="0"/>
    <n v="71"/>
    <n v="85"/>
    <n v="93"/>
    <n v="68"/>
    <n v="100"/>
    <n v="91"/>
    <n v="87"/>
    <n v="595"/>
    <n v="85"/>
    <x v="0"/>
    <x v="2"/>
    <x v="0"/>
  </r>
  <r>
    <n v="48"/>
    <s v="Billy"/>
    <s v="Soto"/>
    <s v="billy.soto.48@gslingacademy.com"/>
    <x v="0"/>
    <x v="0"/>
    <x v="10"/>
    <x v="1"/>
    <n v="28"/>
    <x v="15"/>
    <n v="81"/>
    <n v="98"/>
    <n v="74"/>
    <n v="70"/>
    <n v="97"/>
    <n v="65"/>
    <n v="65"/>
    <n v="550"/>
    <n v="78.571428571428569"/>
    <x v="0"/>
    <x v="3"/>
    <x v="0"/>
  </r>
  <r>
    <n v="49"/>
    <s v="Kimberly"/>
    <s v="Kelly"/>
    <s v="kimberly.kelly.49@gslingacademy.com"/>
    <x v="1"/>
    <x v="0"/>
    <x v="9"/>
    <x v="0"/>
    <n v="32"/>
    <x v="4"/>
    <n v="80"/>
    <n v="78"/>
    <n v="86"/>
    <n v="80"/>
    <n v="64"/>
    <n v="68"/>
    <n v="100"/>
    <n v="556"/>
    <n v="79.428571428571431"/>
    <x v="1"/>
    <x v="2"/>
    <x v="0"/>
  </r>
  <r>
    <n v="50"/>
    <s v="Sonia"/>
    <s v="Noble"/>
    <s v="sonia.noble.50@gslingacademy.com"/>
    <x v="1"/>
    <x v="0"/>
    <x v="10"/>
    <x v="0"/>
    <n v="14"/>
    <x v="11"/>
    <n v="100"/>
    <n v="89"/>
    <n v="90"/>
    <n v="93"/>
    <n v="30"/>
    <n v="83"/>
    <n v="74"/>
    <n v="559"/>
    <n v="79.857142857142861"/>
    <x v="2"/>
    <x v="3"/>
    <x v="0"/>
  </r>
  <r>
    <n v="51"/>
    <s v="Christopher"/>
    <s v="Stewart"/>
    <s v="christopher.stewart.51@gslingacademy.com"/>
    <x v="0"/>
    <x v="0"/>
    <x v="4"/>
    <x v="1"/>
    <n v="16"/>
    <x v="15"/>
    <n v="76"/>
    <n v="72"/>
    <n v="96"/>
    <n v="65"/>
    <n v="89"/>
    <n v="87"/>
    <n v="94"/>
    <n v="579"/>
    <n v="82.714285714285708"/>
    <x v="2"/>
    <x v="2"/>
    <x v="0"/>
  </r>
  <r>
    <n v="52"/>
    <s v="Sandra"/>
    <s v="Thornton"/>
    <s v="sandra.thornton.52@gslingacademy.com"/>
    <x v="1"/>
    <x v="0"/>
    <x v="1"/>
    <x v="0"/>
    <n v="24"/>
    <x v="0"/>
    <n v="99"/>
    <n v="81"/>
    <n v="73"/>
    <n v="70"/>
    <n v="85"/>
    <n v="86"/>
    <n v="61"/>
    <n v="555"/>
    <n v="79.285714285714292"/>
    <x v="0"/>
    <x v="0"/>
    <x v="0"/>
  </r>
  <r>
    <n v="53"/>
    <s v="Luke"/>
    <s v="Shannon"/>
    <s v="luke.shannon.53@gslingacademy.com"/>
    <x v="0"/>
    <x v="0"/>
    <x v="2"/>
    <x v="0"/>
    <n v="0"/>
    <x v="7"/>
    <n v="64"/>
    <n v="70"/>
    <n v="61"/>
    <n v="81"/>
    <n v="82"/>
    <n v="51"/>
    <n v="70"/>
    <n v="479"/>
    <n v="68.428571428571431"/>
    <x v="3"/>
    <x v="1"/>
    <x v="0"/>
  </r>
  <r>
    <n v="54"/>
    <s v="Lindsay"/>
    <s v="Pruitt"/>
    <s v="lindsay.pruitt.54@gslingacademy.com"/>
    <x v="1"/>
    <x v="0"/>
    <x v="0"/>
    <x v="0"/>
    <n v="32"/>
    <x v="9"/>
    <n v="90"/>
    <n v="96"/>
    <n v="86"/>
    <n v="61"/>
    <n v="89"/>
    <n v="98"/>
    <n v="68"/>
    <n v="588"/>
    <n v="84"/>
    <x v="1"/>
    <x v="0"/>
    <x v="0"/>
  </r>
  <r>
    <n v="55"/>
    <s v="Jamie"/>
    <s v="Taylor"/>
    <s v="jamie.taylor.55@gslingacademy.com"/>
    <x v="0"/>
    <x v="0"/>
    <x v="1"/>
    <x v="0"/>
    <n v="3"/>
    <x v="14"/>
    <n v="85"/>
    <n v="100"/>
    <n v="92"/>
    <n v="68"/>
    <n v="60"/>
    <n v="77"/>
    <n v="83"/>
    <n v="565"/>
    <n v="80.714285714285708"/>
    <x v="3"/>
    <x v="0"/>
    <x v="0"/>
  </r>
  <r>
    <n v="56"/>
    <s v="Jennifer"/>
    <s v="Murphy"/>
    <s v="jennifer.murphy.56@gslingacademy.com"/>
    <x v="1"/>
    <x v="0"/>
    <x v="4"/>
    <x v="0"/>
    <n v="31"/>
    <x v="5"/>
    <n v="91"/>
    <n v="60"/>
    <n v="84"/>
    <n v="88"/>
    <n v="76"/>
    <n v="71"/>
    <n v="99"/>
    <n v="569"/>
    <n v="81.285714285714292"/>
    <x v="1"/>
    <x v="2"/>
    <x v="0"/>
  </r>
  <r>
    <n v="57"/>
    <s v="Melissa"/>
    <s v="Lee"/>
    <s v="melissa.lee.57@gslingacademy.com"/>
    <x v="1"/>
    <x v="0"/>
    <x v="0"/>
    <x v="0"/>
    <n v="21"/>
    <x v="4"/>
    <n v="95"/>
    <n v="72"/>
    <n v="79"/>
    <n v="86"/>
    <n v="87"/>
    <n v="81"/>
    <n v="62"/>
    <n v="562"/>
    <n v="80.285714285714292"/>
    <x v="0"/>
    <x v="0"/>
    <x v="0"/>
  </r>
  <r>
    <n v="58"/>
    <s v="David"/>
    <s v="Vaughn"/>
    <s v="david.vaughn.58@gslingacademy.com"/>
    <x v="0"/>
    <x v="1"/>
    <x v="1"/>
    <x v="0"/>
    <n v="18"/>
    <x v="9"/>
    <n v="94"/>
    <n v="78"/>
    <n v="73"/>
    <n v="97"/>
    <n v="67"/>
    <n v="78"/>
    <n v="99"/>
    <n v="586"/>
    <n v="83.714285714285708"/>
    <x v="2"/>
    <x v="0"/>
    <x v="0"/>
  </r>
  <r>
    <n v="59"/>
    <s v="Jacob"/>
    <s v="Hanson"/>
    <s v="jacob.hanson.59@gslingacademy.com"/>
    <x v="0"/>
    <x v="0"/>
    <x v="6"/>
    <x v="0"/>
    <n v="26"/>
    <x v="5"/>
    <n v="94"/>
    <n v="89"/>
    <n v="64"/>
    <n v="96"/>
    <n v="91"/>
    <n v="95"/>
    <n v="77"/>
    <n v="606"/>
    <n v="86.571428571428569"/>
    <x v="0"/>
    <x v="1"/>
    <x v="1"/>
  </r>
  <r>
    <n v="60"/>
    <s v="Casey"/>
    <s v="May"/>
    <s v="casey.may.60@gslingacademy.com"/>
    <x v="0"/>
    <x v="0"/>
    <x v="9"/>
    <x v="0"/>
    <n v="23"/>
    <x v="5"/>
    <n v="89"/>
    <n v="99"/>
    <n v="90"/>
    <n v="79"/>
    <n v="85"/>
    <n v="96"/>
    <n v="98"/>
    <n v="636"/>
    <n v="90.857142857142861"/>
    <x v="0"/>
    <x v="2"/>
    <x v="1"/>
  </r>
  <r>
    <n v="61"/>
    <s v="Michelle"/>
    <s v="Roman"/>
    <s v="michelle.roman.61@gslingacademy.com"/>
    <x v="1"/>
    <x v="0"/>
    <x v="1"/>
    <x v="0"/>
    <n v="1"/>
    <x v="14"/>
    <n v="91"/>
    <n v="81"/>
    <n v="88"/>
    <n v="71"/>
    <n v="78"/>
    <n v="83"/>
    <n v="76"/>
    <n v="568"/>
    <n v="81.142857142857139"/>
    <x v="3"/>
    <x v="0"/>
    <x v="0"/>
  </r>
  <r>
    <n v="62"/>
    <s v="Brittany"/>
    <s v="Koch"/>
    <s v="brittany.koch.62@gslingacademy.com"/>
    <x v="1"/>
    <x v="0"/>
    <x v="3"/>
    <x v="0"/>
    <n v="33"/>
    <x v="0"/>
    <n v="83"/>
    <n v="86"/>
    <n v="61"/>
    <n v="99"/>
    <n v="99"/>
    <n v="88"/>
    <n v="73"/>
    <n v="589"/>
    <n v="84.142857142857139"/>
    <x v="1"/>
    <x v="2"/>
    <x v="0"/>
  </r>
  <r>
    <n v="63"/>
    <s v="Brian"/>
    <s v="Lewis"/>
    <s v="brian.lewis.63@gslingacademy.com"/>
    <x v="0"/>
    <x v="0"/>
    <x v="6"/>
    <x v="0"/>
    <n v="2"/>
    <x v="7"/>
    <n v="98"/>
    <n v="65"/>
    <n v="53"/>
    <n v="64"/>
    <n v="52"/>
    <n v="96"/>
    <n v="62"/>
    <n v="490"/>
    <n v="70"/>
    <x v="3"/>
    <x v="1"/>
    <x v="0"/>
  </r>
  <r>
    <n v="64"/>
    <s v="Veronica"/>
    <s v="Cameron"/>
    <s v="veronica.cameron.64@gslingacademy.com"/>
    <x v="1"/>
    <x v="0"/>
    <x v="5"/>
    <x v="0"/>
    <n v="34"/>
    <x v="9"/>
    <n v="83"/>
    <n v="97"/>
    <n v="65"/>
    <n v="88"/>
    <n v="67"/>
    <n v="95"/>
    <n v="69"/>
    <n v="564"/>
    <n v="80.571428571428569"/>
    <x v="1"/>
    <x v="0"/>
    <x v="0"/>
  </r>
  <r>
    <n v="65"/>
    <s v="Eric"/>
    <s v="Reyes"/>
    <s v="eric.reyes.65@gslingacademy.com"/>
    <x v="0"/>
    <x v="0"/>
    <x v="1"/>
    <x v="0"/>
    <n v="18"/>
    <x v="13"/>
    <n v="91"/>
    <n v="73"/>
    <n v="99"/>
    <n v="70"/>
    <n v="63"/>
    <n v="80"/>
    <n v="78"/>
    <n v="554"/>
    <n v="79.142857142857139"/>
    <x v="2"/>
    <x v="0"/>
    <x v="0"/>
  </r>
  <r>
    <n v="66"/>
    <s v="Kristy"/>
    <s v="Weber"/>
    <s v="kristy.weber.66@gslingacademy.com"/>
    <x v="1"/>
    <x v="1"/>
    <x v="4"/>
    <x v="0"/>
    <n v="2"/>
    <x v="7"/>
    <n v="90"/>
    <n v="54"/>
    <n v="77"/>
    <n v="74"/>
    <n v="76"/>
    <n v="96"/>
    <n v="88"/>
    <n v="555"/>
    <n v="79.285714285714292"/>
    <x v="3"/>
    <x v="2"/>
    <x v="0"/>
  </r>
  <r>
    <n v="67"/>
    <s v="Anthony"/>
    <s v="Smith"/>
    <s v="anthony.smith.67@gslingacademy.com"/>
    <x v="0"/>
    <x v="0"/>
    <x v="0"/>
    <x v="0"/>
    <n v="27"/>
    <x v="5"/>
    <n v="92"/>
    <n v="86"/>
    <n v="66"/>
    <n v="69"/>
    <n v="100"/>
    <n v="71"/>
    <n v="80"/>
    <n v="564"/>
    <n v="80.571428571428569"/>
    <x v="0"/>
    <x v="0"/>
    <x v="0"/>
  </r>
  <r>
    <n v="68"/>
    <s v="Steven"/>
    <s v="Stephens"/>
    <s v="steven.stephens.68@gslingacademy.com"/>
    <x v="0"/>
    <x v="0"/>
    <x v="1"/>
    <x v="0"/>
    <n v="8"/>
    <x v="16"/>
    <n v="64"/>
    <n v="64"/>
    <n v="73"/>
    <n v="76"/>
    <n v="72"/>
    <n v="97"/>
    <n v="91"/>
    <n v="537"/>
    <n v="76.714285714285708"/>
    <x v="4"/>
    <x v="0"/>
    <x v="0"/>
  </r>
  <r>
    <n v="69"/>
    <s v="Henry"/>
    <s v="Davis"/>
    <s v="henry.davis.69@gslingacademy.com"/>
    <x v="0"/>
    <x v="0"/>
    <x v="9"/>
    <x v="0"/>
    <n v="14"/>
    <x v="5"/>
    <n v="90"/>
    <n v="70"/>
    <n v="85"/>
    <n v="60"/>
    <n v="81"/>
    <n v="71"/>
    <n v="88"/>
    <n v="545"/>
    <n v="77.857142857142861"/>
    <x v="2"/>
    <x v="2"/>
    <x v="0"/>
  </r>
  <r>
    <n v="70"/>
    <s v="Raymond"/>
    <s v="Shea"/>
    <s v="raymond.shea.70@gslingacademy.com"/>
    <x v="0"/>
    <x v="0"/>
    <x v="7"/>
    <x v="1"/>
    <n v="22"/>
    <x v="9"/>
    <n v="99"/>
    <n v="81"/>
    <n v="96"/>
    <n v="69"/>
    <n v="91"/>
    <n v="87"/>
    <n v="83"/>
    <n v="606"/>
    <n v="86.571428571428569"/>
    <x v="0"/>
    <x v="1"/>
    <x v="1"/>
  </r>
  <r>
    <n v="71"/>
    <s v="Jill"/>
    <s v="Perez"/>
    <s v="jill.perez.71@gslingacademy.com"/>
    <x v="1"/>
    <x v="0"/>
    <x v="5"/>
    <x v="0"/>
    <n v="15"/>
    <x v="12"/>
    <n v="89"/>
    <n v="66"/>
    <n v="93"/>
    <n v="81"/>
    <n v="86"/>
    <n v="88"/>
    <n v="70"/>
    <n v="573"/>
    <n v="81.857142857142861"/>
    <x v="2"/>
    <x v="0"/>
    <x v="0"/>
  </r>
  <r>
    <n v="72"/>
    <s v="Kimberly"/>
    <s v="Bonilla"/>
    <s v="kimberly.bonilla.72@gslingacademy.com"/>
    <x v="1"/>
    <x v="1"/>
    <x v="0"/>
    <x v="0"/>
    <n v="22"/>
    <x v="10"/>
    <n v="62"/>
    <n v="87"/>
    <n v="93"/>
    <n v="83"/>
    <n v="93"/>
    <n v="97"/>
    <n v="73"/>
    <n v="588"/>
    <n v="84"/>
    <x v="0"/>
    <x v="0"/>
    <x v="0"/>
  </r>
  <r>
    <n v="73"/>
    <s v="Louis"/>
    <s v="Edwards"/>
    <s v="louis.edwards.73@gslingacademy.com"/>
    <x v="0"/>
    <x v="1"/>
    <x v="7"/>
    <x v="0"/>
    <n v="1"/>
    <x v="7"/>
    <n v="61"/>
    <n v="70"/>
    <n v="69"/>
    <n v="64"/>
    <n v="59"/>
    <n v="78"/>
    <n v="80"/>
    <n v="481"/>
    <n v="68.714285714285708"/>
    <x v="3"/>
    <x v="1"/>
    <x v="0"/>
  </r>
  <r>
    <n v="74"/>
    <s v="Michael"/>
    <s v="Hodge"/>
    <s v="michael.hodge.74@gslingacademy.com"/>
    <x v="0"/>
    <x v="1"/>
    <x v="8"/>
    <x v="0"/>
    <n v="3"/>
    <x v="7"/>
    <n v="51"/>
    <n v="54"/>
    <n v="66"/>
    <n v="87"/>
    <n v="99"/>
    <n v="58"/>
    <n v="68"/>
    <n v="483"/>
    <n v="69"/>
    <x v="3"/>
    <x v="1"/>
    <x v="0"/>
  </r>
  <r>
    <n v="75"/>
    <s v="Anna"/>
    <s v="Li"/>
    <s v="anna.li.75@gslingacademy.com"/>
    <x v="1"/>
    <x v="0"/>
    <x v="1"/>
    <x v="0"/>
    <n v="20"/>
    <x v="5"/>
    <n v="85"/>
    <n v="100"/>
    <n v="64"/>
    <n v="68"/>
    <n v="73"/>
    <n v="81"/>
    <n v="87"/>
    <n v="558"/>
    <n v="79.714285714285708"/>
    <x v="2"/>
    <x v="0"/>
    <x v="0"/>
  </r>
  <r>
    <n v="76"/>
    <s v="Andrea"/>
    <s v="Case"/>
    <s v="andrea.case.76@gslingacademy.com"/>
    <x v="1"/>
    <x v="0"/>
    <x v="6"/>
    <x v="1"/>
    <n v="27"/>
    <x v="5"/>
    <n v="99"/>
    <n v="90"/>
    <n v="96"/>
    <n v="92"/>
    <n v="100"/>
    <n v="98"/>
    <n v="77"/>
    <n v="652"/>
    <n v="93.142857142857139"/>
    <x v="0"/>
    <x v="1"/>
    <x v="1"/>
  </r>
  <r>
    <n v="77"/>
    <s v="Jennifer"/>
    <s v="Garcia"/>
    <s v="jennifer.garcia.77@gslingacademy.com"/>
    <x v="1"/>
    <x v="0"/>
    <x v="0"/>
    <x v="0"/>
    <n v="24"/>
    <x v="5"/>
    <n v="87"/>
    <n v="63"/>
    <n v="60"/>
    <n v="90"/>
    <n v="89"/>
    <n v="99"/>
    <n v="80"/>
    <n v="568"/>
    <n v="81.142857142857139"/>
    <x v="0"/>
    <x v="0"/>
    <x v="0"/>
  </r>
  <r>
    <n v="78"/>
    <s v="Rhonda"/>
    <s v="Davenport"/>
    <s v="rhonda.davenport.78@gslingacademy.com"/>
    <x v="1"/>
    <x v="0"/>
    <x v="5"/>
    <x v="1"/>
    <n v="5"/>
    <x v="4"/>
    <n v="75"/>
    <n v="91"/>
    <n v="80"/>
    <n v="93"/>
    <n v="74"/>
    <n v="93"/>
    <n v="65"/>
    <n v="571"/>
    <n v="81.571428571428569"/>
    <x v="3"/>
    <x v="0"/>
    <x v="0"/>
  </r>
  <r>
    <n v="79"/>
    <s v="Chelsea"/>
    <s v="Craig"/>
    <s v="chelsea.craig.79@gslingacademy.com"/>
    <x v="1"/>
    <x v="0"/>
    <x v="6"/>
    <x v="0"/>
    <n v="34"/>
    <x v="4"/>
    <n v="88"/>
    <n v="94"/>
    <n v="80"/>
    <n v="63"/>
    <n v="68"/>
    <n v="77"/>
    <n v="64"/>
    <n v="534"/>
    <n v="76.285714285714292"/>
    <x v="1"/>
    <x v="1"/>
    <x v="0"/>
  </r>
  <r>
    <n v="80"/>
    <s v="Shawn"/>
    <s v="Chase"/>
    <s v="shawn.chase.80@gslingacademy.com"/>
    <x v="0"/>
    <x v="0"/>
    <x v="0"/>
    <x v="0"/>
    <n v="16"/>
    <x v="5"/>
    <n v="87"/>
    <n v="79"/>
    <n v="89"/>
    <n v="68"/>
    <n v="93"/>
    <n v="75"/>
    <n v="92"/>
    <n v="583"/>
    <n v="83.285714285714292"/>
    <x v="2"/>
    <x v="0"/>
    <x v="0"/>
  </r>
  <r>
    <n v="81"/>
    <s v="Elizabeth"/>
    <s v="Calhoun"/>
    <s v="elizabeth.calhoun.81@gslingacademy.com"/>
    <x v="1"/>
    <x v="1"/>
    <x v="0"/>
    <x v="0"/>
    <n v="3"/>
    <x v="7"/>
    <n v="87"/>
    <n v="67"/>
    <n v="94"/>
    <n v="92"/>
    <n v="62"/>
    <n v="58"/>
    <n v="65"/>
    <n v="525"/>
    <n v="75"/>
    <x v="3"/>
    <x v="0"/>
    <x v="0"/>
  </r>
  <r>
    <n v="82"/>
    <s v="Lisa"/>
    <s v="Harris"/>
    <s v="lisa.harris.82@gslingacademy.com"/>
    <x v="1"/>
    <x v="0"/>
    <x v="5"/>
    <x v="0"/>
    <n v="15"/>
    <x v="15"/>
    <n v="76"/>
    <n v="67"/>
    <n v="83"/>
    <n v="85"/>
    <n v="91"/>
    <n v="61"/>
    <n v="67"/>
    <n v="530"/>
    <n v="75.714285714285708"/>
    <x v="2"/>
    <x v="0"/>
    <x v="0"/>
  </r>
  <r>
    <n v="83"/>
    <s v="Carol"/>
    <s v="Snyder"/>
    <s v="carol.snyder.83@gslingacademy.com"/>
    <x v="1"/>
    <x v="0"/>
    <x v="6"/>
    <x v="0"/>
    <n v="11"/>
    <x v="2"/>
    <n v="60"/>
    <n v="80"/>
    <n v="61"/>
    <n v="63"/>
    <n v="95"/>
    <n v="92"/>
    <n v="75"/>
    <n v="526"/>
    <n v="75.142857142857139"/>
    <x v="2"/>
    <x v="1"/>
    <x v="0"/>
  </r>
  <r>
    <n v="84"/>
    <s v="Charles"/>
    <s v="Butler"/>
    <s v="charles.butler.84@gslingacademy.com"/>
    <x v="0"/>
    <x v="0"/>
    <x v="6"/>
    <x v="0"/>
    <n v="32"/>
    <x v="8"/>
    <n v="85"/>
    <n v="65"/>
    <n v="99"/>
    <n v="100"/>
    <n v="88"/>
    <n v="93"/>
    <n v="72"/>
    <n v="602"/>
    <n v="86"/>
    <x v="1"/>
    <x v="1"/>
    <x v="1"/>
  </r>
  <r>
    <n v="85"/>
    <s v="James"/>
    <s v="Dawson"/>
    <s v="james.dawson.85@gslingacademy.com"/>
    <x v="0"/>
    <x v="0"/>
    <x v="0"/>
    <x v="0"/>
    <n v="28"/>
    <x v="4"/>
    <n v="73"/>
    <n v="67"/>
    <n v="70"/>
    <n v="71"/>
    <n v="65"/>
    <n v="73"/>
    <n v="87"/>
    <n v="506"/>
    <n v="72.285714285714292"/>
    <x v="0"/>
    <x v="0"/>
    <x v="0"/>
  </r>
  <r>
    <n v="86"/>
    <s v="Dennis"/>
    <s v="Kim"/>
    <s v="dennis.kim.86@gslingacademy.com"/>
    <x v="0"/>
    <x v="0"/>
    <x v="5"/>
    <x v="0"/>
    <n v="24"/>
    <x v="5"/>
    <n v="85"/>
    <n v="71"/>
    <n v="69"/>
    <n v="80"/>
    <n v="70"/>
    <n v="77"/>
    <n v="66"/>
    <n v="518"/>
    <n v="74"/>
    <x v="0"/>
    <x v="0"/>
    <x v="0"/>
  </r>
  <r>
    <n v="87"/>
    <s v="Jennifer"/>
    <s v="Berry"/>
    <s v="jennifer.berry.87@gslingacademy.com"/>
    <x v="1"/>
    <x v="0"/>
    <x v="1"/>
    <x v="0"/>
    <n v="9"/>
    <x v="2"/>
    <n v="91"/>
    <n v="76"/>
    <n v="71"/>
    <n v="72"/>
    <n v="92"/>
    <n v="67"/>
    <n v="90"/>
    <n v="559"/>
    <n v="79.857142857142861"/>
    <x v="4"/>
    <x v="0"/>
    <x v="0"/>
  </r>
  <r>
    <n v="88"/>
    <s v="Yvette"/>
    <s v="Bridges"/>
    <s v="yvette.bridges.88@gslingacademy.com"/>
    <x v="1"/>
    <x v="0"/>
    <x v="0"/>
    <x v="1"/>
    <n v="14"/>
    <x v="5"/>
    <n v="99"/>
    <n v="95"/>
    <n v="83"/>
    <n v="89"/>
    <n v="81"/>
    <n v="63"/>
    <n v="70"/>
    <n v="580"/>
    <n v="82.857142857142861"/>
    <x v="2"/>
    <x v="0"/>
    <x v="0"/>
  </r>
  <r>
    <n v="89"/>
    <s v="Robert"/>
    <s v="Atkins"/>
    <s v="robert.atkins.89@gslingacademy.com"/>
    <x v="0"/>
    <x v="0"/>
    <x v="0"/>
    <x v="0"/>
    <n v="16"/>
    <x v="15"/>
    <n v="93"/>
    <n v="96"/>
    <n v="68"/>
    <n v="87"/>
    <n v="69"/>
    <n v="89"/>
    <n v="100"/>
    <n v="602"/>
    <n v="86"/>
    <x v="2"/>
    <x v="0"/>
    <x v="1"/>
  </r>
  <r>
    <n v="90"/>
    <s v="William"/>
    <s v="Brown"/>
    <s v="william.brown.90@gslingacademy.com"/>
    <x v="0"/>
    <x v="0"/>
    <x v="0"/>
    <x v="0"/>
    <n v="29"/>
    <x v="5"/>
    <n v="89"/>
    <n v="75"/>
    <n v="60"/>
    <n v="80"/>
    <n v="62"/>
    <n v="85"/>
    <n v="73"/>
    <n v="524"/>
    <n v="74.857142857142861"/>
    <x v="0"/>
    <x v="0"/>
    <x v="0"/>
  </r>
  <r>
    <n v="91"/>
    <s v="Patrick"/>
    <s v="Parker"/>
    <s v="patrick.parker.91@gslingacademy.com"/>
    <x v="0"/>
    <x v="0"/>
    <x v="10"/>
    <x v="0"/>
    <n v="14"/>
    <x v="11"/>
    <n v="95"/>
    <n v="78"/>
    <n v="95"/>
    <n v="73"/>
    <n v="32"/>
    <n v="65"/>
    <n v="68"/>
    <n v="506"/>
    <n v="72.285714285714292"/>
    <x v="2"/>
    <x v="3"/>
    <x v="0"/>
  </r>
  <r>
    <n v="92"/>
    <s v="James"/>
    <s v="Santiago"/>
    <s v="james.santiago.92@gslingacademy.com"/>
    <x v="0"/>
    <x v="0"/>
    <x v="9"/>
    <x v="0"/>
    <n v="10"/>
    <x v="2"/>
    <n v="68"/>
    <n v="82"/>
    <n v="95"/>
    <n v="63"/>
    <n v="62"/>
    <n v="98"/>
    <n v="93"/>
    <n v="561"/>
    <n v="80.142857142857139"/>
    <x v="4"/>
    <x v="2"/>
    <x v="0"/>
  </r>
  <r>
    <n v="93"/>
    <s v="Robert"/>
    <s v="Parsons"/>
    <s v="robert.parsons.93@gslingacademy.com"/>
    <x v="0"/>
    <x v="0"/>
    <x v="3"/>
    <x v="0"/>
    <n v="31"/>
    <x v="5"/>
    <n v="98"/>
    <n v="73"/>
    <n v="73"/>
    <n v="77"/>
    <n v="87"/>
    <n v="98"/>
    <n v="83"/>
    <n v="589"/>
    <n v="84.142857142857139"/>
    <x v="1"/>
    <x v="2"/>
    <x v="0"/>
  </r>
  <r>
    <n v="94"/>
    <s v="Jacob"/>
    <s v="Brown"/>
    <s v="jacob.brown.94@gslingacademy.com"/>
    <x v="0"/>
    <x v="0"/>
    <x v="9"/>
    <x v="0"/>
    <n v="34"/>
    <x v="15"/>
    <n v="79"/>
    <n v="92"/>
    <n v="79"/>
    <n v="76"/>
    <n v="84"/>
    <n v="67"/>
    <n v="86"/>
    <n v="563"/>
    <n v="80.428571428571431"/>
    <x v="1"/>
    <x v="2"/>
    <x v="0"/>
  </r>
  <r>
    <n v="95"/>
    <s v="Natalie"/>
    <s v="Robinson"/>
    <s v="natalie.robinson.95@gslingacademy.com"/>
    <x v="1"/>
    <x v="0"/>
    <x v="3"/>
    <x v="0"/>
    <n v="3"/>
    <x v="4"/>
    <n v="78"/>
    <n v="79"/>
    <n v="73"/>
    <n v="96"/>
    <n v="64"/>
    <n v="93"/>
    <n v="85"/>
    <n v="568"/>
    <n v="81.142857142857139"/>
    <x v="3"/>
    <x v="2"/>
    <x v="0"/>
  </r>
  <r>
    <n v="96"/>
    <s v="Victoria"/>
    <s v="Jones"/>
    <s v="victoria.jones.96@gslingacademy.com"/>
    <x v="1"/>
    <x v="0"/>
    <x v="1"/>
    <x v="1"/>
    <n v="34"/>
    <x v="5"/>
    <n v="100"/>
    <n v="98"/>
    <n v="89"/>
    <n v="85"/>
    <n v="81"/>
    <n v="64"/>
    <n v="94"/>
    <n v="611"/>
    <n v="87.285714285714292"/>
    <x v="1"/>
    <x v="0"/>
    <x v="1"/>
  </r>
  <r>
    <n v="97"/>
    <s v="Natasha"/>
    <s v="Hansen"/>
    <s v="natasha.hansen.97@gslingacademy.com"/>
    <x v="1"/>
    <x v="0"/>
    <x v="0"/>
    <x v="1"/>
    <n v="2"/>
    <x v="3"/>
    <n v="86"/>
    <n v="76"/>
    <n v="84"/>
    <n v="93"/>
    <n v="76"/>
    <n v="69"/>
    <n v="91"/>
    <n v="575"/>
    <n v="82.142857142857139"/>
    <x v="3"/>
    <x v="0"/>
    <x v="0"/>
  </r>
  <r>
    <n v="98"/>
    <s v="Thomas"/>
    <s v="White"/>
    <s v="thomas.white.98@gslingacademy.com"/>
    <x v="0"/>
    <x v="0"/>
    <x v="0"/>
    <x v="0"/>
    <n v="4"/>
    <x v="16"/>
    <n v="87"/>
    <n v="89"/>
    <n v="93"/>
    <n v="98"/>
    <n v="79"/>
    <n v="72"/>
    <n v="88"/>
    <n v="606"/>
    <n v="86.571428571428569"/>
    <x v="3"/>
    <x v="0"/>
    <x v="1"/>
  </r>
  <r>
    <n v="99"/>
    <s v="Derrick"/>
    <s v="Figueroa"/>
    <s v="derrick.figueroa.99@gslingacademy.com"/>
    <x v="0"/>
    <x v="1"/>
    <x v="10"/>
    <x v="0"/>
    <n v="28"/>
    <x v="0"/>
    <n v="100"/>
    <n v="93"/>
    <n v="85"/>
    <n v="61"/>
    <n v="96"/>
    <n v="83"/>
    <n v="86"/>
    <n v="604"/>
    <n v="86.285714285714292"/>
    <x v="0"/>
    <x v="3"/>
    <x v="1"/>
  </r>
  <r>
    <n v="100"/>
    <s v="Kimberly"/>
    <s v="Ward"/>
    <s v="kimberly.ward.100@gslingacademy.com"/>
    <x v="1"/>
    <x v="0"/>
    <x v="10"/>
    <x v="0"/>
    <n v="5"/>
    <x v="14"/>
    <n v="85"/>
    <n v="89"/>
    <n v="94"/>
    <n v="69"/>
    <n v="99"/>
    <n v="93"/>
    <n v="98"/>
    <n v="627"/>
    <n v="89.571428571428569"/>
    <x v="3"/>
    <x v="3"/>
    <x v="1"/>
  </r>
  <r>
    <n v="101"/>
    <s v="Rhonda"/>
    <s v="Jones"/>
    <s v="rhonda.jones.101@gslingacademy.com"/>
    <x v="1"/>
    <x v="0"/>
    <x v="1"/>
    <x v="0"/>
    <n v="4"/>
    <x v="3"/>
    <n v="87"/>
    <n v="73"/>
    <n v="98"/>
    <n v="91"/>
    <n v="79"/>
    <n v="60"/>
    <n v="77"/>
    <n v="565"/>
    <n v="80.714285714285708"/>
    <x v="3"/>
    <x v="0"/>
    <x v="0"/>
  </r>
  <r>
    <n v="102"/>
    <s v="Abigail"/>
    <s v="Perez"/>
    <s v="abigail.perez.102@gslingacademy.com"/>
    <x v="1"/>
    <x v="0"/>
    <x v="1"/>
    <x v="0"/>
    <n v="25"/>
    <x v="5"/>
    <n v="96"/>
    <n v="80"/>
    <n v="100"/>
    <n v="61"/>
    <n v="81"/>
    <n v="98"/>
    <n v="65"/>
    <n v="581"/>
    <n v="83"/>
    <x v="0"/>
    <x v="0"/>
    <x v="0"/>
  </r>
  <r>
    <n v="103"/>
    <s v="James"/>
    <s v="Yang"/>
    <s v="james.yang.103@gslingacademy.com"/>
    <x v="0"/>
    <x v="0"/>
    <x v="3"/>
    <x v="0"/>
    <n v="29"/>
    <x v="10"/>
    <n v="76"/>
    <n v="87"/>
    <n v="64"/>
    <n v="74"/>
    <n v="73"/>
    <n v="90"/>
    <n v="99"/>
    <n v="563"/>
    <n v="80.428571428571431"/>
    <x v="0"/>
    <x v="2"/>
    <x v="0"/>
  </r>
  <r>
    <n v="104"/>
    <s v="Stephen"/>
    <s v="Patton"/>
    <s v="stephen.patton.104@gslingacademy.com"/>
    <x v="0"/>
    <x v="1"/>
    <x v="4"/>
    <x v="0"/>
    <n v="1"/>
    <x v="3"/>
    <n v="90"/>
    <n v="80"/>
    <n v="63"/>
    <n v="94"/>
    <n v="64"/>
    <n v="70"/>
    <n v="79"/>
    <n v="540"/>
    <n v="77.142857142857139"/>
    <x v="3"/>
    <x v="2"/>
    <x v="0"/>
  </r>
  <r>
    <n v="105"/>
    <s v="Emma"/>
    <s v="Wright"/>
    <s v="emma.wright.105@gslingacademy.com"/>
    <x v="1"/>
    <x v="0"/>
    <x v="6"/>
    <x v="0"/>
    <n v="2"/>
    <x v="7"/>
    <n v="65"/>
    <n v="60"/>
    <n v="100"/>
    <n v="91"/>
    <n v="87"/>
    <n v="78"/>
    <n v="99"/>
    <n v="580"/>
    <n v="82.857142857142861"/>
    <x v="3"/>
    <x v="1"/>
    <x v="0"/>
  </r>
  <r>
    <n v="106"/>
    <s v="Cynthia"/>
    <s v="Brown"/>
    <s v="cynthia.brown.106@gslingacademy.com"/>
    <x v="1"/>
    <x v="0"/>
    <x v="1"/>
    <x v="0"/>
    <n v="0"/>
    <x v="16"/>
    <n v="98"/>
    <n v="97"/>
    <n v="62"/>
    <n v="89"/>
    <n v="62"/>
    <n v="95"/>
    <n v="77"/>
    <n v="580"/>
    <n v="82.857142857142861"/>
    <x v="3"/>
    <x v="0"/>
    <x v="0"/>
  </r>
  <r>
    <n v="107"/>
    <s v="Erin"/>
    <s v="Kelley"/>
    <s v="erin.kelley.107@gslingacademy.com"/>
    <x v="1"/>
    <x v="0"/>
    <x v="0"/>
    <x v="0"/>
    <n v="16"/>
    <x v="11"/>
    <n v="91"/>
    <n v="80"/>
    <n v="97"/>
    <n v="89"/>
    <n v="94"/>
    <n v="95"/>
    <n v="84"/>
    <n v="630"/>
    <n v="90"/>
    <x v="2"/>
    <x v="0"/>
    <x v="1"/>
  </r>
  <r>
    <n v="108"/>
    <s v="Benjamin"/>
    <s v="Morse"/>
    <s v="benjamin.morse.108@gslingacademy.com"/>
    <x v="0"/>
    <x v="0"/>
    <x v="0"/>
    <x v="1"/>
    <n v="31"/>
    <x v="8"/>
    <n v="86"/>
    <n v="81"/>
    <n v="83"/>
    <n v="81"/>
    <n v="81"/>
    <n v="77"/>
    <n v="86"/>
    <n v="575"/>
    <n v="82.142857142857139"/>
    <x v="1"/>
    <x v="0"/>
    <x v="0"/>
  </r>
  <r>
    <n v="109"/>
    <s v="Alexandra"/>
    <s v="Gibson"/>
    <s v="alexandra.gibson.109@gslingacademy.com"/>
    <x v="1"/>
    <x v="0"/>
    <x v="5"/>
    <x v="0"/>
    <n v="4"/>
    <x v="4"/>
    <n v="91"/>
    <n v="93"/>
    <n v="72"/>
    <n v="61"/>
    <n v="61"/>
    <n v="87"/>
    <n v="95"/>
    <n v="560"/>
    <n v="80"/>
    <x v="3"/>
    <x v="0"/>
    <x v="0"/>
  </r>
  <r>
    <n v="110"/>
    <s v="Phillip"/>
    <s v="Allen"/>
    <s v="phillip.allen.110@gslingacademy.com"/>
    <x v="0"/>
    <x v="0"/>
    <x v="3"/>
    <x v="1"/>
    <n v="13"/>
    <x v="11"/>
    <n v="78"/>
    <n v="69"/>
    <n v="82"/>
    <n v="60"/>
    <n v="64"/>
    <n v="77"/>
    <n v="82"/>
    <n v="512"/>
    <n v="73.142857142857139"/>
    <x v="2"/>
    <x v="2"/>
    <x v="0"/>
  </r>
  <r>
    <n v="111"/>
    <s v="Joshua"/>
    <s v="Gonzalez"/>
    <s v="joshua.gonzalez.111@gslingacademy.com"/>
    <x v="0"/>
    <x v="0"/>
    <x v="9"/>
    <x v="0"/>
    <n v="24"/>
    <x v="15"/>
    <n v="76"/>
    <n v="89"/>
    <n v="89"/>
    <n v="83"/>
    <n v="89"/>
    <n v="90"/>
    <n v="64"/>
    <n v="580"/>
    <n v="82.857142857142861"/>
    <x v="0"/>
    <x v="2"/>
    <x v="0"/>
  </r>
  <r>
    <n v="112"/>
    <s v="Erin"/>
    <s v="Jones"/>
    <s v="erin.jones.112@gslingacademy.com"/>
    <x v="1"/>
    <x v="1"/>
    <x v="2"/>
    <x v="0"/>
    <n v="2"/>
    <x v="7"/>
    <n v="82"/>
    <n v="54"/>
    <n v="85"/>
    <n v="57"/>
    <n v="50"/>
    <n v="54"/>
    <n v="76"/>
    <n v="458"/>
    <n v="65.428571428571431"/>
    <x v="3"/>
    <x v="1"/>
    <x v="0"/>
  </r>
  <r>
    <n v="113"/>
    <s v="Charles"/>
    <s v="Hayes"/>
    <s v="charles.hayes.113@gslingacademy.com"/>
    <x v="0"/>
    <x v="1"/>
    <x v="1"/>
    <x v="1"/>
    <n v="4"/>
    <x v="7"/>
    <n v="45"/>
    <n v="85"/>
    <n v="94"/>
    <n v="76"/>
    <n v="57"/>
    <n v="93"/>
    <n v="86"/>
    <n v="536"/>
    <n v="76.571428571428569"/>
    <x v="3"/>
    <x v="0"/>
    <x v="0"/>
  </r>
  <r>
    <n v="114"/>
    <s v="Kelsey"/>
    <s v="Brown"/>
    <s v="kelsey.brown.114@gslingacademy.com"/>
    <x v="1"/>
    <x v="0"/>
    <x v="5"/>
    <x v="0"/>
    <n v="22"/>
    <x v="9"/>
    <n v="92"/>
    <n v="75"/>
    <n v="65"/>
    <n v="97"/>
    <n v="61"/>
    <n v="76"/>
    <n v="81"/>
    <n v="547"/>
    <n v="78.142857142857139"/>
    <x v="0"/>
    <x v="0"/>
    <x v="0"/>
  </r>
  <r>
    <n v="115"/>
    <s v="Robert"/>
    <s v="Turner"/>
    <s v="robert.turner.115@gslingacademy.com"/>
    <x v="0"/>
    <x v="0"/>
    <x v="4"/>
    <x v="1"/>
    <n v="0"/>
    <x v="7"/>
    <n v="43"/>
    <n v="65"/>
    <n v="91"/>
    <n v="75"/>
    <n v="64"/>
    <n v="94"/>
    <n v="100"/>
    <n v="532"/>
    <n v="76"/>
    <x v="3"/>
    <x v="2"/>
    <x v="0"/>
  </r>
  <r>
    <n v="116"/>
    <s v="Robert"/>
    <s v="Hill"/>
    <s v="robert.hill.116@gslingacademy.com"/>
    <x v="0"/>
    <x v="0"/>
    <x v="1"/>
    <x v="0"/>
    <n v="24"/>
    <x v="4"/>
    <n v="96"/>
    <n v="66"/>
    <n v="69"/>
    <n v="65"/>
    <n v="72"/>
    <n v="84"/>
    <n v="77"/>
    <n v="529"/>
    <n v="75.571428571428569"/>
    <x v="0"/>
    <x v="0"/>
    <x v="0"/>
  </r>
  <r>
    <n v="117"/>
    <s v="Alyssa"/>
    <s v="Ritter"/>
    <s v="alyssa.ritter.117@gslingacademy.com"/>
    <x v="1"/>
    <x v="0"/>
    <x v="4"/>
    <x v="0"/>
    <n v="1"/>
    <x v="7"/>
    <n v="78"/>
    <n v="71"/>
    <n v="50"/>
    <n v="55"/>
    <n v="54"/>
    <n v="97"/>
    <n v="95"/>
    <n v="500"/>
    <n v="71.428571428571431"/>
    <x v="3"/>
    <x v="2"/>
    <x v="0"/>
  </r>
  <r>
    <n v="118"/>
    <s v="Beth"/>
    <s v="Bell"/>
    <s v="beth.bell.118@gslingacademy.com"/>
    <x v="1"/>
    <x v="0"/>
    <x v="5"/>
    <x v="0"/>
    <n v="19"/>
    <x v="4"/>
    <n v="68"/>
    <n v="96"/>
    <n v="64"/>
    <n v="70"/>
    <n v="74"/>
    <n v="63"/>
    <n v="75"/>
    <n v="510"/>
    <n v="72.857142857142861"/>
    <x v="2"/>
    <x v="0"/>
    <x v="0"/>
  </r>
  <r>
    <n v="119"/>
    <s v="Andrew"/>
    <s v="Dixon"/>
    <s v="andrew.dixon.119@gslingacademy.com"/>
    <x v="0"/>
    <x v="0"/>
    <x v="5"/>
    <x v="1"/>
    <n v="19"/>
    <x v="5"/>
    <n v="93"/>
    <n v="73"/>
    <n v="94"/>
    <n v="65"/>
    <n v="60"/>
    <n v="63"/>
    <n v="93"/>
    <n v="541"/>
    <n v="77.285714285714292"/>
    <x v="2"/>
    <x v="0"/>
    <x v="0"/>
  </r>
  <r>
    <n v="120"/>
    <s v="Crystal"/>
    <s v="Walker"/>
    <s v="crystal.walker.120@gslingacademy.com"/>
    <x v="1"/>
    <x v="0"/>
    <x v="4"/>
    <x v="0"/>
    <n v="5"/>
    <x v="7"/>
    <n v="55"/>
    <n v="93"/>
    <n v="67"/>
    <n v="74"/>
    <n v="55"/>
    <n v="60"/>
    <n v="64"/>
    <n v="468"/>
    <n v="66.857142857142861"/>
    <x v="3"/>
    <x v="2"/>
    <x v="0"/>
  </r>
  <r>
    <n v="121"/>
    <s v="Jordan"/>
    <s v="Bennett"/>
    <s v="jordan.bennett.121@gslingacademy.com"/>
    <x v="1"/>
    <x v="1"/>
    <x v="10"/>
    <x v="0"/>
    <n v="13"/>
    <x v="6"/>
    <n v="66"/>
    <n v="90"/>
    <n v="83"/>
    <n v="80"/>
    <n v="76"/>
    <n v="90"/>
    <n v="91"/>
    <n v="576"/>
    <n v="82.285714285714292"/>
    <x v="2"/>
    <x v="3"/>
    <x v="0"/>
  </r>
  <r>
    <n v="122"/>
    <s v="Antonio"/>
    <s v="Caldwell"/>
    <s v="antonio.caldwell.122@gslingacademy.com"/>
    <x v="0"/>
    <x v="0"/>
    <x v="9"/>
    <x v="0"/>
    <n v="26"/>
    <x v="1"/>
    <n v="98"/>
    <n v="92"/>
    <n v="91"/>
    <n v="99"/>
    <n v="97"/>
    <n v="88"/>
    <n v="75"/>
    <n v="640"/>
    <n v="91.428571428571431"/>
    <x v="0"/>
    <x v="2"/>
    <x v="1"/>
  </r>
  <r>
    <n v="123"/>
    <s v="Jacob"/>
    <s v="Reyes"/>
    <s v="jacob.reyes.123@gslingacademy.com"/>
    <x v="0"/>
    <x v="0"/>
    <x v="9"/>
    <x v="0"/>
    <n v="41"/>
    <x v="1"/>
    <n v="94"/>
    <n v="94"/>
    <n v="94"/>
    <n v="89"/>
    <n v="85"/>
    <n v="86"/>
    <n v="85"/>
    <n v="627"/>
    <n v="89.571428571428569"/>
    <x v="1"/>
    <x v="2"/>
    <x v="1"/>
  </r>
  <r>
    <n v="124"/>
    <s v="Wendy"/>
    <s v="Lewis"/>
    <s v="wendy.lewis.124@gslingacademy.com"/>
    <x v="1"/>
    <x v="0"/>
    <x v="0"/>
    <x v="0"/>
    <n v="47"/>
    <x v="1"/>
    <n v="96"/>
    <n v="100"/>
    <n v="96"/>
    <n v="91"/>
    <n v="91"/>
    <n v="96"/>
    <n v="89"/>
    <n v="659"/>
    <n v="94.142857142857139"/>
    <x v="1"/>
    <x v="0"/>
    <x v="1"/>
  </r>
  <r>
    <n v="125"/>
    <s v="Jennifer"/>
    <s v="Miller"/>
    <s v="jennifer.miller.125@gslingacademy.com"/>
    <x v="1"/>
    <x v="0"/>
    <x v="1"/>
    <x v="0"/>
    <n v="9"/>
    <x v="4"/>
    <n v="69"/>
    <n v="62"/>
    <n v="82"/>
    <n v="89"/>
    <n v="81"/>
    <n v="72"/>
    <n v="71"/>
    <n v="526"/>
    <n v="75.142857142857139"/>
    <x v="4"/>
    <x v="0"/>
    <x v="0"/>
  </r>
  <r>
    <n v="126"/>
    <s v="Lisa"/>
    <s v="Ware"/>
    <s v="lisa.ware.126@gslingacademy.com"/>
    <x v="1"/>
    <x v="0"/>
    <x v="9"/>
    <x v="0"/>
    <n v="7"/>
    <x v="4"/>
    <n v="77"/>
    <n v="95"/>
    <n v="98"/>
    <n v="69"/>
    <n v="60"/>
    <n v="89"/>
    <n v="71"/>
    <n v="559"/>
    <n v="79.857142857142861"/>
    <x v="4"/>
    <x v="2"/>
    <x v="0"/>
  </r>
  <r>
    <n v="127"/>
    <s v="Brian"/>
    <s v="Lee"/>
    <s v="brian.lee.127@gslingacademy.com"/>
    <x v="0"/>
    <x v="0"/>
    <x v="5"/>
    <x v="0"/>
    <n v="3"/>
    <x v="14"/>
    <n v="89"/>
    <n v="67"/>
    <n v="86"/>
    <n v="87"/>
    <n v="87"/>
    <n v="68"/>
    <n v="78"/>
    <n v="562"/>
    <n v="80.285714285714292"/>
    <x v="3"/>
    <x v="0"/>
    <x v="0"/>
  </r>
  <r>
    <n v="128"/>
    <s v="Mario"/>
    <s v="Taylor"/>
    <s v="mario.taylor.128@gslingacademy.com"/>
    <x v="0"/>
    <x v="0"/>
    <x v="9"/>
    <x v="1"/>
    <n v="14"/>
    <x v="11"/>
    <n v="96"/>
    <n v="67"/>
    <n v="80"/>
    <n v="83"/>
    <n v="86"/>
    <n v="77"/>
    <n v="75"/>
    <n v="564"/>
    <n v="80.571428571428569"/>
    <x v="2"/>
    <x v="2"/>
    <x v="0"/>
  </r>
  <r>
    <n v="129"/>
    <s v="Amanda"/>
    <s v="Williamson"/>
    <s v="amanda.williamson.129@gslingacademy.com"/>
    <x v="1"/>
    <x v="0"/>
    <x v="9"/>
    <x v="0"/>
    <n v="26"/>
    <x v="4"/>
    <n v="82"/>
    <n v="70"/>
    <n v="80"/>
    <n v="70"/>
    <n v="96"/>
    <n v="69"/>
    <n v="86"/>
    <n v="553"/>
    <n v="79"/>
    <x v="0"/>
    <x v="2"/>
    <x v="0"/>
  </r>
  <r>
    <n v="130"/>
    <s v="Michael"/>
    <s v="Miller"/>
    <s v="michael.miller.130@gslingacademy.com"/>
    <x v="0"/>
    <x v="0"/>
    <x v="4"/>
    <x v="1"/>
    <n v="27"/>
    <x v="4"/>
    <n v="99"/>
    <n v="97"/>
    <n v="64"/>
    <n v="90"/>
    <n v="87"/>
    <n v="68"/>
    <n v="69"/>
    <n v="574"/>
    <n v="82"/>
    <x v="0"/>
    <x v="2"/>
    <x v="0"/>
  </r>
  <r>
    <n v="131"/>
    <s v="Amanda"/>
    <s v="Vasquez"/>
    <s v="amanda.vasquez.131@gslingacademy.com"/>
    <x v="1"/>
    <x v="1"/>
    <x v="3"/>
    <x v="0"/>
    <n v="25"/>
    <x v="15"/>
    <n v="96"/>
    <n v="73"/>
    <n v="90"/>
    <n v="85"/>
    <n v="63"/>
    <n v="84"/>
    <n v="87"/>
    <n v="578"/>
    <n v="82.571428571428569"/>
    <x v="0"/>
    <x v="2"/>
    <x v="0"/>
  </r>
  <r>
    <n v="132"/>
    <s v="Chelsea"/>
    <s v="Obrien"/>
    <s v="chelsea.obrien.132@gslingacademy.com"/>
    <x v="1"/>
    <x v="1"/>
    <x v="9"/>
    <x v="0"/>
    <n v="16"/>
    <x v="9"/>
    <n v="95"/>
    <n v="82"/>
    <n v="66"/>
    <n v="63"/>
    <n v="67"/>
    <n v="92"/>
    <n v="69"/>
    <n v="534"/>
    <n v="76.285714285714292"/>
    <x v="2"/>
    <x v="2"/>
    <x v="0"/>
  </r>
  <r>
    <n v="133"/>
    <s v="Tina"/>
    <s v="Perkins"/>
    <s v="tina.perkins.133@gslingacademy.com"/>
    <x v="1"/>
    <x v="0"/>
    <x v="9"/>
    <x v="0"/>
    <n v="27"/>
    <x v="5"/>
    <n v="90"/>
    <n v="63"/>
    <n v="69"/>
    <n v="80"/>
    <n v="99"/>
    <n v="69"/>
    <n v="79"/>
    <n v="549"/>
    <n v="78.428571428571431"/>
    <x v="0"/>
    <x v="2"/>
    <x v="0"/>
  </r>
  <r>
    <n v="134"/>
    <s v="Cory"/>
    <s v="Perez"/>
    <s v="cory.perez.134@gslingacademy.com"/>
    <x v="0"/>
    <x v="1"/>
    <x v="4"/>
    <x v="0"/>
    <n v="0"/>
    <x v="7"/>
    <n v="88"/>
    <n v="52"/>
    <n v="53"/>
    <n v="56"/>
    <n v="85"/>
    <n v="93"/>
    <n v="78"/>
    <n v="505"/>
    <n v="72.142857142857139"/>
    <x v="3"/>
    <x v="2"/>
    <x v="0"/>
  </r>
  <r>
    <n v="135"/>
    <s v="Christopher"/>
    <s v="Jenkins"/>
    <s v="christopher.jenkins.135@gslingacademy.com"/>
    <x v="0"/>
    <x v="0"/>
    <x v="5"/>
    <x v="0"/>
    <n v="3"/>
    <x v="12"/>
    <n v="87"/>
    <n v="62"/>
    <n v="87"/>
    <n v="96"/>
    <n v="85"/>
    <n v="90"/>
    <n v="74"/>
    <n v="581"/>
    <n v="83"/>
    <x v="3"/>
    <x v="0"/>
    <x v="0"/>
  </r>
  <r>
    <n v="136"/>
    <s v="Joanne"/>
    <s v="Campos"/>
    <s v="joanne.campos.136@gslingacademy.com"/>
    <x v="1"/>
    <x v="0"/>
    <x v="1"/>
    <x v="0"/>
    <n v="6"/>
    <x v="12"/>
    <n v="62"/>
    <n v="83"/>
    <n v="84"/>
    <n v="75"/>
    <n v="83"/>
    <n v="85"/>
    <n v="86"/>
    <n v="558"/>
    <n v="79.714285714285708"/>
    <x v="4"/>
    <x v="0"/>
    <x v="0"/>
  </r>
  <r>
    <n v="137"/>
    <s v="David"/>
    <s v="Patel"/>
    <s v="david.patel.137@gslingacademy.com"/>
    <x v="0"/>
    <x v="0"/>
    <x v="1"/>
    <x v="0"/>
    <n v="12"/>
    <x v="9"/>
    <n v="85"/>
    <n v="65"/>
    <n v="60"/>
    <n v="78"/>
    <n v="81"/>
    <n v="96"/>
    <n v="76"/>
    <n v="541"/>
    <n v="77.285714285714292"/>
    <x v="2"/>
    <x v="0"/>
    <x v="0"/>
  </r>
  <r>
    <n v="138"/>
    <s v="Michelle"/>
    <s v="Hill"/>
    <s v="michelle.hill.138@gslingacademy.com"/>
    <x v="1"/>
    <x v="0"/>
    <x v="5"/>
    <x v="1"/>
    <n v="11"/>
    <x v="9"/>
    <n v="79"/>
    <n v="97"/>
    <n v="76"/>
    <n v="67"/>
    <n v="61"/>
    <n v="90"/>
    <n v="95"/>
    <n v="565"/>
    <n v="80.714285714285708"/>
    <x v="2"/>
    <x v="0"/>
    <x v="0"/>
  </r>
  <r>
    <n v="139"/>
    <s v="Jessica"/>
    <s v="Boyd"/>
    <s v="jessica.boyd.139@gslingacademy.com"/>
    <x v="1"/>
    <x v="0"/>
    <x v="9"/>
    <x v="0"/>
    <n v="23"/>
    <x v="5"/>
    <n v="90"/>
    <n v="94"/>
    <n v="98"/>
    <n v="96"/>
    <n v="68"/>
    <n v="82"/>
    <n v="81"/>
    <n v="609"/>
    <n v="87"/>
    <x v="0"/>
    <x v="2"/>
    <x v="1"/>
  </r>
  <r>
    <n v="140"/>
    <s v="Lawrence"/>
    <s v="Russell"/>
    <s v="lawrence.russell.140@gslingacademy.com"/>
    <x v="0"/>
    <x v="0"/>
    <x v="1"/>
    <x v="0"/>
    <n v="23"/>
    <x v="1"/>
    <n v="97"/>
    <n v="71"/>
    <n v="82"/>
    <n v="80"/>
    <n v="97"/>
    <n v="93"/>
    <n v="78"/>
    <n v="598"/>
    <n v="85.428571428571431"/>
    <x v="0"/>
    <x v="0"/>
    <x v="0"/>
  </r>
  <r>
    <n v="141"/>
    <s v="James"/>
    <s v="Singh"/>
    <s v="james.singh.141@gslingacademy.com"/>
    <x v="0"/>
    <x v="0"/>
    <x v="10"/>
    <x v="0"/>
    <n v="16"/>
    <x v="5"/>
    <n v="88"/>
    <n v="69"/>
    <n v="87"/>
    <n v="81"/>
    <n v="77"/>
    <n v="67"/>
    <n v="93"/>
    <n v="562"/>
    <n v="80.285714285714292"/>
    <x v="2"/>
    <x v="3"/>
    <x v="0"/>
  </r>
  <r>
    <n v="142"/>
    <s v="Marc"/>
    <s v="Villanueva"/>
    <s v="marc.villanueva.142@gslingacademy.com"/>
    <x v="0"/>
    <x v="1"/>
    <x v="1"/>
    <x v="1"/>
    <n v="3"/>
    <x v="3"/>
    <n v="71"/>
    <n v="85"/>
    <n v="77"/>
    <n v="89"/>
    <n v="98"/>
    <n v="63"/>
    <n v="100"/>
    <n v="583"/>
    <n v="83.285714285714292"/>
    <x v="3"/>
    <x v="0"/>
    <x v="0"/>
  </r>
  <r>
    <n v="143"/>
    <s v="Cathy"/>
    <s v="Wilson"/>
    <s v="cathy.wilson.143@gslingacademy.com"/>
    <x v="1"/>
    <x v="0"/>
    <x v="5"/>
    <x v="0"/>
    <n v="29"/>
    <x v="0"/>
    <n v="70"/>
    <n v="99"/>
    <n v="79"/>
    <n v="96"/>
    <n v="60"/>
    <n v="97"/>
    <n v="100"/>
    <n v="601"/>
    <n v="85.857142857142861"/>
    <x v="0"/>
    <x v="0"/>
    <x v="1"/>
  </r>
  <r>
    <n v="144"/>
    <s v="Adam"/>
    <s v="Mitchell"/>
    <s v="adam.mitchell.144@gslingacademy.com"/>
    <x v="0"/>
    <x v="0"/>
    <x v="0"/>
    <x v="1"/>
    <n v="18"/>
    <x v="5"/>
    <n v="93"/>
    <n v="68"/>
    <n v="76"/>
    <n v="99"/>
    <n v="80"/>
    <n v="80"/>
    <n v="75"/>
    <n v="571"/>
    <n v="81.571428571428569"/>
    <x v="2"/>
    <x v="0"/>
    <x v="0"/>
  </r>
  <r>
    <n v="145"/>
    <s v="Sherry"/>
    <s v="Phillips"/>
    <s v="sherry.phillips.145@gslingacademy.com"/>
    <x v="1"/>
    <x v="0"/>
    <x v="10"/>
    <x v="0"/>
    <n v="3"/>
    <x v="14"/>
    <n v="92"/>
    <n v="79"/>
    <n v="81"/>
    <n v="61"/>
    <n v="86"/>
    <n v="72"/>
    <n v="88"/>
    <n v="559"/>
    <n v="79.857142857142861"/>
    <x v="3"/>
    <x v="3"/>
    <x v="0"/>
  </r>
  <r>
    <n v="146"/>
    <s v="Victor"/>
    <s v="Jones"/>
    <s v="victor.jones.146@gslingacademy.com"/>
    <x v="0"/>
    <x v="0"/>
    <x v="0"/>
    <x v="0"/>
    <n v="6"/>
    <x v="16"/>
    <n v="83"/>
    <n v="72"/>
    <n v="68"/>
    <n v="94"/>
    <n v="100"/>
    <n v="98"/>
    <n v="92"/>
    <n v="607"/>
    <n v="86.714285714285708"/>
    <x v="4"/>
    <x v="0"/>
    <x v="1"/>
  </r>
  <r>
    <n v="147"/>
    <s v="Mark"/>
    <s v="Young"/>
    <s v="mark.young.147@gslingacademy.com"/>
    <x v="0"/>
    <x v="0"/>
    <x v="8"/>
    <x v="0"/>
    <n v="2"/>
    <x v="7"/>
    <n v="68"/>
    <n v="97"/>
    <n v="51"/>
    <n v="93"/>
    <n v="68"/>
    <n v="58"/>
    <n v="78"/>
    <n v="513"/>
    <n v="73.285714285714292"/>
    <x v="3"/>
    <x v="1"/>
    <x v="0"/>
  </r>
  <r>
    <n v="148"/>
    <s v="Matthew"/>
    <s v="Jackson"/>
    <s v="matthew.jackson.148@gslingacademy.com"/>
    <x v="0"/>
    <x v="0"/>
    <x v="10"/>
    <x v="0"/>
    <n v="34"/>
    <x v="0"/>
    <n v="92"/>
    <n v="90"/>
    <n v="65"/>
    <n v="79"/>
    <n v="96"/>
    <n v="87"/>
    <n v="74"/>
    <n v="583"/>
    <n v="83.285714285714292"/>
    <x v="1"/>
    <x v="3"/>
    <x v="0"/>
  </r>
  <r>
    <n v="149"/>
    <s v="Tanya"/>
    <s v="Nichols"/>
    <s v="tanya.nichols.149@gslingacademy.com"/>
    <x v="1"/>
    <x v="0"/>
    <x v="9"/>
    <x v="1"/>
    <n v="22"/>
    <x v="4"/>
    <n v="69"/>
    <n v="91"/>
    <n v="82"/>
    <n v="99"/>
    <n v="94"/>
    <n v="75"/>
    <n v="74"/>
    <n v="584"/>
    <n v="83.428571428571431"/>
    <x v="0"/>
    <x v="2"/>
    <x v="0"/>
  </r>
  <r>
    <n v="150"/>
    <s v="Julie"/>
    <s v="Gray"/>
    <s v="julie.gray.150@gslingacademy.com"/>
    <x v="1"/>
    <x v="1"/>
    <x v="3"/>
    <x v="0"/>
    <n v="4"/>
    <x v="7"/>
    <n v="76"/>
    <n v="72"/>
    <n v="72"/>
    <n v="65"/>
    <n v="82"/>
    <n v="71"/>
    <n v="93"/>
    <n v="531"/>
    <n v="75.857142857142861"/>
    <x v="3"/>
    <x v="2"/>
    <x v="0"/>
  </r>
  <r>
    <n v="151"/>
    <s v="Courtney"/>
    <s v="Perry"/>
    <s v="courtney.perry.151@gslingacademy.com"/>
    <x v="1"/>
    <x v="0"/>
    <x v="0"/>
    <x v="0"/>
    <n v="3"/>
    <x v="4"/>
    <n v="86"/>
    <n v="92"/>
    <n v="79"/>
    <n v="73"/>
    <n v="73"/>
    <n v="61"/>
    <n v="60"/>
    <n v="524"/>
    <n v="74.857142857142861"/>
    <x v="3"/>
    <x v="0"/>
    <x v="0"/>
  </r>
  <r>
    <n v="152"/>
    <s v="Stephen"/>
    <s v="Rodriguez"/>
    <s v="stephen.rodriguez.152@gslingacademy.com"/>
    <x v="0"/>
    <x v="1"/>
    <x v="7"/>
    <x v="0"/>
    <n v="2"/>
    <x v="7"/>
    <n v="41"/>
    <n v="57"/>
    <n v="97"/>
    <n v="56"/>
    <n v="50"/>
    <n v="98"/>
    <n v="83"/>
    <n v="482"/>
    <n v="68.857142857142861"/>
    <x v="3"/>
    <x v="1"/>
    <x v="0"/>
  </r>
  <r>
    <n v="153"/>
    <s v="Elizabeth"/>
    <s v="Robinson"/>
    <s v="elizabeth.robinson.153@gslingacademy.com"/>
    <x v="1"/>
    <x v="0"/>
    <x v="3"/>
    <x v="0"/>
    <n v="18"/>
    <x v="4"/>
    <n v="91"/>
    <n v="100"/>
    <n v="84"/>
    <n v="72"/>
    <n v="84"/>
    <n v="90"/>
    <n v="82"/>
    <n v="603"/>
    <n v="86.142857142857139"/>
    <x v="2"/>
    <x v="2"/>
    <x v="1"/>
  </r>
  <r>
    <n v="154"/>
    <s v="William"/>
    <s v="Graves"/>
    <s v="william.graves.154@gslingacademy.com"/>
    <x v="0"/>
    <x v="0"/>
    <x v="10"/>
    <x v="0"/>
    <n v="8"/>
    <x v="16"/>
    <n v="78"/>
    <n v="67"/>
    <n v="82"/>
    <n v="70"/>
    <n v="65"/>
    <n v="68"/>
    <n v="81"/>
    <n v="511"/>
    <n v="73"/>
    <x v="4"/>
    <x v="3"/>
    <x v="0"/>
  </r>
  <r>
    <n v="155"/>
    <s v="Nancy"/>
    <s v="Moore"/>
    <s v="nancy.moore.155@gslingacademy.com"/>
    <x v="1"/>
    <x v="0"/>
    <x v="5"/>
    <x v="0"/>
    <n v="33"/>
    <x v="5"/>
    <n v="89"/>
    <n v="73"/>
    <n v="85"/>
    <n v="84"/>
    <n v="73"/>
    <n v="81"/>
    <n v="98"/>
    <n v="583"/>
    <n v="83.285714285714292"/>
    <x v="1"/>
    <x v="0"/>
    <x v="0"/>
  </r>
  <r>
    <n v="156"/>
    <s v="Matthew"/>
    <s v="Newman"/>
    <s v="matthew.newman.156@gslingacademy.com"/>
    <x v="0"/>
    <x v="0"/>
    <x v="10"/>
    <x v="1"/>
    <n v="13"/>
    <x v="4"/>
    <n v="96"/>
    <n v="71"/>
    <n v="88"/>
    <n v="74"/>
    <n v="80"/>
    <n v="92"/>
    <n v="65"/>
    <n v="566"/>
    <n v="80.857142857142861"/>
    <x v="2"/>
    <x v="3"/>
    <x v="0"/>
  </r>
  <r>
    <n v="157"/>
    <s v="Anita"/>
    <s v="Moore"/>
    <s v="anita.moore.157@gslingacademy.com"/>
    <x v="1"/>
    <x v="0"/>
    <x v="10"/>
    <x v="1"/>
    <n v="17"/>
    <x v="4"/>
    <n v="66"/>
    <n v="99"/>
    <n v="85"/>
    <n v="90"/>
    <n v="76"/>
    <n v="64"/>
    <n v="95"/>
    <n v="575"/>
    <n v="82.142857142857139"/>
    <x v="2"/>
    <x v="3"/>
    <x v="0"/>
  </r>
  <r>
    <n v="158"/>
    <s v="Brian"/>
    <s v="Sanchez"/>
    <s v="brian.sanchez.158@gslingacademy.com"/>
    <x v="0"/>
    <x v="1"/>
    <x v="8"/>
    <x v="0"/>
    <n v="1"/>
    <x v="7"/>
    <n v="97"/>
    <n v="54"/>
    <n v="62"/>
    <n v="66"/>
    <n v="58"/>
    <n v="69"/>
    <n v="96"/>
    <n v="502"/>
    <n v="71.714285714285708"/>
    <x v="3"/>
    <x v="1"/>
    <x v="0"/>
  </r>
  <r>
    <n v="159"/>
    <s v="Dennis"/>
    <s v="Phillips"/>
    <s v="dennis.phillips.159@gslingacademy.com"/>
    <x v="0"/>
    <x v="1"/>
    <x v="6"/>
    <x v="1"/>
    <n v="3"/>
    <x v="7"/>
    <n v="49"/>
    <n v="64"/>
    <n v="97"/>
    <n v="61"/>
    <n v="62"/>
    <n v="72"/>
    <n v="65"/>
    <n v="470"/>
    <n v="67.142857142857139"/>
    <x v="3"/>
    <x v="1"/>
    <x v="0"/>
  </r>
  <r>
    <n v="160"/>
    <s v="Michael"/>
    <s v="Rivas"/>
    <s v="michael.rivas.160@gslingacademy.com"/>
    <x v="0"/>
    <x v="1"/>
    <x v="9"/>
    <x v="1"/>
    <n v="33"/>
    <x v="4"/>
    <n v="88"/>
    <n v="66"/>
    <n v="96"/>
    <n v="82"/>
    <n v="65"/>
    <n v="76"/>
    <n v="79"/>
    <n v="552"/>
    <n v="78.857142857142861"/>
    <x v="1"/>
    <x v="2"/>
    <x v="0"/>
  </r>
  <r>
    <n v="161"/>
    <s v="Ryan"/>
    <s v="Smith"/>
    <s v="ryan.smith.161@gslingacademy.com"/>
    <x v="0"/>
    <x v="0"/>
    <x v="5"/>
    <x v="0"/>
    <n v="12"/>
    <x v="4"/>
    <n v="92"/>
    <n v="64"/>
    <n v="77"/>
    <n v="61"/>
    <n v="76"/>
    <n v="72"/>
    <n v="87"/>
    <n v="529"/>
    <n v="75.571428571428569"/>
    <x v="2"/>
    <x v="0"/>
    <x v="0"/>
  </r>
  <r>
    <n v="162"/>
    <s v="Anthony"/>
    <s v="Sullivan"/>
    <s v="anthony.sullivan.162@gslingacademy.com"/>
    <x v="0"/>
    <x v="1"/>
    <x v="0"/>
    <x v="0"/>
    <n v="24"/>
    <x v="13"/>
    <n v="96"/>
    <n v="66"/>
    <n v="92"/>
    <n v="88"/>
    <n v="65"/>
    <n v="76"/>
    <n v="72"/>
    <n v="555"/>
    <n v="79.285714285714292"/>
    <x v="0"/>
    <x v="0"/>
    <x v="0"/>
  </r>
  <r>
    <n v="163"/>
    <s v="Troy"/>
    <s v="Shepherd"/>
    <s v="troy.shepherd.163@gslingacademy.com"/>
    <x v="0"/>
    <x v="0"/>
    <x v="9"/>
    <x v="0"/>
    <n v="33"/>
    <x v="13"/>
    <n v="86"/>
    <n v="88"/>
    <n v="99"/>
    <n v="79"/>
    <n v="93"/>
    <n v="97"/>
    <n v="91"/>
    <n v="633"/>
    <n v="90.428571428571431"/>
    <x v="1"/>
    <x v="2"/>
    <x v="1"/>
  </r>
  <r>
    <n v="164"/>
    <s v="Nicholas"/>
    <s v="Clayton"/>
    <s v="nicholas.clayton.164@gslingacademy.com"/>
    <x v="0"/>
    <x v="0"/>
    <x v="5"/>
    <x v="1"/>
    <n v="44"/>
    <x v="1"/>
    <n v="86"/>
    <n v="100"/>
    <n v="100"/>
    <n v="96"/>
    <n v="95"/>
    <n v="97"/>
    <n v="93"/>
    <n v="667"/>
    <n v="95.285714285714292"/>
    <x v="1"/>
    <x v="0"/>
    <x v="1"/>
  </r>
  <r>
    <n v="165"/>
    <s v="Denise"/>
    <s v="Schneider"/>
    <s v="denise.schneider.165@gslingacademy.com"/>
    <x v="1"/>
    <x v="0"/>
    <x v="5"/>
    <x v="0"/>
    <n v="15"/>
    <x v="6"/>
    <n v="88"/>
    <n v="72"/>
    <n v="96"/>
    <n v="60"/>
    <n v="90"/>
    <n v="80"/>
    <n v="88"/>
    <n v="574"/>
    <n v="82"/>
    <x v="2"/>
    <x v="0"/>
    <x v="0"/>
  </r>
  <r>
    <n v="166"/>
    <s v="Lisa"/>
    <s v="Silva"/>
    <s v="lisa.silva.166@gslingacademy.com"/>
    <x v="1"/>
    <x v="0"/>
    <x v="1"/>
    <x v="0"/>
    <n v="5"/>
    <x v="14"/>
    <n v="92"/>
    <n v="81"/>
    <n v="99"/>
    <n v="98"/>
    <n v="77"/>
    <n v="80"/>
    <n v="73"/>
    <n v="600"/>
    <n v="85.714285714285708"/>
    <x v="3"/>
    <x v="0"/>
    <x v="0"/>
  </r>
  <r>
    <n v="167"/>
    <s v="Laura"/>
    <s v="Reilly"/>
    <s v="laura.reilly.167@gslingacademy.com"/>
    <x v="1"/>
    <x v="1"/>
    <x v="6"/>
    <x v="0"/>
    <n v="5"/>
    <x v="7"/>
    <n v="87"/>
    <n v="76"/>
    <n v="71"/>
    <n v="65"/>
    <n v="64"/>
    <n v="81"/>
    <n v="61"/>
    <n v="505"/>
    <n v="72.142857142857139"/>
    <x v="3"/>
    <x v="1"/>
    <x v="0"/>
  </r>
  <r>
    <n v="168"/>
    <s v="Amy"/>
    <s v="Peterson"/>
    <s v="amy.peterson.168@gslingacademy.com"/>
    <x v="1"/>
    <x v="0"/>
    <x v="3"/>
    <x v="0"/>
    <n v="22"/>
    <x v="4"/>
    <n v="89"/>
    <n v="94"/>
    <n v="67"/>
    <n v="68"/>
    <n v="69"/>
    <n v="92"/>
    <n v="76"/>
    <n v="555"/>
    <n v="79.285714285714292"/>
    <x v="0"/>
    <x v="2"/>
    <x v="0"/>
  </r>
  <r>
    <n v="169"/>
    <s v="Fernando"/>
    <s v="Sexton"/>
    <s v="fernando.sexton.169@gslingacademy.com"/>
    <x v="0"/>
    <x v="0"/>
    <x v="5"/>
    <x v="0"/>
    <n v="9"/>
    <x v="4"/>
    <n v="97"/>
    <n v="96"/>
    <n v="66"/>
    <n v="96"/>
    <n v="71"/>
    <n v="97"/>
    <n v="66"/>
    <n v="589"/>
    <n v="84.142857142857139"/>
    <x v="4"/>
    <x v="0"/>
    <x v="0"/>
  </r>
  <r>
    <n v="170"/>
    <s v="Evan"/>
    <s v="Christian"/>
    <s v="evan.christian.170@gslingacademy.com"/>
    <x v="0"/>
    <x v="0"/>
    <x v="9"/>
    <x v="1"/>
    <n v="34"/>
    <x v="5"/>
    <n v="100"/>
    <n v="62"/>
    <n v="67"/>
    <n v="97"/>
    <n v="73"/>
    <n v="84"/>
    <n v="99"/>
    <n v="582"/>
    <n v="83.142857142857139"/>
    <x v="1"/>
    <x v="2"/>
    <x v="0"/>
  </r>
  <r>
    <n v="171"/>
    <s v="Rebecca"/>
    <s v="Norris"/>
    <s v="rebecca.norris.171@gslingacademy.com"/>
    <x v="1"/>
    <x v="0"/>
    <x v="5"/>
    <x v="0"/>
    <n v="34"/>
    <x v="0"/>
    <n v="91"/>
    <n v="98"/>
    <n v="76"/>
    <n v="99"/>
    <n v="65"/>
    <n v="98"/>
    <n v="71"/>
    <n v="598"/>
    <n v="85.428571428571431"/>
    <x v="1"/>
    <x v="0"/>
    <x v="0"/>
  </r>
  <r>
    <n v="172"/>
    <s v="Erica"/>
    <s v="Marks"/>
    <s v="erica.marks.172@gslingacademy.com"/>
    <x v="1"/>
    <x v="0"/>
    <x v="9"/>
    <x v="0"/>
    <n v="25"/>
    <x v="15"/>
    <n v="81"/>
    <n v="87"/>
    <n v="65"/>
    <n v="85"/>
    <n v="74"/>
    <n v="64"/>
    <n v="81"/>
    <n v="537"/>
    <n v="76.714285714285708"/>
    <x v="0"/>
    <x v="2"/>
    <x v="0"/>
  </r>
  <r>
    <n v="173"/>
    <s v="Rhonda"/>
    <s v="Webster"/>
    <s v="rhonda.webster.173@gslingacademy.com"/>
    <x v="1"/>
    <x v="0"/>
    <x v="3"/>
    <x v="1"/>
    <n v="31"/>
    <x v="11"/>
    <n v="82"/>
    <n v="66"/>
    <n v="89"/>
    <n v="76"/>
    <n v="68"/>
    <n v="83"/>
    <n v="79"/>
    <n v="543"/>
    <n v="77.571428571428569"/>
    <x v="1"/>
    <x v="2"/>
    <x v="0"/>
  </r>
  <r>
    <n v="174"/>
    <s v="John"/>
    <s v="Bennett"/>
    <s v="john.bennett.174@gslingacademy.com"/>
    <x v="0"/>
    <x v="0"/>
    <x v="5"/>
    <x v="0"/>
    <n v="33"/>
    <x v="0"/>
    <n v="100"/>
    <n v="96"/>
    <n v="75"/>
    <n v="68"/>
    <n v="77"/>
    <n v="97"/>
    <n v="81"/>
    <n v="594"/>
    <n v="84.857142857142861"/>
    <x v="1"/>
    <x v="0"/>
    <x v="0"/>
  </r>
  <r>
    <n v="175"/>
    <s v="Amanda"/>
    <s v="Murphy"/>
    <s v="amanda.murphy.175@gslingacademy.com"/>
    <x v="1"/>
    <x v="0"/>
    <x v="7"/>
    <x v="1"/>
    <n v="3"/>
    <x v="7"/>
    <n v="65"/>
    <n v="100"/>
    <n v="80"/>
    <n v="83"/>
    <n v="57"/>
    <n v="81"/>
    <n v="81"/>
    <n v="547"/>
    <n v="78.142857142857139"/>
    <x v="3"/>
    <x v="1"/>
    <x v="0"/>
  </r>
  <r>
    <n v="176"/>
    <s v="Jeremy"/>
    <s v="Barnes"/>
    <s v="jeremy.barnes.176@gslingacademy.com"/>
    <x v="0"/>
    <x v="0"/>
    <x v="1"/>
    <x v="0"/>
    <n v="20"/>
    <x v="4"/>
    <n v="68"/>
    <n v="100"/>
    <n v="89"/>
    <n v="75"/>
    <n v="84"/>
    <n v="78"/>
    <n v="90"/>
    <n v="584"/>
    <n v="83.428571428571431"/>
    <x v="2"/>
    <x v="0"/>
    <x v="0"/>
  </r>
  <r>
    <n v="177"/>
    <s v="John"/>
    <s v="Brown"/>
    <s v="john.brown.177@gslingacademy.com"/>
    <x v="0"/>
    <x v="0"/>
    <x v="0"/>
    <x v="0"/>
    <n v="15"/>
    <x v="11"/>
    <n v="97"/>
    <n v="92"/>
    <n v="95"/>
    <n v="75"/>
    <n v="95"/>
    <n v="90"/>
    <n v="83"/>
    <n v="627"/>
    <n v="89.571428571428569"/>
    <x v="2"/>
    <x v="0"/>
    <x v="1"/>
  </r>
  <r>
    <n v="178"/>
    <s v="Traci"/>
    <s v="Boyd"/>
    <s v="traci.boyd.178@gslingacademy.com"/>
    <x v="1"/>
    <x v="0"/>
    <x v="0"/>
    <x v="0"/>
    <n v="26"/>
    <x v="9"/>
    <n v="76"/>
    <n v="94"/>
    <n v="77"/>
    <n v="88"/>
    <n v="85"/>
    <n v="91"/>
    <n v="61"/>
    <n v="572"/>
    <n v="81.714285714285708"/>
    <x v="0"/>
    <x v="0"/>
    <x v="0"/>
  </r>
  <r>
    <n v="179"/>
    <s v="Elizabeth"/>
    <s v="Butler"/>
    <s v="elizabeth.butler.179@gslingacademy.com"/>
    <x v="1"/>
    <x v="0"/>
    <x v="3"/>
    <x v="0"/>
    <n v="35"/>
    <x v="5"/>
    <n v="91"/>
    <n v="99"/>
    <n v="94"/>
    <n v="94"/>
    <n v="95"/>
    <n v="98"/>
    <n v="89"/>
    <n v="660"/>
    <n v="94.285714285714292"/>
    <x v="1"/>
    <x v="2"/>
    <x v="1"/>
  </r>
  <r>
    <n v="180"/>
    <s v="Alex"/>
    <s v="Clark"/>
    <s v="alex.clark.180@gslingacademy.com"/>
    <x v="0"/>
    <x v="0"/>
    <x v="9"/>
    <x v="0"/>
    <n v="12"/>
    <x v="13"/>
    <n v="85"/>
    <n v="73"/>
    <n v="89"/>
    <n v="73"/>
    <n v="97"/>
    <n v="66"/>
    <n v="79"/>
    <n v="562"/>
    <n v="80.285714285714292"/>
    <x v="2"/>
    <x v="2"/>
    <x v="0"/>
  </r>
  <r>
    <n v="181"/>
    <s v="Christopher"/>
    <s v="Wolfe"/>
    <s v="christopher.wolfe.181@gslingacademy.com"/>
    <x v="0"/>
    <x v="0"/>
    <x v="1"/>
    <x v="1"/>
    <n v="5"/>
    <x v="4"/>
    <n v="68"/>
    <n v="69"/>
    <n v="86"/>
    <n v="87"/>
    <n v="72"/>
    <n v="80"/>
    <n v="93"/>
    <n v="555"/>
    <n v="79.285714285714292"/>
    <x v="3"/>
    <x v="0"/>
    <x v="0"/>
  </r>
  <r>
    <n v="182"/>
    <s v="Jason"/>
    <s v="Bell"/>
    <s v="jason.bell.182@gslingacademy.com"/>
    <x v="0"/>
    <x v="0"/>
    <x v="5"/>
    <x v="0"/>
    <n v="31"/>
    <x v="0"/>
    <n v="73"/>
    <n v="99"/>
    <n v="75"/>
    <n v="70"/>
    <n v="100"/>
    <n v="86"/>
    <n v="62"/>
    <n v="565"/>
    <n v="80.714285714285708"/>
    <x v="1"/>
    <x v="0"/>
    <x v="0"/>
  </r>
  <r>
    <n v="183"/>
    <s v="Victoria"/>
    <s v="Donaldson"/>
    <s v="victoria.donaldson.183@gslingacademy.com"/>
    <x v="1"/>
    <x v="0"/>
    <x v="0"/>
    <x v="1"/>
    <n v="28"/>
    <x v="4"/>
    <n v="65"/>
    <n v="90"/>
    <n v="75"/>
    <n v="96"/>
    <n v="91"/>
    <n v="93"/>
    <n v="85"/>
    <n v="595"/>
    <n v="85"/>
    <x v="0"/>
    <x v="0"/>
    <x v="0"/>
  </r>
  <r>
    <n v="184"/>
    <s v="Logan"/>
    <s v="Cox"/>
    <s v="logan.cox.184@gslingacademy.com"/>
    <x v="0"/>
    <x v="0"/>
    <x v="8"/>
    <x v="1"/>
    <n v="5"/>
    <x v="7"/>
    <n v="46"/>
    <n v="79"/>
    <n v="75"/>
    <n v="86"/>
    <n v="91"/>
    <n v="88"/>
    <n v="77"/>
    <n v="542"/>
    <n v="77.428571428571431"/>
    <x v="3"/>
    <x v="1"/>
    <x v="0"/>
  </r>
  <r>
    <n v="185"/>
    <s v="Rachel"/>
    <s v="Hill"/>
    <s v="rachel.hill.185@gslingacademy.com"/>
    <x v="1"/>
    <x v="0"/>
    <x v="5"/>
    <x v="0"/>
    <n v="33"/>
    <x v="5"/>
    <n v="92"/>
    <n v="84"/>
    <n v="85"/>
    <n v="77"/>
    <n v="81"/>
    <n v="69"/>
    <n v="95"/>
    <n v="583"/>
    <n v="83.285714285714292"/>
    <x v="1"/>
    <x v="0"/>
    <x v="0"/>
  </r>
  <r>
    <n v="186"/>
    <s v="Jenny"/>
    <s v="Lloyd"/>
    <s v="jenny.lloyd.186@gslingacademy.com"/>
    <x v="1"/>
    <x v="0"/>
    <x v="0"/>
    <x v="0"/>
    <n v="2"/>
    <x v="3"/>
    <n v="69"/>
    <n v="78"/>
    <n v="69"/>
    <n v="70"/>
    <n v="100"/>
    <n v="88"/>
    <n v="85"/>
    <n v="559"/>
    <n v="79.857142857142861"/>
    <x v="3"/>
    <x v="0"/>
    <x v="0"/>
  </r>
  <r>
    <n v="187"/>
    <s v="Joan"/>
    <s v="Cohen"/>
    <s v="joan.cohen.187@gslingacademy.com"/>
    <x v="1"/>
    <x v="0"/>
    <x v="3"/>
    <x v="1"/>
    <n v="9"/>
    <x v="16"/>
    <n v="78"/>
    <n v="99"/>
    <n v="64"/>
    <n v="99"/>
    <n v="65"/>
    <n v="84"/>
    <n v="80"/>
    <n v="569"/>
    <n v="81.285714285714292"/>
    <x v="4"/>
    <x v="2"/>
    <x v="0"/>
  </r>
  <r>
    <n v="188"/>
    <s v="Kimberly"/>
    <s v="Lopez"/>
    <s v="kimberly.lopez.188@gslingacademy.com"/>
    <x v="1"/>
    <x v="1"/>
    <x v="1"/>
    <x v="1"/>
    <n v="0"/>
    <x v="7"/>
    <n v="92"/>
    <n v="62"/>
    <n v="86"/>
    <n v="97"/>
    <n v="54"/>
    <n v="76"/>
    <n v="76"/>
    <n v="543"/>
    <n v="77.571428571428569"/>
    <x v="3"/>
    <x v="0"/>
    <x v="0"/>
  </r>
  <r>
    <n v="189"/>
    <s v="Steven"/>
    <s v="Walker"/>
    <s v="steven.walker.189@gslingacademy.com"/>
    <x v="0"/>
    <x v="0"/>
    <x v="3"/>
    <x v="0"/>
    <n v="26"/>
    <x v="4"/>
    <n v="70"/>
    <n v="77"/>
    <n v="91"/>
    <n v="96"/>
    <n v="100"/>
    <n v="89"/>
    <n v="67"/>
    <n v="590"/>
    <n v="84.285714285714292"/>
    <x v="0"/>
    <x v="2"/>
    <x v="0"/>
  </r>
  <r>
    <n v="190"/>
    <s v="Sonia"/>
    <s v="Bowers"/>
    <s v="sonia.bowers.190@gslingacademy.com"/>
    <x v="1"/>
    <x v="0"/>
    <x v="3"/>
    <x v="0"/>
    <n v="30"/>
    <x v="8"/>
    <n v="95"/>
    <n v="79"/>
    <n v="98"/>
    <n v="95"/>
    <n v="89"/>
    <n v="99"/>
    <n v="87"/>
    <n v="642"/>
    <n v="91.714285714285708"/>
    <x v="0"/>
    <x v="2"/>
    <x v="1"/>
  </r>
  <r>
    <n v="191"/>
    <s v="Penny"/>
    <s v="Perez"/>
    <s v="penny.perez.191@gslingacademy.com"/>
    <x v="1"/>
    <x v="0"/>
    <x v="6"/>
    <x v="0"/>
    <n v="1"/>
    <x v="14"/>
    <n v="99"/>
    <n v="82"/>
    <n v="93"/>
    <n v="83"/>
    <n v="92"/>
    <n v="90"/>
    <n v="60"/>
    <n v="599"/>
    <n v="85.571428571428569"/>
    <x v="3"/>
    <x v="1"/>
    <x v="0"/>
  </r>
  <r>
    <n v="192"/>
    <s v="Mike"/>
    <s v="Harris"/>
    <s v="mike.harris.192@gslingacademy.com"/>
    <x v="0"/>
    <x v="0"/>
    <x v="5"/>
    <x v="1"/>
    <n v="26"/>
    <x v="5"/>
    <n v="96"/>
    <n v="66"/>
    <n v="79"/>
    <n v="80"/>
    <n v="88"/>
    <n v="61"/>
    <n v="85"/>
    <n v="555"/>
    <n v="79.285714285714292"/>
    <x v="0"/>
    <x v="0"/>
    <x v="0"/>
  </r>
  <r>
    <n v="193"/>
    <s v="Vanessa"/>
    <s v="Sweeney"/>
    <s v="vanessa.sweeney.193@gslingacademy.com"/>
    <x v="1"/>
    <x v="0"/>
    <x v="1"/>
    <x v="0"/>
    <n v="2"/>
    <x v="14"/>
    <n v="85"/>
    <n v="90"/>
    <n v="85"/>
    <n v="74"/>
    <n v="96"/>
    <n v="71"/>
    <n v="80"/>
    <n v="581"/>
    <n v="83"/>
    <x v="3"/>
    <x v="0"/>
    <x v="0"/>
  </r>
  <r>
    <n v="194"/>
    <s v="Adam"/>
    <s v="Edwards"/>
    <s v="adam.edwards.194@gslingacademy.com"/>
    <x v="0"/>
    <x v="0"/>
    <x v="3"/>
    <x v="0"/>
    <n v="9"/>
    <x v="15"/>
    <n v="91"/>
    <n v="94"/>
    <n v="82"/>
    <n v="100"/>
    <n v="68"/>
    <n v="66"/>
    <n v="69"/>
    <n v="570"/>
    <n v="81.428571428571431"/>
    <x v="4"/>
    <x v="2"/>
    <x v="0"/>
  </r>
  <r>
    <n v="195"/>
    <s v="Angelica"/>
    <s v="Johnson"/>
    <s v="angelica.johnson.195@gslingacademy.com"/>
    <x v="1"/>
    <x v="0"/>
    <x v="1"/>
    <x v="0"/>
    <n v="30"/>
    <x v="8"/>
    <n v="85"/>
    <n v="64"/>
    <n v="93"/>
    <n v="80"/>
    <n v="82"/>
    <n v="70"/>
    <n v="94"/>
    <n v="568"/>
    <n v="81.142857142857139"/>
    <x v="0"/>
    <x v="0"/>
    <x v="0"/>
  </r>
  <r>
    <n v="196"/>
    <s v="Tiffany"/>
    <s v="Hernandez"/>
    <s v="tiffany.hernandez.196@gslingacademy.com"/>
    <x v="1"/>
    <x v="0"/>
    <x v="0"/>
    <x v="0"/>
    <n v="24"/>
    <x v="15"/>
    <n v="94"/>
    <n v="73"/>
    <n v="61"/>
    <n v="68"/>
    <n v="65"/>
    <n v="85"/>
    <n v="67"/>
    <n v="513"/>
    <n v="73.285714285714292"/>
    <x v="0"/>
    <x v="0"/>
    <x v="0"/>
  </r>
  <r>
    <n v="197"/>
    <s v="Mark"/>
    <s v="Myers"/>
    <s v="mark.myers.197@gslingacademy.com"/>
    <x v="0"/>
    <x v="0"/>
    <x v="9"/>
    <x v="0"/>
    <n v="21"/>
    <x v="5"/>
    <n v="95"/>
    <n v="69"/>
    <n v="62"/>
    <n v="87"/>
    <n v="84"/>
    <n v="83"/>
    <n v="64"/>
    <n v="544"/>
    <n v="77.714285714285708"/>
    <x v="0"/>
    <x v="2"/>
    <x v="0"/>
  </r>
  <r>
    <n v="198"/>
    <s v="Erica"/>
    <s v="Cochran"/>
    <s v="erica.cochran.198@gslingacademy.com"/>
    <x v="1"/>
    <x v="0"/>
    <x v="1"/>
    <x v="0"/>
    <n v="14"/>
    <x v="6"/>
    <n v="69"/>
    <n v="90"/>
    <n v="83"/>
    <n v="70"/>
    <n v="83"/>
    <n v="91"/>
    <n v="67"/>
    <n v="553"/>
    <n v="79"/>
    <x v="2"/>
    <x v="0"/>
    <x v="0"/>
  </r>
  <r>
    <n v="199"/>
    <s v="Karen"/>
    <s v="Watson"/>
    <s v="karen.watson.199@gslingacademy.com"/>
    <x v="1"/>
    <x v="0"/>
    <x v="5"/>
    <x v="0"/>
    <n v="24"/>
    <x v="5"/>
    <n v="95"/>
    <n v="72"/>
    <n v="94"/>
    <n v="96"/>
    <n v="91"/>
    <n v="61"/>
    <n v="94"/>
    <n v="603"/>
    <n v="86.142857142857139"/>
    <x v="0"/>
    <x v="0"/>
    <x v="1"/>
  </r>
  <r>
    <n v="200"/>
    <s v="Kathryn"/>
    <s v="Frazier"/>
    <s v="kathryn.frazier.200@gslingacademy.com"/>
    <x v="1"/>
    <x v="0"/>
    <x v="0"/>
    <x v="0"/>
    <n v="34"/>
    <x v="0"/>
    <n v="94"/>
    <n v="88"/>
    <n v="65"/>
    <n v="88"/>
    <n v="60"/>
    <n v="81"/>
    <n v="78"/>
    <n v="554"/>
    <n v="79.142857142857139"/>
    <x v="1"/>
    <x v="0"/>
    <x v="0"/>
  </r>
  <r>
    <n v="201"/>
    <s v="Anthony"/>
    <s v="Jackson"/>
    <s v="anthony.jackson.201@gslingacademy.com"/>
    <x v="0"/>
    <x v="0"/>
    <x v="5"/>
    <x v="1"/>
    <n v="34"/>
    <x v="11"/>
    <n v="82"/>
    <n v="81"/>
    <n v="100"/>
    <n v="81"/>
    <n v="60"/>
    <n v="79"/>
    <n v="96"/>
    <n v="579"/>
    <n v="82.714285714285708"/>
    <x v="1"/>
    <x v="0"/>
    <x v="0"/>
  </r>
  <r>
    <n v="202"/>
    <s v="Jordan"/>
    <s v="Perez"/>
    <s v="jordan.perez.202@gslingacademy.com"/>
    <x v="0"/>
    <x v="0"/>
    <x v="4"/>
    <x v="1"/>
    <n v="27"/>
    <x v="5"/>
    <n v="99"/>
    <n v="73"/>
    <n v="91"/>
    <n v="91"/>
    <n v="93"/>
    <n v="80"/>
    <n v="100"/>
    <n v="627"/>
    <n v="89.571428571428569"/>
    <x v="0"/>
    <x v="2"/>
    <x v="1"/>
  </r>
  <r>
    <n v="203"/>
    <s v="Jennifer"/>
    <s v="Burgess"/>
    <s v="jennifer.burgess.203@gslingacademy.com"/>
    <x v="1"/>
    <x v="0"/>
    <x v="0"/>
    <x v="0"/>
    <n v="16"/>
    <x v="11"/>
    <n v="85"/>
    <n v="62"/>
    <n v="84"/>
    <n v="80"/>
    <n v="37"/>
    <n v="80"/>
    <n v="71"/>
    <n v="499"/>
    <n v="71.285714285714292"/>
    <x v="2"/>
    <x v="0"/>
    <x v="0"/>
  </r>
  <r>
    <n v="204"/>
    <s v="Christina"/>
    <s v="Davis"/>
    <s v="christina.davis.204@gslingacademy.com"/>
    <x v="1"/>
    <x v="0"/>
    <x v="5"/>
    <x v="1"/>
    <n v="21"/>
    <x v="11"/>
    <n v="100"/>
    <n v="87"/>
    <n v="60"/>
    <n v="92"/>
    <n v="46"/>
    <n v="67"/>
    <n v="96"/>
    <n v="548"/>
    <n v="78.285714285714292"/>
    <x v="0"/>
    <x v="0"/>
    <x v="0"/>
  </r>
  <r>
    <n v="205"/>
    <s v="April"/>
    <s v="Ryan"/>
    <s v="april.ryan.205@gslingacademy.com"/>
    <x v="1"/>
    <x v="0"/>
    <x v="5"/>
    <x v="0"/>
    <n v="1"/>
    <x v="3"/>
    <n v="98"/>
    <n v="95"/>
    <n v="90"/>
    <n v="81"/>
    <n v="82"/>
    <n v="86"/>
    <n v="98"/>
    <n v="630"/>
    <n v="90"/>
    <x v="3"/>
    <x v="0"/>
    <x v="1"/>
  </r>
  <r>
    <n v="206"/>
    <s v="Maxwell"/>
    <s v="Davis"/>
    <s v="maxwell.davis.206@gslingacademy.com"/>
    <x v="0"/>
    <x v="0"/>
    <x v="0"/>
    <x v="0"/>
    <n v="17"/>
    <x v="5"/>
    <n v="97"/>
    <n v="78"/>
    <n v="81"/>
    <n v="67"/>
    <n v="90"/>
    <n v="95"/>
    <n v="79"/>
    <n v="587"/>
    <n v="83.857142857142861"/>
    <x v="2"/>
    <x v="0"/>
    <x v="0"/>
  </r>
  <r>
    <n v="207"/>
    <s v="Matthew"/>
    <s v="Guzman"/>
    <s v="matthew.guzman.207@gslingacademy.com"/>
    <x v="0"/>
    <x v="0"/>
    <x v="3"/>
    <x v="0"/>
    <n v="0"/>
    <x v="4"/>
    <n v="99"/>
    <n v="86"/>
    <n v="68"/>
    <n v="94"/>
    <n v="97"/>
    <n v="77"/>
    <n v="92"/>
    <n v="613"/>
    <n v="87.571428571428569"/>
    <x v="3"/>
    <x v="2"/>
    <x v="1"/>
  </r>
  <r>
    <n v="208"/>
    <s v="Robert"/>
    <s v="Mayer"/>
    <s v="robert.mayer.208@gslingacademy.com"/>
    <x v="0"/>
    <x v="0"/>
    <x v="0"/>
    <x v="1"/>
    <n v="12"/>
    <x v="11"/>
    <n v="99"/>
    <n v="73"/>
    <n v="77"/>
    <n v="74"/>
    <n v="62"/>
    <n v="68"/>
    <n v="99"/>
    <n v="552"/>
    <n v="78.857142857142861"/>
    <x v="2"/>
    <x v="0"/>
    <x v="0"/>
  </r>
  <r>
    <n v="209"/>
    <s v="Amanda"/>
    <s v="Willis"/>
    <s v="amanda.willis.209@gslingacademy.com"/>
    <x v="1"/>
    <x v="0"/>
    <x v="1"/>
    <x v="0"/>
    <n v="22"/>
    <x v="9"/>
    <n v="75"/>
    <n v="83"/>
    <n v="70"/>
    <n v="71"/>
    <n v="86"/>
    <n v="95"/>
    <n v="76"/>
    <n v="556"/>
    <n v="79.428571428571431"/>
    <x v="0"/>
    <x v="0"/>
    <x v="0"/>
  </r>
  <r>
    <n v="210"/>
    <s v="Michele"/>
    <s v="Thomas"/>
    <s v="michele.thomas.210@gslingacademy.com"/>
    <x v="1"/>
    <x v="0"/>
    <x v="5"/>
    <x v="1"/>
    <n v="14"/>
    <x v="6"/>
    <n v="63"/>
    <n v="80"/>
    <n v="99"/>
    <n v="78"/>
    <n v="60"/>
    <n v="84"/>
    <n v="86"/>
    <n v="550"/>
    <n v="78.571428571428569"/>
    <x v="2"/>
    <x v="0"/>
    <x v="0"/>
  </r>
  <r>
    <n v="211"/>
    <s v="Tim"/>
    <s v="Turner"/>
    <s v="tim.turner.211@gslingacademy.com"/>
    <x v="0"/>
    <x v="0"/>
    <x v="10"/>
    <x v="0"/>
    <n v="41"/>
    <x v="1"/>
    <n v="96"/>
    <n v="88"/>
    <n v="90"/>
    <n v="100"/>
    <n v="94"/>
    <n v="87"/>
    <n v="96"/>
    <n v="651"/>
    <n v="93"/>
    <x v="1"/>
    <x v="3"/>
    <x v="1"/>
  </r>
  <r>
    <n v="212"/>
    <s v="Joe"/>
    <s v="Strickland"/>
    <s v="joe.strickland.212@gslingacademy.com"/>
    <x v="0"/>
    <x v="0"/>
    <x v="9"/>
    <x v="0"/>
    <n v="32"/>
    <x v="13"/>
    <n v="91"/>
    <n v="73"/>
    <n v="86"/>
    <n v="73"/>
    <n v="84"/>
    <n v="60"/>
    <n v="71"/>
    <n v="538"/>
    <n v="76.857142857142861"/>
    <x v="1"/>
    <x v="2"/>
    <x v="0"/>
  </r>
  <r>
    <n v="213"/>
    <s v="Trevor"/>
    <s v="Cruz"/>
    <s v="trevor.cruz.213@gslingacademy.com"/>
    <x v="0"/>
    <x v="1"/>
    <x v="5"/>
    <x v="0"/>
    <n v="4"/>
    <x v="7"/>
    <n v="52"/>
    <n v="58"/>
    <n v="60"/>
    <n v="97"/>
    <n v="93"/>
    <n v="89"/>
    <n v="68"/>
    <n v="517"/>
    <n v="73.857142857142861"/>
    <x v="3"/>
    <x v="0"/>
    <x v="0"/>
  </r>
  <r>
    <n v="214"/>
    <s v="Melissa"/>
    <s v="Roberts"/>
    <s v="melissa.roberts.214@gslingacademy.com"/>
    <x v="1"/>
    <x v="0"/>
    <x v="5"/>
    <x v="0"/>
    <n v="22"/>
    <x v="1"/>
    <n v="99"/>
    <n v="71"/>
    <n v="80"/>
    <n v="82"/>
    <n v="95"/>
    <n v="64"/>
    <n v="64"/>
    <n v="555"/>
    <n v="79.285714285714292"/>
    <x v="0"/>
    <x v="0"/>
    <x v="0"/>
  </r>
  <r>
    <n v="215"/>
    <s v="Tammy"/>
    <s v="Miller"/>
    <s v="tammy.miller.215@gslingacademy.com"/>
    <x v="1"/>
    <x v="0"/>
    <x v="0"/>
    <x v="0"/>
    <n v="17"/>
    <x v="9"/>
    <n v="84"/>
    <n v="62"/>
    <n v="92"/>
    <n v="74"/>
    <n v="73"/>
    <n v="98"/>
    <n v="91"/>
    <n v="574"/>
    <n v="82"/>
    <x v="2"/>
    <x v="0"/>
    <x v="0"/>
  </r>
  <r>
    <n v="216"/>
    <s v="Chad"/>
    <s v="Morgan"/>
    <s v="chad.morgan.216@gslingacademy.com"/>
    <x v="0"/>
    <x v="0"/>
    <x v="1"/>
    <x v="0"/>
    <n v="2"/>
    <x v="3"/>
    <n v="100"/>
    <n v="90"/>
    <n v="82"/>
    <n v="79"/>
    <n v="94"/>
    <n v="83"/>
    <n v="78"/>
    <n v="606"/>
    <n v="86.571428571428569"/>
    <x v="3"/>
    <x v="0"/>
    <x v="1"/>
  </r>
  <r>
    <n v="217"/>
    <s v="Samantha"/>
    <s v="Maldonado"/>
    <s v="samantha.maldonado.217@gslingacademy.com"/>
    <x v="1"/>
    <x v="0"/>
    <x v="9"/>
    <x v="0"/>
    <n v="33"/>
    <x v="9"/>
    <n v="82"/>
    <n v="71"/>
    <n v="93"/>
    <n v="90"/>
    <n v="90"/>
    <n v="76"/>
    <n v="97"/>
    <n v="599"/>
    <n v="85.571428571428569"/>
    <x v="1"/>
    <x v="2"/>
    <x v="0"/>
  </r>
  <r>
    <n v="218"/>
    <s v="Marie"/>
    <s v="Martin"/>
    <s v="marie.martin.218@gslingacademy.com"/>
    <x v="1"/>
    <x v="0"/>
    <x v="3"/>
    <x v="0"/>
    <n v="29"/>
    <x v="9"/>
    <n v="75"/>
    <n v="88"/>
    <n v="65"/>
    <n v="80"/>
    <n v="76"/>
    <n v="94"/>
    <n v="97"/>
    <n v="575"/>
    <n v="82.142857142857139"/>
    <x v="0"/>
    <x v="2"/>
    <x v="0"/>
  </r>
  <r>
    <n v="219"/>
    <s v="Theresa"/>
    <s v="Tucker"/>
    <s v="theresa.tucker.219@gslingacademy.com"/>
    <x v="1"/>
    <x v="1"/>
    <x v="5"/>
    <x v="0"/>
    <n v="27"/>
    <x v="4"/>
    <n v="66"/>
    <n v="71"/>
    <n v="94"/>
    <n v="72"/>
    <n v="96"/>
    <n v="70"/>
    <n v="63"/>
    <n v="532"/>
    <n v="76"/>
    <x v="0"/>
    <x v="0"/>
    <x v="0"/>
  </r>
  <r>
    <n v="220"/>
    <s v="Joseph"/>
    <s v="Morris"/>
    <s v="joseph.morris.220@gslingacademy.com"/>
    <x v="0"/>
    <x v="0"/>
    <x v="4"/>
    <x v="1"/>
    <n v="34"/>
    <x v="9"/>
    <n v="99"/>
    <n v="88"/>
    <n v="72"/>
    <n v="76"/>
    <n v="68"/>
    <n v="92"/>
    <n v="72"/>
    <n v="567"/>
    <n v="81"/>
    <x v="1"/>
    <x v="2"/>
    <x v="0"/>
  </r>
  <r>
    <n v="221"/>
    <s v="Charles"/>
    <s v="Parker"/>
    <s v="charles.parker.221@gslingacademy.com"/>
    <x v="0"/>
    <x v="0"/>
    <x v="0"/>
    <x v="0"/>
    <n v="2"/>
    <x v="16"/>
    <n v="99"/>
    <n v="76"/>
    <n v="94"/>
    <n v="88"/>
    <n v="75"/>
    <n v="66"/>
    <n v="84"/>
    <n v="582"/>
    <n v="83.142857142857139"/>
    <x v="3"/>
    <x v="0"/>
    <x v="0"/>
  </r>
  <r>
    <n v="222"/>
    <s v="Rachel"/>
    <s v="Alvarez"/>
    <s v="rachel.alvarez.222@gslingacademy.com"/>
    <x v="1"/>
    <x v="0"/>
    <x v="0"/>
    <x v="0"/>
    <n v="22"/>
    <x v="5"/>
    <n v="95"/>
    <n v="87"/>
    <n v="79"/>
    <n v="95"/>
    <n v="84"/>
    <n v="90"/>
    <n v="74"/>
    <n v="604"/>
    <n v="86.285714285714292"/>
    <x v="0"/>
    <x v="0"/>
    <x v="1"/>
  </r>
  <r>
    <n v="223"/>
    <s v="Charles"/>
    <s v="Robertson"/>
    <s v="charles.robertson.223@gslingacademy.com"/>
    <x v="0"/>
    <x v="0"/>
    <x v="6"/>
    <x v="0"/>
    <n v="33"/>
    <x v="5"/>
    <n v="99"/>
    <n v="61"/>
    <n v="75"/>
    <n v="68"/>
    <n v="66"/>
    <n v="90"/>
    <n v="99"/>
    <n v="558"/>
    <n v="79.714285714285708"/>
    <x v="1"/>
    <x v="1"/>
    <x v="0"/>
  </r>
  <r>
    <n v="224"/>
    <s v="Steven"/>
    <s v="York"/>
    <s v="steven.york.224@gslingacademy.com"/>
    <x v="0"/>
    <x v="0"/>
    <x v="3"/>
    <x v="0"/>
    <n v="17"/>
    <x v="12"/>
    <n v="65"/>
    <n v="72"/>
    <n v="96"/>
    <n v="69"/>
    <n v="78"/>
    <n v="93"/>
    <n v="72"/>
    <n v="545"/>
    <n v="77.857142857142861"/>
    <x v="2"/>
    <x v="2"/>
    <x v="0"/>
  </r>
  <r>
    <n v="225"/>
    <s v="Robert"/>
    <s v="Dougherty"/>
    <s v="robert.dougherty.225@gslingacademy.com"/>
    <x v="0"/>
    <x v="0"/>
    <x v="6"/>
    <x v="0"/>
    <n v="4"/>
    <x v="7"/>
    <n v="85"/>
    <n v="55"/>
    <n v="74"/>
    <n v="71"/>
    <n v="66"/>
    <n v="50"/>
    <n v="99"/>
    <n v="500"/>
    <n v="71.428571428571431"/>
    <x v="3"/>
    <x v="1"/>
    <x v="0"/>
  </r>
  <r>
    <n v="226"/>
    <s v="Vanessa"/>
    <s v="Wheeler"/>
    <s v="vanessa.wheeler.226@gslingacademy.com"/>
    <x v="1"/>
    <x v="0"/>
    <x v="6"/>
    <x v="1"/>
    <n v="3"/>
    <x v="7"/>
    <n v="69"/>
    <n v="78"/>
    <n v="57"/>
    <n v="72"/>
    <n v="71"/>
    <n v="96"/>
    <n v="87"/>
    <n v="530"/>
    <n v="75.714285714285708"/>
    <x v="3"/>
    <x v="1"/>
    <x v="0"/>
  </r>
  <r>
    <n v="227"/>
    <s v="Emily"/>
    <s v="Mcclure"/>
    <s v="emily.mcclure.227@gslingacademy.com"/>
    <x v="1"/>
    <x v="0"/>
    <x v="6"/>
    <x v="0"/>
    <n v="3"/>
    <x v="7"/>
    <n v="75"/>
    <n v="76"/>
    <n v="88"/>
    <n v="65"/>
    <n v="97"/>
    <n v="83"/>
    <n v="85"/>
    <n v="569"/>
    <n v="81.285714285714292"/>
    <x v="3"/>
    <x v="1"/>
    <x v="0"/>
  </r>
  <r>
    <n v="228"/>
    <s v="Angela"/>
    <s v="Thomas"/>
    <s v="angela.thomas.228@gslingacademy.com"/>
    <x v="1"/>
    <x v="0"/>
    <x v="6"/>
    <x v="1"/>
    <n v="17"/>
    <x v="5"/>
    <n v="91"/>
    <n v="78"/>
    <n v="72"/>
    <n v="69"/>
    <n v="77"/>
    <n v="91"/>
    <n v="96"/>
    <n v="574"/>
    <n v="82"/>
    <x v="2"/>
    <x v="1"/>
    <x v="0"/>
  </r>
  <r>
    <n v="229"/>
    <s v="Roberto"/>
    <s v="Evans"/>
    <s v="roberto.evans.229@gslingacademy.com"/>
    <x v="0"/>
    <x v="0"/>
    <x v="0"/>
    <x v="0"/>
    <n v="6"/>
    <x v="16"/>
    <n v="92"/>
    <n v="95"/>
    <n v="61"/>
    <n v="98"/>
    <n v="89"/>
    <n v="85"/>
    <n v="80"/>
    <n v="600"/>
    <n v="85.714285714285708"/>
    <x v="4"/>
    <x v="0"/>
    <x v="0"/>
  </r>
  <r>
    <n v="230"/>
    <s v="Christopher"/>
    <s v="Perez"/>
    <s v="christopher.perez.230@gslingacademy.com"/>
    <x v="0"/>
    <x v="0"/>
    <x v="6"/>
    <x v="0"/>
    <n v="9"/>
    <x v="4"/>
    <n v="62"/>
    <n v="64"/>
    <n v="65"/>
    <n v="86"/>
    <n v="67"/>
    <n v="94"/>
    <n v="68"/>
    <n v="506"/>
    <n v="72.285714285714292"/>
    <x v="4"/>
    <x v="1"/>
    <x v="0"/>
  </r>
  <r>
    <n v="231"/>
    <s v="William"/>
    <s v="Torres"/>
    <s v="william.torres.231@gslingacademy.com"/>
    <x v="0"/>
    <x v="1"/>
    <x v="1"/>
    <x v="0"/>
    <n v="35"/>
    <x v="5"/>
    <n v="87"/>
    <n v="91"/>
    <n v="98"/>
    <n v="94"/>
    <n v="100"/>
    <n v="87"/>
    <n v="89"/>
    <n v="646"/>
    <n v="92.285714285714292"/>
    <x v="1"/>
    <x v="0"/>
    <x v="1"/>
  </r>
  <r>
    <n v="232"/>
    <s v="Lisa"/>
    <s v="Gardner"/>
    <s v="lisa.gardner.232@gslingacademy.com"/>
    <x v="1"/>
    <x v="0"/>
    <x v="0"/>
    <x v="0"/>
    <n v="17"/>
    <x v="5"/>
    <n v="97"/>
    <n v="88"/>
    <n v="87"/>
    <n v="61"/>
    <n v="86"/>
    <n v="92"/>
    <n v="94"/>
    <n v="605"/>
    <n v="86.428571428571431"/>
    <x v="2"/>
    <x v="0"/>
    <x v="1"/>
  </r>
  <r>
    <n v="233"/>
    <s v="Catherine"/>
    <s v="Owens"/>
    <s v="catherine.owens.233@gslingacademy.com"/>
    <x v="1"/>
    <x v="0"/>
    <x v="5"/>
    <x v="0"/>
    <n v="7"/>
    <x v="2"/>
    <n v="97"/>
    <n v="92"/>
    <n v="79"/>
    <n v="88"/>
    <n v="92"/>
    <n v="99"/>
    <n v="85"/>
    <n v="632"/>
    <n v="90.285714285714292"/>
    <x v="4"/>
    <x v="0"/>
    <x v="1"/>
  </r>
  <r>
    <n v="234"/>
    <s v="Keith"/>
    <s v="Summers"/>
    <s v="keith.summers.234@gslingacademy.com"/>
    <x v="0"/>
    <x v="0"/>
    <x v="3"/>
    <x v="0"/>
    <n v="16"/>
    <x v="12"/>
    <n v="98"/>
    <n v="88"/>
    <n v="92"/>
    <n v="84"/>
    <n v="90"/>
    <n v="90"/>
    <n v="71"/>
    <n v="613"/>
    <n v="87.571428571428569"/>
    <x v="2"/>
    <x v="2"/>
    <x v="1"/>
  </r>
  <r>
    <n v="235"/>
    <s v="Linda"/>
    <s v="Adams"/>
    <s v="linda.adams.235@gslingacademy.com"/>
    <x v="1"/>
    <x v="0"/>
    <x v="5"/>
    <x v="0"/>
    <n v="20"/>
    <x v="5"/>
    <n v="96"/>
    <n v="67"/>
    <n v="88"/>
    <n v="95"/>
    <n v="82"/>
    <n v="75"/>
    <n v="84"/>
    <n v="587"/>
    <n v="83.857142857142861"/>
    <x v="2"/>
    <x v="0"/>
    <x v="0"/>
  </r>
  <r>
    <n v="236"/>
    <s v="Michael"/>
    <s v="Wright"/>
    <s v="michael.wright.236@gslingacademy.com"/>
    <x v="0"/>
    <x v="1"/>
    <x v="6"/>
    <x v="0"/>
    <n v="0"/>
    <x v="7"/>
    <n v="98"/>
    <n v="89"/>
    <n v="81"/>
    <n v="56"/>
    <n v="72"/>
    <n v="74"/>
    <n v="94"/>
    <n v="564"/>
    <n v="80.571428571428569"/>
    <x v="3"/>
    <x v="1"/>
    <x v="0"/>
  </r>
  <r>
    <n v="237"/>
    <s v="Kyle"/>
    <s v="James"/>
    <s v="kyle.james.237@gslingacademy.com"/>
    <x v="0"/>
    <x v="0"/>
    <x v="1"/>
    <x v="0"/>
    <n v="27"/>
    <x v="0"/>
    <n v="87"/>
    <n v="82"/>
    <n v="95"/>
    <n v="81"/>
    <n v="85"/>
    <n v="84"/>
    <n v="73"/>
    <n v="587"/>
    <n v="83.857142857142861"/>
    <x v="0"/>
    <x v="0"/>
    <x v="0"/>
  </r>
  <r>
    <n v="238"/>
    <s v="Christopher"/>
    <s v="Cook"/>
    <s v="christopher.cook.238@gslingacademy.com"/>
    <x v="0"/>
    <x v="0"/>
    <x v="10"/>
    <x v="0"/>
    <n v="24"/>
    <x v="13"/>
    <n v="96"/>
    <n v="80"/>
    <n v="86"/>
    <n v="94"/>
    <n v="63"/>
    <n v="72"/>
    <n v="75"/>
    <n v="566"/>
    <n v="80.857142857142861"/>
    <x v="0"/>
    <x v="3"/>
    <x v="0"/>
  </r>
  <r>
    <n v="239"/>
    <s v="John"/>
    <s v="Conley"/>
    <s v="john.conley.239@gslingacademy.com"/>
    <x v="0"/>
    <x v="0"/>
    <x v="1"/>
    <x v="0"/>
    <n v="30"/>
    <x v="4"/>
    <n v="82"/>
    <n v="74"/>
    <n v="77"/>
    <n v="95"/>
    <n v="81"/>
    <n v="76"/>
    <n v="91"/>
    <n v="576"/>
    <n v="82.285714285714292"/>
    <x v="0"/>
    <x v="0"/>
    <x v="0"/>
  </r>
  <r>
    <n v="240"/>
    <s v="David"/>
    <s v="Barnett"/>
    <s v="david.barnett.240@gslingacademy.com"/>
    <x v="0"/>
    <x v="0"/>
    <x v="4"/>
    <x v="0"/>
    <n v="20"/>
    <x v="5"/>
    <n v="100"/>
    <n v="72"/>
    <n v="99"/>
    <n v="64"/>
    <n v="70"/>
    <n v="93"/>
    <n v="67"/>
    <n v="565"/>
    <n v="80.714285714285708"/>
    <x v="2"/>
    <x v="2"/>
    <x v="0"/>
  </r>
  <r>
    <n v="241"/>
    <s v="Peter"/>
    <s v="Garner"/>
    <s v="peter.garner.241@gslingacademy.com"/>
    <x v="0"/>
    <x v="0"/>
    <x v="10"/>
    <x v="0"/>
    <n v="27"/>
    <x v="5"/>
    <n v="91"/>
    <n v="81"/>
    <n v="91"/>
    <n v="76"/>
    <n v="100"/>
    <n v="92"/>
    <n v="87"/>
    <n v="618"/>
    <n v="88.285714285714292"/>
    <x v="0"/>
    <x v="3"/>
    <x v="1"/>
  </r>
  <r>
    <n v="242"/>
    <s v="Douglas"/>
    <s v="Stewart"/>
    <s v="douglas.stewart.242@gslingacademy.com"/>
    <x v="0"/>
    <x v="0"/>
    <x v="4"/>
    <x v="0"/>
    <n v="2"/>
    <x v="7"/>
    <n v="87"/>
    <n v="62"/>
    <n v="85"/>
    <n v="64"/>
    <n v="63"/>
    <n v="61"/>
    <n v="85"/>
    <n v="507"/>
    <n v="72.428571428571431"/>
    <x v="3"/>
    <x v="2"/>
    <x v="0"/>
  </r>
  <r>
    <n v="243"/>
    <s v="Heidi"/>
    <s v="Jones"/>
    <s v="heidi.jones.243@gslingacademy.com"/>
    <x v="1"/>
    <x v="0"/>
    <x v="4"/>
    <x v="0"/>
    <n v="16"/>
    <x v="9"/>
    <n v="75"/>
    <n v="95"/>
    <n v="84"/>
    <n v="87"/>
    <n v="78"/>
    <n v="82"/>
    <n v="86"/>
    <n v="587"/>
    <n v="83.857142857142861"/>
    <x v="2"/>
    <x v="2"/>
    <x v="0"/>
  </r>
  <r>
    <n v="244"/>
    <s v="Jeremy"/>
    <s v="Daniels"/>
    <s v="jeremy.daniels.244@gslingacademy.com"/>
    <x v="0"/>
    <x v="1"/>
    <x v="5"/>
    <x v="0"/>
    <n v="27"/>
    <x v="9"/>
    <n v="86"/>
    <n v="78"/>
    <n v="61"/>
    <n v="71"/>
    <n v="94"/>
    <n v="92"/>
    <n v="65"/>
    <n v="547"/>
    <n v="78.142857142857139"/>
    <x v="0"/>
    <x v="0"/>
    <x v="0"/>
  </r>
  <r>
    <n v="245"/>
    <s v="Dustin"/>
    <s v="Dodson"/>
    <s v="dustin.dodson.245@gslingacademy.com"/>
    <x v="0"/>
    <x v="0"/>
    <x v="9"/>
    <x v="1"/>
    <n v="24"/>
    <x v="11"/>
    <n v="94"/>
    <n v="62"/>
    <n v="97"/>
    <n v="96"/>
    <n v="74"/>
    <n v="68"/>
    <n v="69"/>
    <n v="560"/>
    <n v="80"/>
    <x v="0"/>
    <x v="2"/>
    <x v="0"/>
  </r>
  <r>
    <n v="246"/>
    <s v="Christopher"/>
    <s v="Cohen"/>
    <s v="christopher.cohen.246@gslingacademy.com"/>
    <x v="0"/>
    <x v="0"/>
    <x v="9"/>
    <x v="0"/>
    <n v="23"/>
    <x v="11"/>
    <n v="99"/>
    <n v="64"/>
    <n v="92"/>
    <n v="78"/>
    <n v="30"/>
    <n v="78"/>
    <n v="88"/>
    <n v="529"/>
    <n v="75.571428571428569"/>
    <x v="0"/>
    <x v="2"/>
    <x v="0"/>
  </r>
  <r>
    <n v="247"/>
    <s v="Willie"/>
    <s v="Ellis"/>
    <s v="willie.ellis.247@gslingacademy.com"/>
    <x v="0"/>
    <x v="0"/>
    <x v="5"/>
    <x v="0"/>
    <n v="15"/>
    <x v="2"/>
    <n v="84"/>
    <n v="91"/>
    <n v="94"/>
    <n v="66"/>
    <n v="78"/>
    <n v="71"/>
    <n v="93"/>
    <n v="577"/>
    <n v="82.428571428571431"/>
    <x v="2"/>
    <x v="0"/>
    <x v="0"/>
  </r>
  <r>
    <n v="248"/>
    <s v="Robert"/>
    <s v="Hawkins"/>
    <s v="robert.hawkins.248@gslingacademy.com"/>
    <x v="0"/>
    <x v="0"/>
    <x v="0"/>
    <x v="0"/>
    <n v="25"/>
    <x v="15"/>
    <n v="92"/>
    <n v="81"/>
    <n v="68"/>
    <n v="96"/>
    <n v="99"/>
    <n v="92"/>
    <n v="79"/>
    <n v="607"/>
    <n v="86.714285714285708"/>
    <x v="0"/>
    <x v="0"/>
    <x v="1"/>
  </r>
  <r>
    <n v="249"/>
    <s v="Stacy"/>
    <s v="Jordan"/>
    <s v="stacy.jordan.249@gslingacademy.com"/>
    <x v="1"/>
    <x v="0"/>
    <x v="1"/>
    <x v="0"/>
    <n v="32"/>
    <x v="5"/>
    <n v="95"/>
    <n v="84"/>
    <n v="95"/>
    <n v="72"/>
    <n v="62"/>
    <n v="80"/>
    <n v="83"/>
    <n v="571"/>
    <n v="81.571428571428569"/>
    <x v="1"/>
    <x v="0"/>
    <x v="0"/>
  </r>
  <r>
    <n v="250"/>
    <s v="Robert"/>
    <s v="Swanson"/>
    <s v="robert.swanson.250@gslingacademy.com"/>
    <x v="0"/>
    <x v="0"/>
    <x v="0"/>
    <x v="0"/>
    <n v="35"/>
    <x v="0"/>
    <n v="90"/>
    <n v="88"/>
    <n v="94"/>
    <n v="99"/>
    <n v="92"/>
    <n v="87"/>
    <n v="97"/>
    <n v="647"/>
    <n v="92.428571428571431"/>
    <x v="1"/>
    <x v="0"/>
    <x v="1"/>
  </r>
  <r>
    <n v="251"/>
    <s v="Holly"/>
    <s v="Henderson"/>
    <s v="holly.henderson.251@gslingacademy.com"/>
    <x v="1"/>
    <x v="0"/>
    <x v="0"/>
    <x v="0"/>
    <n v="3"/>
    <x v="3"/>
    <n v="93"/>
    <n v="100"/>
    <n v="87"/>
    <n v="66"/>
    <n v="85"/>
    <n v="96"/>
    <n v="87"/>
    <n v="614"/>
    <n v="87.714285714285708"/>
    <x v="3"/>
    <x v="0"/>
    <x v="1"/>
  </r>
  <r>
    <n v="252"/>
    <s v="Debra"/>
    <s v="Valdez"/>
    <s v="debra.valdez.252@gslingacademy.com"/>
    <x v="1"/>
    <x v="0"/>
    <x v="5"/>
    <x v="0"/>
    <n v="28"/>
    <x v="12"/>
    <n v="69"/>
    <n v="63"/>
    <n v="88"/>
    <n v="73"/>
    <n v="83"/>
    <n v="74"/>
    <n v="94"/>
    <n v="544"/>
    <n v="77.714285714285708"/>
    <x v="0"/>
    <x v="0"/>
    <x v="0"/>
  </r>
  <r>
    <n v="253"/>
    <s v="Vincent"/>
    <s v="Robertson"/>
    <s v="vincent.robertson.253@gslingacademy.com"/>
    <x v="0"/>
    <x v="0"/>
    <x v="5"/>
    <x v="0"/>
    <n v="3"/>
    <x v="14"/>
    <n v="97"/>
    <n v="80"/>
    <n v="80"/>
    <n v="65"/>
    <n v="91"/>
    <n v="67"/>
    <n v="84"/>
    <n v="564"/>
    <n v="80.571428571428569"/>
    <x v="3"/>
    <x v="0"/>
    <x v="0"/>
  </r>
  <r>
    <n v="254"/>
    <s v="Karen"/>
    <s v="Spencer"/>
    <s v="karen.spencer.254@gslingacademy.com"/>
    <x v="1"/>
    <x v="0"/>
    <x v="10"/>
    <x v="0"/>
    <n v="21"/>
    <x v="11"/>
    <n v="76"/>
    <n v="72"/>
    <n v="80"/>
    <n v="92"/>
    <n v="41"/>
    <n v="90"/>
    <n v="78"/>
    <n v="529"/>
    <n v="75.571428571428569"/>
    <x v="0"/>
    <x v="3"/>
    <x v="0"/>
  </r>
  <r>
    <n v="255"/>
    <s v="Nathan"/>
    <s v="Riley"/>
    <s v="nathan.riley.255@gslingacademy.com"/>
    <x v="0"/>
    <x v="0"/>
    <x v="0"/>
    <x v="0"/>
    <n v="35"/>
    <x v="4"/>
    <n v="85"/>
    <n v="85"/>
    <n v="92"/>
    <n v="86"/>
    <n v="99"/>
    <n v="86"/>
    <n v="93"/>
    <n v="626"/>
    <n v="89.428571428571431"/>
    <x v="1"/>
    <x v="0"/>
    <x v="1"/>
  </r>
  <r>
    <n v="256"/>
    <s v="Andrea"/>
    <s v="Sutton"/>
    <s v="andrea.sutton.256@gslingacademy.com"/>
    <x v="1"/>
    <x v="0"/>
    <x v="6"/>
    <x v="1"/>
    <n v="35"/>
    <x v="5"/>
    <n v="91"/>
    <n v="87"/>
    <n v="89"/>
    <n v="97"/>
    <n v="93"/>
    <n v="87"/>
    <n v="100"/>
    <n v="644"/>
    <n v="92"/>
    <x v="1"/>
    <x v="1"/>
    <x v="1"/>
  </r>
  <r>
    <n v="257"/>
    <s v="Tracey"/>
    <s v="Turner"/>
    <s v="tracey.turner.257@gslingacademy.com"/>
    <x v="1"/>
    <x v="0"/>
    <x v="6"/>
    <x v="1"/>
    <n v="14"/>
    <x v="11"/>
    <n v="82"/>
    <n v="95"/>
    <n v="92"/>
    <n v="62"/>
    <n v="73"/>
    <n v="75"/>
    <n v="93"/>
    <n v="572"/>
    <n v="81.714285714285708"/>
    <x v="2"/>
    <x v="1"/>
    <x v="0"/>
  </r>
  <r>
    <n v="258"/>
    <s v="Tammy"/>
    <s v="Olsen"/>
    <s v="tammy.olsen.258@gslingacademy.com"/>
    <x v="1"/>
    <x v="1"/>
    <x v="6"/>
    <x v="0"/>
    <n v="1"/>
    <x v="7"/>
    <n v="59"/>
    <n v="56"/>
    <n v="87"/>
    <n v="97"/>
    <n v="62"/>
    <n v="74"/>
    <n v="61"/>
    <n v="496"/>
    <n v="70.857142857142861"/>
    <x v="3"/>
    <x v="1"/>
    <x v="0"/>
  </r>
  <r>
    <n v="259"/>
    <s v="Sheila"/>
    <s v="Wilkinson"/>
    <s v="sheila.wilkinson.259@gslingacademy.com"/>
    <x v="1"/>
    <x v="0"/>
    <x v="2"/>
    <x v="1"/>
    <n v="0"/>
    <x v="7"/>
    <n v="78"/>
    <n v="71"/>
    <n v="73"/>
    <n v="51"/>
    <n v="80"/>
    <n v="84"/>
    <n v="65"/>
    <n v="502"/>
    <n v="71.714285714285708"/>
    <x v="3"/>
    <x v="1"/>
    <x v="0"/>
  </r>
  <r>
    <n v="260"/>
    <s v="Nathan"/>
    <s v="Padilla"/>
    <s v="nathan.padilla.260@gslingacademy.com"/>
    <x v="0"/>
    <x v="0"/>
    <x v="1"/>
    <x v="0"/>
    <n v="12"/>
    <x v="13"/>
    <n v="89"/>
    <n v="65"/>
    <n v="82"/>
    <n v="65"/>
    <n v="76"/>
    <n v="95"/>
    <n v="62"/>
    <n v="534"/>
    <n v="76.285714285714292"/>
    <x v="2"/>
    <x v="0"/>
    <x v="0"/>
  </r>
  <r>
    <n v="261"/>
    <s v="Sarah"/>
    <s v="Santiago"/>
    <s v="sarah.santiago.261@gslingacademy.com"/>
    <x v="1"/>
    <x v="0"/>
    <x v="0"/>
    <x v="0"/>
    <n v="35"/>
    <x v="5"/>
    <n v="86"/>
    <n v="91"/>
    <n v="92"/>
    <n v="96"/>
    <n v="90"/>
    <n v="96"/>
    <n v="90"/>
    <n v="641"/>
    <n v="91.571428571428569"/>
    <x v="1"/>
    <x v="0"/>
    <x v="1"/>
  </r>
  <r>
    <n v="262"/>
    <s v="Christopher"/>
    <s v="Cruz"/>
    <s v="christopher.cruz.262@gslingacademy.com"/>
    <x v="0"/>
    <x v="0"/>
    <x v="9"/>
    <x v="0"/>
    <n v="2"/>
    <x v="3"/>
    <n v="76"/>
    <n v="93"/>
    <n v="65"/>
    <n v="95"/>
    <n v="76"/>
    <n v="88"/>
    <n v="88"/>
    <n v="581"/>
    <n v="83"/>
    <x v="3"/>
    <x v="2"/>
    <x v="0"/>
  </r>
  <r>
    <n v="263"/>
    <s v="Nicholas"/>
    <s v="Sanders"/>
    <s v="nicholas.sanders.263@gslingacademy.com"/>
    <x v="0"/>
    <x v="1"/>
    <x v="1"/>
    <x v="0"/>
    <n v="16"/>
    <x v="4"/>
    <n v="79"/>
    <n v="68"/>
    <n v="63"/>
    <n v="72"/>
    <n v="81"/>
    <n v="67"/>
    <n v="67"/>
    <n v="497"/>
    <n v="71"/>
    <x v="2"/>
    <x v="0"/>
    <x v="0"/>
  </r>
  <r>
    <n v="264"/>
    <s v="Jessica"/>
    <s v="Waters"/>
    <s v="jessica.waters.264@gslingacademy.com"/>
    <x v="1"/>
    <x v="0"/>
    <x v="0"/>
    <x v="0"/>
    <n v="31"/>
    <x v="0"/>
    <n v="91"/>
    <n v="96"/>
    <n v="77"/>
    <n v="76"/>
    <n v="80"/>
    <n v="97"/>
    <n v="80"/>
    <n v="597"/>
    <n v="85.285714285714292"/>
    <x v="1"/>
    <x v="0"/>
    <x v="0"/>
  </r>
  <r>
    <n v="265"/>
    <s v="James"/>
    <s v="Miller"/>
    <s v="james.miller.265@gslingacademy.com"/>
    <x v="0"/>
    <x v="0"/>
    <x v="3"/>
    <x v="0"/>
    <n v="4"/>
    <x v="7"/>
    <n v="89"/>
    <n v="66"/>
    <n v="80"/>
    <n v="77"/>
    <n v="60"/>
    <n v="88"/>
    <n v="74"/>
    <n v="534"/>
    <n v="76.285714285714292"/>
    <x v="3"/>
    <x v="2"/>
    <x v="0"/>
  </r>
  <r>
    <n v="266"/>
    <s v="Adam"/>
    <s v="Kane"/>
    <s v="adam.kane.266@gslingacademy.com"/>
    <x v="0"/>
    <x v="0"/>
    <x v="0"/>
    <x v="0"/>
    <n v="19"/>
    <x v="4"/>
    <n v="97"/>
    <n v="94"/>
    <n v="81"/>
    <n v="97"/>
    <n v="79"/>
    <n v="86"/>
    <n v="63"/>
    <n v="597"/>
    <n v="85.285714285714292"/>
    <x v="2"/>
    <x v="0"/>
    <x v="0"/>
  </r>
  <r>
    <n v="267"/>
    <s v="Patricia"/>
    <s v="Gonzalez"/>
    <s v="patricia.gonzalez.267@gslingacademy.com"/>
    <x v="1"/>
    <x v="0"/>
    <x v="0"/>
    <x v="1"/>
    <n v="15"/>
    <x v="9"/>
    <n v="100"/>
    <n v="86"/>
    <n v="74"/>
    <n v="96"/>
    <n v="80"/>
    <n v="99"/>
    <n v="76"/>
    <n v="611"/>
    <n v="87.285714285714292"/>
    <x v="2"/>
    <x v="0"/>
    <x v="1"/>
  </r>
  <r>
    <n v="268"/>
    <s v="Whitney"/>
    <s v="Holmes"/>
    <s v="whitney.holmes.268@gslingacademy.com"/>
    <x v="1"/>
    <x v="0"/>
    <x v="5"/>
    <x v="0"/>
    <n v="30"/>
    <x v="1"/>
    <n v="96"/>
    <n v="68"/>
    <n v="87"/>
    <n v="96"/>
    <n v="91"/>
    <n v="68"/>
    <n v="65"/>
    <n v="571"/>
    <n v="81.571428571428569"/>
    <x v="0"/>
    <x v="0"/>
    <x v="0"/>
  </r>
  <r>
    <n v="269"/>
    <s v="Rachel"/>
    <s v="Hamilton"/>
    <s v="rachel.hamilton.269@gslingacademy.com"/>
    <x v="1"/>
    <x v="0"/>
    <x v="6"/>
    <x v="0"/>
    <n v="17"/>
    <x v="9"/>
    <n v="94"/>
    <n v="64"/>
    <n v="100"/>
    <n v="71"/>
    <n v="84"/>
    <n v="92"/>
    <n v="99"/>
    <n v="604"/>
    <n v="86.285714285714292"/>
    <x v="2"/>
    <x v="1"/>
    <x v="1"/>
  </r>
  <r>
    <n v="270"/>
    <s v="Melissa"/>
    <s v="Marshall"/>
    <s v="melissa.marshall.270@gslingacademy.com"/>
    <x v="1"/>
    <x v="0"/>
    <x v="1"/>
    <x v="0"/>
    <n v="23"/>
    <x v="5"/>
    <n v="98"/>
    <n v="68"/>
    <n v="80"/>
    <n v="75"/>
    <n v="80"/>
    <n v="81"/>
    <n v="60"/>
    <n v="542"/>
    <n v="77.428571428571431"/>
    <x v="0"/>
    <x v="0"/>
    <x v="0"/>
  </r>
  <r>
    <n v="271"/>
    <s v="Jacob"/>
    <s v="Henderson"/>
    <s v="jacob.henderson.271@gslingacademy.com"/>
    <x v="0"/>
    <x v="0"/>
    <x v="5"/>
    <x v="0"/>
    <n v="3"/>
    <x v="7"/>
    <n v="53"/>
    <n v="71"/>
    <n v="98"/>
    <n v="95"/>
    <n v="94"/>
    <n v="71"/>
    <n v="77"/>
    <n v="559"/>
    <n v="79.857142857142861"/>
    <x v="3"/>
    <x v="0"/>
    <x v="0"/>
  </r>
  <r>
    <n v="272"/>
    <s v="Melissa"/>
    <s v="Huerta"/>
    <s v="melissa.huerta.272@gslingacademy.com"/>
    <x v="1"/>
    <x v="0"/>
    <x v="6"/>
    <x v="0"/>
    <n v="4"/>
    <x v="7"/>
    <n v="44"/>
    <n v="64"/>
    <n v="58"/>
    <n v="66"/>
    <n v="87"/>
    <n v="62"/>
    <n v="68"/>
    <n v="449"/>
    <n v="64.142857142857139"/>
    <x v="3"/>
    <x v="1"/>
    <x v="0"/>
  </r>
  <r>
    <n v="273"/>
    <s v="Kevin"/>
    <s v="Camacho"/>
    <s v="kevin.camacho.273@gslingacademy.com"/>
    <x v="0"/>
    <x v="0"/>
    <x v="10"/>
    <x v="0"/>
    <n v="25"/>
    <x v="4"/>
    <n v="85"/>
    <n v="70"/>
    <n v="73"/>
    <n v="95"/>
    <n v="100"/>
    <n v="70"/>
    <n v="94"/>
    <n v="587"/>
    <n v="83.857142857142861"/>
    <x v="0"/>
    <x v="3"/>
    <x v="0"/>
  </r>
  <r>
    <n v="274"/>
    <s v="Anthony"/>
    <s v="Martinez"/>
    <s v="anthony.martinez.274@gslingacademy.com"/>
    <x v="0"/>
    <x v="1"/>
    <x v="7"/>
    <x v="0"/>
    <n v="1"/>
    <x v="7"/>
    <n v="51"/>
    <n v="91"/>
    <n v="67"/>
    <n v="79"/>
    <n v="58"/>
    <n v="52"/>
    <n v="75"/>
    <n v="473"/>
    <n v="67.571428571428569"/>
    <x v="3"/>
    <x v="1"/>
    <x v="0"/>
  </r>
  <r>
    <n v="275"/>
    <s v="Randy"/>
    <s v="Rodriguez"/>
    <s v="randy.rodriguez.275@gslingacademy.com"/>
    <x v="0"/>
    <x v="0"/>
    <x v="5"/>
    <x v="0"/>
    <n v="24"/>
    <x v="0"/>
    <n v="90"/>
    <n v="89"/>
    <n v="82"/>
    <n v="74"/>
    <n v="67"/>
    <n v="92"/>
    <n v="82"/>
    <n v="576"/>
    <n v="82.285714285714292"/>
    <x v="0"/>
    <x v="0"/>
    <x v="0"/>
  </r>
  <r>
    <n v="276"/>
    <s v="Patrick"/>
    <s v="Vazquez"/>
    <s v="patrick.vazquez.276@gslingacademy.com"/>
    <x v="0"/>
    <x v="0"/>
    <x v="5"/>
    <x v="0"/>
    <n v="15"/>
    <x v="5"/>
    <n v="100"/>
    <n v="92"/>
    <n v="90"/>
    <n v="66"/>
    <n v="73"/>
    <n v="68"/>
    <n v="70"/>
    <n v="559"/>
    <n v="79.857142857142861"/>
    <x v="2"/>
    <x v="0"/>
    <x v="0"/>
  </r>
  <r>
    <n v="277"/>
    <s v="Kim"/>
    <s v="Flores"/>
    <s v="kim.flores.277@gslingacademy.com"/>
    <x v="1"/>
    <x v="1"/>
    <x v="6"/>
    <x v="0"/>
    <n v="1"/>
    <x v="7"/>
    <n v="95"/>
    <n v="73"/>
    <n v="61"/>
    <n v="91"/>
    <n v="84"/>
    <n v="92"/>
    <n v="94"/>
    <n v="590"/>
    <n v="84.285714285714292"/>
    <x v="3"/>
    <x v="1"/>
    <x v="0"/>
  </r>
  <r>
    <n v="278"/>
    <s v="Robert"/>
    <s v="Salazar"/>
    <s v="robert.salazar.278@gslingacademy.com"/>
    <x v="0"/>
    <x v="0"/>
    <x v="5"/>
    <x v="1"/>
    <n v="33"/>
    <x v="0"/>
    <n v="76"/>
    <n v="81"/>
    <n v="96"/>
    <n v="74"/>
    <n v="75"/>
    <n v="80"/>
    <n v="98"/>
    <n v="580"/>
    <n v="82.857142857142861"/>
    <x v="1"/>
    <x v="0"/>
    <x v="0"/>
  </r>
  <r>
    <n v="279"/>
    <s v="Victoria"/>
    <s v="Vasquez"/>
    <s v="victoria.vasquez.279@gslingacademy.com"/>
    <x v="1"/>
    <x v="0"/>
    <x v="5"/>
    <x v="0"/>
    <n v="11"/>
    <x v="12"/>
    <n v="71"/>
    <n v="98"/>
    <n v="96"/>
    <n v="60"/>
    <n v="90"/>
    <n v="79"/>
    <n v="72"/>
    <n v="566"/>
    <n v="80.857142857142861"/>
    <x v="2"/>
    <x v="0"/>
    <x v="0"/>
  </r>
  <r>
    <n v="280"/>
    <s v="Ricardo"/>
    <s v="Macias"/>
    <s v="ricardo.macias.280@gslingacademy.com"/>
    <x v="0"/>
    <x v="0"/>
    <x v="0"/>
    <x v="0"/>
    <n v="10"/>
    <x v="9"/>
    <n v="95"/>
    <n v="60"/>
    <n v="87"/>
    <n v="71"/>
    <n v="91"/>
    <n v="84"/>
    <n v="98"/>
    <n v="586"/>
    <n v="83.714285714285708"/>
    <x v="4"/>
    <x v="0"/>
    <x v="0"/>
  </r>
  <r>
    <n v="281"/>
    <s v="Brandi"/>
    <s v="Bauer"/>
    <s v="brandi.bauer.281@gslingacademy.com"/>
    <x v="1"/>
    <x v="0"/>
    <x v="6"/>
    <x v="1"/>
    <n v="15"/>
    <x v="5"/>
    <n v="92"/>
    <n v="88"/>
    <n v="76"/>
    <n v="93"/>
    <n v="69"/>
    <n v="75"/>
    <n v="97"/>
    <n v="590"/>
    <n v="84.285714285714292"/>
    <x v="2"/>
    <x v="1"/>
    <x v="0"/>
  </r>
  <r>
    <n v="282"/>
    <s v="Jorge"/>
    <s v="Roth"/>
    <s v="jorge.roth.282@gslingacademy.com"/>
    <x v="0"/>
    <x v="0"/>
    <x v="3"/>
    <x v="0"/>
    <n v="34"/>
    <x v="8"/>
    <n v="82"/>
    <n v="95"/>
    <n v="96"/>
    <n v="100"/>
    <n v="89"/>
    <n v="64"/>
    <n v="91"/>
    <n v="617"/>
    <n v="88.142857142857139"/>
    <x v="1"/>
    <x v="2"/>
    <x v="1"/>
  </r>
  <r>
    <n v="283"/>
    <s v="Benjamin"/>
    <s v="Davis"/>
    <s v="benjamin.davis.283@gslingacademy.com"/>
    <x v="0"/>
    <x v="0"/>
    <x v="0"/>
    <x v="0"/>
    <n v="30"/>
    <x v="0"/>
    <n v="85"/>
    <n v="94"/>
    <n v="83"/>
    <n v="76"/>
    <n v="77"/>
    <n v="81"/>
    <n v="92"/>
    <n v="588"/>
    <n v="84"/>
    <x v="0"/>
    <x v="0"/>
    <x v="0"/>
  </r>
  <r>
    <n v="284"/>
    <s v="Nancy"/>
    <s v="Pierce"/>
    <s v="nancy.pierce.284@gslingacademy.com"/>
    <x v="1"/>
    <x v="1"/>
    <x v="9"/>
    <x v="1"/>
    <n v="4"/>
    <x v="3"/>
    <n v="82"/>
    <n v="85"/>
    <n v="75"/>
    <n v="92"/>
    <n v="76"/>
    <n v="95"/>
    <n v="85"/>
    <n v="590"/>
    <n v="84.285714285714292"/>
    <x v="3"/>
    <x v="2"/>
    <x v="0"/>
  </r>
  <r>
    <n v="285"/>
    <s v="Catherine"/>
    <s v="Weiss"/>
    <s v="catherine.weiss.285@gslingacademy.com"/>
    <x v="1"/>
    <x v="0"/>
    <x v="1"/>
    <x v="0"/>
    <n v="28"/>
    <x v="15"/>
    <n v="98"/>
    <n v="77"/>
    <n v="94"/>
    <n v="63"/>
    <n v="69"/>
    <n v="88"/>
    <n v="100"/>
    <n v="589"/>
    <n v="84.142857142857139"/>
    <x v="0"/>
    <x v="0"/>
    <x v="0"/>
  </r>
  <r>
    <n v="286"/>
    <s v="Jacob"/>
    <s v="Perez"/>
    <s v="jacob.perez.286@gslingacademy.com"/>
    <x v="0"/>
    <x v="0"/>
    <x v="3"/>
    <x v="1"/>
    <n v="29"/>
    <x v="1"/>
    <n v="93"/>
    <n v="96"/>
    <n v="94"/>
    <n v="84"/>
    <n v="91"/>
    <n v="67"/>
    <n v="68"/>
    <n v="593"/>
    <n v="84.714285714285708"/>
    <x v="0"/>
    <x v="2"/>
    <x v="0"/>
  </r>
  <r>
    <n v="287"/>
    <s v="Penny"/>
    <s v="Zuniga"/>
    <s v="penny.zuniga.287@gslingacademy.com"/>
    <x v="1"/>
    <x v="0"/>
    <x v="6"/>
    <x v="1"/>
    <n v="30"/>
    <x v="0"/>
    <n v="84"/>
    <n v="97"/>
    <n v="60"/>
    <n v="100"/>
    <n v="83"/>
    <n v="88"/>
    <n v="94"/>
    <n v="606"/>
    <n v="86.571428571428569"/>
    <x v="0"/>
    <x v="1"/>
    <x v="1"/>
  </r>
  <r>
    <n v="288"/>
    <s v="Anthony"/>
    <s v="Cox"/>
    <s v="anthony.cox.288@gslingacademy.com"/>
    <x v="0"/>
    <x v="0"/>
    <x v="9"/>
    <x v="0"/>
    <n v="31"/>
    <x v="4"/>
    <n v="81"/>
    <n v="95"/>
    <n v="76"/>
    <n v="60"/>
    <n v="61"/>
    <n v="98"/>
    <n v="77"/>
    <n v="548"/>
    <n v="78.285714285714292"/>
    <x v="1"/>
    <x v="2"/>
    <x v="0"/>
  </r>
  <r>
    <n v="289"/>
    <s v="Angela"/>
    <s v="Nelson"/>
    <s v="angela.nelson.289@gslingacademy.com"/>
    <x v="1"/>
    <x v="0"/>
    <x v="8"/>
    <x v="0"/>
    <n v="1"/>
    <x v="7"/>
    <n v="62"/>
    <n v="64"/>
    <n v="84"/>
    <n v="67"/>
    <n v="78"/>
    <n v="51"/>
    <n v="62"/>
    <n v="468"/>
    <n v="66.857142857142861"/>
    <x v="3"/>
    <x v="1"/>
    <x v="0"/>
  </r>
  <r>
    <n v="290"/>
    <s v="Lisa"/>
    <s v="White"/>
    <s v="lisa.white.290@gslingacademy.com"/>
    <x v="1"/>
    <x v="0"/>
    <x v="4"/>
    <x v="0"/>
    <n v="16"/>
    <x v="5"/>
    <n v="92"/>
    <n v="70"/>
    <n v="60"/>
    <n v="94"/>
    <n v="87"/>
    <n v="90"/>
    <n v="86"/>
    <n v="579"/>
    <n v="82.714285714285708"/>
    <x v="2"/>
    <x v="2"/>
    <x v="0"/>
  </r>
  <r>
    <n v="291"/>
    <s v="Robin"/>
    <s v="Parker"/>
    <s v="robin.parker.291@gslingacademy.com"/>
    <x v="1"/>
    <x v="0"/>
    <x v="1"/>
    <x v="1"/>
    <n v="18"/>
    <x v="6"/>
    <n v="64"/>
    <n v="93"/>
    <n v="61"/>
    <n v="61"/>
    <n v="74"/>
    <n v="94"/>
    <n v="64"/>
    <n v="511"/>
    <n v="73"/>
    <x v="2"/>
    <x v="0"/>
    <x v="0"/>
  </r>
  <r>
    <n v="292"/>
    <s v="Cynthia"/>
    <s v="Shields"/>
    <s v="cynthia.shields.292@gslingacademy.com"/>
    <x v="1"/>
    <x v="1"/>
    <x v="5"/>
    <x v="0"/>
    <n v="4"/>
    <x v="14"/>
    <n v="89"/>
    <n v="67"/>
    <n v="97"/>
    <n v="67"/>
    <n v="75"/>
    <n v="94"/>
    <n v="93"/>
    <n v="582"/>
    <n v="83.142857142857139"/>
    <x v="3"/>
    <x v="0"/>
    <x v="0"/>
  </r>
  <r>
    <n v="293"/>
    <s v="Pamela"/>
    <s v="Wilkinson"/>
    <s v="pamela.wilkinson.293@gslingacademy.com"/>
    <x v="1"/>
    <x v="0"/>
    <x v="8"/>
    <x v="0"/>
    <n v="32"/>
    <x v="11"/>
    <n v="99"/>
    <n v="88"/>
    <n v="84"/>
    <n v="87"/>
    <n v="36"/>
    <n v="96"/>
    <n v="86"/>
    <n v="576"/>
    <n v="82.285714285714292"/>
    <x v="1"/>
    <x v="1"/>
    <x v="0"/>
  </r>
  <r>
    <n v="294"/>
    <s v="Brenda"/>
    <s v="Nichols"/>
    <s v="brenda.nichols.294@gslingacademy.com"/>
    <x v="1"/>
    <x v="0"/>
    <x v="1"/>
    <x v="0"/>
    <n v="12"/>
    <x v="9"/>
    <n v="95"/>
    <n v="82"/>
    <n v="93"/>
    <n v="99"/>
    <n v="66"/>
    <n v="93"/>
    <n v="86"/>
    <n v="614"/>
    <n v="87.714285714285708"/>
    <x v="2"/>
    <x v="0"/>
    <x v="1"/>
  </r>
  <r>
    <n v="295"/>
    <s v="Laura"/>
    <s v="Rodriguez"/>
    <s v="laura.rodriguez.295@gslingacademy.com"/>
    <x v="1"/>
    <x v="1"/>
    <x v="4"/>
    <x v="0"/>
    <n v="5"/>
    <x v="12"/>
    <n v="72"/>
    <n v="92"/>
    <n v="67"/>
    <n v="100"/>
    <n v="70"/>
    <n v="94"/>
    <n v="81"/>
    <n v="576"/>
    <n v="82.285714285714292"/>
    <x v="3"/>
    <x v="2"/>
    <x v="0"/>
  </r>
  <r>
    <n v="296"/>
    <s v="Julie"/>
    <s v="Carey"/>
    <s v="julie.carey.296@gslingacademy.com"/>
    <x v="1"/>
    <x v="0"/>
    <x v="1"/>
    <x v="1"/>
    <n v="15"/>
    <x v="2"/>
    <n v="68"/>
    <n v="89"/>
    <n v="68"/>
    <n v="90"/>
    <n v="68"/>
    <n v="99"/>
    <n v="74"/>
    <n v="556"/>
    <n v="79.428571428571431"/>
    <x v="2"/>
    <x v="0"/>
    <x v="0"/>
  </r>
  <r>
    <n v="297"/>
    <s v="Barbara"/>
    <s v="Andrews"/>
    <s v="barbara.andrews.297@gslingacademy.com"/>
    <x v="1"/>
    <x v="0"/>
    <x v="0"/>
    <x v="0"/>
    <n v="31"/>
    <x v="11"/>
    <n v="92"/>
    <n v="69"/>
    <n v="78"/>
    <n v="68"/>
    <n v="70"/>
    <n v="80"/>
    <n v="73"/>
    <n v="530"/>
    <n v="75.714285714285708"/>
    <x v="1"/>
    <x v="0"/>
    <x v="0"/>
  </r>
  <r>
    <n v="298"/>
    <s v="Tracy"/>
    <s v="Johnson"/>
    <s v="tracy.johnson.298@gslingacademy.com"/>
    <x v="0"/>
    <x v="0"/>
    <x v="1"/>
    <x v="0"/>
    <n v="2"/>
    <x v="14"/>
    <n v="97"/>
    <n v="74"/>
    <n v="97"/>
    <n v="60"/>
    <n v="65"/>
    <n v="90"/>
    <n v="97"/>
    <n v="580"/>
    <n v="82.857142857142861"/>
    <x v="3"/>
    <x v="0"/>
    <x v="0"/>
  </r>
  <r>
    <n v="299"/>
    <s v="Sarah"/>
    <s v="Oconnor"/>
    <s v="sarah.oconnor.299@gslingacademy.com"/>
    <x v="1"/>
    <x v="0"/>
    <x v="5"/>
    <x v="0"/>
    <n v="2"/>
    <x v="4"/>
    <n v="81"/>
    <n v="92"/>
    <n v="94"/>
    <n v="77"/>
    <n v="84"/>
    <n v="63"/>
    <n v="64"/>
    <n v="555"/>
    <n v="79.285714285714292"/>
    <x v="3"/>
    <x v="0"/>
    <x v="0"/>
  </r>
  <r>
    <n v="300"/>
    <s v="Joseph"/>
    <s v="Landry"/>
    <s v="joseph.landry.300@gslingacademy.com"/>
    <x v="0"/>
    <x v="0"/>
    <x v="0"/>
    <x v="0"/>
    <n v="20"/>
    <x v="5"/>
    <n v="88"/>
    <n v="60"/>
    <n v="81"/>
    <n v="85"/>
    <n v="87"/>
    <n v="90"/>
    <n v="76"/>
    <n v="567"/>
    <n v="81"/>
    <x v="2"/>
    <x v="0"/>
    <x v="0"/>
  </r>
  <r>
    <n v="301"/>
    <s v="Terry"/>
    <s v="Chen"/>
    <s v="terry.chen.301@gslingacademy.com"/>
    <x v="0"/>
    <x v="0"/>
    <x v="5"/>
    <x v="1"/>
    <n v="11"/>
    <x v="15"/>
    <n v="76"/>
    <n v="82"/>
    <n v="70"/>
    <n v="72"/>
    <n v="78"/>
    <n v="60"/>
    <n v="81"/>
    <n v="519"/>
    <n v="74.142857142857139"/>
    <x v="2"/>
    <x v="0"/>
    <x v="0"/>
  </r>
  <r>
    <n v="302"/>
    <s v="Heather"/>
    <s v="Faulkner"/>
    <s v="heather.faulkner.302@gslingacademy.com"/>
    <x v="1"/>
    <x v="0"/>
    <x v="7"/>
    <x v="0"/>
    <n v="26"/>
    <x v="9"/>
    <n v="77"/>
    <n v="62"/>
    <n v="97"/>
    <n v="82"/>
    <n v="74"/>
    <n v="98"/>
    <n v="95"/>
    <n v="585"/>
    <n v="83.571428571428569"/>
    <x v="0"/>
    <x v="1"/>
    <x v="0"/>
  </r>
  <r>
    <n v="303"/>
    <s v="Wanda"/>
    <s v="Baxter"/>
    <s v="wanda.baxter.303@gslingacademy.com"/>
    <x v="1"/>
    <x v="0"/>
    <x v="0"/>
    <x v="0"/>
    <n v="22"/>
    <x v="11"/>
    <n v="89"/>
    <n v="81"/>
    <n v="99"/>
    <n v="71"/>
    <n v="67"/>
    <n v="74"/>
    <n v="89"/>
    <n v="570"/>
    <n v="81.428571428571431"/>
    <x v="0"/>
    <x v="0"/>
    <x v="0"/>
  </r>
  <r>
    <n v="304"/>
    <s v="Amanda"/>
    <s v="Davis"/>
    <s v="amanda.davis.304@gslingacademy.com"/>
    <x v="1"/>
    <x v="0"/>
    <x v="5"/>
    <x v="1"/>
    <n v="12"/>
    <x v="2"/>
    <n v="65"/>
    <n v="69"/>
    <n v="66"/>
    <n v="65"/>
    <n v="90"/>
    <n v="76"/>
    <n v="60"/>
    <n v="491"/>
    <n v="70.142857142857139"/>
    <x v="2"/>
    <x v="0"/>
    <x v="0"/>
  </r>
  <r>
    <n v="305"/>
    <s v="Gina"/>
    <s v="Powell"/>
    <s v="gina.powell.305@gslingacademy.com"/>
    <x v="1"/>
    <x v="1"/>
    <x v="7"/>
    <x v="0"/>
    <n v="4"/>
    <x v="7"/>
    <n v="82"/>
    <n v="55"/>
    <n v="76"/>
    <n v="63"/>
    <n v="70"/>
    <n v="61"/>
    <n v="60"/>
    <n v="467"/>
    <n v="66.714285714285708"/>
    <x v="3"/>
    <x v="1"/>
    <x v="0"/>
  </r>
  <r>
    <n v="306"/>
    <s v="Sabrina"/>
    <s v="Hall"/>
    <s v="sabrina.hall.306@gslingacademy.com"/>
    <x v="1"/>
    <x v="0"/>
    <x v="0"/>
    <x v="0"/>
    <n v="34"/>
    <x v="9"/>
    <n v="77"/>
    <n v="60"/>
    <n v="61"/>
    <n v="91"/>
    <n v="62"/>
    <n v="78"/>
    <n v="91"/>
    <n v="520"/>
    <n v="74.285714285714292"/>
    <x v="1"/>
    <x v="0"/>
    <x v="0"/>
  </r>
  <r>
    <n v="307"/>
    <s v="Lauren"/>
    <s v="Miller"/>
    <s v="lauren.miller.307@gslingacademy.com"/>
    <x v="1"/>
    <x v="0"/>
    <x v="10"/>
    <x v="0"/>
    <n v="9"/>
    <x v="6"/>
    <n v="66"/>
    <n v="70"/>
    <n v="88"/>
    <n v="70"/>
    <n v="62"/>
    <n v="70"/>
    <n v="75"/>
    <n v="501"/>
    <n v="71.571428571428569"/>
    <x v="4"/>
    <x v="3"/>
    <x v="0"/>
  </r>
  <r>
    <n v="308"/>
    <s v="Jessica"/>
    <s v="Diaz"/>
    <s v="jessica.diaz.308@gslingacademy.com"/>
    <x v="1"/>
    <x v="0"/>
    <x v="3"/>
    <x v="0"/>
    <n v="43"/>
    <x v="1"/>
    <n v="90"/>
    <n v="96"/>
    <n v="100"/>
    <n v="87"/>
    <n v="100"/>
    <n v="90"/>
    <n v="89"/>
    <n v="652"/>
    <n v="93.142857142857139"/>
    <x v="1"/>
    <x v="2"/>
    <x v="1"/>
  </r>
  <r>
    <n v="309"/>
    <s v="Ashley"/>
    <s v="Garcia"/>
    <s v="ashley.garcia.309@gslingacademy.com"/>
    <x v="1"/>
    <x v="0"/>
    <x v="1"/>
    <x v="0"/>
    <n v="1"/>
    <x v="16"/>
    <n v="73"/>
    <n v="87"/>
    <n v="90"/>
    <n v="96"/>
    <n v="61"/>
    <n v="61"/>
    <n v="76"/>
    <n v="544"/>
    <n v="77.714285714285708"/>
    <x v="3"/>
    <x v="0"/>
    <x v="0"/>
  </r>
  <r>
    <n v="310"/>
    <s v="Miranda"/>
    <s v="Johnson"/>
    <s v="miranda.johnson.310@gslingacademy.com"/>
    <x v="1"/>
    <x v="0"/>
    <x v="1"/>
    <x v="0"/>
    <n v="19"/>
    <x v="5"/>
    <n v="89"/>
    <n v="64"/>
    <n v="74"/>
    <n v="97"/>
    <n v="95"/>
    <n v="77"/>
    <n v="88"/>
    <n v="584"/>
    <n v="83.428571428571431"/>
    <x v="2"/>
    <x v="0"/>
    <x v="0"/>
  </r>
  <r>
    <n v="311"/>
    <s v="Tracy"/>
    <s v="Johnston"/>
    <s v="tracy.johnston.311@gslingacademy.com"/>
    <x v="1"/>
    <x v="1"/>
    <x v="9"/>
    <x v="0"/>
    <n v="2"/>
    <x v="7"/>
    <n v="72"/>
    <n v="55"/>
    <n v="54"/>
    <n v="62"/>
    <n v="75"/>
    <n v="79"/>
    <n v="96"/>
    <n v="493"/>
    <n v="70.428571428571431"/>
    <x v="3"/>
    <x v="2"/>
    <x v="0"/>
  </r>
  <r>
    <n v="312"/>
    <s v="Erik"/>
    <s v="Butler"/>
    <s v="erik.butler.312@gslingacademy.com"/>
    <x v="0"/>
    <x v="0"/>
    <x v="5"/>
    <x v="0"/>
    <n v="34"/>
    <x v="8"/>
    <n v="87"/>
    <n v="90"/>
    <n v="89"/>
    <n v="88"/>
    <n v="93"/>
    <n v="87"/>
    <n v="70"/>
    <n v="604"/>
    <n v="86.285714285714292"/>
    <x v="1"/>
    <x v="0"/>
    <x v="1"/>
  </r>
  <r>
    <n v="313"/>
    <s v="Tiffany"/>
    <s v="Jones"/>
    <s v="tiffany.jones.313@gslingacademy.com"/>
    <x v="1"/>
    <x v="0"/>
    <x v="9"/>
    <x v="1"/>
    <n v="31"/>
    <x v="8"/>
    <n v="75"/>
    <n v="98"/>
    <n v="96"/>
    <n v="85"/>
    <n v="81"/>
    <n v="69"/>
    <n v="90"/>
    <n v="594"/>
    <n v="84.857142857142861"/>
    <x v="1"/>
    <x v="2"/>
    <x v="0"/>
  </r>
  <r>
    <n v="314"/>
    <s v="Brandy"/>
    <s v="Campbell"/>
    <s v="brandy.campbell.314@gslingacademy.com"/>
    <x v="1"/>
    <x v="0"/>
    <x v="9"/>
    <x v="0"/>
    <n v="11"/>
    <x v="6"/>
    <n v="80"/>
    <n v="85"/>
    <n v="98"/>
    <n v="99"/>
    <n v="92"/>
    <n v="70"/>
    <n v="96"/>
    <n v="620"/>
    <n v="88.571428571428569"/>
    <x v="2"/>
    <x v="2"/>
    <x v="1"/>
  </r>
  <r>
    <n v="315"/>
    <s v="Joel"/>
    <s v="Hicks"/>
    <s v="joel.hicks.315@gslingacademy.com"/>
    <x v="0"/>
    <x v="0"/>
    <x v="1"/>
    <x v="0"/>
    <n v="35"/>
    <x v="4"/>
    <n v="85"/>
    <n v="87"/>
    <n v="87"/>
    <n v="90"/>
    <n v="91"/>
    <n v="91"/>
    <n v="99"/>
    <n v="630"/>
    <n v="90"/>
    <x v="1"/>
    <x v="0"/>
    <x v="1"/>
  </r>
  <r>
    <n v="316"/>
    <s v="John"/>
    <s v="Miller"/>
    <s v="john.miller.316@gslingacademy.com"/>
    <x v="0"/>
    <x v="0"/>
    <x v="9"/>
    <x v="0"/>
    <n v="20"/>
    <x v="5"/>
    <n v="92"/>
    <n v="93"/>
    <n v="74"/>
    <n v="76"/>
    <n v="79"/>
    <n v="65"/>
    <n v="74"/>
    <n v="553"/>
    <n v="79"/>
    <x v="2"/>
    <x v="2"/>
    <x v="0"/>
  </r>
  <r>
    <n v="317"/>
    <s v="Nancy"/>
    <s v="Jones"/>
    <s v="nancy.jones.317@gslingacademy.com"/>
    <x v="1"/>
    <x v="1"/>
    <x v="10"/>
    <x v="0"/>
    <n v="22"/>
    <x v="4"/>
    <n v="63"/>
    <n v="60"/>
    <n v="92"/>
    <n v="88"/>
    <n v="90"/>
    <n v="68"/>
    <n v="100"/>
    <n v="561"/>
    <n v="80.142857142857139"/>
    <x v="0"/>
    <x v="3"/>
    <x v="0"/>
  </r>
  <r>
    <n v="318"/>
    <s v="Jody"/>
    <s v="Mueller"/>
    <s v="jody.mueller.318@gslingacademy.com"/>
    <x v="1"/>
    <x v="0"/>
    <x v="0"/>
    <x v="0"/>
    <n v="2"/>
    <x v="14"/>
    <n v="99"/>
    <n v="99"/>
    <n v="87"/>
    <n v="80"/>
    <n v="89"/>
    <n v="78"/>
    <n v="87"/>
    <n v="619"/>
    <n v="88.428571428571431"/>
    <x v="3"/>
    <x v="0"/>
    <x v="1"/>
  </r>
  <r>
    <n v="319"/>
    <s v="Steven"/>
    <s v="Fox"/>
    <s v="steven.fox.319@gslingacademy.com"/>
    <x v="0"/>
    <x v="0"/>
    <x v="6"/>
    <x v="0"/>
    <n v="1"/>
    <x v="7"/>
    <n v="87"/>
    <n v="88"/>
    <n v="51"/>
    <n v="96"/>
    <n v="77"/>
    <n v="71"/>
    <n v="61"/>
    <n v="531"/>
    <n v="75.857142857142861"/>
    <x v="3"/>
    <x v="1"/>
    <x v="0"/>
  </r>
  <r>
    <n v="320"/>
    <s v="Taylor"/>
    <s v="Klein"/>
    <s v="taylor.klein.320@gslingacademy.com"/>
    <x v="1"/>
    <x v="0"/>
    <x v="9"/>
    <x v="0"/>
    <n v="34"/>
    <x v="5"/>
    <n v="87"/>
    <n v="84"/>
    <n v="62"/>
    <n v="76"/>
    <n v="89"/>
    <n v="83"/>
    <n v="93"/>
    <n v="574"/>
    <n v="82"/>
    <x v="1"/>
    <x v="2"/>
    <x v="0"/>
  </r>
  <r>
    <n v="321"/>
    <s v="David"/>
    <s v="Barron"/>
    <s v="david.barron.321@gslingacademy.com"/>
    <x v="0"/>
    <x v="1"/>
    <x v="4"/>
    <x v="0"/>
    <n v="17"/>
    <x v="5"/>
    <n v="90"/>
    <n v="75"/>
    <n v="71"/>
    <n v="64"/>
    <n v="97"/>
    <n v="89"/>
    <n v="88"/>
    <n v="574"/>
    <n v="82"/>
    <x v="2"/>
    <x v="2"/>
    <x v="0"/>
  </r>
  <r>
    <n v="322"/>
    <s v="Kevin"/>
    <s v="Thompson"/>
    <s v="kevin.thompson.322@gslingacademy.com"/>
    <x v="0"/>
    <x v="0"/>
    <x v="4"/>
    <x v="0"/>
    <n v="34"/>
    <x v="1"/>
    <n v="94"/>
    <n v="83"/>
    <n v="99"/>
    <n v="100"/>
    <n v="94"/>
    <n v="91"/>
    <n v="69"/>
    <n v="630"/>
    <n v="90"/>
    <x v="1"/>
    <x v="2"/>
    <x v="1"/>
  </r>
  <r>
    <n v="323"/>
    <s v="Andrea"/>
    <s v="Walters"/>
    <s v="andrea.walters.323@gslingacademy.com"/>
    <x v="1"/>
    <x v="1"/>
    <x v="3"/>
    <x v="0"/>
    <n v="25"/>
    <x v="4"/>
    <n v="86"/>
    <n v="76"/>
    <n v="81"/>
    <n v="83"/>
    <n v="81"/>
    <n v="70"/>
    <n v="65"/>
    <n v="542"/>
    <n v="77.428571428571431"/>
    <x v="0"/>
    <x v="2"/>
    <x v="0"/>
  </r>
  <r>
    <n v="324"/>
    <s v="David"/>
    <s v="Wright"/>
    <s v="david.wright.324@gslingacademy.com"/>
    <x v="0"/>
    <x v="0"/>
    <x v="0"/>
    <x v="0"/>
    <n v="8"/>
    <x v="4"/>
    <n v="96"/>
    <n v="81"/>
    <n v="95"/>
    <n v="78"/>
    <n v="79"/>
    <n v="65"/>
    <n v="86"/>
    <n v="580"/>
    <n v="82.857142857142861"/>
    <x v="4"/>
    <x v="0"/>
    <x v="0"/>
  </r>
  <r>
    <n v="325"/>
    <s v="Anthony"/>
    <s v="Oconnor"/>
    <s v="anthony.oconnor.325@gslingacademy.com"/>
    <x v="0"/>
    <x v="0"/>
    <x v="0"/>
    <x v="0"/>
    <n v="4"/>
    <x v="4"/>
    <n v="75"/>
    <n v="69"/>
    <n v="85"/>
    <n v="73"/>
    <n v="79"/>
    <n v="93"/>
    <n v="74"/>
    <n v="548"/>
    <n v="78.285714285714292"/>
    <x v="3"/>
    <x v="0"/>
    <x v="0"/>
  </r>
  <r>
    <n v="326"/>
    <s v="Laura"/>
    <s v="Miller"/>
    <s v="laura.miller.326@gslingacademy.com"/>
    <x v="1"/>
    <x v="0"/>
    <x v="5"/>
    <x v="1"/>
    <n v="26"/>
    <x v="0"/>
    <n v="74"/>
    <n v="92"/>
    <n v="81"/>
    <n v="79"/>
    <n v="74"/>
    <n v="85"/>
    <n v="86"/>
    <n v="571"/>
    <n v="81.571428571428569"/>
    <x v="0"/>
    <x v="0"/>
    <x v="0"/>
  </r>
  <r>
    <n v="327"/>
    <s v="Steven"/>
    <s v="Barrett"/>
    <s v="steven.barrett.327@gslingacademy.com"/>
    <x v="0"/>
    <x v="0"/>
    <x v="5"/>
    <x v="0"/>
    <n v="13"/>
    <x v="10"/>
    <n v="96"/>
    <n v="91"/>
    <n v="96"/>
    <n v="69"/>
    <n v="70"/>
    <n v="99"/>
    <n v="70"/>
    <n v="591"/>
    <n v="84.428571428571431"/>
    <x v="2"/>
    <x v="0"/>
    <x v="0"/>
  </r>
  <r>
    <n v="328"/>
    <s v="Miranda"/>
    <s v="Ruiz"/>
    <s v="miranda.ruiz.328@gslingacademy.com"/>
    <x v="1"/>
    <x v="0"/>
    <x v="5"/>
    <x v="1"/>
    <n v="4"/>
    <x v="2"/>
    <n v="79"/>
    <n v="77"/>
    <n v="62"/>
    <n v="98"/>
    <n v="76"/>
    <n v="99"/>
    <n v="82"/>
    <n v="573"/>
    <n v="81.857142857142861"/>
    <x v="3"/>
    <x v="0"/>
    <x v="0"/>
  </r>
  <r>
    <n v="329"/>
    <s v="Matthew"/>
    <s v="Anderson"/>
    <s v="matthew.anderson.329@gslingacademy.com"/>
    <x v="0"/>
    <x v="0"/>
    <x v="1"/>
    <x v="0"/>
    <n v="27"/>
    <x v="0"/>
    <n v="70"/>
    <n v="88"/>
    <n v="60"/>
    <n v="68"/>
    <n v="66"/>
    <n v="82"/>
    <n v="60"/>
    <n v="494"/>
    <n v="70.571428571428569"/>
    <x v="0"/>
    <x v="0"/>
    <x v="0"/>
  </r>
  <r>
    <n v="330"/>
    <s v="Kenneth"/>
    <s v="Flores"/>
    <s v="kenneth.flores.330@gslingacademy.com"/>
    <x v="0"/>
    <x v="0"/>
    <x v="3"/>
    <x v="0"/>
    <n v="32"/>
    <x v="4"/>
    <n v="79"/>
    <n v="91"/>
    <n v="62"/>
    <n v="87"/>
    <n v="80"/>
    <n v="65"/>
    <n v="94"/>
    <n v="558"/>
    <n v="79.714285714285708"/>
    <x v="1"/>
    <x v="2"/>
    <x v="0"/>
  </r>
  <r>
    <n v="331"/>
    <s v="Sydney"/>
    <s v="Johnson"/>
    <s v="sydney.johnson.331@gslingacademy.com"/>
    <x v="1"/>
    <x v="0"/>
    <x v="5"/>
    <x v="0"/>
    <n v="25"/>
    <x v="5"/>
    <n v="91"/>
    <n v="65"/>
    <n v="86"/>
    <n v="66"/>
    <n v="88"/>
    <n v="85"/>
    <n v="60"/>
    <n v="541"/>
    <n v="77.285714285714292"/>
    <x v="0"/>
    <x v="0"/>
    <x v="0"/>
  </r>
  <r>
    <n v="332"/>
    <s v="Carla"/>
    <s v="Lewis"/>
    <s v="carla.lewis.332@gslingacademy.com"/>
    <x v="1"/>
    <x v="0"/>
    <x v="5"/>
    <x v="0"/>
    <n v="13"/>
    <x v="12"/>
    <n v="90"/>
    <n v="72"/>
    <n v="78"/>
    <n v="61"/>
    <n v="78"/>
    <n v="88"/>
    <n v="74"/>
    <n v="541"/>
    <n v="77.285714285714292"/>
    <x v="2"/>
    <x v="0"/>
    <x v="0"/>
  </r>
  <r>
    <n v="333"/>
    <s v="Jeffrey"/>
    <s v="Shannon"/>
    <s v="jeffrey.shannon.333@gslingacademy.com"/>
    <x v="0"/>
    <x v="0"/>
    <x v="5"/>
    <x v="0"/>
    <n v="31"/>
    <x v="13"/>
    <n v="87"/>
    <n v="100"/>
    <n v="86"/>
    <n v="60"/>
    <n v="80"/>
    <n v="78"/>
    <n v="96"/>
    <n v="587"/>
    <n v="83.857142857142861"/>
    <x v="1"/>
    <x v="0"/>
    <x v="0"/>
  </r>
  <r>
    <n v="334"/>
    <s v="Angela"/>
    <s v="Park"/>
    <s v="angela.park.334@gslingacademy.com"/>
    <x v="1"/>
    <x v="0"/>
    <x v="0"/>
    <x v="0"/>
    <n v="8"/>
    <x v="6"/>
    <n v="69"/>
    <n v="99"/>
    <n v="78"/>
    <n v="85"/>
    <n v="98"/>
    <n v="86"/>
    <n v="73"/>
    <n v="588"/>
    <n v="84"/>
    <x v="4"/>
    <x v="0"/>
    <x v="0"/>
  </r>
  <r>
    <n v="335"/>
    <s v="Brandon"/>
    <s v="Smith"/>
    <s v="brandon.smith.335@gslingacademy.com"/>
    <x v="0"/>
    <x v="1"/>
    <x v="2"/>
    <x v="0"/>
    <n v="0"/>
    <x v="7"/>
    <n v="66"/>
    <n v="99"/>
    <n v="50"/>
    <n v="62"/>
    <n v="97"/>
    <n v="60"/>
    <n v="84"/>
    <n v="518"/>
    <n v="74"/>
    <x v="3"/>
    <x v="1"/>
    <x v="0"/>
  </r>
  <r>
    <n v="336"/>
    <s v="Kenneth"/>
    <s v="Moody"/>
    <s v="kenneth.moody.336@gslingacademy.com"/>
    <x v="0"/>
    <x v="0"/>
    <x v="6"/>
    <x v="0"/>
    <n v="6"/>
    <x v="2"/>
    <n v="65"/>
    <n v="95"/>
    <n v="78"/>
    <n v="65"/>
    <n v="74"/>
    <n v="69"/>
    <n v="63"/>
    <n v="509"/>
    <n v="72.714285714285708"/>
    <x v="4"/>
    <x v="1"/>
    <x v="0"/>
  </r>
  <r>
    <n v="337"/>
    <s v="Scott"/>
    <s v="Hughes"/>
    <s v="scott.hughes.337@gslingacademy.com"/>
    <x v="0"/>
    <x v="0"/>
    <x v="1"/>
    <x v="0"/>
    <n v="7"/>
    <x v="2"/>
    <n v="83"/>
    <n v="81"/>
    <n v="88"/>
    <n v="82"/>
    <n v="97"/>
    <n v="83"/>
    <n v="74"/>
    <n v="588"/>
    <n v="84"/>
    <x v="4"/>
    <x v="0"/>
    <x v="0"/>
  </r>
  <r>
    <n v="338"/>
    <s v="Cody"/>
    <s v="Jimenez"/>
    <s v="cody.jimenez.338@gslingacademy.com"/>
    <x v="0"/>
    <x v="0"/>
    <x v="5"/>
    <x v="0"/>
    <n v="32"/>
    <x v="0"/>
    <n v="100"/>
    <n v="89"/>
    <n v="95"/>
    <n v="63"/>
    <n v="67"/>
    <n v="92"/>
    <n v="75"/>
    <n v="581"/>
    <n v="83"/>
    <x v="1"/>
    <x v="0"/>
    <x v="0"/>
  </r>
  <r>
    <n v="339"/>
    <s v="Allen"/>
    <s v="Farmer"/>
    <s v="allen.farmer.339@gslingacademy.com"/>
    <x v="0"/>
    <x v="0"/>
    <x v="3"/>
    <x v="1"/>
    <n v="30"/>
    <x v="5"/>
    <n v="85"/>
    <n v="70"/>
    <n v="78"/>
    <n v="66"/>
    <n v="69"/>
    <n v="62"/>
    <n v="100"/>
    <n v="530"/>
    <n v="75.714285714285708"/>
    <x v="0"/>
    <x v="2"/>
    <x v="0"/>
  </r>
  <r>
    <n v="340"/>
    <s v="James"/>
    <s v="Young"/>
    <s v="james.young.340@gslingacademy.com"/>
    <x v="0"/>
    <x v="0"/>
    <x v="2"/>
    <x v="0"/>
    <n v="4"/>
    <x v="7"/>
    <n v="45"/>
    <n v="98"/>
    <n v="95"/>
    <n v="66"/>
    <n v="84"/>
    <n v="83"/>
    <n v="100"/>
    <n v="571"/>
    <n v="81.571428571428569"/>
    <x v="3"/>
    <x v="1"/>
    <x v="0"/>
  </r>
  <r>
    <n v="341"/>
    <s v="Laura"/>
    <s v="Dawson"/>
    <s v="laura.dawson.341@gslingacademy.com"/>
    <x v="1"/>
    <x v="0"/>
    <x v="3"/>
    <x v="0"/>
    <n v="15"/>
    <x v="2"/>
    <n v="73"/>
    <n v="75"/>
    <n v="94"/>
    <n v="82"/>
    <n v="71"/>
    <n v="90"/>
    <n v="75"/>
    <n v="560"/>
    <n v="80"/>
    <x v="2"/>
    <x v="2"/>
    <x v="0"/>
  </r>
  <r>
    <n v="342"/>
    <s v="Donald"/>
    <s v="Carson"/>
    <s v="donald.carson.342@gslingacademy.com"/>
    <x v="0"/>
    <x v="0"/>
    <x v="1"/>
    <x v="0"/>
    <n v="2"/>
    <x v="14"/>
    <n v="95"/>
    <n v="83"/>
    <n v="96"/>
    <n v="97"/>
    <n v="72"/>
    <n v="77"/>
    <n v="61"/>
    <n v="581"/>
    <n v="83"/>
    <x v="3"/>
    <x v="0"/>
    <x v="0"/>
  </r>
  <r>
    <n v="343"/>
    <s v="Wayne"/>
    <s v="Lane"/>
    <s v="wayne.lane.343@gslingacademy.com"/>
    <x v="0"/>
    <x v="0"/>
    <x v="8"/>
    <x v="1"/>
    <n v="32"/>
    <x v="0"/>
    <n v="96"/>
    <n v="95"/>
    <n v="61"/>
    <n v="72"/>
    <n v="71"/>
    <n v="83"/>
    <n v="96"/>
    <n v="574"/>
    <n v="82"/>
    <x v="1"/>
    <x v="1"/>
    <x v="0"/>
  </r>
  <r>
    <n v="344"/>
    <s v="Robert"/>
    <s v="Johnson"/>
    <s v="robert.johnson.344@gslingacademy.com"/>
    <x v="0"/>
    <x v="0"/>
    <x v="1"/>
    <x v="0"/>
    <n v="24"/>
    <x v="13"/>
    <n v="94"/>
    <n v="72"/>
    <n v="96"/>
    <n v="93"/>
    <n v="93"/>
    <n v="79"/>
    <n v="64"/>
    <n v="591"/>
    <n v="84.428571428571431"/>
    <x v="0"/>
    <x v="0"/>
    <x v="0"/>
  </r>
  <r>
    <n v="345"/>
    <s v="Melissa"/>
    <s v="Le"/>
    <s v="melissa.le.345@gslingacademy.com"/>
    <x v="1"/>
    <x v="0"/>
    <x v="5"/>
    <x v="0"/>
    <n v="18"/>
    <x v="6"/>
    <n v="92"/>
    <n v="69"/>
    <n v="69"/>
    <n v="60"/>
    <n v="90"/>
    <n v="88"/>
    <n v="95"/>
    <n v="563"/>
    <n v="80.428571428571431"/>
    <x v="2"/>
    <x v="0"/>
    <x v="0"/>
  </r>
  <r>
    <n v="346"/>
    <s v="David"/>
    <s v="Rice"/>
    <s v="david.rice.346@gslingacademy.com"/>
    <x v="0"/>
    <x v="1"/>
    <x v="7"/>
    <x v="0"/>
    <n v="5"/>
    <x v="7"/>
    <n v="56"/>
    <n v="52"/>
    <n v="76"/>
    <n v="95"/>
    <n v="54"/>
    <n v="59"/>
    <n v="85"/>
    <n v="477"/>
    <n v="68.142857142857139"/>
    <x v="3"/>
    <x v="1"/>
    <x v="0"/>
  </r>
  <r>
    <n v="347"/>
    <s v="Dawn"/>
    <s v="Gomez"/>
    <s v="dawn.gomez.347@gslingacademy.com"/>
    <x v="1"/>
    <x v="1"/>
    <x v="0"/>
    <x v="0"/>
    <n v="24"/>
    <x v="9"/>
    <n v="85"/>
    <n v="74"/>
    <n v="65"/>
    <n v="76"/>
    <n v="100"/>
    <n v="95"/>
    <n v="68"/>
    <n v="563"/>
    <n v="80.428571428571431"/>
    <x v="0"/>
    <x v="0"/>
    <x v="0"/>
  </r>
  <r>
    <n v="348"/>
    <s v="Ricky"/>
    <s v="Nichols"/>
    <s v="ricky.nichols.348@gslingacademy.com"/>
    <x v="0"/>
    <x v="0"/>
    <x v="5"/>
    <x v="0"/>
    <n v="16"/>
    <x v="12"/>
    <n v="65"/>
    <n v="90"/>
    <n v="68"/>
    <n v="99"/>
    <n v="74"/>
    <n v="82"/>
    <n v="86"/>
    <n v="564"/>
    <n v="80.571428571428569"/>
    <x v="2"/>
    <x v="0"/>
    <x v="0"/>
  </r>
  <r>
    <n v="349"/>
    <s v="Henry"/>
    <s v="Pitts"/>
    <s v="henry.pitts.349@gslingacademy.com"/>
    <x v="0"/>
    <x v="0"/>
    <x v="5"/>
    <x v="0"/>
    <n v="15"/>
    <x v="10"/>
    <n v="64"/>
    <n v="81"/>
    <n v="95"/>
    <n v="87"/>
    <n v="86"/>
    <n v="91"/>
    <n v="80"/>
    <n v="584"/>
    <n v="83.428571428571431"/>
    <x v="2"/>
    <x v="0"/>
    <x v="0"/>
  </r>
  <r>
    <n v="350"/>
    <s v="Christopher"/>
    <s v="Price"/>
    <s v="christopher.price.350@gslingacademy.com"/>
    <x v="0"/>
    <x v="0"/>
    <x v="0"/>
    <x v="0"/>
    <n v="26"/>
    <x v="5"/>
    <n v="100"/>
    <n v="88"/>
    <n v="94"/>
    <n v="67"/>
    <n v="62"/>
    <n v="66"/>
    <n v="96"/>
    <n v="573"/>
    <n v="81.857142857142861"/>
    <x v="0"/>
    <x v="0"/>
    <x v="0"/>
  </r>
  <r>
    <n v="351"/>
    <s v="Aimee"/>
    <s v="Adams"/>
    <s v="aimee.adams.351@gslingacademy.com"/>
    <x v="1"/>
    <x v="0"/>
    <x v="0"/>
    <x v="0"/>
    <n v="15"/>
    <x v="6"/>
    <n v="76"/>
    <n v="64"/>
    <n v="64"/>
    <n v="60"/>
    <n v="75"/>
    <n v="92"/>
    <n v="61"/>
    <n v="492"/>
    <n v="70.285714285714292"/>
    <x v="2"/>
    <x v="0"/>
    <x v="0"/>
  </r>
  <r>
    <n v="352"/>
    <s v="Tammy"/>
    <s v="Barry"/>
    <s v="tammy.barry.352@gslingacademy.com"/>
    <x v="1"/>
    <x v="0"/>
    <x v="5"/>
    <x v="0"/>
    <n v="5"/>
    <x v="14"/>
    <n v="97"/>
    <n v="76"/>
    <n v="91"/>
    <n v="76"/>
    <n v="89"/>
    <n v="60"/>
    <n v="85"/>
    <n v="574"/>
    <n v="82"/>
    <x v="3"/>
    <x v="0"/>
    <x v="0"/>
  </r>
  <r>
    <n v="353"/>
    <s v="Ryan"/>
    <s v="Hull"/>
    <s v="ryan.hull.353@gslingacademy.com"/>
    <x v="0"/>
    <x v="0"/>
    <x v="5"/>
    <x v="1"/>
    <n v="14"/>
    <x v="4"/>
    <n v="95"/>
    <n v="98"/>
    <n v="98"/>
    <n v="83"/>
    <n v="77"/>
    <n v="93"/>
    <n v="83"/>
    <n v="627"/>
    <n v="89.571428571428569"/>
    <x v="2"/>
    <x v="0"/>
    <x v="1"/>
  </r>
  <r>
    <n v="354"/>
    <s v="Samuel"/>
    <s v="Jackson"/>
    <s v="samuel.jackson.354@gslingacademy.com"/>
    <x v="0"/>
    <x v="0"/>
    <x v="9"/>
    <x v="0"/>
    <n v="1"/>
    <x v="14"/>
    <n v="85"/>
    <n v="64"/>
    <n v="90"/>
    <n v="94"/>
    <n v="68"/>
    <n v="97"/>
    <n v="61"/>
    <n v="559"/>
    <n v="79.857142857142861"/>
    <x v="3"/>
    <x v="2"/>
    <x v="0"/>
  </r>
  <r>
    <n v="355"/>
    <s v="Joshua"/>
    <s v="Smith"/>
    <s v="joshua.smith.355@gslingacademy.com"/>
    <x v="0"/>
    <x v="0"/>
    <x v="3"/>
    <x v="0"/>
    <n v="10"/>
    <x v="13"/>
    <n v="86"/>
    <n v="91"/>
    <n v="96"/>
    <n v="60"/>
    <n v="91"/>
    <n v="73"/>
    <n v="88"/>
    <n v="585"/>
    <n v="83.571428571428569"/>
    <x v="4"/>
    <x v="2"/>
    <x v="0"/>
  </r>
  <r>
    <n v="356"/>
    <s v="Sydney"/>
    <s v="Stevenson"/>
    <s v="sydney.stevenson.356@gslingacademy.com"/>
    <x v="1"/>
    <x v="0"/>
    <x v="4"/>
    <x v="0"/>
    <n v="5"/>
    <x v="7"/>
    <n v="100"/>
    <n v="58"/>
    <n v="58"/>
    <n v="100"/>
    <n v="60"/>
    <n v="52"/>
    <n v="82"/>
    <n v="510"/>
    <n v="72.857142857142861"/>
    <x v="3"/>
    <x v="2"/>
    <x v="0"/>
  </r>
  <r>
    <n v="357"/>
    <s v="Christopher"/>
    <s v="Rios"/>
    <s v="christopher.rios.357@gslingacademy.com"/>
    <x v="0"/>
    <x v="0"/>
    <x v="1"/>
    <x v="0"/>
    <n v="26"/>
    <x v="4"/>
    <n v="65"/>
    <n v="77"/>
    <n v="66"/>
    <n v="100"/>
    <n v="88"/>
    <n v="77"/>
    <n v="62"/>
    <n v="535"/>
    <n v="76.428571428571431"/>
    <x v="0"/>
    <x v="0"/>
    <x v="0"/>
  </r>
  <r>
    <n v="358"/>
    <s v="Brenda"/>
    <s v="Collins"/>
    <s v="brenda.collins.358@gslingacademy.com"/>
    <x v="1"/>
    <x v="0"/>
    <x v="1"/>
    <x v="1"/>
    <n v="26"/>
    <x v="0"/>
    <n v="71"/>
    <n v="81"/>
    <n v="99"/>
    <n v="74"/>
    <n v="74"/>
    <n v="82"/>
    <n v="67"/>
    <n v="548"/>
    <n v="78.285714285714292"/>
    <x v="0"/>
    <x v="0"/>
    <x v="0"/>
  </r>
  <r>
    <n v="359"/>
    <s v="Diana"/>
    <s v="Griffin"/>
    <s v="diana.griffin.359@gslingacademy.com"/>
    <x v="1"/>
    <x v="0"/>
    <x v="1"/>
    <x v="0"/>
    <n v="14"/>
    <x v="2"/>
    <n v="80"/>
    <n v="94"/>
    <n v="97"/>
    <n v="83"/>
    <n v="84"/>
    <n v="77"/>
    <n v="79"/>
    <n v="594"/>
    <n v="84.857142857142861"/>
    <x v="2"/>
    <x v="0"/>
    <x v="0"/>
  </r>
  <r>
    <n v="360"/>
    <s v="Gary"/>
    <s v="Gray"/>
    <s v="gary.gray.360@gslingacademy.com"/>
    <x v="0"/>
    <x v="0"/>
    <x v="6"/>
    <x v="1"/>
    <n v="21"/>
    <x v="13"/>
    <n v="91"/>
    <n v="76"/>
    <n v="96"/>
    <n v="77"/>
    <n v="99"/>
    <n v="64"/>
    <n v="83"/>
    <n v="586"/>
    <n v="83.714285714285708"/>
    <x v="0"/>
    <x v="1"/>
    <x v="0"/>
  </r>
  <r>
    <n v="361"/>
    <s v="Kimberly"/>
    <s v="Torres"/>
    <s v="kimberly.torres.361@gslingacademy.com"/>
    <x v="1"/>
    <x v="0"/>
    <x v="1"/>
    <x v="0"/>
    <n v="32"/>
    <x v="5"/>
    <n v="91"/>
    <n v="87"/>
    <n v="88"/>
    <n v="82"/>
    <n v="95"/>
    <n v="70"/>
    <n v="87"/>
    <n v="600"/>
    <n v="85.714285714285708"/>
    <x v="1"/>
    <x v="0"/>
    <x v="0"/>
  </r>
  <r>
    <n v="362"/>
    <s v="Jeffrey"/>
    <s v="Booker"/>
    <s v="jeffrey.booker.362@gslingacademy.com"/>
    <x v="0"/>
    <x v="0"/>
    <x v="10"/>
    <x v="0"/>
    <n v="30"/>
    <x v="5"/>
    <n v="100"/>
    <n v="86"/>
    <n v="81"/>
    <n v="100"/>
    <n v="66"/>
    <n v="98"/>
    <n v="97"/>
    <n v="628"/>
    <n v="89.714285714285708"/>
    <x v="0"/>
    <x v="3"/>
    <x v="1"/>
  </r>
  <r>
    <n v="363"/>
    <s v="Nicole"/>
    <s v="Buchanan"/>
    <s v="nicole.buchanan.363@gslingacademy.com"/>
    <x v="1"/>
    <x v="0"/>
    <x v="0"/>
    <x v="0"/>
    <n v="13"/>
    <x v="6"/>
    <n v="92"/>
    <n v="79"/>
    <n v="71"/>
    <n v="65"/>
    <n v="99"/>
    <n v="91"/>
    <n v="98"/>
    <n v="595"/>
    <n v="85"/>
    <x v="2"/>
    <x v="0"/>
    <x v="0"/>
  </r>
  <r>
    <n v="364"/>
    <s v="Kristin"/>
    <s v="Johnson"/>
    <s v="kristin.johnson.364@gslingacademy.com"/>
    <x v="1"/>
    <x v="0"/>
    <x v="6"/>
    <x v="0"/>
    <n v="33"/>
    <x v="9"/>
    <n v="89"/>
    <n v="76"/>
    <n v="95"/>
    <n v="83"/>
    <n v="84"/>
    <n v="96"/>
    <n v="61"/>
    <n v="584"/>
    <n v="83.428571428571431"/>
    <x v="1"/>
    <x v="1"/>
    <x v="0"/>
  </r>
  <r>
    <n v="365"/>
    <s v="Emily"/>
    <s v="Bell"/>
    <s v="emily.bell.365@gslingacademy.com"/>
    <x v="1"/>
    <x v="0"/>
    <x v="0"/>
    <x v="0"/>
    <n v="15"/>
    <x v="11"/>
    <n v="93"/>
    <n v="92"/>
    <n v="92"/>
    <n v="76"/>
    <n v="49"/>
    <n v="93"/>
    <n v="75"/>
    <n v="570"/>
    <n v="81.428571428571431"/>
    <x v="2"/>
    <x v="0"/>
    <x v="0"/>
  </r>
  <r>
    <n v="366"/>
    <s v="Francis"/>
    <s v="Nelson"/>
    <s v="francis.nelson.366@gslingacademy.com"/>
    <x v="0"/>
    <x v="0"/>
    <x v="7"/>
    <x v="0"/>
    <n v="33"/>
    <x v="4"/>
    <n v="81"/>
    <n v="64"/>
    <n v="67"/>
    <n v="74"/>
    <n v="65"/>
    <n v="94"/>
    <n v="96"/>
    <n v="541"/>
    <n v="77.285714285714292"/>
    <x v="1"/>
    <x v="1"/>
    <x v="0"/>
  </r>
  <r>
    <n v="367"/>
    <s v="Tracy"/>
    <s v="Harris"/>
    <s v="tracy.harris.367@gslingacademy.com"/>
    <x v="0"/>
    <x v="0"/>
    <x v="1"/>
    <x v="0"/>
    <n v="11"/>
    <x v="12"/>
    <n v="70"/>
    <n v="73"/>
    <n v="70"/>
    <n v="67"/>
    <n v="96"/>
    <n v="86"/>
    <n v="89"/>
    <n v="551"/>
    <n v="78.714285714285708"/>
    <x v="2"/>
    <x v="0"/>
    <x v="0"/>
  </r>
  <r>
    <n v="368"/>
    <s v="Sheila"/>
    <s v="Sosa"/>
    <s v="sheila.sosa.368@gslingacademy.com"/>
    <x v="1"/>
    <x v="0"/>
    <x v="1"/>
    <x v="0"/>
    <n v="30"/>
    <x v="4"/>
    <n v="61"/>
    <n v="70"/>
    <n v="89"/>
    <n v="97"/>
    <n v="60"/>
    <n v="79"/>
    <n v="79"/>
    <n v="535"/>
    <n v="76.428571428571431"/>
    <x v="0"/>
    <x v="0"/>
    <x v="0"/>
  </r>
  <r>
    <n v="369"/>
    <s v="Ashley"/>
    <s v="Mendez"/>
    <s v="ashley.mendez.369@gslingacademy.com"/>
    <x v="1"/>
    <x v="0"/>
    <x v="6"/>
    <x v="0"/>
    <n v="2"/>
    <x v="7"/>
    <n v="62"/>
    <n v="53"/>
    <n v="78"/>
    <n v="77"/>
    <n v="59"/>
    <n v="95"/>
    <n v="80"/>
    <n v="504"/>
    <n v="72"/>
    <x v="3"/>
    <x v="1"/>
    <x v="0"/>
  </r>
  <r>
    <n v="370"/>
    <s v="Matthew"/>
    <s v="Griffin"/>
    <s v="matthew.griffin.370@gslingacademy.com"/>
    <x v="0"/>
    <x v="0"/>
    <x v="0"/>
    <x v="0"/>
    <n v="4"/>
    <x v="15"/>
    <n v="83"/>
    <n v="61"/>
    <n v="79"/>
    <n v="99"/>
    <n v="66"/>
    <n v="60"/>
    <n v="76"/>
    <n v="524"/>
    <n v="74.857142857142861"/>
    <x v="3"/>
    <x v="0"/>
    <x v="0"/>
  </r>
  <r>
    <n v="371"/>
    <s v="Timothy"/>
    <s v="Mann"/>
    <s v="timothy.mann.371@gslingacademy.com"/>
    <x v="0"/>
    <x v="0"/>
    <x v="0"/>
    <x v="0"/>
    <n v="32"/>
    <x v="5"/>
    <n v="85"/>
    <n v="96"/>
    <n v="87"/>
    <n v="63"/>
    <n v="69"/>
    <n v="69"/>
    <n v="81"/>
    <n v="550"/>
    <n v="78.571428571428569"/>
    <x v="1"/>
    <x v="0"/>
    <x v="0"/>
  </r>
  <r>
    <n v="372"/>
    <s v="Christine"/>
    <s v="Foster"/>
    <s v="christine.foster.372@gslingacademy.com"/>
    <x v="1"/>
    <x v="1"/>
    <x v="6"/>
    <x v="0"/>
    <n v="0"/>
    <x v="7"/>
    <n v="83"/>
    <n v="55"/>
    <n v="87"/>
    <n v="74"/>
    <n v="73"/>
    <n v="77"/>
    <n v="61"/>
    <n v="510"/>
    <n v="72.857142857142861"/>
    <x v="3"/>
    <x v="1"/>
    <x v="0"/>
  </r>
  <r>
    <n v="373"/>
    <s v="Julie"/>
    <s v="Yates"/>
    <s v="julie.yates.373@gslingacademy.com"/>
    <x v="1"/>
    <x v="0"/>
    <x v="1"/>
    <x v="0"/>
    <n v="4"/>
    <x v="7"/>
    <n v="73"/>
    <n v="95"/>
    <n v="54"/>
    <n v="94"/>
    <n v="99"/>
    <n v="58"/>
    <n v="94"/>
    <n v="567"/>
    <n v="81"/>
    <x v="3"/>
    <x v="0"/>
    <x v="0"/>
  </r>
  <r>
    <n v="374"/>
    <s v="William"/>
    <s v="Ballard"/>
    <s v="william.ballard.374@gslingacademy.com"/>
    <x v="0"/>
    <x v="1"/>
    <x v="7"/>
    <x v="1"/>
    <n v="0"/>
    <x v="7"/>
    <n v="61"/>
    <n v="65"/>
    <n v="73"/>
    <n v="78"/>
    <n v="77"/>
    <n v="97"/>
    <n v="96"/>
    <n v="547"/>
    <n v="78.142857142857139"/>
    <x v="3"/>
    <x v="1"/>
    <x v="0"/>
  </r>
  <r>
    <n v="375"/>
    <s v="Kristen"/>
    <s v="Adams"/>
    <s v="kristen.adams.375@gslingacademy.com"/>
    <x v="1"/>
    <x v="0"/>
    <x v="3"/>
    <x v="1"/>
    <n v="21"/>
    <x v="4"/>
    <n v="77"/>
    <n v="72"/>
    <n v="81"/>
    <n v="63"/>
    <n v="69"/>
    <n v="73"/>
    <n v="80"/>
    <n v="515"/>
    <n v="73.571428571428569"/>
    <x v="0"/>
    <x v="2"/>
    <x v="0"/>
  </r>
  <r>
    <n v="376"/>
    <s v="Chelsea"/>
    <s v="Mitchell"/>
    <s v="chelsea.mitchell.376@gslingacademy.com"/>
    <x v="1"/>
    <x v="0"/>
    <x v="1"/>
    <x v="0"/>
    <n v="29"/>
    <x v="10"/>
    <n v="77"/>
    <n v="87"/>
    <n v="65"/>
    <n v="91"/>
    <n v="71"/>
    <n v="90"/>
    <n v="90"/>
    <n v="571"/>
    <n v="81.571428571428569"/>
    <x v="0"/>
    <x v="0"/>
    <x v="0"/>
  </r>
  <r>
    <n v="377"/>
    <s v="Patrick"/>
    <s v="Everett"/>
    <s v="patrick.everett.377@gslingacademy.com"/>
    <x v="0"/>
    <x v="0"/>
    <x v="0"/>
    <x v="0"/>
    <n v="32"/>
    <x v="4"/>
    <n v="99"/>
    <n v="94"/>
    <n v="94"/>
    <n v="62"/>
    <n v="68"/>
    <n v="79"/>
    <n v="68"/>
    <n v="564"/>
    <n v="80.571428571428569"/>
    <x v="1"/>
    <x v="0"/>
    <x v="0"/>
  </r>
  <r>
    <n v="378"/>
    <s v="Carla"/>
    <s v="Parker"/>
    <s v="carla.parker.378@gslingacademy.com"/>
    <x v="1"/>
    <x v="0"/>
    <x v="6"/>
    <x v="0"/>
    <n v="14"/>
    <x v="4"/>
    <n v="73"/>
    <n v="69"/>
    <n v="94"/>
    <n v="78"/>
    <n v="76"/>
    <n v="63"/>
    <n v="71"/>
    <n v="524"/>
    <n v="74.857142857142861"/>
    <x v="2"/>
    <x v="1"/>
    <x v="0"/>
  </r>
  <r>
    <n v="379"/>
    <s v="Casey"/>
    <s v="Galvan"/>
    <s v="casey.galvan.379@gslingacademy.com"/>
    <x v="0"/>
    <x v="0"/>
    <x v="5"/>
    <x v="0"/>
    <n v="25"/>
    <x v="0"/>
    <n v="95"/>
    <n v="89"/>
    <n v="96"/>
    <n v="89"/>
    <n v="60"/>
    <n v="99"/>
    <n v="93"/>
    <n v="621"/>
    <n v="88.714285714285708"/>
    <x v="0"/>
    <x v="0"/>
    <x v="1"/>
  </r>
  <r>
    <n v="380"/>
    <s v="Eric"/>
    <s v="Moran"/>
    <s v="eric.moran.380@gslingacademy.com"/>
    <x v="0"/>
    <x v="0"/>
    <x v="6"/>
    <x v="1"/>
    <n v="4"/>
    <x v="4"/>
    <n v="94"/>
    <n v="79"/>
    <n v="92"/>
    <n v="100"/>
    <n v="93"/>
    <n v="63"/>
    <n v="98"/>
    <n v="619"/>
    <n v="88.428571428571431"/>
    <x v="3"/>
    <x v="1"/>
    <x v="1"/>
  </r>
  <r>
    <n v="381"/>
    <s v="Tabitha"/>
    <s v="Hudson"/>
    <s v="tabitha.hudson.381@gslingacademy.com"/>
    <x v="1"/>
    <x v="0"/>
    <x v="1"/>
    <x v="1"/>
    <n v="32"/>
    <x v="15"/>
    <n v="75"/>
    <n v="83"/>
    <n v="85"/>
    <n v="65"/>
    <n v="76"/>
    <n v="94"/>
    <n v="60"/>
    <n v="538"/>
    <n v="76.857142857142861"/>
    <x v="1"/>
    <x v="0"/>
    <x v="0"/>
  </r>
  <r>
    <n v="382"/>
    <s v="Lance"/>
    <s v="Salazar"/>
    <s v="lance.salazar.382@gslingacademy.com"/>
    <x v="0"/>
    <x v="0"/>
    <x v="1"/>
    <x v="0"/>
    <n v="7"/>
    <x v="4"/>
    <n v="66"/>
    <n v="83"/>
    <n v="77"/>
    <n v="91"/>
    <n v="84"/>
    <n v="74"/>
    <n v="62"/>
    <n v="537"/>
    <n v="76.714285714285708"/>
    <x v="4"/>
    <x v="0"/>
    <x v="0"/>
  </r>
  <r>
    <n v="383"/>
    <s v="Melissa"/>
    <s v="Williamson"/>
    <s v="melissa.williamson.383@gslingacademy.com"/>
    <x v="1"/>
    <x v="1"/>
    <x v="5"/>
    <x v="0"/>
    <n v="22"/>
    <x v="5"/>
    <n v="91"/>
    <n v="79"/>
    <n v="89"/>
    <n v="74"/>
    <n v="79"/>
    <n v="74"/>
    <n v="61"/>
    <n v="547"/>
    <n v="78.142857142857139"/>
    <x v="0"/>
    <x v="0"/>
    <x v="0"/>
  </r>
  <r>
    <n v="384"/>
    <s v="James"/>
    <s v="Castro"/>
    <s v="james.castro.384@gslingacademy.com"/>
    <x v="0"/>
    <x v="0"/>
    <x v="3"/>
    <x v="0"/>
    <n v="3"/>
    <x v="4"/>
    <n v="81"/>
    <n v="61"/>
    <n v="75"/>
    <n v="65"/>
    <n v="90"/>
    <n v="92"/>
    <n v="80"/>
    <n v="544"/>
    <n v="77.714285714285708"/>
    <x v="3"/>
    <x v="2"/>
    <x v="0"/>
  </r>
  <r>
    <n v="385"/>
    <s v="Joseph"/>
    <s v="Johnson"/>
    <s v="joseph.johnson.385@gslingacademy.com"/>
    <x v="0"/>
    <x v="1"/>
    <x v="8"/>
    <x v="0"/>
    <n v="1"/>
    <x v="7"/>
    <n v="71"/>
    <n v="69"/>
    <n v="69"/>
    <n v="67"/>
    <n v="70"/>
    <n v="78"/>
    <n v="66"/>
    <n v="490"/>
    <n v="70"/>
    <x v="3"/>
    <x v="1"/>
    <x v="0"/>
  </r>
  <r>
    <n v="386"/>
    <s v="Gene"/>
    <s v="Woodward"/>
    <s v="gene.woodward.386@gslingacademy.com"/>
    <x v="0"/>
    <x v="0"/>
    <x v="9"/>
    <x v="1"/>
    <n v="23"/>
    <x v="10"/>
    <n v="77"/>
    <n v="94"/>
    <n v="97"/>
    <n v="77"/>
    <n v="63"/>
    <n v="98"/>
    <n v="98"/>
    <n v="604"/>
    <n v="86.285714285714292"/>
    <x v="0"/>
    <x v="2"/>
    <x v="1"/>
  </r>
  <r>
    <n v="387"/>
    <s v="Patricia"/>
    <s v="Watson"/>
    <s v="patricia.watson.387@gslingacademy.com"/>
    <x v="1"/>
    <x v="0"/>
    <x v="10"/>
    <x v="0"/>
    <n v="42"/>
    <x v="1"/>
    <n v="91"/>
    <n v="87"/>
    <n v="93"/>
    <n v="85"/>
    <n v="98"/>
    <n v="85"/>
    <n v="95"/>
    <n v="634"/>
    <n v="90.571428571428569"/>
    <x v="1"/>
    <x v="3"/>
    <x v="1"/>
  </r>
  <r>
    <n v="388"/>
    <s v="John"/>
    <s v="Carey"/>
    <s v="john.carey.388@gslingacademy.com"/>
    <x v="0"/>
    <x v="0"/>
    <x v="5"/>
    <x v="0"/>
    <n v="30"/>
    <x v="8"/>
    <n v="83"/>
    <n v="98"/>
    <n v="100"/>
    <n v="93"/>
    <n v="100"/>
    <n v="77"/>
    <n v="76"/>
    <n v="627"/>
    <n v="89.571428571428569"/>
    <x v="0"/>
    <x v="0"/>
    <x v="1"/>
  </r>
  <r>
    <n v="389"/>
    <s v="Sara"/>
    <s v="Cochran"/>
    <s v="sara.cochran.389@gslingacademy.com"/>
    <x v="1"/>
    <x v="0"/>
    <x v="5"/>
    <x v="0"/>
    <n v="1"/>
    <x v="7"/>
    <n v="75"/>
    <n v="51"/>
    <n v="70"/>
    <n v="84"/>
    <n v="66"/>
    <n v="64"/>
    <n v="88"/>
    <n v="498"/>
    <n v="71.142857142857139"/>
    <x v="3"/>
    <x v="0"/>
    <x v="0"/>
  </r>
  <r>
    <n v="390"/>
    <s v="Jamie"/>
    <s v="Suarez"/>
    <s v="jamie.suarez.390@gslingacademy.com"/>
    <x v="1"/>
    <x v="1"/>
    <x v="0"/>
    <x v="1"/>
    <n v="17"/>
    <x v="5"/>
    <n v="86"/>
    <n v="96"/>
    <n v="68"/>
    <n v="71"/>
    <n v="86"/>
    <n v="94"/>
    <n v="89"/>
    <n v="590"/>
    <n v="84.285714285714292"/>
    <x v="2"/>
    <x v="0"/>
    <x v="0"/>
  </r>
  <r>
    <n v="391"/>
    <s v="Steven"/>
    <s v="Frazier"/>
    <s v="steven.frazier.391@gslingacademy.com"/>
    <x v="0"/>
    <x v="0"/>
    <x v="1"/>
    <x v="0"/>
    <n v="48"/>
    <x v="1"/>
    <n v="86"/>
    <n v="88"/>
    <n v="89"/>
    <n v="89"/>
    <n v="98"/>
    <n v="89"/>
    <n v="96"/>
    <n v="635"/>
    <n v="90.714285714285708"/>
    <x v="1"/>
    <x v="0"/>
    <x v="1"/>
  </r>
  <r>
    <n v="392"/>
    <s v="Nicholas"/>
    <s v="Hart"/>
    <s v="nicholas.hart.392@gslingacademy.com"/>
    <x v="0"/>
    <x v="0"/>
    <x v="9"/>
    <x v="1"/>
    <n v="24"/>
    <x v="5"/>
    <n v="85"/>
    <n v="67"/>
    <n v="60"/>
    <n v="82"/>
    <n v="77"/>
    <n v="72"/>
    <n v="72"/>
    <n v="515"/>
    <n v="73.571428571428569"/>
    <x v="0"/>
    <x v="2"/>
    <x v="0"/>
  </r>
  <r>
    <n v="393"/>
    <s v="Cheryl"/>
    <s v="Arias"/>
    <s v="cheryl.arias.393@gslingacademy.com"/>
    <x v="1"/>
    <x v="0"/>
    <x v="4"/>
    <x v="0"/>
    <n v="31"/>
    <x v="10"/>
    <n v="62"/>
    <n v="81"/>
    <n v="80"/>
    <n v="88"/>
    <n v="78"/>
    <n v="94"/>
    <n v="85"/>
    <n v="568"/>
    <n v="81.142857142857139"/>
    <x v="1"/>
    <x v="2"/>
    <x v="0"/>
  </r>
  <r>
    <n v="394"/>
    <s v="Marc"/>
    <s v="Brock"/>
    <s v="marc.brock.394@gslingacademy.com"/>
    <x v="0"/>
    <x v="1"/>
    <x v="6"/>
    <x v="0"/>
    <n v="0"/>
    <x v="7"/>
    <n v="100"/>
    <n v="65"/>
    <n v="67"/>
    <n v="61"/>
    <n v="76"/>
    <n v="58"/>
    <n v="84"/>
    <n v="511"/>
    <n v="73"/>
    <x v="3"/>
    <x v="1"/>
    <x v="0"/>
  </r>
  <r>
    <n v="395"/>
    <s v="Timothy"/>
    <s v="Perez"/>
    <s v="timothy.perez.395@gslingacademy.com"/>
    <x v="0"/>
    <x v="0"/>
    <x v="2"/>
    <x v="0"/>
    <n v="2"/>
    <x v="7"/>
    <n v="79"/>
    <n v="86"/>
    <n v="97"/>
    <n v="60"/>
    <n v="66"/>
    <n v="74"/>
    <n v="96"/>
    <n v="558"/>
    <n v="79.714285714285708"/>
    <x v="3"/>
    <x v="1"/>
    <x v="0"/>
  </r>
  <r>
    <n v="396"/>
    <s v="Courtney"/>
    <s v="Rodriguez"/>
    <s v="courtney.rodriguez.396@gslingacademy.com"/>
    <x v="1"/>
    <x v="0"/>
    <x v="5"/>
    <x v="0"/>
    <n v="24"/>
    <x v="0"/>
    <n v="99"/>
    <n v="97"/>
    <n v="68"/>
    <n v="85"/>
    <n v="86"/>
    <n v="85"/>
    <n v="73"/>
    <n v="593"/>
    <n v="84.714285714285708"/>
    <x v="0"/>
    <x v="0"/>
    <x v="0"/>
  </r>
  <r>
    <n v="397"/>
    <s v="Samantha"/>
    <s v="Clark"/>
    <s v="samantha.clark.397@gslingacademy.com"/>
    <x v="1"/>
    <x v="0"/>
    <x v="6"/>
    <x v="0"/>
    <n v="2"/>
    <x v="7"/>
    <n v="46"/>
    <n v="65"/>
    <n v="97"/>
    <n v="100"/>
    <n v="56"/>
    <n v="73"/>
    <n v="95"/>
    <n v="532"/>
    <n v="76"/>
    <x v="3"/>
    <x v="1"/>
    <x v="0"/>
  </r>
  <r>
    <n v="398"/>
    <s v="Francisco"/>
    <s v="Reilly"/>
    <s v="francisco.reilly.398@gslingacademy.com"/>
    <x v="0"/>
    <x v="0"/>
    <x v="10"/>
    <x v="0"/>
    <n v="32"/>
    <x v="5"/>
    <n v="85"/>
    <n v="97"/>
    <n v="88"/>
    <n v="61"/>
    <n v="80"/>
    <n v="80"/>
    <n v="84"/>
    <n v="575"/>
    <n v="82.142857142857139"/>
    <x v="1"/>
    <x v="3"/>
    <x v="0"/>
  </r>
  <r>
    <n v="399"/>
    <s v="Denise"/>
    <s v="Young"/>
    <s v="denise.young.399@gslingacademy.com"/>
    <x v="1"/>
    <x v="0"/>
    <x v="1"/>
    <x v="0"/>
    <n v="4"/>
    <x v="2"/>
    <n v="85"/>
    <n v="68"/>
    <n v="89"/>
    <n v="64"/>
    <n v="79"/>
    <n v="66"/>
    <n v="66"/>
    <n v="517"/>
    <n v="73.857142857142861"/>
    <x v="3"/>
    <x v="0"/>
    <x v="0"/>
  </r>
  <r>
    <n v="400"/>
    <s v="Darrell"/>
    <s v="Williams"/>
    <s v="darrell.williams.400@gslingacademy.com"/>
    <x v="0"/>
    <x v="0"/>
    <x v="9"/>
    <x v="0"/>
    <n v="32"/>
    <x v="5"/>
    <n v="85"/>
    <n v="87"/>
    <n v="91"/>
    <n v="63"/>
    <n v="95"/>
    <n v="88"/>
    <n v="62"/>
    <n v="571"/>
    <n v="81.571428571428569"/>
    <x v="1"/>
    <x v="2"/>
    <x v="0"/>
  </r>
  <r>
    <n v="401"/>
    <s v="Andrew"/>
    <s v="Smith"/>
    <s v="andrew.smith.401@gslingacademy.com"/>
    <x v="0"/>
    <x v="0"/>
    <x v="0"/>
    <x v="0"/>
    <n v="16"/>
    <x v="15"/>
    <n v="99"/>
    <n v="86"/>
    <n v="90"/>
    <n v="100"/>
    <n v="96"/>
    <n v="77"/>
    <n v="60"/>
    <n v="608"/>
    <n v="86.857142857142861"/>
    <x v="2"/>
    <x v="0"/>
    <x v="1"/>
  </r>
  <r>
    <n v="402"/>
    <s v="Teresa"/>
    <s v="Stafford"/>
    <s v="teresa.stafford.402@gslingacademy.com"/>
    <x v="1"/>
    <x v="0"/>
    <x v="5"/>
    <x v="0"/>
    <n v="20"/>
    <x v="9"/>
    <n v="84"/>
    <n v="92"/>
    <n v="63"/>
    <n v="91"/>
    <n v="89"/>
    <n v="92"/>
    <n v="76"/>
    <n v="587"/>
    <n v="83.857142857142861"/>
    <x v="2"/>
    <x v="0"/>
    <x v="0"/>
  </r>
  <r>
    <n v="403"/>
    <s v="Cory"/>
    <s v="Harris"/>
    <s v="cory.harris.403@gslingacademy.com"/>
    <x v="0"/>
    <x v="0"/>
    <x v="9"/>
    <x v="0"/>
    <n v="28"/>
    <x v="13"/>
    <n v="85"/>
    <n v="72"/>
    <n v="87"/>
    <n v="72"/>
    <n v="68"/>
    <n v="85"/>
    <n v="78"/>
    <n v="547"/>
    <n v="78.142857142857139"/>
    <x v="0"/>
    <x v="2"/>
    <x v="0"/>
  </r>
  <r>
    <n v="404"/>
    <s v="Douglas"/>
    <s v="Irwin"/>
    <s v="douglas.irwin.404@gslingacademy.com"/>
    <x v="0"/>
    <x v="0"/>
    <x v="6"/>
    <x v="0"/>
    <n v="30"/>
    <x v="5"/>
    <n v="100"/>
    <n v="79"/>
    <n v="92"/>
    <n v="92"/>
    <n v="67"/>
    <n v="68"/>
    <n v="72"/>
    <n v="570"/>
    <n v="81.428571428571431"/>
    <x v="0"/>
    <x v="1"/>
    <x v="0"/>
  </r>
  <r>
    <n v="405"/>
    <s v="Deborah"/>
    <s v="Miller"/>
    <s v="deborah.miller.405@gslingacademy.com"/>
    <x v="1"/>
    <x v="0"/>
    <x v="0"/>
    <x v="0"/>
    <n v="17"/>
    <x v="9"/>
    <n v="86"/>
    <n v="61"/>
    <n v="68"/>
    <n v="91"/>
    <n v="60"/>
    <n v="86"/>
    <n v="62"/>
    <n v="514"/>
    <n v="73.428571428571431"/>
    <x v="2"/>
    <x v="0"/>
    <x v="0"/>
  </r>
  <r>
    <n v="406"/>
    <s v="Autumn"/>
    <s v="Hernandez"/>
    <s v="autumn.hernandez.406@gslingacademy.com"/>
    <x v="1"/>
    <x v="0"/>
    <x v="3"/>
    <x v="0"/>
    <n v="25"/>
    <x v="4"/>
    <n v="79"/>
    <n v="70"/>
    <n v="71"/>
    <n v="95"/>
    <n v="79"/>
    <n v="77"/>
    <n v="68"/>
    <n v="539"/>
    <n v="77"/>
    <x v="0"/>
    <x v="2"/>
    <x v="0"/>
  </r>
  <r>
    <n v="407"/>
    <s v="Paul"/>
    <s v="Serrano"/>
    <s v="paul.serrano.407@gslingacademy.com"/>
    <x v="0"/>
    <x v="0"/>
    <x v="3"/>
    <x v="0"/>
    <n v="18"/>
    <x v="11"/>
    <n v="76"/>
    <n v="82"/>
    <n v="76"/>
    <n v="71"/>
    <n v="70"/>
    <n v="89"/>
    <n v="76"/>
    <n v="540"/>
    <n v="77.142857142857139"/>
    <x v="2"/>
    <x v="2"/>
    <x v="0"/>
  </r>
  <r>
    <n v="408"/>
    <s v="Matthew"/>
    <s v="Griffin"/>
    <s v="matthew.griffin.408@gslingacademy.com"/>
    <x v="0"/>
    <x v="1"/>
    <x v="5"/>
    <x v="0"/>
    <n v="23"/>
    <x v="5"/>
    <n v="96"/>
    <n v="63"/>
    <n v="69"/>
    <n v="67"/>
    <n v="69"/>
    <n v="92"/>
    <n v="77"/>
    <n v="533"/>
    <n v="76.142857142857139"/>
    <x v="0"/>
    <x v="0"/>
    <x v="0"/>
  </r>
  <r>
    <n v="409"/>
    <s v="Evan"/>
    <s v="Holmes"/>
    <s v="evan.holmes.409@gslingacademy.com"/>
    <x v="0"/>
    <x v="0"/>
    <x v="9"/>
    <x v="1"/>
    <n v="23"/>
    <x v="5"/>
    <n v="100"/>
    <n v="77"/>
    <n v="75"/>
    <n v="74"/>
    <n v="80"/>
    <n v="94"/>
    <n v="74"/>
    <n v="574"/>
    <n v="82"/>
    <x v="0"/>
    <x v="2"/>
    <x v="0"/>
  </r>
  <r>
    <n v="410"/>
    <s v="Cynthia"/>
    <s v="Baker"/>
    <s v="cynthia.baker.410@gslingacademy.com"/>
    <x v="1"/>
    <x v="0"/>
    <x v="4"/>
    <x v="0"/>
    <n v="21"/>
    <x v="5"/>
    <n v="88"/>
    <n v="84"/>
    <n v="87"/>
    <n v="97"/>
    <n v="94"/>
    <n v="87"/>
    <n v="85"/>
    <n v="622"/>
    <n v="88.857142857142861"/>
    <x v="0"/>
    <x v="2"/>
    <x v="1"/>
  </r>
  <r>
    <n v="411"/>
    <s v="Sandra"/>
    <s v="Melendez"/>
    <s v="sandra.melendez.411@gslingacademy.com"/>
    <x v="1"/>
    <x v="0"/>
    <x v="0"/>
    <x v="0"/>
    <n v="27"/>
    <x v="5"/>
    <n v="96"/>
    <n v="76"/>
    <n v="98"/>
    <n v="89"/>
    <n v="93"/>
    <n v="85"/>
    <n v="75"/>
    <n v="612"/>
    <n v="87.428571428571431"/>
    <x v="0"/>
    <x v="0"/>
    <x v="1"/>
  </r>
  <r>
    <n v="412"/>
    <s v="Claudia"/>
    <s v="Munoz"/>
    <s v="claudia.munoz.412@gslingacademy.com"/>
    <x v="1"/>
    <x v="0"/>
    <x v="3"/>
    <x v="0"/>
    <n v="14"/>
    <x v="5"/>
    <n v="92"/>
    <n v="66"/>
    <n v="96"/>
    <n v="71"/>
    <n v="87"/>
    <n v="89"/>
    <n v="61"/>
    <n v="562"/>
    <n v="80.285714285714292"/>
    <x v="2"/>
    <x v="2"/>
    <x v="0"/>
  </r>
  <r>
    <n v="413"/>
    <s v="Christopher"/>
    <s v="Nguyen"/>
    <s v="christopher.nguyen.413@gslingacademy.com"/>
    <x v="0"/>
    <x v="0"/>
    <x v="1"/>
    <x v="1"/>
    <n v="37"/>
    <x v="1"/>
    <n v="87"/>
    <n v="93"/>
    <n v="99"/>
    <n v="100"/>
    <n v="97"/>
    <n v="92"/>
    <n v="90"/>
    <n v="658"/>
    <n v="94"/>
    <x v="1"/>
    <x v="0"/>
    <x v="1"/>
  </r>
  <r>
    <n v="414"/>
    <s v="David"/>
    <s v="Jennings"/>
    <s v="david.jennings.414@gslingacademy.com"/>
    <x v="0"/>
    <x v="0"/>
    <x v="0"/>
    <x v="0"/>
    <n v="29"/>
    <x v="11"/>
    <n v="95"/>
    <n v="82"/>
    <n v="74"/>
    <n v="87"/>
    <n v="36"/>
    <n v="61"/>
    <n v="88"/>
    <n v="523"/>
    <n v="74.714285714285708"/>
    <x v="0"/>
    <x v="0"/>
    <x v="0"/>
  </r>
  <r>
    <n v="415"/>
    <s v="Joel"/>
    <s v="Morris"/>
    <s v="joel.morris.415@gslingacademy.com"/>
    <x v="0"/>
    <x v="1"/>
    <x v="4"/>
    <x v="0"/>
    <n v="4"/>
    <x v="7"/>
    <n v="44"/>
    <n v="76"/>
    <n v="56"/>
    <n v="71"/>
    <n v="66"/>
    <n v="54"/>
    <n v="91"/>
    <n v="458"/>
    <n v="65.428571428571431"/>
    <x v="3"/>
    <x v="2"/>
    <x v="0"/>
  </r>
  <r>
    <n v="416"/>
    <s v="Rhonda"/>
    <s v="Bradley"/>
    <s v="rhonda.bradley.416@gslingacademy.com"/>
    <x v="1"/>
    <x v="0"/>
    <x v="0"/>
    <x v="0"/>
    <n v="16"/>
    <x v="9"/>
    <n v="78"/>
    <n v="89"/>
    <n v="68"/>
    <n v="63"/>
    <n v="81"/>
    <n v="92"/>
    <n v="97"/>
    <n v="568"/>
    <n v="81.142857142857139"/>
    <x v="2"/>
    <x v="0"/>
    <x v="0"/>
  </r>
  <r>
    <n v="417"/>
    <s v="Melissa"/>
    <s v="Brown"/>
    <s v="melissa.brown.417@gslingacademy.com"/>
    <x v="1"/>
    <x v="0"/>
    <x v="9"/>
    <x v="0"/>
    <n v="30"/>
    <x v="11"/>
    <n v="95"/>
    <n v="78"/>
    <n v="93"/>
    <n v="85"/>
    <n v="48"/>
    <n v="68"/>
    <n v="75"/>
    <n v="542"/>
    <n v="77.428571428571431"/>
    <x v="0"/>
    <x v="2"/>
    <x v="0"/>
  </r>
  <r>
    <n v="418"/>
    <s v="Matthew"/>
    <s v="Kramer"/>
    <s v="matthew.kramer.418@gslingacademy.com"/>
    <x v="0"/>
    <x v="1"/>
    <x v="6"/>
    <x v="0"/>
    <n v="1"/>
    <x v="7"/>
    <n v="57"/>
    <n v="56"/>
    <n v="53"/>
    <n v="75"/>
    <n v="98"/>
    <n v="92"/>
    <n v="73"/>
    <n v="504"/>
    <n v="72"/>
    <x v="3"/>
    <x v="1"/>
    <x v="0"/>
  </r>
  <r>
    <n v="419"/>
    <s v="Austin"/>
    <s v="Bass"/>
    <s v="austin.bass.419@gslingacademy.com"/>
    <x v="0"/>
    <x v="0"/>
    <x v="0"/>
    <x v="1"/>
    <n v="24"/>
    <x v="5"/>
    <n v="86"/>
    <n v="99"/>
    <n v="95"/>
    <n v="94"/>
    <n v="92"/>
    <n v="90"/>
    <n v="77"/>
    <n v="633"/>
    <n v="90.428571428571431"/>
    <x v="0"/>
    <x v="0"/>
    <x v="1"/>
  </r>
  <r>
    <n v="420"/>
    <s v="Jennifer"/>
    <s v="West"/>
    <s v="jennifer.west.420@gslingacademy.com"/>
    <x v="1"/>
    <x v="0"/>
    <x v="1"/>
    <x v="0"/>
    <n v="35"/>
    <x v="10"/>
    <n v="92"/>
    <n v="97"/>
    <n v="100"/>
    <n v="91"/>
    <n v="95"/>
    <n v="90"/>
    <n v="95"/>
    <n v="660"/>
    <n v="94.285714285714292"/>
    <x v="1"/>
    <x v="0"/>
    <x v="1"/>
  </r>
  <r>
    <n v="421"/>
    <s v="Patricia"/>
    <s v="Mccormick"/>
    <s v="patricia.mccormick.421@gslingacademy.com"/>
    <x v="1"/>
    <x v="0"/>
    <x v="5"/>
    <x v="0"/>
    <n v="14"/>
    <x v="6"/>
    <n v="69"/>
    <n v="69"/>
    <n v="84"/>
    <n v="100"/>
    <n v="69"/>
    <n v="77"/>
    <n v="87"/>
    <n v="555"/>
    <n v="79.285714285714292"/>
    <x v="2"/>
    <x v="0"/>
    <x v="0"/>
  </r>
  <r>
    <n v="422"/>
    <s v="Sandra"/>
    <s v="Jacobs"/>
    <s v="sandra.jacobs.422@gslingacademy.com"/>
    <x v="1"/>
    <x v="0"/>
    <x v="5"/>
    <x v="0"/>
    <n v="3"/>
    <x v="12"/>
    <n v="91"/>
    <n v="62"/>
    <n v="75"/>
    <n v="60"/>
    <n v="82"/>
    <n v="91"/>
    <n v="96"/>
    <n v="557"/>
    <n v="79.571428571428569"/>
    <x v="3"/>
    <x v="0"/>
    <x v="0"/>
  </r>
  <r>
    <n v="423"/>
    <s v="Jasmine"/>
    <s v="Clark"/>
    <s v="jasmine.clark.423@gslingacademy.com"/>
    <x v="1"/>
    <x v="0"/>
    <x v="9"/>
    <x v="0"/>
    <n v="15"/>
    <x v="11"/>
    <n v="79"/>
    <n v="79"/>
    <n v="97"/>
    <n v="78"/>
    <n v="31"/>
    <n v="99"/>
    <n v="84"/>
    <n v="547"/>
    <n v="78.142857142857139"/>
    <x v="2"/>
    <x v="2"/>
    <x v="0"/>
  </r>
  <r>
    <n v="424"/>
    <s v="Jeffrey"/>
    <s v="Young"/>
    <s v="jeffrey.young.424@gslingacademy.com"/>
    <x v="0"/>
    <x v="0"/>
    <x v="3"/>
    <x v="0"/>
    <n v="23"/>
    <x v="5"/>
    <n v="93"/>
    <n v="96"/>
    <n v="80"/>
    <n v="64"/>
    <n v="91"/>
    <n v="68"/>
    <n v="71"/>
    <n v="563"/>
    <n v="80.428571428571431"/>
    <x v="0"/>
    <x v="2"/>
    <x v="0"/>
  </r>
  <r>
    <n v="425"/>
    <s v="Jason"/>
    <s v="Hernandez"/>
    <s v="jason.hernandez.425@gslingacademy.com"/>
    <x v="0"/>
    <x v="0"/>
    <x v="4"/>
    <x v="0"/>
    <n v="19"/>
    <x v="4"/>
    <n v="90"/>
    <n v="79"/>
    <n v="90"/>
    <n v="73"/>
    <n v="76"/>
    <n v="68"/>
    <n v="95"/>
    <n v="571"/>
    <n v="81.571428571428569"/>
    <x v="2"/>
    <x v="2"/>
    <x v="0"/>
  </r>
  <r>
    <n v="426"/>
    <s v="Christopher"/>
    <s v="Hamilton"/>
    <s v="christopher.hamilton.426@gslingacademy.com"/>
    <x v="0"/>
    <x v="0"/>
    <x v="0"/>
    <x v="0"/>
    <n v="33"/>
    <x v="1"/>
    <n v="99"/>
    <n v="68"/>
    <n v="100"/>
    <n v="95"/>
    <n v="95"/>
    <n v="88"/>
    <n v="83"/>
    <n v="628"/>
    <n v="89.714285714285708"/>
    <x v="1"/>
    <x v="0"/>
    <x v="1"/>
  </r>
  <r>
    <n v="427"/>
    <s v="Monique"/>
    <s v="Peterson"/>
    <s v="monique.peterson.427@gslingacademy.com"/>
    <x v="1"/>
    <x v="0"/>
    <x v="10"/>
    <x v="0"/>
    <n v="14"/>
    <x v="9"/>
    <n v="90"/>
    <n v="69"/>
    <n v="81"/>
    <n v="92"/>
    <n v="65"/>
    <n v="89"/>
    <n v="69"/>
    <n v="555"/>
    <n v="79.285714285714292"/>
    <x v="2"/>
    <x v="3"/>
    <x v="0"/>
  </r>
  <r>
    <n v="428"/>
    <s v="Jill"/>
    <s v="Sexton"/>
    <s v="jill.sexton.428@gslingacademy.com"/>
    <x v="1"/>
    <x v="0"/>
    <x v="5"/>
    <x v="1"/>
    <n v="0"/>
    <x v="3"/>
    <n v="71"/>
    <n v="84"/>
    <n v="66"/>
    <n v="75"/>
    <n v="93"/>
    <n v="84"/>
    <n v="69"/>
    <n v="542"/>
    <n v="77.428571428571431"/>
    <x v="3"/>
    <x v="0"/>
    <x v="0"/>
  </r>
  <r>
    <n v="429"/>
    <s v="Jennifer"/>
    <s v="Kemp"/>
    <s v="jennifer.kemp.429@gslingacademy.com"/>
    <x v="1"/>
    <x v="0"/>
    <x v="5"/>
    <x v="0"/>
    <n v="34"/>
    <x v="0"/>
    <n v="98"/>
    <n v="93"/>
    <n v="67"/>
    <n v="74"/>
    <n v="81"/>
    <n v="87"/>
    <n v="76"/>
    <n v="576"/>
    <n v="82.285714285714292"/>
    <x v="1"/>
    <x v="0"/>
    <x v="0"/>
  </r>
  <r>
    <n v="430"/>
    <s v="David"/>
    <s v="Harris"/>
    <s v="david.harris.430@gslingacademy.com"/>
    <x v="0"/>
    <x v="0"/>
    <x v="3"/>
    <x v="0"/>
    <n v="33"/>
    <x v="8"/>
    <n v="94"/>
    <n v="99"/>
    <n v="83"/>
    <n v="94"/>
    <n v="93"/>
    <n v="95"/>
    <n v="93"/>
    <n v="651"/>
    <n v="93"/>
    <x v="1"/>
    <x v="2"/>
    <x v="1"/>
  </r>
  <r>
    <n v="431"/>
    <s v="Cheryl"/>
    <s v="Snyder"/>
    <s v="cheryl.snyder.431@gslingacademy.com"/>
    <x v="1"/>
    <x v="0"/>
    <x v="6"/>
    <x v="0"/>
    <n v="7"/>
    <x v="15"/>
    <n v="92"/>
    <n v="89"/>
    <n v="79"/>
    <n v="76"/>
    <n v="86"/>
    <n v="61"/>
    <n v="81"/>
    <n v="564"/>
    <n v="80.571428571428569"/>
    <x v="4"/>
    <x v="1"/>
    <x v="0"/>
  </r>
  <r>
    <n v="432"/>
    <s v="Nathan"/>
    <s v="Armstrong"/>
    <s v="nathan.armstrong.432@gslingacademy.com"/>
    <x v="0"/>
    <x v="0"/>
    <x v="1"/>
    <x v="0"/>
    <n v="18"/>
    <x v="5"/>
    <n v="100"/>
    <n v="96"/>
    <n v="74"/>
    <n v="61"/>
    <n v="87"/>
    <n v="94"/>
    <n v="60"/>
    <n v="572"/>
    <n v="81.714285714285708"/>
    <x v="2"/>
    <x v="0"/>
    <x v="0"/>
  </r>
  <r>
    <n v="433"/>
    <s v="Patrick"/>
    <s v="Ryan"/>
    <s v="patrick.ryan.433@gslingacademy.com"/>
    <x v="0"/>
    <x v="0"/>
    <x v="2"/>
    <x v="0"/>
    <n v="4"/>
    <x v="7"/>
    <n v="48"/>
    <n v="55"/>
    <n v="86"/>
    <n v="51"/>
    <n v="54"/>
    <n v="94"/>
    <n v="61"/>
    <n v="449"/>
    <n v="64.142857142857139"/>
    <x v="3"/>
    <x v="1"/>
    <x v="0"/>
  </r>
  <r>
    <n v="434"/>
    <s v="Christian"/>
    <s v="Wilkins"/>
    <s v="christian.wilkins.434@gslingacademy.com"/>
    <x v="0"/>
    <x v="0"/>
    <x v="4"/>
    <x v="0"/>
    <n v="10"/>
    <x v="16"/>
    <n v="63"/>
    <n v="87"/>
    <n v="71"/>
    <n v="68"/>
    <n v="66"/>
    <n v="67"/>
    <n v="99"/>
    <n v="521"/>
    <n v="74.428571428571431"/>
    <x v="4"/>
    <x v="2"/>
    <x v="0"/>
  </r>
  <r>
    <n v="435"/>
    <s v="Clinton"/>
    <s v="Martin"/>
    <s v="clinton.martin.435@gslingacademy.com"/>
    <x v="0"/>
    <x v="1"/>
    <x v="1"/>
    <x v="0"/>
    <n v="22"/>
    <x v="5"/>
    <n v="89"/>
    <n v="83"/>
    <n v="89"/>
    <n v="91"/>
    <n v="94"/>
    <n v="93"/>
    <n v="69"/>
    <n v="608"/>
    <n v="86.857142857142861"/>
    <x v="0"/>
    <x v="0"/>
    <x v="1"/>
  </r>
  <r>
    <n v="436"/>
    <s v="Adriana"/>
    <s v="Sandoval"/>
    <s v="adriana.sandoval.436@gslingacademy.com"/>
    <x v="1"/>
    <x v="0"/>
    <x v="3"/>
    <x v="0"/>
    <n v="28"/>
    <x v="15"/>
    <n v="88"/>
    <n v="90"/>
    <n v="93"/>
    <n v="81"/>
    <n v="88"/>
    <n v="90"/>
    <n v="74"/>
    <n v="604"/>
    <n v="86.285714285714292"/>
    <x v="0"/>
    <x v="2"/>
    <x v="1"/>
  </r>
  <r>
    <n v="437"/>
    <s v="Jeremy"/>
    <s v="Harvey"/>
    <s v="jeremy.harvey.437@gslingacademy.com"/>
    <x v="0"/>
    <x v="0"/>
    <x v="1"/>
    <x v="0"/>
    <n v="2"/>
    <x v="16"/>
    <n v="98"/>
    <n v="87"/>
    <n v="67"/>
    <n v="97"/>
    <n v="62"/>
    <n v="60"/>
    <n v="79"/>
    <n v="550"/>
    <n v="78.571428571428569"/>
    <x v="3"/>
    <x v="0"/>
    <x v="0"/>
  </r>
  <r>
    <n v="438"/>
    <s v="Caitlin"/>
    <s v="Murillo"/>
    <s v="caitlin.murillo.438@gslingacademy.com"/>
    <x v="1"/>
    <x v="0"/>
    <x v="5"/>
    <x v="0"/>
    <n v="0"/>
    <x v="7"/>
    <n v="92"/>
    <n v="86"/>
    <n v="88"/>
    <n v="75"/>
    <n v="60"/>
    <n v="50"/>
    <n v="79"/>
    <n v="530"/>
    <n v="75.714285714285708"/>
    <x v="3"/>
    <x v="0"/>
    <x v="0"/>
  </r>
  <r>
    <n v="439"/>
    <s v="Andrew"/>
    <s v="Green"/>
    <s v="andrew.green.439@gslingacademy.com"/>
    <x v="0"/>
    <x v="0"/>
    <x v="0"/>
    <x v="0"/>
    <n v="24"/>
    <x v="1"/>
    <n v="80"/>
    <n v="60"/>
    <n v="100"/>
    <n v="99"/>
    <n v="98"/>
    <n v="75"/>
    <n v="94"/>
    <n v="606"/>
    <n v="86.571428571428569"/>
    <x v="0"/>
    <x v="0"/>
    <x v="1"/>
  </r>
  <r>
    <n v="440"/>
    <s v="Rodney"/>
    <s v="Bennett"/>
    <s v="rodney.bennett.440@gslingacademy.com"/>
    <x v="0"/>
    <x v="0"/>
    <x v="1"/>
    <x v="0"/>
    <n v="15"/>
    <x v="13"/>
    <n v="92"/>
    <n v="63"/>
    <n v="91"/>
    <n v="65"/>
    <n v="69"/>
    <n v="94"/>
    <n v="98"/>
    <n v="572"/>
    <n v="81.714285714285708"/>
    <x v="2"/>
    <x v="0"/>
    <x v="0"/>
  </r>
  <r>
    <n v="441"/>
    <s v="Megan"/>
    <s v="Moyer"/>
    <s v="megan.moyer.441@gslingacademy.com"/>
    <x v="1"/>
    <x v="1"/>
    <x v="1"/>
    <x v="0"/>
    <n v="1"/>
    <x v="3"/>
    <n v="82"/>
    <n v="95"/>
    <n v="68"/>
    <n v="64"/>
    <n v="97"/>
    <n v="99"/>
    <n v="60"/>
    <n v="565"/>
    <n v="80.714285714285708"/>
    <x v="3"/>
    <x v="0"/>
    <x v="0"/>
  </r>
  <r>
    <n v="442"/>
    <s v="Mathew"/>
    <s v="Burns"/>
    <s v="mathew.burns.442@gslingacademy.com"/>
    <x v="0"/>
    <x v="0"/>
    <x v="5"/>
    <x v="0"/>
    <n v="8"/>
    <x v="15"/>
    <n v="84"/>
    <n v="74"/>
    <n v="74"/>
    <n v="75"/>
    <n v="99"/>
    <n v="99"/>
    <n v="85"/>
    <n v="590"/>
    <n v="84.285714285714292"/>
    <x v="4"/>
    <x v="0"/>
    <x v="0"/>
  </r>
  <r>
    <n v="443"/>
    <s v="Tammie"/>
    <s v="Stanley"/>
    <s v="tammie.stanley.443@gslingacademy.com"/>
    <x v="1"/>
    <x v="0"/>
    <x v="6"/>
    <x v="0"/>
    <n v="9"/>
    <x v="6"/>
    <n v="61"/>
    <n v="70"/>
    <n v="65"/>
    <n v="67"/>
    <n v="93"/>
    <n v="81"/>
    <n v="63"/>
    <n v="500"/>
    <n v="71.428571428571431"/>
    <x v="4"/>
    <x v="1"/>
    <x v="0"/>
  </r>
  <r>
    <n v="444"/>
    <s v="James"/>
    <s v="Glover"/>
    <s v="james.glover.444@gslingacademy.com"/>
    <x v="0"/>
    <x v="0"/>
    <x v="9"/>
    <x v="0"/>
    <n v="33"/>
    <x v="5"/>
    <n v="99"/>
    <n v="87"/>
    <n v="98"/>
    <n v="76"/>
    <n v="65"/>
    <n v="94"/>
    <n v="67"/>
    <n v="586"/>
    <n v="83.714285714285708"/>
    <x v="1"/>
    <x v="2"/>
    <x v="0"/>
  </r>
  <r>
    <n v="445"/>
    <s v="Michelle"/>
    <s v="Reeves"/>
    <s v="michelle.reeves.445@gslingacademy.com"/>
    <x v="1"/>
    <x v="0"/>
    <x v="0"/>
    <x v="0"/>
    <n v="32"/>
    <x v="11"/>
    <n v="83"/>
    <n v="69"/>
    <n v="90"/>
    <n v="78"/>
    <n v="39"/>
    <n v="95"/>
    <n v="82"/>
    <n v="536"/>
    <n v="76.571428571428569"/>
    <x v="1"/>
    <x v="0"/>
    <x v="0"/>
  </r>
  <r>
    <n v="446"/>
    <s v="Rhonda"/>
    <s v="Hall"/>
    <s v="rhonda.hall.446@gslingacademy.com"/>
    <x v="1"/>
    <x v="1"/>
    <x v="2"/>
    <x v="0"/>
    <n v="4"/>
    <x v="7"/>
    <n v="56"/>
    <n v="90"/>
    <n v="95"/>
    <n v="59"/>
    <n v="91"/>
    <n v="77"/>
    <n v="99"/>
    <n v="567"/>
    <n v="81"/>
    <x v="3"/>
    <x v="1"/>
    <x v="0"/>
  </r>
  <r>
    <n v="447"/>
    <s v="Matthew"/>
    <s v="Kidd"/>
    <s v="matthew.kidd.447@gslingacademy.com"/>
    <x v="0"/>
    <x v="0"/>
    <x v="1"/>
    <x v="0"/>
    <n v="2"/>
    <x v="7"/>
    <n v="65"/>
    <n v="64"/>
    <n v="52"/>
    <n v="56"/>
    <n v="63"/>
    <n v="82"/>
    <n v="83"/>
    <n v="465"/>
    <n v="66.428571428571431"/>
    <x v="3"/>
    <x v="0"/>
    <x v="0"/>
  </r>
  <r>
    <n v="448"/>
    <s v="Joseph"/>
    <s v="Stone"/>
    <s v="joseph.stone.448@gslingacademy.com"/>
    <x v="0"/>
    <x v="0"/>
    <x v="0"/>
    <x v="0"/>
    <n v="20"/>
    <x v="12"/>
    <n v="94"/>
    <n v="61"/>
    <n v="77"/>
    <n v="73"/>
    <n v="79"/>
    <n v="65"/>
    <n v="89"/>
    <n v="538"/>
    <n v="76.857142857142861"/>
    <x v="2"/>
    <x v="0"/>
    <x v="0"/>
  </r>
  <r>
    <n v="449"/>
    <s v="Jessica"/>
    <s v="Mendoza"/>
    <s v="jessica.mendoza.449@gslingacademy.com"/>
    <x v="1"/>
    <x v="0"/>
    <x v="5"/>
    <x v="0"/>
    <n v="21"/>
    <x v="5"/>
    <n v="90"/>
    <n v="96"/>
    <n v="73"/>
    <n v="89"/>
    <n v="93"/>
    <n v="87"/>
    <n v="96"/>
    <n v="624"/>
    <n v="89.142857142857139"/>
    <x v="0"/>
    <x v="0"/>
    <x v="1"/>
  </r>
  <r>
    <n v="450"/>
    <s v="Susan"/>
    <s v="Brown"/>
    <s v="susan.brown.450@gslingacademy.com"/>
    <x v="1"/>
    <x v="0"/>
    <x v="0"/>
    <x v="0"/>
    <n v="29"/>
    <x v="0"/>
    <n v="94"/>
    <n v="82"/>
    <n v="81"/>
    <n v="90"/>
    <n v="76"/>
    <n v="97"/>
    <n v="86"/>
    <n v="606"/>
    <n v="86.571428571428569"/>
    <x v="0"/>
    <x v="0"/>
    <x v="1"/>
  </r>
  <r>
    <n v="451"/>
    <s v="Lori"/>
    <s v="Ryan"/>
    <s v="lori.ryan.451@gslingacademy.com"/>
    <x v="1"/>
    <x v="0"/>
    <x v="0"/>
    <x v="0"/>
    <n v="13"/>
    <x v="4"/>
    <n v="89"/>
    <n v="87"/>
    <n v="63"/>
    <n v="83"/>
    <n v="64"/>
    <n v="85"/>
    <n v="72"/>
    <n v="543"/>
    <n v="77.571428571428569"/>
    <x v="2"/>
    <x v="0"/>
    <x v="0"/>
  </r>
  <r>
    <n v="452"/>
    <s v="Ryan"/>
    <s v="Cruz"/>
    <s v="ryan.cruz.452@gslingacademy.com"/>
    <x v="0"/>
    <x v="0"/>
    <x v="5"/>
    <x v="0"/>
    <n v="24"/>
    <x v="11"/>
    <n v="89"/>
    <n v="67"/>
    <n v="68"/>
    <n v="93"/>
    <n v="98"/>
    <n v="75"/>
    <n v="88"/>
    <n v="578"/>
    <n v="82.571428571428569"/>
    <x v="0"/>
    <x v="0"/>
    <x v="0"/>
  </r>
  <r>
    <n v="453"/>
    <s v="Nicholas"/>
    <s v="Johnson"/>
    <s v="nicholas.johnson.453@gslingacademy.com"/>
    <x v="0"/>
    <x v="0"/>
    <x v="6"/>
    <x v="0"/>
    <n v="30"/>
    <x v="1"/>
    <n v="88"/>
    <n v="98"/>
    <n v="87"/>
    <n v="85"/>
    <n v="96"/>
    <n v="77"/>
    <n v="96"/>
    <n v="627"/>
    <n v="89.571428571428569"/>
    <x v="0"/>
    <x v="1"/>
    <x v="1"/>
  </r>
  <r>
    <n v="454"/>
    <s v="Joseph"/>
    <s v="Schmidt"/>
    <s v="joseph.schmidt.454@gslingacademy.com"/>
    <x v="0"/>
    <x v="0"/>
    <x v="5"/>
    <x v="0"/>
    <n v="25"/>
    <x v="15"/>
    <n v="76"/>
    <n v="94"/>
    <n v="90"/>
    <n v="75"/>
    <n v="92"/>
    <n v="86"/>
    <n v="87"/>
    <n v="600"/>
    <n v="85.714285714285708"/>
    <x v="0"/>
    <x v="0"/>
    <x v="0"/>
  </r>
  <r>
    <n v="455"/>
    <s v="Daniel"/>
    <s v="Brown"/>
    <s v="daniel.brown.455@gslingacademy.com"/>
    <x v="0"/>
    <x v="0"/>
    <x v="5"/>
    <x v="0"/>
    <n v="1"/>
    <x v="12"/>
    <n v="88"/>
    <n v="78"/>
    <n v="84"/>
    <n v="96"/>
    <n v="92"/>
    <n v="99"/>
    <n v="97"/>
    <n v="634"/>
    <n v="90.571428571428569"/>
    <x v="3"/>
    <x v="0"/>
    <x v="1"/>
  </r>
  <r>
    <n v="456"/>
    <s v="Harold"/>
    <s v="Vazquez"/>
    <s v="harold.vazquez.456@gslingacademy.com"/>
    <x v="0"/>
    <x v="0"/>
    <x v="9"/>
    <x v="0"/>
    <n v="27"/>
    <x v="5"/>
    <n v="88"/>
    <n v="76"/>
    <n v="80"/>
    <n v="72"/>
    <n v="100"/>
    <n v="69"/>
    <n v="71"/>
    <n v="556"/>
    <n v="79.428571428571431"/>
    <x v="0"/>
    <x v="2"/>
    <x v="0"/>
  </r>
  <r>
    <n v="457"/>
    <s v="Lance"/>
    <s v="Parsons"/>
    <s v="lance.parsons.457@gslingacademy.com"/>
    <x v="0"/>
    <x v="0"/>
    <x v="10"/>
    <x v="1"/>
    <n v="4"/>
    <x v="16"/>
    <n v="54"/>
    <n v="88"/>
    <n v="82"/>
    <n v="89"/>
    <n v="72"/>
    <n v="60"/>
    <n v="69"/>
    <n v="514"/>
    <n v="73.428571428571431"/>
    <x v="3"/>
    <x v="3"/>
    <x v="0"/>
  </r>
  <r>
    <n v="458"/>
    <s v="Jill"/>
    <s v="Mathews"/>
    <s v="jill.mathews.458@gslingacademy.com"/>
    <x v="1"/>
    <x v="0"/>
    <x v="1"/>
    <x v="1"/>
    <n v="32"/>
    <x v="9"/>
    <n v="87"/>
    <n v="87"/>
    <n v="76"/>
    <n v="67"/>
    <n v="68"/>
    <n v="89"/>
    <n v="77"/>
    <n v="551"/>
    <n v="78.714285714285708"/>
    <x v="1"/>
    <x v="0"/>
    <x v="0"/>
  </r>
  <r>
    <n v="459"/>
    <s v="Crystal"/>
    <s v="Nguyen"/>
    <s v="crystal.nguyen.459@gslingacademy.com"/>
    <x v="1"/>
    <x v="0"/>
    <x v="5"/>
    <x v="0"/>
    <n v="1"/>
    <x v="3"/>
    <n v="95"/>
    <n v="73"/>
    <n v="79"/>
    <n v="81"/>
    <n v="82"/>
    <n v="69"/>
    <n v="100"/>
    <n v="579"/>
    <n v="82.714285714285708"/>
    <x v="3"/>
    <x v="0"/>
    <x v="0"/>
  </r>
  <r>
    <n v="460"/>
    <s v="Susan"/>
    <s v="Perez"/>
    <s v="susan.perez.460@gslingacademy.com"/>
    <x v="1"/>
    <x v="0"/>
    <x v="1"/>
    <x v="0"/>
    <n v="32"/>
    <x v="12"/>
    <n v="72"/>
    <n v="72"/>
    <n v="68"/>
    <n v="81"/>
    <n v="95"/>
    <n v="90"/>
    <n v="99"/>
    <n v="577"/>
    <n v="82.428571428571431"/>
    <x v="1"/>
    <x v="0"/>
    <x v="0"/>
  </r>
  <r>
    <n v="461"/>
    <s v="Brenda"/>
    <s v="Powers"/>
    <s v="brenda.powers.461@gslingacademy.com"/>
    <x v="1"/>
    <x v="0"/>
    <x v="5"/>
    <x v="1"/>
    <n v="4"/>
    <x v="16"/>
    <n v="95"/>
    <n v="76"/>
    <n v="70"/>
    <n v="89"/>
    <n v="88"/>
    <n v="87"/>
    <n v="62"/>
    <n v="567"/>
    <n v="81"/>
    <x v="3"/>
    <x v="0"/>
    <x v="0"/>
  </r>
  <r>
    <n v="462"/>
    <s v="Samuel"/>
    <s v="Thompson"/>
    <s v="samuel.thompson.462@gslingacademy.com"/>
    <x v="0"/>
    <x v="0"/>
    <x v="9"/>
    <x v="0"/>
    <n v="28"/>
    <x v="5"/>
    <n v="91"/>
    <n v="97"/>
    <n v="86"/>
    <n v="77"/>
    <n v="83"/>
    <n v="79"/>
    <n v="62"/>
    <n v="575"/>
    <n v="82.142857142857139"/>
    <x v="0"/>
    <x v="2"/>
    <x v="0"/>
  </r>
  <r>
    <n v="463"/>
    <s v="Taylor"/>
    <s v="Nelson"/>
    <s v="taylor.nelson.463@gslingacademy.com"/>
    <x v="1"/>
    <x v="0"/>
    <x v="0"/>
    <x v="1"/>
    <n v="32"/>
    <x v="0"/>
    <n v="79"/>
    <n v="81"/>
    <n v="63"/>
    <n v="79"/>
    <n v="96"/>
    <n v="96"/>
    <n v="89"/>
    <n v="583"/>
    <n v="83.285714285714292"/>
    <x v="1"/>
    <x v="0"/>
    <x v="0"/>
  </r>
  <r>
    <n v="464"/>
    <s v="Kimberly"/>
    <s v="West"/>
    <s v="kimberly.west.464@gslingacademy.com"/>
    <x v="1"/>
    <x v="0"/>
    <x v="5"/>
    <x v="0"/>
    <n v="33"/>
    <x v="1"/>
    <n v="80"/>
    <n v="71"/>
    <n v="94"/>
    <n v="92"/>
    <n v="92"/>
    <n v="60"/>
    <n v="78"/>
    <n v="567"/>
    <n v="81"/>
    <x v="1"/>
    <x v="0"/>
    <x v="0"/>
  </r>
  <r>
    <n v="465"/>
    <s v="Brad"/>
    <s v="Lee"/>
    <s v="brad.lee.465@gslingacademy.com"/>
    <x v="0"/>
    <x v="1"/>
    <x v="1"/>
    <x v="0"/>
    <n v="4"/>
    <x v="7"/>
    <n v="86"/>
    <n v="90"/>
    <n v="88"/>
    <n v="73"/>
    <n v="50"/>
    <n v="93"/>
    <n v="71"/>
    <n v="551"/>
    <n v="78.714285714285708"/>
    <x v="3"/>
    <x v="0"/>
    <x v="0"/>
  </r>
  <r>
    <n v="466"/>
    <s v="Clayton"/>
    <s v="Green"/>
    <s v="clayton.green.466@gslingacademy.com"/>
    <x v="0"/>
    <x v="0"/>
    <x v="5"/>
    <x v="0"/>
    <n v="31"/>
    <x v="5"/>
    <n v="88"/>
    <n v="88"/>
    <n v="90"/>
    <n v="67"/>
    <n v="77"/>
    <n v="83"/>
    <n v="64"/>
    <n v="557"/>
    <n v="79.571428571428569"/>
    <x v="1"/>
    <x v="0"/>
    <x v="0"/>
  </r>
  <r>
    <n v="467"/>
    <s v="Richard"/>
    <s v="Anderson"/>
    <s v="richard.anderson.467@gslingacademy.com"/>
    <x v="0"/>
    <x v="0"/>
    <x v="3"/>
    <x v="0"/>
    <n v="17"/>
    <x v="13"/>
    <n v="83"/>
    <n v="95"/>
    <n v="86"/>
    <n v="80"/>
    <n v="64"/>
    <n v="66"/>
    <n v="97"/>
    <n v="571"/>
    <n v="81.571428571428569"/>
    <x v="2"/>
    <x v="2"/>
    <x v="0"/>
  </r>
  <r>
    <n v="468"/>
    <s v="Antonio"/>
    <s v="Flores"/>
    <s v="antonio.flores.468@gslingacademy.com"/>
    <x v="0"/>
    <x v="0"/>
    <x v="1"/>
    <x v="0"/>
    <n v="23"/>
    <x v="1"/>
    <n v="84"/>
    <n v="84"/>
    <n v="80"/>
    <n v="97"/>
    <n v="87"/>
    <n v="97"/>
    <n v="91"/>
    <n v="620"/>
    <n v="88.571428571428569"/>
    <x v="0"/>
    <x v="0"/>
    <x v="1"/>
  </r>
  <r>
    <n v="469"/>
    <s v="Margaret"/>
    <s v="Mullins"/>
    <s v="margaret.mullins.469@gslingacademy.com"/>
    <x v="1"/>
    <x v="0"/>
    <x v="10"/>
    <x v="0"/>
    <n v="29"/>
    <x v="5"/>
    <n v="85"/>
    <n v="82"/>
    <n v="81"/>
    <n v="85"/>
    <n v="72"/>
    <n v="90"/>
    <n v="71"/>
    <n v="566"/>
    <n v="80.857142857142861"/>
    <x v="0"/>
    <x v="3"/>
    <x v="0"/>
  </r>
  <r>
    <n v="470"/>
    <s v="Michael"/>
    <s v="Ball"/>
    <s v="michael.ball.470@gslingacademy.com"/>
    <x v="0"/>
    <x v="0"/>
    <x v="1"/>
    <x v="0"/>
    <n v="19"/>
    <x v="5"/>
    <n v="91"/>
    <n v="85"/>
    <n v="96"/>
    <n v="83"/>
    <n v="74"/>
    <n v="87"/>
    <n v="74"/>
    <n v="590"/>
    <n v="84.285714285714292"/>
    <x v="2"/>
    <x v="0"/>
    <x v="0"/>
  </r>
  <r>
    <n v="471"/>
    <s v="Allen"/>
    <s v="Booth"/>
    <s v="allen.booth.471@gslingacademy.com"/>
    <x v="0"/>
    <x v="1"/>
    <x v="9"/>
    <x v="1"/>
    <n v="26"/>
    <x v="9"/>
    <n v="83"/>
    <n v="71"/>
    <n v="94"/>
    <n v="60"/>
    <n v="63"/>
    <n v="93"/>
    <n v="67"/>
    <n v="531"/>
    <n v="75.857142857142861"/>
    <x v="0"/>
    <x v="2"/>
    <x v="0"/>
  </r>
  <r>
    <n v="472"/>
    <s v="Stephanie"/>
    <s v="Clark"/>
    <s v="stephanie.clark.472@gslingacademy.com"/>
    <x v="1"/>
    <x v="0"/>
    <x v="6"/>
    <x v="0"/>
    <n v="7"/>
    <x v="16"/>
    <n v="97"/>
    <n v="93"/>
    <n v="99"/>
    <n v="98"/>
    <n v="96"/>
    <n v="79"/>
    <n v="88"/>
    <n v="650"/>
    <n v="92.857142857142861"/>
    <x v="4"/>
    <x v="1"/>
    <x v="1"/>
  </r>
  <r>
    <n v="473"/>
    <s v="Sharon"/>
    <s v="Nelson"/>
    <s v="sharon.nelson.473@gslingacademy.com"/>
    <x v="1"/>
    <x v="0"/>
    <x v="4"/>
    <x v="0"/>
    <n v="4"/>
    <x v="16"/>
    <n v="63"/>
    <n v="68"/>
    <n v="92"/>
    <n v="73"/>
    <n v="66"/>
    <n v="69"/>
    <n v="87"/>
    <n v="518"/>
    <n v="74"/>
    <x v="3"/>
    <x v="2"/>
    <x v="0"/>
  </r>
  <r>
    <n v="474"/>
    <s v="Marco"/>
    <s v="Clark"/>
    <s v="marco.clark.474@gslingacademy.com"/>
    <x v="0"/>
    <x v="0"/>
    <x v="4"/>
    <x v="0"/>
    <n v="22"/>
    <x v="1"/>
    <n v="92"/>
    <n v="98"/>
    <n v="90"/>
    <n v="82"/>
    <n v="86"/>
    <n v="86"/>
    <n v="89"/>
    <n v="623"/>
    <n v="89"/>
    <x v="0"/>
    <x v="2"/>
    <x v="1"/>
  </r>
  <r>
    <n v="475"/>
    <s v="Victor"/>
    <s v="Smith"/>
    <s v="victor.smith.475@gslingacademy.com"/>
    <x v="0"/>
    <x v="1"/>
    <x v="4"/>
    <x v="1"/>
    <n v="4"/>
    <x v="7"/>
    <n v="78"/>
    <n v="78"/>
    <n v="64"/>
    <n v="94"/>
    <n v="79"/>
    <n v="92"/>
    <n v="63"/>
    <n v="548"/>
    <n v="78.285714285714292"/>
    <x v="3"/>
    <x v="2"/>
    <x v="0"/>
  </r>
  <r>
    <n v="476"/>
    <s v="Christina"/>
    <s v="Patterson"/>
    <s v="christina.patterson.476@gslingacademy.com"/>
    <x v="1"/>
    <x v="0"/>
    <x v="0"/>
    <x v="0"/>
    <n v="29"/>
    <x v="0"/>
    <n v="78"/>
    <n v="90"/>
    <n v="69"/>
    <n v="100"/>
    <n v="90"/>
    <n v="91"/>
    <n v="90"/>
    <n v="608"/>
    <n v="86.857142857142861"/>
    <x v="0"/>
    <x v="0"/>
    <x v="1"/>
  </r>
  <r>
    <n v="477"/>
    <s v="Jerry"/>
    <s v="Knight"/>
    <s v="jerry.knight.477@gslingacademy.com"/>
    <x v="0"/>
    <x v="0"/>
    <x v="8"/>
    <x v="1"/>
    <n v="21"/>
    <x v="15"/>
    <n v="89"/>
    <n v="60"/>
    <n v="93"/>
    <n v="79"/>
    <n v="72"/>
    <n v="76"/>
    <n v="85"/>
    <n v="554"/>
    <n v="79.142857142857139"/>
    <x v="0"/>
    <x v="1"/>
    <x v="0"/>
  </r>
  <r>
    <n v="478"/>
    <s v="Madison"/>
    <s v="Jacobs"/>
    <s v="madison.jacobs.478@gslingacademy.com"/>
    <x v="1"/>
    <x v="0"/>
    <x v="0"/>
    <x v="0"/>
    <n v="5"/>
    <x v="16"/>
    <n v="53"/>
    <n v="87"/>
    <n v="100"/>
    <n v="84"/>
    <n v="63"/>
    <n v="62"/>
    <n v="95"/>
    <n v="544"/>
    <n v="77.714285714285708"/>
    <x v="3"/>
    <x v="0"/>
    <x v="0"/>
  </r>
  <r>
    <n v="479"/>
    <s v="Douglas"/>
    <s v="Watson"/>
    <s v="douglas.watson.479@gslingacademy.com"/>
    <x v="0"/>
    <x v="0"/>
    <x v="3"/>
    <x v="0"/>
    <n v="15"/>
    <x v="4"/>
    <n v="63"/>
    <n v="84"/>
    <n v="60"/>
    <n v="85"/>
    <n v="91"/>
    <n v="83"/>
    <n v="84"/>
    <n v="550"/>
    <n v="78.571428571428569"/>
    <x v="2"/>
    <x v="2"/>
    <x v="0"/>
  </r>
  <r>
    <n v="480"/>
    <s v="Manuel"/>
    <s v="Barrett"/>
    <s v="manuel.barrett.480@gslingacademy.com"/>
    <x v="0"/>
    <x v="0"/>
    <x v="0"/>
    <x v="1"/>
    <n v="10"/>
    <x v="4"/>
    <n v="100"/>
    <n v="98"/>
    <n v="71"/>
    <n v="100"/>
    <n v="71"/>
    <n v="92"/>
    <n v="63"/>
    <n v="595"/>
    <n v="85"/>
    <x v="4"/>
    <x v="0"/>
    <x v="0"/>
  </r>
  <r>
    <n v="481"/>
    <s v="Janet"/>
    <s v="Martin"/>
    <s v="janet.martin.481@gslingacademy.com"/>
    <x v="1"/>
    <x v="1"/>
    <x v="6"/>
    <x v="0"/>
    <n v="2"/>
    <x v="7"/>
    <n v="79"/>
    <n v="54"/>
    <n v="81"/>
    <n v="87"/>
    <n v="67"/>
    <n v="74"/>
    <n v="85"/>
    <n v="527"/>
    <n v="75.285714285714292"/>
    <x v="3"/>
    <x v="1"/>
    <x v="0"/>
  </r>
  <r>
    <n v="482"/>
    <s v="Teresa"/>
    <s v="Flores"/>
    <s v="teresa.flores.482@gslingacademy.com"/>
    <x v="1"/>
    <x v="0"/>
    <x v="9"/>
    <x v="1"/>
    <n v="0"/>
    <x v="16"/>
    <n v="93"/>
    <n v="77"/>
    <n v="71"/>
    <n v="62"/>
    <n v="94"/>
    <n v="69"/>
    <n v="72"/>
    <n v="538"/>
    <n v="76.857142857142861"/>
    <x v="3"/>
    <x v="2"/>
    <x v="0"/>
  </r>
  <r>
    <n v="483"/>
    <s v="Anthony"/>
    <s v="Mullins"/>
    <s v="anthony.mullins.483@gslingacademy.com"/>
    <x v="0"/>
    <x v="0"/>
    <x v="3"/>
    <x v="1"/>
    <n v="3"/>
    <x v="3"/>
    <n v="97"/>
    <n v="88"/>
    <n v="67"/>
    <n v="72"/>
    <n v="83"/>
    <n v="87"/>
    <n v="62"/>
    <n v="556"/>
    <n v="79.428571428571431"/>
    <x v="3"/>
    <x v="2"/>
    <x v="0"/>
  </r>
  <r>
    <n v="484"/>
    <s v="Julie"/>
    <s v="Zamora"/>
    <s v="julie.zamora.484@gslingacademy.com"/>
    <x v="1"/>
    <x v="0"/>
    <x v="4"/>
    <x v="1"/>
    <n v="1"/>
    <x v="4"/>
    <n v="76"/>
    <n v="82"/>
    <n v="93"/>
    <n v="98"/>
    <n v="98"/>
    <n v="60"/>
    <n v="65"/>
    <n v="572"/>
    <n v="81.714285714285708"/>
    <x v="3"/>
    <x v="2"/>
    <x v="0"/>
  </r>
  <r>
    <n v="485"/>
    <s v="Maria"/>
    <s v="Nguyen"/>
    <s v="maria.nguyen.485@gslingacademy.com"/>
    <x v="1"/>
    <x v="0"/>
    <x v="0"/>
    <x v="1"/>
    <n v="26"/>
    <x v="11"/>
    <n v="84"/>
    <n v="83"/>
    <n v="80"/>
    <n v="91"/>
    <n v="88"/>
    <n v="61"/>
    <n v="61"/>
    <n v="548"/>
    <n v="78.285714285714292"/>
    <x v="0"/>
    <x v="0"/>
    <x v="0"/>
  </r>
  <r>
    <n v="486"/>
    <s v="Selena"/>
    <s v="Castro"/>
    <s v="selena.castro.486@gslingacademy.com"/>
    <x v="1"/>
    <x v="1"/>
    <x v="3"/>
    <x v="0"/>
    <n v="2"/>
    <x v="7"/>
    <n v="56"/>
    <n v="96"/>
    <n v="65"/>
    <n v="61"/>
    <n v="78"/>
    <n v="77"/>
    <n v="95"/>
    <n v="528"/>
    <n v="75.428571428571431"/>
    <x v="3"/>
    <x v="2"/>
    <x v="0"/>
  </r>
  <r>
    <n v="487"/>
    <s v="Whitney"/>
    <s v="Miller"/>
    <s v="whitney.miller.487@gslingacademy.com"/>
    <x v="1"/>
    <x v="0"/>
    <x v="0"/>
    <x v="0"/>
    <n v="21"/>
    <x v="4"/>
    <n v="97"/>
    <n v="89"/>
    <n v="94"/>
    <n v="91"/>
    <n v="95"/>
    <n v="70"/>
    <n v="75"/>
    <n v="611"/>
    <n v="87.285714285714292"/>
    <x v="0"/>
    <x v="0"/>
    <x v="1"/>
  </r>
  <r>
    <n v="488"/>
    <s v="Brenda"/>
    <s v="Mooney"/>
    <s v="brenda.mooney.488@gslingacademy.com"/>
    <x v="1"/>
    <x v="0"/>
    <x v="7"/>
    <x v="0"/>
    <n v="5"/>
    <x v="7"/>
    <n v="67"/>
    <n v="60"/>
    <n v="97"/>
    <n v="53"/>
    <n v="93"/>
    <n v="78"/>
    <n v="81"/>
    <n v="529"/>
    <n v="75.571428571428569"/>
    <x v="3"/>
    <x v="1"/>
    <x v="0"/>
  </r>
  <r>
    <n v="489"/>
    <s v="Angela"/>
    <s v="Allen"/>
    <s v="angela.allen.489@gslingacademy.com"/>
    <x v="1"/>
    <x v="1"/>
    <x v="7"/>
    <x v="0"/>
    <n v="5"/>
    <x v="7"/>
    <n v="97"/>
    <n v="93"/>
    <n v="64"/>
    <n v="74"/>
    <n v="94"/>
    <n v="74"/>
    <n v="76"/>
    <n v="572"/>
    <n v="81.714285714285708"/>
    <x v="3"/>
    <x v="1"/>
    <x v="0"/>
  </r>
  <r>
    <n v="490"/>
    <s v="Erica"/>
    <s v="Cohen"/>
    <s v="erica.cohen.490@gslingacademy.com"/>
    <x v="1"/>
    <x v="0"/>
    <x v="3"/>
    <x v="0"/>
    <n v="0"/>
    <x v="7"/>
    <n v="100"/>
    <n v="67"/>
    <n v="50"/>
    <n v="78"/>
    <n v="73"/>
    <n v="90"/>
    <n v="91"/>
    <n v="549"/>
    <n v="78.428571428571431"/>
    <x v="3"/>
    <x v="2"/>
    <x v="0"/>
  </r>
  <r>
    <n v="491"/>
    <s v="Kelly"/>
    <s v="Sanders"/>
    <s v="kelly.sanders.491@gslingacademy.com"/>
    <x v="1"/>
    <x v="0"/>
    <x v="3"/>
    <x v="1"/>
    <n v="10"/>
    <x v="6"/>
    <n v="83"/>
    <n v="61"/>
    <n v="76"/>
    <n v="75"/>
    <n v="62"/>
    <n v="79"/>
    <n v="94"/>
    <n v="530"/>
    <n v="75.714285714285708"/>
    <x v="4"/>
    <x v="2"/>
    <x v="0"/>
  </r>
  <r>
    <n v="492"/>
    <s v="Michael"/>
    <s v="Clark"/>
    <s v="michael.clark.492@gslingacademy.com"/>
    <x v="0"/>
    <x v="0"/>
    <x v="3"/>
    <x v="0"/>
    <n v="2"/>
    <x v="3"/>
    <n v="85"/>
    <n v="63"/>
    <n v="83"/>
    <n v="83"/>
    <n v="69"/>
    <n v="94"/>
    <n v="80"/>
    <n v="557"/>
    <n v="79.571428571428569"/>
    <x v="3"/>
    <x v="2"/>
    <x v="0"/>
  </r>
  <r>
    <n v="493"/>
    <s v="Tammy"/>
    <s v="Fields"/>
    <s v="tammy.fields.493@gslingacademy.com"/>
    <x v="1"/>
    <x v="0"/>
    <x v="3"/>
    <x v="1"/>
    <n v="24"/>
    <x v="9"/>
    <n v="100"/>
    <n v="96"/>
    <n v="97"/>
    <n v="64"/>
    <n v="76"/>
    <n v="77"/>
    <n v="61"/>
    <n v="571"/>
    <n v="81.571428571428569"/>
    <x v="0"/>
    <x v="2"/>
    <x v="0"/>
  </r>
  <r>
    <n v="494"/>
    <s v="Steven"/>
    <s v="Pennington"/>
    <s v="steven.pennington.494@gslingacademy.com"/>
    <x v="0"/>
    <x v="0"/>
    <x v="9"/>
    <x v="0"/>
    <n v="46"/>
    <x v="1"/>
    <n v="92"/>
    <n v="98"/>
    <n v="99"/>
    <n v="86"/>
    <n v="100"/>
    <n v="86"/>
    <n v="87"/>
    <n v="648"/>
    <n v="92.571428571428569"/>
    <x v="1"/>
    <x v="2"/>
    <x v="1"/>
  </r>
  <r>
    <n v="495"/>
    <s v="Matthew"/>
    <s v="Chavez"/>
    <s v="matthew.chavez.495@gslingacademy.com"/>
    <x v="0"/>
    <x v="0"/>
    <x v="0"/>
    <x v="0"/>
    <n v="31"/>
    <x v="10"/>
    <n v="88"/>
    <n v="98"/>
    <n v="65"/>
    <n v="68"/>
    <n v="99"/>
    <n v="94"/>
    <n v="79"/>
    <n v="591"/>
    <n v="84.428571428571431"/>
    <x v="1"/>
    <x v="0"/>
    <x v="0"/>
  </r>
  <r>
    <n v="496"/>
    <s v="Stephen"/>
    <s v="Gallagher"/>
    <s v="stephen.gallagher.496@gslingacademy.com"/>
    <x v="0"/>
    <x v="0"/>
    <x v="5"/>
    <x v="0"/>
    <n v="33"/>
    <x v="0"/>
    <n v="95"/>
    <n v="82"/>
    <n v="62"/>
    <n v="76"/>
    <n v="64"/>
    <n v="91"/>
    <n v="79"/>
    <n v="549"/>
    <n v="78.428571428571431"/>
    <x v="1"/>
    <x v="0"/>
    <x v="0"/>
  </r>
  <r>
    <n v="497"/>
    <s v="Victoria"/>
    <s v="Anderson"/>
    <s v="victoria.anderson.497@gslingacademy.com"/>
    <x v="1"/>
    <x v="0"/>
    <x v="3"/>
    <x v="0"/>
    <n v="26"/>
    <x v="15"/>
    <n v="76"/>
    <n v="81"/>
    <n v="84"/>
    <n v="80"/>
    <n v="80"/>
    <n v="84"/>
    <n v="70"/>
    <n v="555"/>
    <n v="79.285714285714292"/>
    <x v="0"/>
    <x v="2"/>
    <x v="0"/>
  </r>
  <r>
    <n v="498"/>
    <s v="Thomas"/>
    <s v="Schroeder"/>
    <s v="thomas.schroeder.498@gslingacademy.com"/>
    <x v="0"/>
    <x v="0"/>
    <x v="1"/>
    <x v="0"/>
    <n v="19"/>
    <x v="11"/>
    <n v="79"/>
    <n v="93"/>
    <n v="72"/>
    <n v="97"/>
    <n v="69"/>
    <n v="78"/>
    <n v="87"/>
    <n v="575"/>
    <n v="82.142857142857139"/>
    <x v="2"/>
    <x v="0"/>
    <x v="0"/>
  </r>
  <r>
    <n v="499"/>
    <s v="Mark"/>
    <s v="Sanchez"/>
    <s v="mark.sanchez.499@gslingacademy.com"/>
    <x v="0"/>
    <x v="0"/>
    <x v="0"/>
    <x v="0"/>
    <n v="25"/>
    <x v="5"/>
    <n v="93"/>
    <n v="70"/>
    <n v="84"/>
    <n v="68"/>
    <n v="71"/>
    <n v="85"/>
    <n v="70"/>
    <n v="541"/>
    <n v="77.285714285714292"/>
    <x v="0"/>
    <x v="0"/>
    <x v="0"/>
  </r>
  <r>
    <n v="500"/>
    <s v="Katelyn"/>
    <s v="Moses"/>
    <s v="katelyn.moses.500@gslingacademy.com"/>
    <x v="1"/>
    <x v="0"/>
    <x v="0"/>
    <x v="0"/>
    <n v="24"/>
    <x v="11"/>
    <n v="79"/>
    <n v="96"/>
    <n v="78"/>
    <n v="90"/>
    <n v="94"/>
    <n v="76"/>
    <n v="88"/>
    <n v="601"/>
    <n v="85.857142857142861"/>
    <x v="0"/>
    <x v="0"/>
    <x v="1"/>
  </r>
  <r>
    <n v="501"/>
    <s v="Corey"/>
    <s v="Davis"/>
    <s v="corey.davis.501@gslingacademy.com"/>
    <x v="0"/>
    <x v="0"/>
    <x v="5"/>
    <x v="0"/>
    <n v="21"/>
    <x v="15"/>
    <n v="98"/>
    <n v="99"/>
    <n v="72"/>
    <n v="100"/>
    <n v="94"/>
    <n v="77"/>
    <n v="84"/>
    <n v="624"/>
    <n v="89.142857142857139"/>
    <x v="0"/>
    <x v="0"/>
    <x v="1"/>
  </r>
  <r>
    <n v="502"/>
    <s v="Susan"/>
    <s v="Klein"/>
    <s v="susan.klein.502@gslingacademy.com"/>
    <x v="1"/>
    <x v="1"/>
    <x v="8"/>
    <x v="1"/>
    <n v="0"/>
    <x v="7"/>
    <n v="93"/>
    <n v="99"/>
    <n v="81"/>
    <n v="67"/>
    <n v="87"/>
    <n v="76"/>
    <n v="60"/>
    <n v="563"/>
    <n v="80.428571428571431"/>
    <x v="3"/>
    <x v="1"/>
    <x v="0"/>
  </r>
  <r>
    <n v="503"/>
    <s v="John"/>
    <s v="Martinez"/>
    <s v="john.martinez.503@gslingacademy.com"/>
    <x v="0"/>
    <x v="0"/>
    <x v="9"/>
    <x v="0"/>
    <n v="30"/>
    <x v="9"/>
    <n v="91"/>
    <n v="79"/>
    <n v="78"/>
    <n v="95"/>
    <n v="86"/>
    <n v="89"/>
    <n v="100"/>
    <n v="618"/>
    <n v="88.285714285714292"/>
    <x v="0"/>
    <x v="2"/>
    <x v="1"/>
  </r>
  <r>
    <n v="504"/>
    <s v="Kendra"/>
    <s v="Robertson"/>
    <s v="kendra.robertson.504@gslingacademy.com"/>
    <x v="1"/>
    <x v="0"/>
    <x v="9"/>
    <x v="0"/>
    <n v="32"/>
    <x v="5"/>
    <n v="86"/>
    <n v="99"/>
    <n v="77"/>
    <n v="61"/>
    <n v="72"/>
    <n v="92"/>
    <n v="70"/>
    <n v="557"/>
    <n v="79.571428571428569"/>
    <x v="1"/>
    <x v="2"/>
    <x v="0"/>
  </r>
  <r>
    <n v="505"/>
    <s v="Tamara"/>
    <s v="Olson"/>
    <s v="tamara.olson.505@gslingacademy.com"/>
    <x v="1"/>
    <x v="0"/>
    <x v="8"/>
    <x v="0"/>
    <n v="15"/>
    <x v="4"/>
    <n v="81"/>
    <n v="80"/>
    <n v="85"/>
    <n v="93"/>
    <n v="68"/>
    <n v="75"/>
    <n v="90"/>
    <n v="572"/>
    <n v="81.714285714285708"/>
    <x v="2"/>
    <x v="1"/>
    <x v="0"/>
  </r>
  <r>
    <n v="506"/>
    <s v="Sara"/>
    <s v="Frazier"/>
    <s v="sara.frazier.506@gslingacademy.com"/>
    <x v="1"/>
    <x v="0"/>
    <x v="4"/>
    <x v="0"/>
    <n v="15"/>
    <x v="2"/>
    <n v="97"/>
    <n v="94"/>
    <n v="94"/>
    <n v="83"/>
    <n v="91"/>
    <n v="65"/>
    <n v="96"/>
    <n v="620"/>
    <n v="88.571428571428569"/>
    <x v="2"/>
    <x v="2"/>
    <x v="1"/>
  </r>
  <r>
    <n v="507"/>
    <s v="Morgan"/>
    <s v="Moore"/>
    <s v="morgan.moore.507@gslingacademy.com"/>
    <x v="1"/>
    <x v="0"/>
    <x v="0"/>
    <x v="1"/>
    <n v="4"/>
    <x v="14"/>
    <n v="90"/>
    <n v="95"/>
    <n v="89"/>
    <n v="93"/>
    <n v="92"/>
    <n v="99"/>
    <n v="88"/>
    <n v="646"/>
    <n v="92.285714285714292"/>
    <x v="3"/>
    <x v="0"/>
    <x v="1"/>
  </r>
  <r>
    <n v="508"/>
    <s v="Eric"/>
    <s v="Snyder"/>
    <s v="eric.snyder.508@gslingacademy.com"/>
    <x v="0"/>
    <x v="0"/>
    <x v="5"/>
    <x v="1"/>
    <n v="27"/>
    <x v="5"/>
    <n v="90"/>
    <n v="91"/>
    <n v="62"/>
    <n v="82"/>
    <n v="76"/>
    <n v="70"/>
    <n v="64"/>
    <n v="535"/>
    <n v="76.428571428571431"/>
    <x v="0"/>
    <x v="0"/>
    <x v="0"/>
  </r>
  <r>
    <n v="509"/>
    <s v="Paul"/>
    <s v="Hale"/>
    <s v="paul.hale.509@gslingacademy.com"/>
    <x v="0"/>
    <x v="0"/>
    <x v="3"/>
    <x v="0"/>
    <n v="33"/>
    <x v="13"/>
    <n v="82"/>
    <n v="92"/>
    <n v="95"/>
    <n v="61"/>
    <n v="84"/>
    <n v="81"/>
    <n v="82"/>
    <n v="577"/>
    <n v="82.428571428571431"/>
    <x v="1"/>
    <x v="2"/>
    <x v="0"/>
  </r>
  <r>
    <n v="510"/>
    <s v="Dale"/>
    <s v="Martinez"/>
    <s v="dale.martinez.510@gslingacademy.com"/>
    <x v="0"/>
    <x v="0"/>
    <x v="6"/>
    <x v="0"/>
    <n v="25"/>
    <x v="5"/>
    <n v="91"/>
    <n v="94"/>
    <n v="89"/>
    <n v="74"/>
    <n v="60"/>
    <n v="77"/>
    <n v="77"/>
    <n v="562"/>
    <n v="80.285714285714292"/>
    <x v="0"/>
    <x v="1"/>
    <x v="0"/>
  </r>
  <r>
    <n v="511"/>
    <s v="Sandra"/>
    <s v="Prince"/>
    <s v="sandra.prince.511@gslingacademy.com"/>
    <x v="1"/>
    <x v="0"/>
    <x v="10"/>
    <x v="0"/>
    <n v="29"/>
    <x v="0"/>
    <n v="70"/>
    <n v="94"/>
    <n v="67"/>
    <n v="74"/>
    <n v="84"/>
    <n v="95"/>
    <n v="65"/>
    <n v="549"/>
    <n v="78.428571428571431"/>
    <x v="0"/>
    <x v="3"/>
    <x v="0"/>
  </r>
  <r>
    <n v="512"/>
    <s v="Dawn"/>
    <s v="Poole"/>
    <s v="dawn.poole.512@gslingacademy.com"/>
    <x v="1"/>
    <x v="0"/>
    <x v="1"/>
    <x v="0"/>
    <n v="13"/>
    <x v="4"/>
    <n v="60"/>
    <n v="75"/>
    <n v="70"/>
    <n v="96"/>
    <n v="63"/>
    <n v="82"/>
    <n v="80"/>
    <n v="526"/>
    <n v="75.142857142857139"/>
    <x v="2"/>
    <x v="0"/>
    <x v="0"/>
  </r>
  <r>
    <n v="513"/>
    <s v="Emily"/>
    <s v="Jordan"/>
    <s v="emily.jordan.513@gslingacademy.com"/>
    <x v="1"/>
    <x v="0"/>
    <x v="0"/>
    <x v="0"/>
    <n v="49"/>
    <x v="1"/>
    <n v="85"/>
    <n v="96"/>
    <n v="99"/>
    <n v="94"/>
    <n v="95"/>
    <n v="92"/>
    <n v="95"/>
    <n v="656"/>
    <n v="93.714285714285708"/>
    <x v="1"/>
    <x v="0"/>
    <x v="1"/>
  </r>
  <r>
    <n v="514"/>
    <s v="John"/>
    <s v="Owen"/>
    <s v="john.owen.514@gslingacademy.com"/>
    <x v="0"/>
    <x v="0"/>
    <x v="4"/>
    <x v="0"/>
    <n v="34"/>
    <x v="0"/>
    <n v="82"/>
    <n v="85"/>
    <n v="72"/>
    <n v="69"/>
    <n v="63"/>
    <n v="99"/>
    <n v="68"/>
    <n v="538"/>
    <n v="76.857142857142861"/>
    <x v="1"/>
    <x v="2"/>
    <x v="0"/>
  </r>
  <r>
    <n v="515"/>
    <s v="Andrew"/>
    <s v="Best"/>
    <s v="andrew.best.515@gslingacademy.com"/>
    <x v="0"/>
    <x v="1"/>
    <x v="9"/>
    <x v="0"/>
    <n v="28"/>
    <x v="13"/>
    <n v="83"/>
    <n v="79"/>
    <n v="92"/>
    <n v="69"/>
    <n v="85"/>
    <n v="71"/>
    <n v="95"/>
    <n v="574"/>
    <n v="82"/>
    <x v="0"/>
    <x v="2"/>
    <x v="0"/>
  </r>
  <r>
    <n v="516"/>
    <s v="Holly"/>
    <s v="Burns"/>
    <s v="holly.burns.516@gslingacademy.com"/>
    <x v="1"/>
    <x v="0"/>
    <x v="1"/>
    <x v="0"/>
    <n v="44"/>
    <x v="1"/>
    <n v="96"/>
    <n v="88"/>
    <n v="100"/>
    <n v="95"/>
    <n v="85"/>
    <n v="94"/>
    <n v="93"/>
    <n v="651"/>
    <n v="93"/>
    <x v="1"/>
    <x v="0"/>
    <x v="1"/>
  </r>
  <r>
    <n v="517"/>
    <s v="Alicia"/>
    <s v="Rodriguez"/>
    <s v="alicia.rodriguez.517@gslingacademy.com"/>
    <x v="1"/>
    <x v="0"/>
    <x v="5"/>
    <x v="0"/>
    <n v="14"/>
    <x v="5"/>
    <n v="85"/>
    <n v="87"/>
    <n v="78"/>
    <n v="72"/>
    <n v="91"/>
    <n v="88"/>
    <n v="93"/>
    <n v="594"/>
    <n v="84.857142857142861"/>
    <x v="2"/>
    <x v="0"/>
    <x v="0"/>
  </r>
  <r>
    <n v="518"/>
    <s v="Erin"/>
    <s v="Ray"/>
    <s v="erin.ray.518@gslingacademy.com"/>
    <x v="1"/>
    <x v="0"/>
    <x v="9"/>
    <x v="0"/>
    <n v="1"/>
    <x v="16"/>
    <n v="95"/>
    <n v="61"/>
    <n v="84"/>
    <n v="98"/>
    <n v="63"/>
    <n v="66"/>
    <n v="80"/>
    <n v="547"/>
    <n v="78.142857142857139"/>
    <x v="3"/>
    <x v="2"/>
    <x v="0"/>
  </r>
  <r>
    <n v="519"/>
    <s v="Todd"/>
    <s v="Griffith"/>
    <s v="todd.griffith.519@gslingacademy.com"/>
    <x v="0"/>
    <x v="0"/>
    <x v="4"/>
    <x v="0"/>
    <n v="22"/>
    <x v="5"/>
    <n v="97"/>
    <n v="92"/>
    <n v="87"/>
    <n v="61"/>
    <n v="75"/>
    <n v="62"/>
    <n v="94"/>
    <n v="568"/>
    <n v="81.142857142857139"/>
    <x v="0"/>
    <x v="2"/>
    <x v="0"/>
  </r>
  <r>
    <n v="520"/>
    <s v="Melinda"/>
    <s v="Payne"/>
    <s v="melinda.payne.520@gslingacademy.com"/>
    <x v="1"/>
    <x v="0"/>
    <x v="1"/>
    <x v="0"/>
    <n v="11"/>
    <x v="6"/>
    <n v="95"/>
    <n v="69"/>
    <n v="91"/>
    <n v="97"/>
    <n v="89"/>
    <n v="84"/>
    <n v="66"/>
    <n v="591"/>
    <n v="84.428571428571431"/>
    <x v="2"/>
    <x v="0"/>
    <x v="0"/>
  </r>
  <r>
    <n v="521"/>
    <s v="Cynthia"/>
    <s v="Williams"/>
    <s v="cynthia.williams.521@gslingacademy.com"/>
    <x v="1"/>
    <x v="0"/>
    <x v="0"/>
    <x v="0"/>
    <n v="2"/>
    <x v="4"/>
    <n v="69"/>
    <n v="98"/>
    <n v="77"/>
    <n v="63"/>
    <n v="88"/>
    <n v="64"/>
    <n v="60"/>
    <n v="519"/>
    <n v="74.142857142857139"/>
    <x v="3"/>
    <x v="0"/>
    <x v="0"/>
  </r>
  <r>
    <n v="522"/>
    <s v="Jenny"/>
    <s v="Washington"/>
    <s v="jenny.washington.522@gslingacademy.com"/>
    <x v="1"/>
    <x v="0"/>
    <x v="2"/>
    <x v="0"/>
    <n v="3"/>
    <x v="7"/>
    <n v="84"/>
    <n v="55"/>
    <n v="65"/>
    <n v="62"/>
    <n v="56"/>
    <n v="91"/>
    <n v="81"/>
    <n v="494"/>
    <n v="70.571428571428569"/>
    <x v="3"/>
    <x v="1"/>
    <x v="0"/>
  </r>
  <r>
    <n v="523"/>
    <s v="Angela"/>
    <s v="Joyce"/>
    <s v="angela.joyce.523@gslingacademy.com"/>
    <x v="1"/>
    <x v="0"/>
    <x v="3"/>
    <x v="0"/>
    <n v="28"/>
    <x v="9"/>
    <n v="92"/>
    <n v="100"/>
    <n v="100"/>
    <n v="98"/>
    <n v="83"/>
    <n v="75"/>
    <n v="72"/>
    <n v="620"/>
    <n v="88.571428571428569"/>
    <x v="0"/>
    <x v="2"/>
    <x v="1"/>
  </r>
  <r>
    <n v="524"/>
    <s v="William"/>
    <s v="Alvarado"/>
    <s v="william.alvarado.524@gslingacademy.com"/>
    <x v="0"/>
    <x v="1"/>
    <x v="1"/>
    <x v="0"/>
    <n v="0"/>
    <x v="7"/>
    <n v="87"/>
    <n v="95"/>
    <n v="78"/>
    <n v="82"/>
    <n v="53"/>
    <n v="59"/>
    <n v="66"/>
    <n v="520"/>
    <n v="74.285714285714292"/>
    <x v="3"/>
    <x v="0"/>
    <x v="0"/>
  </r>
  <r>
    <n v="525"/>
    <s v="Michael"/>
    <s v="Mercer"/>
    <s v="michael.mercer.525@gslingacademy.com"/>
    <x v="0"/>
    <x v="0"/>
    <x v="3"/>
    <x v="0"/>
    <n v="22"/>
    <x v="9"/>
    <n v="97"/>
    <n v="87"/>
    <n v="90"/>
    <n v="70"/>
    <n v="96"/>
    <n v="75"/>
    <n v="93"/>
    <n v="608"/>
    <n v="86.857142857142861"/>
    <x v="0"/>
    <x v="2"/>
    <x v="1"/>
  </r>
  <r>
    <n v="526"/>
    <s v="Erin"/>
    <s v="Miller"/>
    <s v="erin.miller.526@gslingacademy.com"/>
    <x v="1"/>
    <x v="1"/>
    <x v="8"/>
    <x v="0"/>
    <n v="3"/>
    <x v="7"/>
    <n v="92"/>
    <n v="96"/>
    <n v="77"/>
    <n v="95"/>
    <n v="63"/>
    <n v="57"/>
    <n v="90"/>
    <n v="570"/>
    <n v="81.428571428571431"/>
    <x v="3"/>
    <x v="1"/>
    <x v="0"/>
  </r>
  <r>
    <n v="527"/>
    <s v="Robert"/>
    <s v="Heath"/>
    <s v="robert.heath.527@gslingacademy.com"/>
    <x v="0"/>
    <x v="0"/>
    <x v="1"/>
    <x v="0"/>
    <n v="25"/>
    <x v="4"/>
    <n v="72"/>
    <n v="91"/>
    <n v="68"/>
    <n v="79"/>
    <n v="98"/>
    <n v="71"/>
    <n v="89"/>
    <n v="568"/>
    <n v="81.142857142857139"/>
    <x v="0"/>
    <x v="0"/>
    <x v="0"/>
  </r>
  <r>
    <n v="528"/>
    <s v="Deborah"/>
    <s v="Rojas"/>
    <s v="deborah.rojas.528@gslingacademy.com"/>
    <x v="1"/>
    <x v="0"/>
    <x v="0"/>
    <x v="1"/>
    <n v="1"/>
    <x v="7"/>
    <n v="50"/>
    <n v="55"/>
    <n v="96"/>
    <n v="72"/>
    <n v="55"/>
    <n v="50"/>
    <n v="64"/>
    <n v="442"/>
    <n v="63.142857142857146"/>
    <x v="3"/>
    <x v="0"/>
    <x v="0"/>
  </r>
  <r>
    <n v="529"/>
    <s v="Diana"/>
    <s v="Jones"/>
    <s v="diana.jones.529@gslingacademy.com"/>
    <x v="1"/>
    <x v="0"/>
    <x v="6"/>
    <x v="0"/>
    <n v="37"/>
    <x v="1"/>
    <n v="97"/>
    <n v="96"/>
    <n v="93"/>
    <n v="94"/>
    <n v="91"/>
    <n v="96"/>
    <n v="87"/>
    <n v="654"/>
    <n v="93.428571428571431"/>
    <x v="1"/>
    <x v="1"/>
    <x v="1"/>
  </r>
  <r>
    <n v="530"/>
    <s v="Meredith"/>
    <s v="Clark"/>
    <s v="meredith.clark.530@gslingacademy.com"/>
    <x v="1"/>
    <x v="0"/>
    <x v="0"/>
    <x v="1"/>
    <n v="28"/>
    <x v="5"/>
    <n v="89"/>
    <n v="77"/>
    <n v="69"/>
    <n v="72"/>
    <n v="63"/>
    <n v="84"/>
    <n v="99"/>
    <n v="553"/>
    <n v="79"/>
    <x v="0"/>
    <x v="0"/>
    <x v="0"/>
  </r>
  <r>
    <n v="531"/>
    <s v="Christina"/>
    <s v="Garrett"/>
    <s v="christina.garrett.531@gslingacademy.com"/>
    <x v="1"/>
    <x v="0"/>
    <x v="0"/>
    <x v="0"/>
    <n v="30"/>
    <x v="8"/>
    <n v="77"/>
    <n v="76"/>
    <n v="90"/>
    <n v="95"/>
    <n v="94"/>
    <n v="99"/>
    <n v="94"/>
    <n v="625"/>
    <n v="89.285714285714292"/>
    <x v="0"/>
    <x v="0"/>
    <x v="1"/>
  </r>
  <r>
    <n v="532"/>
    <s v="Daniel"/>
    <s v="Jackson"/>
    <s v="daniel.jackson.532@gslingacademy.com"/>
    <x v="0"/>
    <x v="0"/>
    <x v="5"/>
    <x v="0"/>
    <n v="19"/>
    <x v="15"/>
    <n v="91"/>
    <n v="89"/>
    <n v="66"/>
    <n v="69"/>
    <n v="100"/>
    <n v="88"/>
    <n v="79"/>
    <n v="582"/>
    <n v="83.142857142857139"/>
    <x v="2"/>
    <x v="0"/>
    <x v="0"/>
  </r>
  <r>
    <n v="533"/>
    <s v="Bradley"/>
    <s v="Robinson"/>
    <s v="bradley.robinson.533@gslingacademy.com"/>
    <x v="0"/>
    <x v="1"/>
    <x v="6"/>
    <x v="0"/>
    <n v="2"/>
    <x v="7"/>
    <n v="64"/>
    <n v="92"/>
    <n v="70"/>
    <n v="81"/>
    <n v="85"/>
    <n v="55"/>
    <n v="76"/>
    <n v="523"/>
    <n v="74.714285714285708"/>
    <x v="3"/>
    <x v="1"/>
    <x v="0"/>
  </r>
  <r>
    <n v="534"/>
    <s v="Phyllis"/>
    <s v="Schneider"/>
    <s v="phyllis.schneider.534@gslingacademy.com"/>
    <x v="1"/>
    <x v="1"/>
    <x v="9"/>
    <x v="0"/>
    <n v="26"/>
    <x v="4"/>
    <n v="71"/>
    <n v="87"/>
    <n v="63"/>
    <n v="73"/>
    <n v="89"/>
    <n v="77"/>
    <n v="66"/>
    <n v="526"/>
    <n v="75.142857142857139"/>
    <x v="0"/>
    <x v="2"/>
    <x v="0"/>
  </r>
  <r>
    <n v="535"/>
    <s v="Thomas"/>
    <s v="Clark"/>
    <s v="thomas.clark.535@gslingacademy.com"/>
    <x v="0"/>
    <x v="0"/>
    <x v="7"/>
    <x v="1"/>
    <n v="0"/>
    <x v="7"/>
    <n v="56"/>
    <n v="79"/>
    <n v="74"/>
    <n v="66"/>
    <n v="92"/>
    <n v="57"/>
    <n v="61"/>
    <n v="485"/>
    <n v="69.285714285714292"/>
    <x v="3"/>
    <x v="1"/>
    <x v="0"/>
  </r>
  <r>
    <n v="536"/>
    <s v="Gregory"/>
    <s v="Gonzalez"/>
    <s v="gregory.gonzalez.536@gslingacademy.com"/>
    <x v="0"/>
    <x v="0"/>
    <x v="9"/>
    <x v="0"/>
    <n v="5"/>
    <x v="14"/>
    <n v="87"/>
    <n v="70"/>
    <n v="98"/>
    <n v="64"/>
    <n v="65"/>
    <n v="78"/>
    <n v="83"/>
    <n v="545"/>
    <n v="77.857142857142861"/>
    <x v="3"/>
    <x v="2"/>
    <x v="0"/>
  </r>
  <r>
    <n v="537"/>
    <s v="Michelle"/>
    <s v="Roth"/>
    <s v="michelle.roth.537@gslingacademy.com"/>
    <x v="1"/>
    <x v="0"/>
    <x v="10"/>
    <x v="0"/>
    <n v="17"/>
    <x v="5"/>
    <n v="99"/>
    <n v="69"/>
    <n v="85"/>
    <n v="91"/>
    <n v="77"/>
    <n v="88"/>
    <n v="75"/>
    <n v="584"/>
    <n v="83.428571428571431"/>
    <x v="2"/>
    <x v="3"/>
    <x v="0"/>
  </r>
  <r>
    <n v="538"/>
    <s v="Christopher"/>
    <s v="Murphy"/>
    <s v="christopher.murphy.538@gslingacademy.com"/>
    <x v="0"/>
    <x v="0"/>
    <x v="1"/>
    <x v="0"/>
    <n v="26"/>
    <x v="0"/>
    <n v="98"/>
    <n v="88"/>
    <n v="76"/>
    <n v="72"/>
    <n v="92"/>
    <n v="81"/>
    <n v="89"/>
    <n v="596"/>
    <n v="85.142857142857139"/>
    <x v="0"/>
    <x v="0"/>
    <x v="0"/>
  </r>
  <r>
    <n v="539"/>
    <s v="Mark"/>
    <s v="Davis"/>
    <s v="mark.davis.539@gslingacademy.com"/>
    <x v="0"/>
    <x v="0"/>
    <x v="1"/>
    <x v="0"/>
    <n v="32"/>
    <x v="4"/>
    <n v="87"/>
    <n v="83"/>
    <n v="74"/>
    <n v="61"/>
    <n v="81"/>
    <n v="72"/>
    <n v="98"/>
    <n v="556"/>
    <n v="79.428571428571431"/>
    <x v="1"/>
    <x v="0"/>
    <x v="0"/>
  </r>
  <r>
    <n v="540"/>
    <s v="Lauren"/>
    <s v="Harrington"/>
    <s v="lauren.harrington.540@gslingacademy.com"/>
    <x v="1"/>
    <x v="0"/>
    <x v="4"/>
    <x v="1"/>
    <n v="16"/>
    <x v="5"/>
    <n v="88"/>
    <n v="96"/>
    <n v="90"/>
    <n v="92"/>
    <n v="68"/>
    <n v="97"/>
    <n v="73"/>
    <n v="604"/>
    <n v="86.285714285714292"/>
    <x v="2"/>
    <x v="2"/>
    <x v="1"/>
  </r>
  <r>
    <n v="541"/>
    <s v="Michelle"/>
    <s v="Owens"/>
    <s v="michelle.owens.541@gslingacademy.com"/>
    <x v="1"/>
    <x v="1"/>
    <x v="8"/>
    <x v="0"/>
    <n v="2"/>
    <x v="7"/>
    <n v="71"/>
    <n v="52"/>
    <n v="53"/>
    <n v="64"/>
    <n v="89"/>
    <n v="76"/>
    <n v="70"/>
    <n v="475"/>
    <n v="67.857142857142861"/>
    <x v="3"/>
    <x v="1"/>
    <x v="0"/>
  </r>
  <r>
    <n v="542"/>
    <s v="Scott"/>
    <s v="Weaver"/>
    <s v="scott.weaver.542@gslingacademy.com"/>
    <x v="0"/>
    <x v="0"/>
    <x v="1"/>
    <x v="0"/>
    <n v="35"/>
    <x v="13"/>
    <n v="96"/>
    <n v="90"/>
    <n v="91"/>
    <n v="95"/>
    <n v="99"/>
    <n v="95"/>
    <n v="99"/>
    <n v="665"/>
    <n v="95"/>
    <x v="1"/>
    <x v="0"/>
    <x v="1"/>
  </r>
  <r>
    <n v="543"/>
    <s v="Monica"/>
    <s v="Williams"/>
    <s v="monica.williams.543@gslingacademy.com"/>
    <x v="1"/>
    <x v="0"/>
    <x v="10"/>
    <x v="0"/>
    <n v="17"/>
    <x v="11"/>
    <n v="81"/>
    <n v="95"/>
    <n v="99"/>
    <n v="65"/>
    <n v="56"/>
    <n v="79"/>
    <n v="98"/>
    <n v="573"/>
    <n v="81.857142857142861"/>
    <x v="2"/>
    <x v="3"/>
    <x v="0"/>
  </r>
  <r>
    <n v="544"/>
    <s v="Kathryn"/>
    <s v="Hampton"/>
    <s v="kathryn.hampton.544@gslingacademy.com"/>
    <x v="1"/>
    <x v="0"/>
    <x v="2"/>
    <x v="0"/>
    <n v="3"/>
    <x v="7"/>
    <n v="94"/>
    <n v="92"/>
    <n v="63"/>
    <n v="84"/>
    <n v="79"/>
    <n v="66"/>
    <n v="96"/>
    <n v="574"/>
    <n v="82"/>
    <x v="3"/>
    <x v="1"/>
    <x v="0"/>
  </r>
  <r>
    <n v="545"/>
    <s v="Christina"/>
    <s v="Shields"/>
    <s v="christina.shields.545@gslingacademy.com"/>
    <x v="1"/>
    <x v="1"/>
    <x v="0"/>
    <x v="0"/>
    <n v="47"/>
    <x v="1"/>
    <n v="94"/>
    <n v="87"/>
    <n v="98"/>
    <n v="90"/>
    <n v="92"/>
    <n v="88"/>
    <n v="100"/>
    <n v="649"/>
    <n v="92.714285714285708"/>
    <x v="1"/>
    <x v="0"/>
    <x v="1"/>
  </r>
  <r>
    <n v="546"/>
    <s v="Andrew"/>
    <s v="Thomas"/>
    <s v="andrew.thomas.546@gslingacademy.com"/>
    <x v="0"/>
    <x v="0"/>
    <x v="10"/>
    <x v="0"/>
    <n v="29"/>
    <x v="0"/>
    <n v="98"/>
    <n v="87"/>
    <n v="75"/>
    <n v="63"/>
    <n v="85"/>
    <n v="88"/>
    <n v="75"/>
    <n v="571"/>
    <n v="81.571428571428569"/>
    <x v="0"/>
    <x v="3"/>
    <x v="0"/>
  </r>
  <r>
    <n v="547"/>
    <s v="Holly"/>
    <s v="Sexton"/>
    <s v="holly.sexton.547@gslingacademy.com"/>
    <x v="1"/>
    <x v="0"/>
    <x v="7"/>
    <x v="0"/>
    <n v="5"/>
    <x v="7"/>
    <n v="100"/>
    <n v="58"/>
    <n v="54"/>
    <n v="97"/>
    <n v="58"/>
    <n v="51"/>
    <n v="80"/>
    <n v="498"/>
    <n v="71.142857142857139"/>
    <x v="3"/>
    <x v="1"/>
    <x v="0"/>
  </r>
  <r>
    <n v="548"/>
    <s v="Christopher"/>
    <s v="Peterson"/>
    <s v="christopher.peterson.548@gslingacademy.com"/>
    <x v="0"/>
    <x v="0"/>
    <x v="0"/>
    <x v="1"/>
    <n v="12"/>
    <x v="12"/>
    <n v="66"/>
    <n v="89"/>
    <n v="65"/>
    <n v="99"/>
    <n v="84"/>
    <n v="84"/>
    <n v="86"/>
    <n v="573"/>
    <n v="81.857142857142861"/>
    <x v="2"/>
    <x v="0"/>
    <x v="0"/>
  </r>
  <r>
    <n v="549"/>
    <s v="Eric"/>
    <s v="Murray"/>
    <s v="eric.murray.549@gslingacademy.com"/>
    <x v="0"/>
    <x v="0"/>
    <x v="1"/>
    <x v="0"/>
    <n v="35"/>
    <x v="1"/>
    <n v="94"/>
    <n v="99"/>
    <n v="97"/>
    <n v="94"/>
    <n v="85"/>
    <n v="97"/>
    <n v="97"/>
    <n v="663"/>
    <n v="94.714285714285708"/>
    <x v="1"/>
    <x v="0"/>
    <x v="1"/>
  </r>
  <r>
    <n v="550"/>
    <s v="Kristina"/>
    <s v="Watson"/>
    <s v="kristina.watson.550@gslingacademy.com"/>
    <x v="1"/>
    <x v="1"/>
    <x v="10"/>
    <x v="0"/>
    <n v="3"/>
    <x v="14"/>
    <n v="83"/>
    <n v="90"/>
    <n v="93"/>
    <n v="89"/>
    <n v="64"/>
    <n v="63"/>
    <n v="82"/>
    <n v="564"/>
    <n v="80.571428571428569"/>
    <x v="3"/>
    <x v="3"/>
    <x v="0"/>
  </r>
  <r>
    <n v="551"/>
    <s v="Greg"/>
    <s v="Martin"/>
    <s v="greg.martin.551@gslingacademy.com"/>
    <x v="0"/>
    <x v="1"/>
    <x v="8"/>
    <x v="0"/>
    <n v="2"/>
    <x v="7"/>
    <n v="92"/>
    <n v="54"/>
    <n v="50"/>
    <n v="88"/>
    <n v="90"/>
    <n v="91"/>
    <n v="95"/>
    <n v="560"/>
    <n v="80"/>
    <x v="3"/>
    <x v="1"/>
    <x v="0"/>
  </r>
  <r>
    <n v="552"/>
    <s v="Paul"/>
    <s v="Shaffer"/>
    <s v="paul.shaffer.552@gslingacademy.com"/>
    <x v="0"/>
    <x v="0"/>
    <x v="7"/>
    <x v="0"/>
    <n v="35"/>
    <x v="5"/>
    <n v="93"/>
    <n v="100"/>
    <n v="90"/>
    <n v="94"/>
    <n v="97"/>
    <n v="98"/>
    <n v="98"/>
    <n v="670"/>
    <n v="95.714285714285708"/>
    <x v="1"/>
    <x v="1"/>
    <x v="1"/>
  </r>
  <r>
    <n v="553"/>
    <s v="Alexander"/>
    <s v="Daniel"/>
    <s v="alexander.daniel.553@gslingacademy.com"/>
    <x v="0"/>
    <x v="1"/>
    <x v="5"/>
    <x v="0"/>
    <n v="7"/>
    <x v="2"/>
    <n v="69"/>
    <n v="92"/>
    <n v="84"/>
    <n v="98"/>
    <n v="98"/>
    <n v="83"/>
    <n v="87"/>
    <n v="611"/>
    <n v="87.285714285714292"/>
    <x v="4"/>
    <x v="0"/>
    <x v="1"/>
  </r>
  <r>
    <n v="554"/>
    <s v="Carla"/>
    <s v="Davis"/>
    <s v="carla.davis.554@gslingacademy.com"/>
    <x v="1"/>
    <x v="0"/>
    <x v="9"/>
    <x v="0"/>
    <n v="15"/>
    <x v="5"/>
    <n v="94"/>
    <n v="71"/>
    <n v="63"/>
    <n v="73"/>
    <n v="66"/>
    <n v="90"/>
    <n v="91"/>
    <n v="548"/>
    <n v="78.285714285714292"/>
    <x v="2"/>
    <x v="2"/>
    <x v="0"/>
  </r>
  <r>
    <n v="555"/>
    <s v="Chelsea"/>
    <s v="Clark"/>
    <s v="chelsea.clark.555@gslingacademy.com"/>
    <x v="1"/>
    <x v="0"/>
    <x v="5"/>
    <x v="0"/>
    <n v="3"/>
    <x v="15"/>
    <n v="100"/>
    <n v="92"/>
    <n v="95"/>
    <n v="90"/>
    <n v="67"/>
    <n v="81"/>
    <n v="66"/>
    <n v="591"/>
    <n v="84.428571428571431"/>
    <x v="3"/>
    <x v="0"/>
    <x v="0"/>
  </r>
  <r>
    <n v="556"/>
    <s v="Justin"/>
    <s v="Douglas"/>
    <s v="justin.douglas.556@gslingacademy.com"/>
    <x v="0"/>
    <x v="0"/>
    <x v="1"/>
    <x v="0"/>
    <n v="35"/>
    <x v="4"/>
    <n v="96"/>
    <n v="92"/>
    <n v="98"/>
    <n v="100"/>
    <n v="94"/>
    <n v="93"/>
    <n v="86"/>
    <n v="659"/>
    <n v="94.142857142857139"/>
    <x v="1"/>
    <x v="0"/>
    <x v="1"/>
  </r>
  <r>
    <n v="557"/>
    <s v="Charles"/>
    <s v="Reid"/>
    <s v="charles.reid.557@gslingacademy.com"/>
    <x v="0"/>
    <x v="0"/>
    <x v="0"/>
    <x v="1"/>
    <n v="28"/>
    <x v="0"/>
    <n v="76"/>
    <n v="87"/>
    <n v="99"/>
    <n v="69"/>
    <n v="89"/>
    <n v="93"/>
    <n v="85"/>
    <n v="598"/>
    <n v="85.428571428571431"/>
    <x v="0"/>
    <x v="0"/>
    <x v="0"/>
  </r>
  <r>
    <n v="558"/>
    <s v="Courtney"/>
    <s v="Moreno"/>
    <s v="courtney.moreno.558@gslingacademy.com"/>
    <x v="1"/>
    <x v="0"/>
    <x v="2"/>
    <x v="0"/>
    <n v="4"/>
    <x v="7"/>
    <n v="77"/>
    <n v="62"/>
    <n v="94"/>
    <n v="65"/>
    <n v="77"/>
    <n v="77"/>
    <n v="95"/>
    <n v="547"/>
    <n v="78.142857142857139"/>
    <x v="3"/>
    <x v="1"/>
    <x v="0"/>
  </r>
  <r>
    <n v="559"/>
    <s v="Justin"/>
    <s v="Mitchell"/>
    <s v="justin.mitchell.559@gslingacademy.com"/>
    <x v="0"/>
    <x v="0"/>
    <x v="5"/>
    <x v="1"/>
    <n v="4"/>
    <x v="3"/>
    <n v="84"/>
    <n v="67"/>
    <n v="79"/>
    <n v="60"/>
    <n v="69"/>
    <n v="80"/>
    <n v="98"/>
    <n v="537"/>
    <n v="76.714285714285708"/>
    <x v="3"/>
    <x v="0"/>
    <x v="0"/>
  </r>
  <r>
    <n v="560"/>
    <s v="Bruce"/>
    <s v="Woods"/>
    <s v="bruce.woods.560@gslingacademy.com"/>
    <x v="0"/>
    <x v="0"/>
    <x v="0"/>
    <x v="1"/>
    <n v="16"/>
    <x v="5"/>
    <n v="95"/>
    <n v="61"/>
    <n v="68"/>
    <n v="75"/>
    <n v="64"/>
    <n v="76"/>
    <n v="66"/>
    <n v="505"/>
    <n v="72.142857142857139"/>
    <x v="2"/>
    <x v="0"/>
    <x v="0"/>
  </r>
  <r>
    <n v="561"/>
    <s v="Christopher"/>
    <s v="Hines"/>
    <s v="christopher.hines.561@gslingacademy.com"/>
    <x v="0"/>
    <x v="0"/>
    <x v="5"/>
    <x v="0"/>
    <n v="26"/>
    <x v="11"/>
    <n v="90"/>
    <n v="64"/>
    <n v="94"/>
    <n v="84"/>
    <n v="66"/>
    <n v="61"/>
    <n v="72"/>
    <n v="531"/>
    <n v="75.857142857142861"/>
    <x v="0"/>
    <x v="0"/>
    <x v="0"/>
  </r>
  <r>
    <n v="562"/>
    <s v="Theodore"/>
    <s v="Williams"/>
    <s v="theodore.williams.562@gslingacademy.com"/>
    <x v="0"/>
    <x v="0"/>
    <x v="0"/>
    <x v="0"/>
    <n v="30"/>
    <x v="4"/>
    <n v="96"/>
    <n v="89"/>
    <n v="73"/>
    <n v="75"/>
    <n v="99"/>
    <n v="89"/>
    <n v="71"/>
    <n v="592"/>
    <n v="84.571428571428569"/>
    <x v="0"/>
    <x v="0"/>
    <x v="0"/>
  </r>
  <r>
    <n v="563"/>
    <s v="Jennifer"/>
    <s v="Valdez"/>
    <s v="jennifer.valdez.563@gslingacademy.com"/>
    <x v="1"/>
    <x v="1"/>
    <x v="4"/>
    <x v="0"/>
    <n v="2"/>
    <x v="7"/>
    <n v="80"/>
    <n v="81"/>
    <n v="92"/>
    <n v="73"/>
    <n v="71"/>
    <n v="71"/>
    <n v="84"/>
    <n v="552"/>
    <n v="78.857142857142861"/>
    <x v="3"/>
    <x v="2"/>
    <x v="0"/>
  </r>
  <r>
    <n v="564"/>
    <s v="Alexandra"/>
    <s v="Day"/>
    <s v="alexandra.day.564@gslingacademy.com"/>
    <x v="1"/>
    <x v="0"/>
    <x v="1"/>
    <x v="0"/>
    <n v="34"/>
    <x v="5"/>
    <n v="87"/>
    <n v="83"/>
    <n v="75"/>
    <n v="73"/>
    <n v="92"/>
    <n v="91"/>
    <n v="71"/>
    <n v="572"/>
    <n v="81.714285714285708"/>
    <x v="1"/>
    <x v="0"/>
    <x v="0"/>
  </r>
  <r>
    <n v="565"/>
    <s v="John"/>
    <s v="Pacheco"/>
    <s v="john.pacheco.565@gslingacademy.com"/>
    <x v="0"/>
    <x v="0"/>
    <x v="7"/>
    <x v="0"/>
    <n v="0"/>
    <x v="7"/>
    <n v="94"/>
    <n v="75"/>
    <n v="91"/>
    <n v="64"/>
    <n v="67"/>
    <n v="93"/>
    <n v="65"/>
    <n v="549"/>
    <n v="78.428571428571431"/>
    <x v="3"/>
    <x v="1"/>
    <x v="0"/>
  </r>
  <r>
    <n v="566"/>
    <s v="Sherry"/>
    <s v="Brown"/>
    <s v="sherry.brown.566@gslingacademy.com"/>
    <x v="1"/>
    <x v="0"/>
    <x v="7"/>
    <x v="1"/>
    <n v="3"/>
    <x v="3"/>
    <n v="87"/>
    <n v="82"/>
    <n v="88"/>
    <n v="100"/>
    <n v="73"/>
    <n v="96"/>
    <n v="75"/>
    <n v="601"/>
    <n v="85.857142857142861"/>
    <x v="3"/>
    <x v="1"/>
    <x v="1"/>
  </r>
  <r>
    <n v="567"/>
    <s v="Douglas"/>
    <s v="Clark"/>
    <s v="douglas.clark.567@gslingacademy.com"/>
    <x v="0"/>
    <x v="0"/>
    <x v="1"/>
    <x v="0"/>
    <n v="30"/>
    <x v="5"/>
    <n v="95"/>
    <n v="97"/>
    <n v="88"/>
    <n v="77"/>
    <n v="96"/>
    <n v="96"/>
    <n v="74"/>
    <n v="623"/>
    <n v="89"/>
    <x v="0"/>
    <x v="0"/>
    <x v="1"/>
  </r>
  <r>
    <n v="568"/>
    <s v="Alex"/>
    <s v="Farmer"/>
    <s v="alex.farmer.568@gslingacademy.com"/>
    <x v="0"/>
    <x v="1"/>
    <x v="0"/>
    <x v="1"/>
    <n v="15"/>
    <x v="13"/>
    <n v="85"/>
    <n v="96"/>
    <n v="82"/>
    <n v="64"/>
    <n v="82"/>
    <n v="94"/>
    <n v="81"/>
    <n v="584"/>
    <n v="83.428571428571431"/>
    <x v="2"/>
    <x v="0"/>
    <x v="0"/>
  </r>
  <r>
    <n v="569"/>
    <s v="Brandon"/>
    <s v="Gonzales"/>
    <s v="brandon.gonzales.569@gslingacademy.com"/>
    <x v="0"/>
    <x v="0"/>
    <x v="8"/>
    <x v="1"/>
    <n v="1"/>
    <x v="7"/>
    <n v="67"/>
    <n v="65"/>
    <n v="77"/>
    <n v="72"/>
    <n v="94"/>
    <n v="88"/>
    <n v="77"/>
    <n v="540"/>
    <n v="77.142857142857139"/>
    <x v="3"/>
    <x v="1"/>
    <x v="0"/>
  </r>
  <r>
    <n v="570"/>
    <s v="Wayne"/>
    <s v="Trevino"/>
    <s v="wayne.trevino.570@gslingacademy.com"/>
    <x v="0"/>
    <x v="0"/>
    <x v="0"/>
    <x v="1"/>
    <n v="6"/>
    <x v="2"/>
    <n v="84"/>
    <n v="100"/>
    <n v="92"/>
    <n v="82"/>
    <n v="85"/>
    <n v="70"/>
    <n v="69"/>
    <n v="582"/>
    <n v="83.142857142857139"/>
    <x v="4"/>
    <x v="0"/>
    <x v="0"/>
  </r>
  <r>
    <n v="571"/>
    <s v="Pamela"/>
    <s v="Horne"/>
    <s v="pamela.horne.571@gslingacademy.com"/>
    <x v="1"/>
    <x v="0"/>
    <x v="6"/>
    <x v="1"/>
    <n v="1"/>
    <x v="14"/>
    <n v="83"/>
    <n v="88"/>
    <n v="90"/>
    <n v="100"/>
    <n v="71"/>
    <n v="98"/>
    <n v="96"/>
    <n v="626"/>
    <n v="89.428571428571431"/>
    <x v="3"/>
    <x v="1"/>
    <x v="1"/>
  </r>
  <r>
    <n v="572"/>
    <s v="Michael"/>
    <s v="Schaefer"/>
    <s v="michael.schaefer.572@gslingacademy.com"/>
    <x v="0"/>
    <x v="1"/>
    <x v="2"/>
    <x v="1"/>
    <n v="5"/>
    <x v="7"/>
    <n v="67"/>
    <n v="78"/>
    <n v="68"/>
    <n v="51"/>
    <n v="77"/>
    <n v="72"/>
    <n v="78"/>
    <n v="491"/>
    <n v="70.142857142857139"/>
    <x v="3"/>
    <x v="1"/>
    <x v="0"/>
  </r>
  <r>
    <n v="573"/>
    <s v="Carlos"/>
    <s v="Ramirez"/>
    <s v="carlos.ramirez.573@gslingacademy.com"/>
    <x v="0"/>
    <x v="0"/>
    <x v="5"/>
    <x v="0"/>
    <n v="30"/>
    <x v="9"/>
    <n v="75"/>
    <n v="92"/>
    <n v="72"/>
    <n v="88"/>
    <n v="92"/>
    <n v="77"/>
    <n v="84"/>
    <n v="580"/>
    <n v="82.857142857142861"/>
    <x v="0"/>
    <x v="0"/>
    <x v="0"/>
  </r>
  <r>
    <n v="574"/>
    <s v="Antonio"/>
    <s v="Lucero"/>
    <s v="antonio.lucero.574@gslingacademy.com"/>
    <x v="0"/>
    <x v="0"/>
    <x v="0"/>
    <x v="1"/>
    <n v="8"/>
    <x v="2"/>
    <n v="67"/>
    <n v="76"/>
    <n v="70"/>
    <n v="73"/>
    <n v="81"/>
    <n v="85"/>
    <n v="80"/>
    <n v="532"/>
    <n v="76"/>
    <x v="4"/>
    <x v="0"/>
    <x v="0"/>
  </r>
  <r>
    <n v="575"/>
    <s v="Terry"/>
    <s v="Ashley"/>
    <s v="terry.ashley.575@gslingacademy.com"/>
    <x v="0"/>
    <x v="1"/>
    <x v="2"/>
    <x v="0"/>
    <n v="5"/>
    <x v="7"/>
    <n v="67"/>
    <n v="54"/>
    <n v="51"/>
    <n v="72"/>
    <n v="75"/>
    <n v="60"/>
    <n v="88"/>
    <n v="467"/>
    <n v="66.714285714285708"/>
    <x v="3"/>
    <x v="1"/>
    <x v="0"/>
  </r>
  <r>
    <n v="576"/>
    <s v="Rita"/>
    <s v="Cochran"/>
    <s v="rita.cochran.576@gslingacademy.com"/>
    <x v="1"/>
    <x v="0"/>
    <x v="5"/>
    <x v="0"/>
    <n v="5"/>
    <x v="3"/>
    <n v="72"/>
    <n v="91"/>
    <n v="78"/>
    <n v="97"/>
    <n v="86"/>
    <n v="93"/>
    <n v="77"/>
    <n v="594"/>
    <n v="84.857142857142861"/>
    <x v="3"/>
    <x v="0"/>
    <x v="0"/>
  </r>
  <r>
    <n v="577"/>
    <s v="Joseph"/>
    <s v="Gregory"/>
    <s v="joseph.gregory.577@gslingacademy.com"/>
    <x v="0"/>
    <x v="0"/>
    <x v="9"/>
    <x v="0"/>
    <n v="4"/>
    <x v="2"/>
    <n v="78"/>
    <n v="98"/>
    <n v="76"/>
    <n v="68"/>
    <n v="86"/>
    <n v="91"/>
    <n v="82"/>
    <n v="579"/>
    <n v="82.714285714285708"/>
    <x v="3"/>
    <x v="2"/>
    <x v="0"/>
  </r>
  <r>
    <n v="578"/>
    <s v="Alexandra"/>
    <s v="Robinson"/>
    <s v="alexandra.robinson.578@gslingacademy.com"/>
    <x v="1"/>
    <x v="0"/>
    <x v="5"/>
    <x v="0"/>
    <n v="47"/>
    <x v="1"/>
    <n v="85"/>
    <n v="87"/>
    <n v="92"/>
    <n v="96"/>
    <n v="92"/>
    <n v="90"/>
    <n v="88"/>
    <n v="630"/>
    <n v="90"/>
    <x v="1"/>
    <x v="0"/>
    <x v="1"/>
  </r>
  <r>
    <n v="579"/>
    <s v="Tina"/>
    <s v="Sparks"/>
    <s v="tina.sparks.579@gslingacademy.com"/>
    <x v="1"/>
    <x v="0"/>
    <x v="0"/>
    <x v="1"/>
    <n v="16"/>
    <x v="15"/>
    <n v="100"/>
    <n v="70"/>
    <n v="69"/>
    <n v="61"/>
    <n v="100"/>
    <n v="65"/>
    <n v="81"/>
    <n v="546"/>
    <n v="78"/>
    <x v="2"/>
    <x v="0"/>
    <x v="0"/>
  </r>
  <r>
    <n v="580"/>
    <s v="Christopher"/>
    <s v="Buchanan"/>
    <s v="christopher.buchanan.580@gslingacademy.com"/>
    <x v="0"/>
    <x v="1"/>
    <x v="3"/>
    <x v="0"/>
    <n v="3"/>
    <x v="7"/>
    <n v="56"/>
    <n v="59"/>
    <n v="89"/>
    <n v="68"/>
    <n v="79"/>
    <n v="83"/>
    <n v="68"/>
    <n v="502"/>
    <n v="71.714285714285708"/>
    <x v="3"/>
    <x v="2"/>
    <x v="0"/>
  </r>
  <r>
    <n v="581"/>
    <s v="Christina"/>
    <s v="Guerrero"/>
    <s v="christina.guerrero.581@gslingacademy.com"/>
    <x v="1"/>
    <x v="0"/>
    <x v="3"/>
    <x v="1"/>
    <n v="32"/>
    <x v="8"/>
    <n v="93"/>
    <n v="75"/>
    <n v="83"/>
    <n v="99"/>
    <n v="100"/>
    <n v="91"/>
    <n v="74"/>
    <n v="615"/>
    <n v="87.857142857142861"/>
    <x v="1"/>
    <x v="2"/>
    <x v="1"/>
  </r>
  <r>
    <n v="582"/>
    <s v="Jessica"/>
    <s v="Hutchinson"/>
    <s v="jessica.hutchinson.582@gslingacademy.com"/>
    <x v="1"/>
    <x v="0"/>
    <x v="1"/>
    <x v="0"/>
    <n v="31"/>
    <x v="9"/>
    <n v="89"/>
    <n v="91"/>
    <n v="85"/>
    <n v="69"/>
    <n v="76"/>
    <n v="92"/>
    <n v="94"/>
    <n v="596"/>
    <n v="85.142857142857139"/>
    <x v="1"/>
    <x v="0"/>
    <x v="0"/>
  </r>
  <r>
    <n v="583"/>
    <s v="Tyler"/>
    <s v="Carrillo"/>
    <s v="tyler.carrillo.583@gslingacademy.com"/>
    <x v="0"/>
    <x v="0"/>
    <x v="0"/>
    <x v="0"/>
    <n v="6"/>
    <x v="16"/>
    <n v="59"/>
    <n v="88"/>
    <n v="74"/>
    <n v="92"/>
    <n v="72"/>
    <n v="97"/>
    <n v="64"/>
    <n v="546"/>
    <n v="78"/>
    <x v="4"/>
    <x v="0"/>
    <x v="0"/>
  </r>
  <r>
    <n v="584"/>
    <s v="Lindsay"/>
    <s v="Brady"/>
    <s v="lindsay.brady.584@gslingacademy.com"/>
    <x v="1"/>
    <x v="0"/>
    <x v="0"/>
    <x v="0"/>
    <n v="16"/>
    <x v="4"/>
    <n v="99"/>
    <n v="70"/>
    <n v="74"/>
    <n v="65"/>
    <n v="99"/>
    <n v="74"/>
    <n v="62"/>
    <n v="543"/>
    <n v="77.571428571428569"/>
    <x v="2"/>
    <x v="0"/>
    <x v="0"/>
  </r>
  <r>
    <n v="585"/>
    <s v="Gary"/>
    <s v="Rivera"/>
    <s v="gary.rivera.585@gslingacademy.com"/>
    <x v="0"/>
    <x v="0"/>
    <x v="4"/>
    <x v="0"/>
    <n v="34"/>
    <x v="0"/>
    <n v="89"/>
    <n v="89"/>
    <n v="85"/>
    <n v="74"/>
    <n v="78"/>
    <n v="87"/>
    <n v="82"/>
    <n v="584"/>
    <n v="83.428571428571431"/>
    <x v="1"/>
    <x v="2"/>
    <x v="0"/>
  </r>
  <r>
    <n v="586"/>
    <s v="Luke"/>
    <s v="Moore"/>
    <s v="luke.moore.586@gslingacademy.com"/>
    <x v="0"/>
    <x v="0"/>
    <x v="0"/>
    <x v="0"/>
    <n v="26"/>
    <x v="5"/>
    <n v="86"/>
    <n v="63"/>
    <n v="78"/>
    <n v="78"/>
    <n v="80"/>
    <n v="67"/>
    <n v="97"/>
    <n v="549"/>
    <n v="78.428571428571431"/>
    <x v="0"/>
    <x v="0"/>
    <x v="0"/>
  </r>
  <r>
    <n v="587"/>
    <s v="Tanya"/>
    <s v="Green"/>
    <s v="tanya.green.587@gslingacademy.com"/>
    <x v="1"/>
    <x v="0"/>
    <x v="4"/>
    <x v="0"/>
    <n v="21"/>
    <x v="9"/>
    <n v="79"/>
    <n v="65"/>
    <n v="91"/>
    <n v="65"/>
    <n v="61"/>
    <n v="88"/>
    <n v="95"/>
    <n v="544"/>
    <n v="77.714285714285708"/>
    <x v="0"/>
    <x v="2"/>
    <x v="0"/>
  </r>
  <r>
    <n v="588"/>
    <s v="Bryan"/>
    <s v="Lee"/>
    <s v="bryan.lee.588@gslingacademy.com"/>
    <x v="0"/>
    <x v="0"/>
    <x v="0"/>
    <x v="0"/>
    <n v="46"/>
    <x v="1"/>
    <n v="96"/>
    <n v="89"/>
    <n v="91"/>
    <n v="90"/>
    <n v="90"/>
    <n v="91"/>
    <n v="99"/>
    <n v="646"/>
    <n v="92.285714285714292"/>
    <x v="1"/>
    <x v="0"/>
    <x v="1"/>
  </r>
  <r>
    <n v="589"/>
    <s v="Melanie"/>
    <s v="Bridges"/>
    <s v="melanie.bridges.589@gslingacademy.com"/>
    <x v="1"/>
    <x v="0"/>
    <x v="4"/>
    <x v="0"/>
    <n v="48"/>
    <x v="1"/>
    <n v="95"/>
    <n v="90"/>
    <n v="85"/>
    <n v="90"/>
    <n v="96"/>
    <n v="89"/>
    <n v="96"/>
    <n v="641"/>
    <n v="91.571428571428569"/>
    <x v="1"/>
    <x v="2"/>
    <x v="1"/>
  </r>
  <r>
    <n v="590"/>
    <s v="Eric"/>
    <s v="Bowers"/>
    <s v="eric.bowers.590@gslingacademy.com"/>
    <x v="0"/>
    <x v="1"/>
    <x v="5"/>
    <x v="0"/>
    <n v="46"/>
    <x v="1"/>
    <n v="96"/>
    <n v="85"/>
    <n v="90"/>
    <n v="95"/>
    <n v="100"/>
    <n v="96"/>
    <n v="88"/>
    <n v="650"/>
    <n v="92.857142857142861"/>
    <x v="1"/>
    <x v="0"/>
    <x v="1"/>
  </r>
  <r>
    <n v="591"/>
    <s v="Meredith"/>
    <s v="Reed"/>
    <s v="meredith.reed.591@gslingacademy.com"/>
    <x v="1"/>
    <x v="1"/>
    <x v="0"/>
    <x v="0"/>
    <n v="28"/>
    <x v="4"/>
    <n v="95"/>
    <n v="80"/>
    <n v="64"/>
    <n v="97"/>
    <n v="85"/>
    <n v="94"/>
    <n v="60"/>
    <n v="575"/>
    <n v="82.142857142857139"/>
    <x v="0"/>
    <x v="0"/>
    <x v="0"/>
  </r>
  <r>
    <n v="592"/>
    <s v="David"/>
    <s v="Brown"/>
    <s v="david.brown.592@gslingacademy.com"/>
    <x v="0"/>
    <x v="1"/>
    <x v="9"/>
    <x v="0"/>
    <n v="2"/>
    <x v="4"/>
    <n v="80"/>
    <n v="62"/>
    <n v="84"/>
    <n v="95"/>
    <n v="71"/>
    <n v="85"/>
    <n v="87"/>
    <n v="564"/>
    <n v="80.571428571428569"/>
    <x v="3"/>
    <x v="2"/>
    <x v="0"/>
  </r>
  <r>
    <n v="593"/>
    <s v="William"/>
    <s v="Johns"/>
    <s v="william.johns.593@gslingacademy.com"/>
    <x v="0"/>
    <x v="1"/>
    <x v="10"/>
    <x v="0"/>
    <n v="32"/>
    <x v="15"/>
    <n v="86"/>
    <n v="70"/>
    <n v="73"/>
    <n v="85"/>
    <n v="67"/>
    <n v="91"/>
    <n v="98"/>
    <n v="570"/>
    <n v="81.428571428571431"/>
    <x v="1"/>
    <x v="3"/>
    <x v="0"/>
  </r>
  <r>
    <n v="594"/>
    <s v="Eric"/>
    <s v="Patton"/>
    <s v="eric.patton.594@gslingacademy.com"/>
    <x v="0"/>
    <x v="1"/>
    <x v="7"/>
    <x v="0"/>
    <n v="5"/>
    <x v="7"/>
    <n v="42"/>
    <n v="95"/>
    <n v="99"/>
    <n v="61"/>
    <n v="62"/>
    <n v="77"/>
    <n v="99"/>
    <n v="535"/>
    <n v="76.428571428571431"/>
    <x v="3"/>
    <x v="1"/>
    <x v="0"/>
  </r>
  <r>
    <n v="595"/>
    <s v="Wendy"/>
    <s v="Warner"/>
    <s v="wendy.warner.595@gslingacademy.com"/>
    <x v="1"/>
    <x v="0"/>
    <x v="9"/>
    <x v="0"/>
    <n v="31"/>
    <x v="0"/>
    <n v="80"/>
    <n v="93"/>
    <n v="93"/>
    <n v="94"/>
    <n v="81"/>
    <n v="81"/>
    <n v="78"/>
    <n v="600"/>
    <n v="85.714285714285708"/>
    <x v="1"/>
    <x v="2"/>
    <x v="0"/>
  </r>
  <r>
    <n v="596"/>
    <s v="Timothy"/>
    <s v="Powell"/>
    <s v="timothy.powell.596@gslingacademy.com"/>
    <x v="0"/>
    <x v="0"/>
    <x v="9"/>
    <x v="1"/>
    <n v="1"/>
    <x v="3"/>
    <n v="79"/>
    <n v="97"/>
    <n v="100"/>
    <n v="94"/>
    <n v="65"/>
    <n v="62"/>
    <n v="76"/>
    <n v="573"/>
    <n v="81.857142857142861"/>
    <x v="3"/>
    <x v="2"/>
    <x v="0"/>
  </r>
  <r>
    <n v="597"/>
    <s v="Victoria"/>
    <s v="Thompson"/>
    <s v="victoria.thompson.597@gslingacademy.com"/>
    <x v="1"/>
    <x v="1"/>
    <x v="2"/>
    <x v="1"/>
    <n v="4"/>
    <x v="7"/>
    <n v="43"/>
    <n v="63"/>
    <n v="91"/>
    <n v="67"/>
    <n v="74"/>
    <n v="71"/>
    <n v="88"/>
    <n v="497"/>
    <n v="71"/>
    <x v="3"/>
    <x v="1"/>
    <x v="0"/>
  </r>
  <r>
    <n v="598"/>
    <s v="Jeremy"/>
    <s v="Brown"/>
    <s v="jeremy.brown.598@gslingacademy.com"/>
    <x v="0"/>
    <x v="0"/>
    <x v="1"/>
    <x v="1"/>
    <n v="8"/>
    <x v="16"/>
    <n v="58"/>
    <n v="84"/>
    <n v="95"/>
    <n v="66"/>
    <n v="99"/>
    <n v="91"/>
    <n v="70"/>
    <n v="563"/>
    <n v="80.428571428571431"/>
    <x v="4"/>
    <x v="0"/>
    <x v="0"/>
  </r>
  <r>
    <n v="599"/>
    <s v="Barbara"/>
    <s v="Schneider"/>
    <s v="barbara.schneider.599@gslingacademy.com"/>
    <x v="1"/>
    <x v="0"/>
    <x v="0"/>
    <x v="1"/>
    <n v="23"/>
    <x v="11"/>
    <n v="86"/>
    <n v="73"/>
    <n v="83"/>
    <n v="93"/>
    <n v="46"/>
    <n v="91"/>
    <n v="70"/>
    <n v="542"/>
    <n v="77.428571428571431"/>
    <x v="0"/>
    <x v="0"/>
    <x v="0"/>
  </r>
  <r>
    <n v="600"/>
    <s v="Lindsay"/>
    <s v="Morales"/>
    <s v="lindsay.morales.600@gslingacademy.com"/>
    <x v="1"/>
    <x v="0"/>
    <x v="5"/>
    <x v="0"/>
    <n v="23"/>
    <x v="1"/>
    <n v="96"/>
    <n v="91"/>
    <n v="97"/>
    <n v="84"/>
    <n v="89"/>
    <n v="82"/>
    <n v="75"/>
    <n v="614"/>
    <n v="87.714285714285708"/>
    <x v="0"/>
    <x v="0"/>
    <x v="1"/>
  </r>
  <r>
    <n v="601"/>
    <s v="Gary"/>
    <s v="Patel"/>
    <s v="gary.patel.601@gslingacademy.com"/>
    <x v="0"/>
    <x v="0"/>
    <x v="5"/>
    <x v="0"/>
    <n v="28"/>
    <x v="0"/>
    <n v="91"/>
    <n v="88"/>
    <n v="98"/>
    <n v="89"/>
    <n v="75"/>
    <n v="91"/>
    <n v="92"/>
    <n v="624"/>
    <n v="89.142857142857139"/>
    <x v="0"/>
    <x v="0"/>
    <x v="1"/>
  </r>
  <r>
    <n v="602"/>
    <s v="Michelle"/>
    <s v="Ortiz"/>
    <s v="michelle.ortiz.602@gslingacademy.com"/>
    <x v="1"/>
    <x v="0"/>
    <x v="5"/>
    <x v="0"/>
    <n v="7"/>
    <x v="4"/>
    <n v="85"/>
    <n v="62"/>
    <n v="77"/>
    <n v="62"/>
    <n v="80"/>
    <n v="88"/>
    <n v="83"/>
    <n v="537"/>
    <n v="76.714285714285708"/>
    <x v="4"/>
    <x v="0"/>
    <x v="0"/>
  </r>
  <r>
    <n v="603"/>
    <s v="Susan"/>
    <s v="Lynch"/>
    <s v="susan.lynch.603@gslingacademy.com"/>
    <x v="1"/>
    <x v="0"/>
    <x v="10"/>
    <x v="0"/>
    <n v="5"/>
    <x v="3"/>
    <n v="87"/>
    <n v="91"/>
    <n v="93"/>
    <n v="92"/>
    <n v="97"/>
    <n v="95"/>
    <n v="99"/>
    <n v="654"/>
    <n v="93.428571428571431"/>
    <x v="3"/>
    <x v="3"/>
    <x v="1"/>
  </r>
  <r>
    <n v="604"/>
    <s v="Tammy"/>
    <s v="Hernandez"/>
    <s v="tammy.hernandez.604@gslingacademy.com"/>
    <x v="1"/>
    <x v="0"/>
    <x v="1"/>
    <x v="0"/>
    <n v="4"/>
    <x v="4"/>
    <n v="60"/>
    <n v="91"/>
    <n v="85"/>
    <n v="67"/>
    <n v="98"/>
    <n v="61"/>
    <n v="64"/>
    <n v="526"/>
    <n v="75.142857142857139"/>
    <x v="3"/>
    <x v="0"/>
    <x v="0"/>
  </r>
  <r>
    <n v="605"/>
    <s v="Jennifer"/>
    <s v="Guerra"/>
    <s v="jennifer.guerra.605@gslingacademy.com"/>
    <x v="1"/>
    <x v="0"/>
    <x v="1"/>
    <x v="0"/>
    <n v="26"/>
    <x v="4"/>
    <n v="76"/>
    <n v="85"/>
    <n v="67"/>
    <n v="60"/>
    <n v="100"/>
    <n v="63"/>
    <n v="64"/>
    <n v="515"/>
    <n v="73.571428571428569"/>
    <x v="0"/>
    <x v="0"/>
    <x v="0"/>
  </r>
  <r>
    <n v="606"/>
    <s v="Kelly"/>
    <s v="Schwartz"/>
    <s v="kelly.schwartz.606@gslingacademy.com"/>
    <x v="1"/>
    <x v="0"/>
    <x v="9"/>
    <x v="1"/>
    <n v="33"/>
    <x v="0"/>
    <n v="84"/>
    <n v="89"/>
    <n v="74"/>
    <n v="79"/>
    <n v="86"/>
    <n v="93"/>
    <n v="95"/>
    <n v="600"/>
    <n v="85.714285714285708"/>
    <x v="1"/>
    <x v="2"/>
    <x v="0"/>
  </r>
  <r>
    <n v="607"/>
    <s v="Brittany"/>
    <s v="Orozco"/>
    <s v="brittany.orozco.607@gslingacademy.com"/>
    <x v="1"/>
    <x v="0"/>
    <x v="9"/>
    <x v="1"/>
    <n v="34"/>
    <x v="0"/>
    <n v="87"/>
    <n v="94"/>
    <n v="74"/>
    <n v="84"/>
    <n v="77"/>
    <n v="82"/>
    <n v="85"/>
    <n v="583"/>
    <n v="83.285714285714292"/>
    <x v="1"/>
    <x v="2"/>
    <x v="0"/>
  </r>
  <r>
    <n v="608"/>
    <s v="Samantha"/>
    <s v="Alvarado"/>
    <s v="samantha.alvarado.608@gslingacademy.com"/>
    <x v="1"/>
    <x v="1"/>
    <x v="9"/>
    <x v="0"/>
    <n v="16"/>
    <x v="11"/>
    <n v="82"/>
    <n v="79"/>
    <n v="64"/>
    <n v="75"/>
    <n v="93"/>
    <n v="82"/>
    <n v="60"/>
    <n v="535"/>
    <n v="76.428571428571431"/>
    <x v="2"/>
    <x v="2"/>
    <x v="0"/>
  </r>
  <r>
    <n v="609"/>
    <s v="Christopher"/>
    <s v="Anderson"/>
    <s v="christopher.anderson.609@gslingacademy.com"/>
    <x v="0"/>
    <x v="0"/>
    <x v="9"/>
    <x v="0"/>
    <n v="3"/>
    <x v="7"/>
    <n v="64"/>
    <n v="61"/>
    <n v="73"/>
    <n v="70"/>
    <n v="87"/>
    <n v="75"/>
    <n v="100"/>
    <n v="530"/>
    <n v="75.714285714285708"/>
    <x v="3"/>
    <x v="2"/>
    <x v="0"/>
  </r>
  <r>
    <n v="610"/>
    <s v="William"/>
    <s v="Smith"/>
    <s v="william.smith.610@gslingacademy.com"/>
    <x v="0"/>
    <x v="0"/>
    <x v="0"/>
    <x v="0"/>
    <n v="25"/>
    <x v="0"/>
    <n v="77"/>
    <n v="80"/>
    <n v="88"/>
    <n v="84"/>
    <n v="84"/>
    <n v="92"/>
    <n v="82"/>
    <n v="587"/>
    <n v="83.857142857142861"/>
    <x v="0"/>
    <x v="0"/>
    <x v="0"/>
  </r>
  <r>
    <n v="611"/>
    <s v="Courtney"/>
    <s v="Patterson"/>
    <s v="courtney.patterson.611@gslingacademy.com"/>
    <x v="1"/>
    <x v="0"/>
    <x v="10"/>
    <x v="0"/>
    <n v="4"/>
    <x v="15"/>
    <n v="86"/>
    <n v="82"/>
    <n v="90"/>
    <n v="69"/>
    <n v="66"/>
    <n v="93"/>
    <n v="94"/>
    <n v="580"/>
    <n v="82.857142857142861"/>
    <x v="3"/>
    <x v="3"/>
    <x v="0"/>
  </r>
  <r>
    <n v="612"/>
    <s v="Kevin"/>
    <s v="Hess"/>
    <s v="kevin.hess.612@gslingacademy.com"/>
    <x v="0"/>
    <x v="0"/>
    <x v="10"/>
    <x v="0"/>
    <n v="4"/>
    <x v="16"/>
    <n v="81"/>
    <n v="84"/>
    <n v="76"/>
    <n v="88"/>
    <n v="84"/>
    <n v="89"/>
    <n v="87"/>
    <n v="589"/>
    <n v="84.142857142857139"/>
    <x v="3"/>
    <x v="3"/>
    <x v="0"/>
  </r>
  <r>
    <n v="613"/>
    <s v="Melissa"/>
    <s v="Higgins"/>
    <s v="melissa.higgins.613@gslingacademy.com"/>
    <x v="1"/>
    <x v="0"/>
    <x v="0"/>
    <x v="0"/>
    <n v="21"/>
    <x v="5"/>
    <n v="91"/>
    <n v="90"/>
    <n v="92"/>
    <n v="78"/>
    <n v="67"/>
    <n v="86"/>
    <n v="71"/>
    <n v="575"/>
    <n v="82.142857142857139"/>
    <x v="0"/>
    <x v="0"/>
    <x v="0"/>
  </r>
  <r>
    <n v="614"/>
    <s v="Elizabeth"/>
    <s v="Chavez"/>
    <s v="elizabeth.chavez.614@gslingacademy.com"/>
    <x v="1"/>
    <x v="0"/>
    <x v="6"/>
    <x v="0"/>
    <n v="4"/>
    <x v="7"/>
    <n v="72"/>
    <n v="99"/>
    <n v="61"/>
    <n v="67"/>
    <n v="95"/>
    <n v="98"/>
    <n v="89"/>
    <n v="581"/>
    <n v="83"/>
    <x v="3"/>
    <x v="1"/>
    <x v="0"/>
  </r>
  <r>
    <n v="615"/>
    <s v="Mary"/>
    <s v="Taylor"/>
    <s v="mary.taylor.615@gslingacademy.com"/>
    <x v="1"/>
    <x v="0"/>
    <x v="0"/>
    <x v="0"/>
    <n v="24"/>
    <x v="10"/>
    <n v="80"/>
    <n v="70"/>
    <n v="80"/>
    <n v="96"/>
    <n v="72"/>
    <n v="99"/>
    <n v="65"/>
    <n v="562"/>
    <n v="80.285714285714292"/>
    <x v="0"/>
    <x v="0"/>
    <x v="0"/>
  </r>
  <r>
    <n v="616"/>
    <s v="Joshua"/>
    <s v="Parker"/>
    <s v="joshua.parker.616@gslingacademy.com"/>
    <x v="0"/>
    <x v="0"/>
    <x v="1"/>
    <x v="0"/>
    <n v="16"/>
    <x v="4"/>
    <n v="90"/>
    <n v="89"/>
    <n v="98"/>
    <n v="70"/>
    <n v="79"/>
    <n v="60"/>
    <n v="92"/>
    <n v="578"/>
    <n v="82.571428571428569"/>
    <x v="2"/>
    <x v="0"/>
    <x v="0"/>
  </r>
  <r>
    <n v="617"/>
    <s v="Joshua"/>
    <s v="Kelly"/>
    <s v="joshua.kelly.617@gslingacademy.com"/>
    <x v="0"/>
    <x v="0"/>
    <x v="7"/>
    <x v="0"/>
    <n v="2"/>
    <x v="7"/>
    <n v="72"/>
    <n v="51"/>
    <n v="52"/>
    <n v="98"/>
    <n v="50"/>
    <n v="90"/>
    <n v="63"/>
    <n v="476"/>
    <n v="68"/>
    <x v="3"/>
    <x v="1"/>
    <x v="0"/>
  </r>
  <r>
    <n v="618"/>
    <s v="Travis"/>
    <s v="Ross"/>
    <s v="travis.ross.618@gslingacademy.com"/>
    <x v="0"/>
    <x v="0"/>
    <x v="0"/>
    <x v="0"/>
    <n v="35"/>
    <x v="5"/>
    <n v="93"/>
    <n v="85"/>
    <n v="89"/>
    <n v="93"/>
    <n v="90"/>
    <n v="91"/>
    <n v="88"/>
    <n v="629"/>
    <n v="89.857142857142861"/>
    <x v="1"/>
    <x v="0"/>
    <x v="1"/>
  </r>
  <r>
    <n v="619"/>
    <s v="Kenneth"/>
    <s v="Buchanan"/>
    <s v="kenneth.buchanan.619@gslingacademy.com"/>
    <x v="0"/>
    <x v="0"/>
    <x v="1"/>
    <x v="0"/>
    <n v="24"/>
    <x v="1"/>
    <n v="95"/>
    <n v="85"/>
    <n v="90"/>
    <n v="94"/>
    <n v="91"/>
    <n v="84"/>
    <n v="85"/>
    <n v="624"/>
    <n v="89.142857142857139"/>
    <x v="0"/>
    <x v="0"/>
    <x v="1"/>
  </r>
  <r>
    <n v="620"/>
    <s v="Ryan"/>
    <s v="Clarke"/>
    <s v="ryan.clarke.620@gslingacademy.com"/>
    <x v="0"/>
    <x v="0"/>
    <x v="1"/>
    <x v="1"/>
    <n v="46"/>
    <x v="1"/>
    <n v="86"/>
    <n v="93"/>
    <n v="89"/>
    <n v="90"/>
    <n v="100"/>
    <n v="86"/>
    <n v="93"/>
    <n v="637"/>
    <n v="91"/>
    <x v="1"/>
    <x v="0"/>
    <x v="1"/>
  </r>
  <r>
    <n v="621"/>
    <s v="Gina"/>
    <s v="Solomon"/>
    <s v="gina.solomon.621@gslingacademy.com"/>
    <x v="1"/>
    <x v="0"/>
    <x v="4"/>
    <x v="0"/>
    <n v="1"/>
    <x v="7"/>
    <n v="89"/>
    <n v="55"/>
    <n v="89"/>
    <n v="67"/>
    <n v="55"/>
    <n v="64"/>
    <n v="70"/>
    <n v="489"/>
    <n v="69.857142857142861"/>
    <x v="3"/>
    <x v="2"/>
    <x v="0"/>
  </r>
  <r>
    <n v="622"/>
    <s v="David"/>
    <s v="Madden"/>
    <s v="david.madden.622@gslingacademy.com"/>
    <x v="0"/>
    <x v="0"/>
    <x v="3"/>
    <x v="0"/>
    <n v="26"/>
    <x v="4"/>
    <n v="90"/>
    <n v="75"/>
    <n v="67"/>
    <n v="85"/>
    <n v="64"/>
    <n v="95"/>
    <n v="96"/>
    <n v="572"/>
    <n v="81.714285714285708"/>
    <x v="0"/>
    <x v="2"/>
    <x v="0"/>
  </r>
  <r>
    <n v="623"/>
    <s v="William"/>
    <s v="Brennan"/>
    <s v="william.brennan.623@gslingacademy.com"/>
    <x v="0"/>
    <x v="0"/>
    <x v="5"/>
    <x v="0"/>
    <n v="5"/>
    <x v="4"/>
    <n v="79"/>
    <n v="95"/>
    <n v="81"/>
    <n v="67"/>
    <n v="66"/>
    <n v="71"/>
    <n v="66"/>
    <n v="525"/>
    <n v="75"/>
    <x v="3"/>
    <x v="0"/>
    <x v="0"/>
  </r>
  <r>
    <n v="624"/>
    <s v="Judy"/>
    <s v="Mckenzie"/>
    <s v="judy.mckenzie.624@gslingacademy.com"/>
    <x v="1"/>
    <x v="1"/>
    <x v="3"/>
    <x v="0"/>
    <n v="17"/>
    <x v="6"/>
    <n v="86"/>
    <n v="88"/>
    <n v="98"/>
    <n v="66"/>
    <n v="62"/>
    <n v="95"/>
    <n v="90"/>
    <n v="585"/>
    <n v="83.571428571428569"/>
    <x v="2"/>
    <x v="2"/>
    <x v="0"/>
  </r>
  <r>
    <n v="625"/>
    <s v="Logan"/>
    <s v="Lindsey"/>
    <s v="logan.lindsey.625@gslingacademy.com"/>
    <x v="0"/>
    <x v="0"/>
    <x v="0"/>
    <x v="0"/>
    <n v="4"/>
    <x v="3"/>
    <n v="83"/>
    <n v="78"/>
    <n v="68"/>
    <n v="72"/>
    <n v="77"/>
    <n v="89"/>
    <n v="70"/>
    <n v="537"/>
    <n v="76.714285714285708"/>
    <x v="3"/>
    <x v="0"/>
    <x v="0"/>
  </r>
  <r>
    <n v="626"/>
    <s v="Kyle"/>
    <s v="Williams"/>
    <s v="kyle.williams.626@gslingacademy.com"/>
    <x v="0"/>
    <x v="0"/>
    <x v="4"/>
    <x v="0"/>
    <n v="27"/>
    <x v="0"/>
    <n v="85"/>
    <n v="92"/>
    <n v="62"/>
    <n v="95"/>
    <n v="65"/>
    <n v="89"/>
    <n v="95"/>
    <n v="583"/>
    <n v="83.285714285714292"/>
    <x v="0"/>
    <x v="2"/>
    <x v="0"/>
  </r>
  <r>
    <n v="627"/>
    <s v="Mark"/>
    <s v="Padilla"/>
    <s v="mark.padilla.627@gslingacademy.com"/>
    <x v="0"/>
    <x v="0"/>
    <x v="0"/>
    <x v="0"/>
    <n v="0"/>
    <x v="3"/>
    <n v="66"/>
    <n v="78"/>
    <n v="86"/>
    <n v="87"/>
    <n v="64"/>
    <n v="65"/>
    <n v="64"/>
    <n v="510"/>
    <n v="72.857142857142861"/>
    <x v="3"/>
    <x v="0"/>
    <x v="0"/>
  </r>
  <r>
    <n v="628"/>
    <s v="Eugene"/>
    <s v="Clark"/>
    <s v="eugene.clark.628@gslingacademy.com"/>
    <x v="0"/>
    <x v="0"/>
    <x v="4"/>
    <x v="1"/>
    <n v="16"/>
    <x v="11"/>
    <n v="93"/>
    <n v="80"/>
    <n v="60"/>
    <n v="62"/>
    <n v="43"/>
    <n v="68"/>
    <n v="67"/>
    <n v="473"/>
    <n v="67.571428571428569"/>
    <x v="2"/>
    <x v="2"/>
    <x v="0"/>
  </r>
  <r>
    <n v="629"/>
    <s v="Sean"/>
    <s v="Wagner"/>
    <s v="sean.wagner.629@gslingacademy.com"/>
    <x v="0"/>
    <x v="0"/>
    <x v="4"/>
    <x v="1"/>
    <n v="14"/>
    <x v="4"/>
    <n v="65"/>
    <n v="89"/>
    <n v="79"/>
    <n v="95"/>
    <n v="71"/>
    <n v="61"/>
    <n v="62"/>
    <n v="522"/>
    <n v="74.571428571428569"/>
    <x v="2"/>
    <x v="2"/>
    <x v="0"/>
  </r>
  <r>
    <n v="630"/>
    <s v="Christine"/>
    <s v="Larson"/>
    <s v="christine.larson.630@gslingacademy.com"/>
    <x v="1"/>
    <x v="1"/>
    <x v="1"/>
    <x v="0"/>
    <n v="5"/>
    <x v="16"/>
    <n v="52"/>
    <n v="66"/>
    <n v="98"/>
    <n v="83"/>
    <n v="92"/>
    <n v="82"/>
    <n v="91"/>
    <n v="564"/>
    <n v="80.571428571428569"/>
    <x v="3"/>
    <x v="0"/>
    <x v="0"/>
  </r>
  <r>
    <n v="631"/>
    <s v="Melinda"/>
    <s v="Freeman"/>
    <s v="melinda.freeman.631@gslingacademy.com"/>
    <x v="1"/>
    <x v="0"/>
    <x v="0"/>
    <x v="1"/>
    <n v="31"/>
    <x v="9"/>
    <n v="90"/>
    <n v="80"/>
    <n v="84"/>
    <n v="70"/>
    <n v="65"/>
    <n v="89"/>
    <n v="64"/>
    <n v="542"/>
    <n v="77.428571428571431"/>
    <x v="1"/>
    <x v="0"/>
    <x v="0"/>
  </r>
  <r>
    <n v="632"/>
    <s v="Elizabeth"/>
    <s v="Smith"/>
    <s v="elizabeth.smith.632@gslingacademy.com"/>
    <x v="1"/>
    <x v="0"/>
    <x v="1"/>
    <x v="1"/>
    <n v="4"/>
    <x v="3"/>
    <n v="83"/>
    <n v="89"/>
    <n v="99"/>
    <n v="100"/>
    <n v="73"/>
    <n v="86"/>
    <n v="88"/>
    <n v="618"/>
    <n v="88.285714285714292"/>
    <x v="3"/>
    <x v="0"/>
    <x v="1"/>
  </r>
  <r>
    <n v="633"/>
    <s v="Walter"/>
    <s v="King"/>
    <s v="walter.king.633@gslingacademy.com"/>
    <x v="0"/>
    <x v="0"/>
    <x v="5"/>
    <x v="0"/>
    <n v="5"/>
    <x v="3"/>
    <n v="62"/>
    <n v="89"/>
    <n v="72"/>
    <n v="68"/>
    <n v="85"/>
    <n v="80"/>
    <n v="75"/>
    <n v="531"/>
    <n v="75.857142857142861"/>
    <x v="3"/>
    <x v="0"/>
    <x v="0"/>
  </r>
  <r>
    <n v="634"/>
    <s v="Lisa"/>
    <s v="Bean"/>
    <s v="lisa.bean.634@gslingacademy.com"/>
    <x v="1"/>
    <x v="0"/>
    <x v="5"/>
    <x v="0"/>
    <n v="11"/>
    <x v="10"/>
    <n v="98"/>
    <n v="72"/>
    <n v="99"/>
    <n v="84"/>
    <n v="60"/>
    <n v="95"/>
    <n v="93"/>
    <n v="601"/>
    <n v="85.857142857142861"/>
    <x v="2"/>
    <x v="0"/>
    <x v="1"/>
  </r>
  <r>
    <n v="635"/>
    <s v="Douglas"/>
    <s v="Hayes"/>
    <s v="douglas.hayes.635@gslingacademy.com"/>
    <x v="0"/>
    <x v="0"/>
    <x v="8"/>
    <x v="1"/>
    <n v="12"/>
    <x v="4"/>
    <n v="76"/>
    <n v="75"/>
    <n v="74"/>
    <n v="67"/>
    <n v="76"/>
    <n v="82"/>
    <n v="79"/>
    <n v="529"/>
    <n v="75.571428571428569"/>
    <x v="2"/>
    <x v="1"/>
    <x v="0"/>
  </r>
  <r>
    <n v="636"/>
    <s v="Heather"/>
    <s v="Jefferson"/>
    <s v="heather.jefferson.636@gslingacademy.com"/>
    <x v="1"/>
    <x v="0"/>
    <x v="10"/>
    <x v="0"/>
    <n v="5"/>
    <x v="14"/>
    <n v="97"/>
    <n v="62"/>
    <n v="98"/>
    <n v="70"/>
    <n v="67"/>
    <n v="71"/>
    <n v="70"/>
    <n v="535"/>
    <n v="76.428571428571431"/>
    <x v="3"/>
    <x v="3"/>
    <x v="0"/>
  </r>
  <r>
    <n v="637"/>
    <s v="Melinda"/>
    <s v="Byrd"/>
    <s v="melinda.byrd.637@gslingacademy.com"/>
    <x v="1"/>
    <x v="1"/>
    <x v="4"/>
    <x v="0"/>
    <n v="1"/>
    <x v="7"/>
    <n v="63"/>
    <n v="60"/>
    <n v="95"/>
    <n v="99"/>
    <n v="87"/>
    <n v="58"/>
    <n v="66"/>
    <n v="528"/>
    <n v="75.428571428571431"/>
    <x v="3"/>
    <x v="2"/>
    <x v="0"/>
  </r>
  <r>
    <n v="638"/>
    <s v="Alexander"/>
    <s v="Burnett"/>
    <s v="alexander.burnett.638@gslingacademy.com"/>
    <x v="0"/>
    <x v="0"/>
    <x v="3"/>
    <x v="0"/>
    <n v="2"/>
    <x v="3"/>
    <n v="98"/>
    <n v="99"/>
    <n v="64"/>
    <n v="88"/>
    <n v="72"/>
    <n v="87"/>
    <n v="99"/>
    <n v="607"/>
    <n v="86.714285714285708"/>
    <x v="3"/>
    <x v="2"/>
    <x v="1"/>
  </r>
  <r>
    <n v="639"/>
    <s v="Maria"/>
    <s v="Campos"/>
    <s v="maria.campos.639@gslingacademy.com"/>
    <x v="1"/>
    <x v="1"/>
    <x v="7"/>
    <x v="0"/>
    <n v="1"/>
    <x v="7"/>
    <n v="78"/>
    <n v="84"/>
    <n v="84"/>
    <n v="61"/>
    <n v="88"/>
    <n v="67"/>
    <n v="92"/>
    <n v="554"/>
    <n v="79.142857142857139"/>
    <x v="3"/>
    <x v="1"/>
    <x v="0"/>
  </r>
  <r>
    <n v="640"/>
    <s v="Lindsey"/>
    <s v="Anthony"/>
    <s v="lindsey.anthony.640@gslingacademy.com"/>
    <x v="1"/>
    <x v="0"/>
    <x v="1"/>
    <x v="1"/>
    <n v="30"/>
    <x v="15"/>
    <n v="85"/>
    <n v="77"/>
    <n v="89"/>
    <n v="77"/>
    <n v="84"/>
    <n v="71"/>
    <n v="71"/>
    <n v="554"/>
    <n v="79.142857142857139"/>
    <x v="0"/>
    <x v="0"/>
    <x v="0"/>
  </r>
  <r>
    <n v="641"/>
    <s v="Darryl"/>
    <s v="Schultz"/>
    <s v="darryl.schultz.641@gslingacademy.com"/>
    <x v="0"/>
    <x v="0"/>
    <x v="4"/>
    <x v="0"/>
    <n v="0"/>
    <x v="7"/>
    <n v="59"/>
    <n v="100"/>
    <n v="84"/>
    <n v="93"/>
    <n v="70"/>
    <n v="56"/>
    <n v="74"/>
    <n v="536"/>
    <n v="76.571428571428569"/>
    <x v="3"/>
    <x v="2"/>
    <x v="0"/>
  </r>
  <r>
    <n v="642"/>
    <s v="Bethany"/>
    <s v="French"/>
    <s v="bethany.french.642@gslingacademy.com"/>
    <x v="1"/>
    <x v="0"/>
    <x v="1"/>
    <x v="1"/>
    <n v="6"/>
    <x v="4"/>
    <n v="99"/>
    <n v="77"/>
    <n v="88"/>
    <n v="60"/>
    <n v="93"/>
    <n v="61"/>
    <n v="96"/>
    <n v="574"/>
    <n v="82"/>
    <x v="4"/>
    <x v="0"/>
    <x v="0"/>
  </r>
  <r>
    <n v="643"/>
    <s v="Tyler"/>
    <s v="Scott"/>
    <s v="tyler.scott.643@gslingacademy.com"/>
    <x v="0"/>
    <x v="0"/>
    <x v="4"/>
    <x v="1"/>
    <n v="24"/>
    <x v="11"/>
    <n v="76"/>
    <n v="62"/>
    <n v="86"/>
    <n v="80"/>
    <n v="47"/>
    <n v="85"/>
    <n v="71"/>
    <n v="507"/>
    <n v="72.428571428571431"/>
    <x v="0"/>
    <x v="2"/>
    <x v="0"/>
  </r>
  <r>
    <n v="644"/>
    <s v="Patricia"/>
    <s v="Hall"/>
    <s v="patricia.hall.644@gslingacademy.com"/>
    <x v="1"/>
    <x v="0"/>
    <x v="6"/>
    <x v="0"/>
    <n v="26"/>
    <x v="0"/>
    <n v="80"/>
    <n v="90"/>
    <n v="85"/>
    <n v="89"/>
    <n v="85"/>
    <n v="80"/>
    <n v="68"/>
    <n v="577"/>
    <n v="82.428571428571431"/>
    <x v="0"/>
    <x v="1"/>
    <x v="0"/>
  </r>
  <r>
    <n v="645"/>
    <s v="Ryan"/>
    <s v="Williams"/>
    <s v="ryan.williams.645@gslingacademy.com"/>
    <x v="0"/>
    <x v="0"/>
    <x v="6"/>
    <x v="0"/>
    <n v="0"/>
    <x v="7"/>
    <n v="82"/>
    <n v="74"/>
    <n v="92"/>
    <n v="50"/>
    <n v="77"/>
    <n v="98"/>
    <n v="100"/>
    <n v="573"/>
    <n v="81.857142857142861"/>
    <x v="3"/>
    <x v="1"/>
    <x v="0"/>
  </r>
  <r>
    <n v="646"/>
    <s v="Levi"/>
    <s v="Mason"/>
    <s v="levi.mason.646@gslingacademy.com"/>
    <x v="0"/>
    <x v="0"/>
    <x v="5"/>
    <x v="0"/>
    <n v="18"/>
    <x v="5"/>
    <n v="89"/>
    <n v="64"/>
    <n v="72"/>
    <n v="61"/>
    <n v="75"/>
    <n v="68"/>
    <n v="83"/>
    <n v="512"/>
    <n v="73.142857142857139"/>
    <x v="2"/>
    <x v="0"/>
    <x v="0"/>
  </r>
  <r>
    <n v="647"/>
    <s v="Michael"/>
    <s v="Vang"/>
    <s v="michael.vang.647@gslingacademy.com"/>
    <x v="0"/>
    <x v="0"/>
    <x v="9"/>
    <x v="0"/>
    <n v="20"/>
    <x v="5"/>
    <n v="89"/>
    <n v="79"/>
    <n v="75"/>
    <n v="80"/>
    <n v="97"/>
    <n v="94"/>
    <n v="68"/>
    <n v="582"/>
    <n v="83.142857142857139"/>
    <x v="2"/>
    <x v="2"/>
    <x v="0"/>
  </r>
  <r>
    <n v="648"/>
    <s v="April"/>
    <s v="Humphrey"/>
    <s v="april.humphrey.648@gslingacademy.com"/>
    <x v="1"/>
    <x v="0"/>
    <x v="10"/>
    <x v="0"/>
    <n v="23"/>
    <x v="5"/>
    <n v="86"/>
    <n v="89"/>
    <n v="94"/>
    <n v="95"/>
    <n v="60"/>
    <n v="90"/>
    <n v="90"/>
    <n v="604"/>
    <n v="86.285714285714292"/>
    <x v="0"/>
    <x v="3"/>
    <x v="1"/>
  </r>
  <r>
    <n v="649"/>
    <s v="Steven"/>
    <s v="Hancock"/>
    <s v="steven.hancock.649@gslingacademy.com"/>
    <x v="0"/>
    <x v="1"/>
    <x v="9"/>
    <x v="0"/>
    <n v="4"/>
    <x v="7"/>
    <n v="65"/>
    <n v="76"/>
    <n v="92"/>
    <n v="86"/>
    <n v="93"/>
    <n v="61"/>
    <n v="97"/>
    <n v="570"/>
    <n v="81.428571428571431"/>
    <x v="3"/>
    <x v="2"/>
    <x v="0"/>
  </r>
  <r>
    <n v="650"/>
    <s v="Chelsea"/>
    <s v="Olson"/>
    <s v="chelsea.olson.650@gslingacademy.com"/>
    <x v="1"/>
    <x v="0"/>
    <x v="9"/>
    <x v="0"/>
    <n v="30"/>
    <x v="9"/>
    <n v="77"/>
    <n v="95"/>
    <n v="77"/>
    <n v="84"/>
    <n v="60"/>
    <n v="90"/>
    <n v="89"/>
    <n v="572"/>
    <n v="81.714285714285708"/>
    <x v="0"/>
    <x v="2"/>
    <x v="0"/>
  </r>
  <r>
    <n v="651"/>
    <s v="Emily"/>
    <s v="Huang"/>
    <s v="emily.huang.651@gslingacademy.com"/>
    <x v="1"/>
    <x v="0"/>
    <x v="9"/>
    <x v="0"/>
    <n v="34"/>
    <x v="9"/>
    <n v="88"/>
    <n v="85"/>
    <n v="68"/>
    <n v="62"/>
    <n v="64"/>
    <n v="99"/>
    <n v="66"/>
    <n v="532"/>
    <n v="76"/>
    <x v="1"/>
    <x v="2"/>
    <x v="0"/>
  </r>
  <r>
    <n v="652"/>
    <s v="Rachel"/>
    <s v="Jones"/>
    <s v="rachel.jones.652@gslingacademy.com"/>
    <x v="1"/>
    <x v="0"/>
    <x v="5"/>
    <x v="0"/>
    <n v="26"/>
    <x v="11"/>
    <n v="98"/>
    <n v="77"/>
    <n v="94"/>
    <n v="87"/>
    <n v="44"/>
    <n v="85"/>
    <n v="61"/>
    <n v="546"/>
    <n v="78"/>
    <x v="0"/>
    <x v="0"/>
    <x v="0"/>
  </r>
  <r>
    <n v="653"/>
    <s v="Philip"/>
    <s v="Walker"/>
    <s v="philip.walker.653@gslingacademy.com"/>
    <x v="0"/>
    <x v="0"/>
    <x v="3"/>
    <x v="0"/>
    <n v="27"/>
    <x v="0"/>
    <n v="84"/>
    <n v="86"/>
    <n v="90"/>
    <n v="80"/>
    <n v="72"/>
    <n v="99"/>
    <n v="85"/>
    <n v="596"/>
    <n v="85.142857142857139"/>
    <x v="0"/>
    <x v="2"/>
    <x v="0"/>
  </r>
  <r>
    <n v="654"/>
    <s v="Laura"/>
    <s v="Rivera"/>
    <s v="laura.rivera.654@gslingacademy.com"/>
    <x v="1"/>
    <x v="0"/>
    <x v="5"/>
    <x v="1"/>
    <n v="18"/>
    <x v="5"/>
    <n v="91"/>
    <n v="85"/>
    <n v="66"/>
    <n v="83"/>
    <n v="70"/>
    <n v="71"/>
    <n v="80"/>
    <n v="546"/>
    <n v="78"/>
    <x v="2"/>
    <x v="0"/>
    <x v="0"/>
  </r>
  <r>
    <n v="655"/>
    <s v="Pamela"/>
    <s v="Henry"/>
    <s v="pamela.henry.655@gslingacademy.com"/>
    <x v="1"/>
    <x v="0"/>
    <x v="9"/>
    <x v="0"/>
    <n v="39"/>
    <x v="1"/>
    <n v="97"/>
    <n v="95"/>
    <n v="94"/>
    <n v="90"/>
    <n v="86"/>
    <n v="85"/>
    <n v="95"/>
    <n v="642"/>
    <n v="91.714285714285708"/>
    <x v="1"/>
    <x v="2"/>
    <x v="1"/>
  </r>
  <r>
    <n v="656"/>
    <s v="Nicole"/>
    <s v="Davidson"/>
    <s v="nicole.davidson.656@gslingacademy.com"/>
    <x v="1"/>
    <x v="0"/>
    <x v="6"/>
    <x v="1"/>
    <n v="29"/>
    <x v="9"/>
    <n v="77"/>
    <n v="88"/>
    <n v="63"/>
    <n v="87"/>
    <n v="71"/>
    <n v="93"/>
    <n v="84"/>
    <n v="563"/>
    <n v="80.428571428571431"/>
    <x v="0"/>
    <x v="1"/>
    <x v="0"/>
  </r>
  <r>
    <n v="657"/>
    <s v="Jeffery"/>
    <s v="Parker"/>
    <s v="jeffery.parker.657@gslingacademy.com"/>
    <x v="0"/>
    <x v="0"/>
    <x v="10"/>
    <x v="1"/>
    <n v="27"/>
    <x v="1"/>
    <n v="100"/>
    <n v="84"/>
    <n v="93"/>
    <n v="96"/>
    <n v="97"/>
    <n v="70"/>
    <n v="95"/>
    <n v="635"/>
    <n v="90.714285714285708"/>
    <x v="0"/>
    <x v="3"/>
    <x v="1"/>
  </r>
  <r>
    <n v="658"/>
    <s v="Christopher"/>
    <s v="Banks"/>
    <s v="christopher.banks.658@gslingacademy.com"/>
    <x v="0"/>
    <x v="1"/>
    <x v="0"/>
    <x v="1"/>
    <n v="17"/>
    <x v="5"/>
    <n v="93"/>
    <n v="70"/>
    <n v="62"/>
    <n v="99"/>
    <n v="63"/>
    <n v="83"/>
    <n v="60"/>
    <n v="530"/>
    <n v="75.714285714285708"/>
    <x v="2"/>
    <x v="0"/>
    <x v="0"/>
  </r>
  <r>
    <n v="659"/>
    <s v="Tara"/>
    <s v="Griffin"/>
    <s v="tara.griffin.659@gslingacademy.com"/>
    <x v="1"/>
    <x v="1"/>
    <x v="3"/>
    <x v="1"/>
    <n v="31"/>
    <x v="9"/>
    <n v="93"/>
    <n v="99"/>
    <n v="79"/>
    <n v="78"/>
    <n v="64"/>
    <n v="87"/>
    <n v="76"/>
    <n v="576"/>
    <n v="82.285714285714292"/>
    <x v="1"/>
    <x v="2"/>
    <x v="0"/>
  </r>
  <r>
    <n v="660"/>
    <s v="Lisa"/>
    <s v="Lloyd"/>
    <s v="lisa.lloyd.660@gslingacademy.com"/>
    <x v="1"/>
    <x v="1"/>
    <x v="9"/>
    <x v="0"/>
    <n v="13"/>
    <x v="9"/>
    <n v="94"/>
    <n v="89"/>
    <n v="74"/>
    <n v="75"/>
    <n v="73"/>
    <n v="78"/>
    <n v="61"/>
    <n v="544"/>
    <n v="77.714285714285708"/>
    <x v="2"/>
    <x v="2"/>
    <x v="0"/>
  </r>
  <r>
    <n v="661"/>
    <s v="Elizabeth"/>
    <s v="Maldonado"/>
    <s v="elizabeth.maldonado.661@gslingacademy.com"/>
    <x v="1"/>
    <x v="0"/>
    <x v="9"/>
    <x v="1"/>
    <n v="12"/>
    <x v="9"/>
    <n v="88"/>
    <n v="86"/>
    <n v="79"/>
    <n v="93"/>
    <n v="68"/>
    <n v="92"/>
    <n v="99"/>
    <n v="605"/>
    <n v="86.428571428571431"/>
    <x v="2"/>
    <x v="2"/>
    <x v="1"/>
  </r>
  <r>
    <n v="662"/>
    <s v="Samuel"/>
    <s v="Anderson"/>
    <s v="samuel.anderson.662@gslingacademy.com"/>
    <x v="0"/>
    <x v="1"/>
    <x v="7"/>
    <x v="0"/>
    <n v="0"/>
    <x v="7"/>
    <n v="93"/>
    <n v="95"/>
    <n v="94"/>
    <n v="70"/>
    <n v="83"/>
    <n v="86"/>
    <n v="94"/>
    <n v="615"/>
    <n v="87.857142857142861"/>
    <x v="3"/>
    <x v="1"/>
    <x v="1"/>
  </r>
  <r>
    <n v="663"/>
    <s v="Xavier"/>
    <s v="Johnson"/>
    <s v="xavier.johnson.663@gslingacademy.com"/>
    <x v="0"/>
    <x v="0"/>
    <x v="1"/>
    <x v="1"/>
    <n v="21"/>
    <x v="13"/>
    <n v="83"/>
    <n v="75"/>
    <n v="84"/>
    <n v="68"/>
    <n v="95"/>
    <n v="80"/>
    <n v="88"/>
    <n v="573"/>
    <n v="81.857142857142861"/>
    <x v="0"/>
    <x v="0"/>
    <x v="0"/>
  </r>
  <r>
    <n v="664"/>
    <s v="Lauren"/>
    <s v="Cordova"/>
    <s v="lauren.cordova.664@gslingacademy.com"/>
    <x v="1"/>
    <x v="1"/>
    <x v="0"/>
    <x v="0"/>
    <n v="28"/>
    <x v="0"/>
    <n v="96"/>
    <n v="93"/>
    <n v="100"/>
    <n v="96"/>
    <n v="97"/>
    <n v="81"/>
    <n v="72"/>
    <n v="635"/>
    <n v="90.714285714285708"/>
    <x v="0"/>
    <x v="0"/>
    <x v="1"/>
  </r>
  <r>
    <n v="665"/>
    <s v="Amanda"/>
    <s v="Hawkins"/>
    <s v="amanda.hawkins.665@gslingacademy.com"/>
    <x v="1"/>
    <x v="1"/>
    <x v="8"/>
    <x v="0"/>
    <n v="35"/>
    <x v="11"/>
    <n v="87"/>
    <n v="88"/>
    <n v="93"/>
    <n v="88"/>
    <n v="96"/>
    <n v="85"/>
    <n v="94"/>
    <n v="631"/>
    <n v="90.142857142857139"/>
    <x v="1"/>
    <x v="1"/>
    <x v="1"/>
  </r>
  <r>
    <n v="666"/>
    <s v="Donald"/>
    <s v="Coleman"/>
    <s v="donald.coleman.666@gslingacademy.com"/>
    <x v="0"/>
    <x v="0"/>
    <x v="2"/>
    <x v="1"/>
    <n v="24"/>
    <x v="0"/>
    <n v="95"/>
    <n v="82"/>
    <n v="84"/>
    <n v="69"/>
    <n v="63"/>
    <n v="85"/>
    <n v="69"/>
    <n v="547"/>
    <n v="78.142857142857139"/>
    <x v="0"/>
    <x v="1"/>
    <x v="0"/>
  </r>
  <r>
    <n v="667"/>
    <s v="Phillip"/>
    <s v="Bennett"/>
    <s v="phillip.bennett.667@gslingacademy.com"/>
    <x v="0"/>
    <x v="0"/>
    <x v="5"/>
    <x v="0"/>
    <n v="28"/>
    <x v="11"/>
    <n v="87"/>
    <n v="87"/>
    <n v="86"/>
    <n v="84"/>
    <n v="66"/>
    <n v="83"/>
    <n v="81"/>
    <n v="574"/>
    <n v="82"/>
    <x v="0"/>
    <x v="0"/>
    <x v="0"/>
  </r>
  <r>
    <n v="668"/>
    <s v="John"/>
    <s v="George"/>
    <s v="john.george.668@gslingacademy.com"/>
    <x v="0"/>
    <x v="0"/>
    <x v="2"/>
    <x v="0"/>
    <n v="0"/>
    <x v="7"/>
    <n v="43"/>
    <n v="95"/>
    <n v="64"/>
    <n v="95"/>
    <n v="66"/>
    <n v="67"/>
    <n v="74"/>
    <n v="504"/>
    <n v="72"/>
    <x v="3"/>
    <x v="1"/>
    <x v="0"/>
  </r>
  <r>
    <n v="669"/>
    <s v="Katherine"/>
    <s v="Moore"/>
    <s v="katherine.moore.669@gslingacademy.com"/>
    <x v="1"/>
    <x v="1"/>
    <x v="4"/>
    <x v="0"/>
    <n v="0"/>
    <x v="7"/>
    <n v="40"/>
    <n v="100"/>
    <n v="88"/>
    <n v="79"/>
    <n v="71"/>
    <n v="86"/>
    <n v="89"/>
    <n v="553"/>
    <n v="79"/>
    <x v="3"/>
    <x v="2"/>
    <x v="0"/>
  </r>
  <r>
    <n v="670"/>
    <s v="Jose"/>
    <s v="Dominguez"/>
    <s v="jose.dominguez.670@gslingacademy.com"/>
    <x v="0"/>
    <x v="0"/>
    <x v="1"/>
    <x v="0"/>
    <n v="3"/>
    <x v="16"/>
    <n v="64"/>
    <n v="70"/>
    <n v="98"/>
    <n v="82"/>
    <n v="100"/>
    <n v="72"/>
    <n v="78"/>
    <n v="564"/>
    <n v="80.571428571428569"/>
    <x v="3"/>
    <x v="0"/>
    <x v="0"/>
  </r>
  <r>
    <n v="671"/>
    <s v="Lauren"/>
    <s v="Morrow"/>
    <s v="lauren.morrow.671@gslingacademy.com"/>
    <x v="1"/>
    <x v="0"/>
    <x v="0"/>
    <x v="0"/>
    <n v="16"/>
    <x v="4"/>
    <n v="72"/>
    <n v="79"/>
    <n v="95"/>
    <n v="68"/>
    <n v="75"/>
    <n v="70"/>
    <n v="88"/>
    <n v="547"/>
    <n v="78.142857142857139"/>
    <x v="2"/>
    <x v="0"/>
    <x v="0"/>
  </r>
  <r>
    <n v="672"/>
    <s v="Katie"/>
    <s v="Davenport"/>
    <s v="katie.davenport.672@gslingacademy.com"/>
    <x v="1"/>
    <x v="0"/>
    <x v="1"/>
    <x v="0"/>
    <n v="26"/>
    <x v="0"/>
    <n v="77"/>
    <n v="96"/>
    <n v="86"/>
    <n v="84"/>
    <n v="90"/>
    <n v="85"/>
    <n v="91"/>
    <n v="609"/>
    <n v="87"/>
    <x v="0"/>
    <x v="0"/>
    <x v="1"/>
  </r>
  <r>
    <n v="673"/>
    <s v="Michelle"/>
    <s v="Martinez"/>
    <s v="michelle.martinez.673@gslingacademy.com"/>
    <x v="1"/>
    <x v="1"/>
    <x v="7"/>
    <x v="1"/>
    <n v="4"/>
    <x v="7"/>
    <n v="40"/>
    <n v="86"/>
    <n v="53"/>
    <n v="63"/>
    <n v="50"/>
    <n v="87"/>
    <n v="77"/>
    <n v="456"/>
    <n v="65.142857142857139"/>
    <x v="3"/>
    <x v="1"/>
    <x v="0"/>
  </r>
  <r>
    <n v="674"/>
    <s v="Jeremiah"/>
    <s v="Stanley"/>
    <s v="jeremiah.stanley.674@gslingacademy.com"/>
    <x v="0"/>
    <x v="0"/>
    <x v="1"/>
    <x v="0"/>
    <n v="24"/>
    <x v="13"/>
    <n v="100"/>
    <n v="89"/>
    <n v="90"/>
    <n v="96"/>
    <n v="72"/>
    <n v="90"/>
    <n v="86"/>
    <n v="623"/>
    <n v="89"/>
    <x v="0"/>
    <x v="0"/>
    <x v="1"/>
  </r>
  <r>
    <n v="675"/>
    <s v="Isaac"/>
    <s v="Tucker"/>
    <s v="isaac.tucker.675@gslingacademy.com"/>
    <x v="0"/>
    <x v="0"/>
    <x v="3"/>
    <x v="1"/>
    <n v="22"/>
    <x v="5"/>
    <n v="89"/>
    <n v="93"/>
    <n v="95"/>
    <n v="88"/>
    <n v="72"/>
    <n v="76"/>
    <n v="71"/>
    <n v="584"/>
    <n v="83.428571428571431"/>
    <x v="0"/>
    <x v="2"/>
    <x v="0"/>
  </r>
  <r>
    <n v="676"/>
    <s v="Hannah"/>
    <s v="Garcia"/>
    <s v="hannah.garcia.676@gslingacademy.com"/>
    <x v="1"/>
    <x v="1"/>
    <x v="1"/>
    <x v="0"/>
    <n v="14"/>
    <x v="5"/>
    <n v="97"/>
    <n v="74"/>
    <n v="76"/>
    <n v="72"/>
    <n v="62"/>
    <n v="69"/>
    <n v="90"/>
    <n v="540"/>
    <n v="77.142857142857139"/>
    <x v="2"/>
    <x v="0"/>
    <x v="0"/>
  </r>
  <r>
    <n v="677"/>
    <s v="Thomas"/>
    <s v="Nelson"/>
    <s v="thomas.nelson.677@gslingacademy.com"/>
    <x v="0"/>
    <x v="0"/>
    <x v="1"/>
    <x v="0"/>
    <n v="21"/>
    <x v="4"/>
    <n v="100"/>
    <n v="77"/>
    <n v="74"/>
    <n v="61"/>
    <n v="81"/>
    <n v="96"/>
    <n v="96"/>
    <n v="585"/>
    <n v="83.571428571428569"/>
    <x v="0"/>
    <x v="0"/>
    <x v="0"/>
  </r>
  <r>
    <n v="678"/>
    <s v="William"/>
    <s v="Kennedy"/>
    <s v="william.kennedy.678@gslingacademy.com"/>
    <x v="0"/>
    <x v="0"/>
    <x v="9"/>
    <x v="0"/>
    <n v="29"/>
    <x v="0"/>
    <n v="81"/>
    <n v="88"/>
    <n v="85"/>
    <n v="89"/>
    <n v="81"/>
    <n v="91"/>
    <n v="98"/>
    <n v="613"/>
    <n v="87.571428571428569"/>
    <x v="0"/>
    <x v="2"/>
    <x v="1"/>
  </r>
  <r>
    <n v="679"/>
    <s v="Jennifer"/>
    <s v="Williams"/>
    <s v="jennifer.williams.679@gslingacademy.com"/>
    <x v="1"/>
    <x v="0"/>
    <x v="4"/>
    <x v="0"/>
    <n v="3"/>
    <x v="7"/>
    <n v="100"/>
    <n v="91"/>
    <n v="53"/>
    <n v="78"/>
    <n v="55"/>
    <n v="91"/>
    <n v="74"/>
    <n v="542"/>
    <n v="77.428571428571431"/>
    <x v="3"/>
    <x v="2"/>
    <x v="0"/>
  </r>
  <r>
    <n v="680"/>
    <s v="Jeffrey"/>
    <s v="Price"/>
    <s v="jeffrey.price.680@gslingacademy.com"/>
    <x v="0"/>
    <x v="0"/>
    <x v="1"/>
    <x v="0"/>
    <n v="4"/>
    <x v="12"/>
    <n v="80"/>
    <n v="65"/>
    <n v="96"/>
    <n v="73"/>
    <n v="84"/>
    <n v="92"/>
    <n v="73"/>
    <n v="563"/>
    <n v="80.428571428571431"/>
    <x v="3"/>
    <x v="0"/>
    <x v="0"/>
  </r>
  <r>
    <n v="681"/>
    <s v="Zachary"/>
    <s v="Burns"/>
    <s v="zachary.burns.681@gslingacademy.com"/>
    <x v="0"/>
    <x v="0"/>
    <x v="3"/>
    <x v="0"/>
    <n v="19"/>
    <x v="11"/>
    <n v="79"/>
    <n v="88"/>
    <n v="83"/>
    <n v="84"/>
    <n v="78"/>
    <n v="72"/>
    <n v="79"/>
    <n v="563"/>
    <n v="80.428571428571431"/>
    <x v="2"/>
    <x v="2"/>
    <x v="0"/>
  </r>
  <r>
    <n v="682"/>
    <s v="Curtis"/>
    <s v="Duffy"/>
    <s v="curtis.duffy.682@gslingacademy.com"/>
    <x v="0"/>
    <x v="0"/>
    <x v="0"/>
    <x v="0"/>
    <n v="33"/>
    <x v="5"/>
    <n v="96"/>
    <n v="64"/>
    <n v="100"/>
    <n v="87"/>
    <n v="88"/>
    <n v="60"/>
    <n v="62"/>
    <n v="557"/>
    <n v="79.571428571428569"/>
    <x v="1"/>
    <x v="0"/>
    <x v="0"/>
  </r>
  <r>
    <n v="683"/>
    <s v="Allison"/>
    <s v="Alvarado"/>
    <s v="allison.alvarado.683@gslingacademy.com"/>
    <x v="1"/>
    <x v="0"/>
    <x v="5"/>
    <x v="0"/>
    <n v="24"/>
    <x v="11"/>
    <n v="95"/>
    <n v="81"/>
    <n v="91"/>
    <n v="62"/>
    <n v="36"/>
    <n v="79"/>
    <n v="69"/>
    <n v="513"/>
    <n v="73.285714285714292"/>
    <x v="0"/>
    <x v="0"/>
    <x v="0"/>
  </r>
  <r>
    <n v="684"/>
    <s v="Jeffery"/>
    <s v="Kelley"/>
    <s v="jeffery.kelley.684@gslingacademy.com"/>
    <x v="0"/>
    <x v="0"/>
    <x v="9"/>
    <x v="0"/>
    <n v="29"/>
    <x v="4"/>
    <n v="86"/>
    <n v="68"/>
    <n v="65"/>
    <n v="64"/>
    <n v="95"/>
    <n v="82"/>
    <n v="87"/>
    <n v="547"/>
    <n v="78.142857142857139"/>
    <x v="0"/>
    <x v="2"/>
    <x v="0"/>
  </r>
  <r>
    <n v="685"/>
    <s v="Kenneth"/>
    <s v="Clark"/>
    <s v="kenneth.clark.685@gslingacademy.com"/>
    <x v="0"/>
    <x v="0"/>
    <x v="5"/>
    <x v="1"/>
    <n v="27"/>
    <x v="0"/>
    <n v="86"/>
    <n v="97"/>
    <n v="72"/>
    <n v="90"/>
    <n v="95"/>
    <n v="99"/>
    <n v="76"/>
    <n v="615"/>
    <n v="87.857142857142861"/>
    <x v="0"/>
    <x v="0"/>
    <x v="1"/>
  </r>
  <r>
    <n v="686"/>
    <s v="Hayley"/>
    <s v="Case"/>
    <s v="hayley.case.686@gslingacademy.com"/>
    <x v="1"/>
    <x v="0"/>
    <x v="1"/>
    <x v="0"/>
    <n v="20"/>
    <x v="4"/>
    <n v="87"/>
    <n v="68"/>
    <n v="66"/>
    <n v="83"/>
    <n v="92"/>
    <n v="81"/>
    <n v="80"/>
    <n v="557"/>
    <n v="79.571428571428569"/>
    <x v="2"/>
    <x v="0"/>
    <x v="0"/>
  </r>
  <r>
    <n v="687"/>
    <s v="Vanessa"/>
    <s v="Martinez"/>
    <s v="vanessa.martinez.687@gslingacademy.com"/>
    <x v="1"/>
    <x v="0"/>
    <x v="10"/>
    <x v="0"/>
    <n v="35"/>
    <x v="11"/>
    <n v="94"/>
    <n v="87"/>
    <n v="100"/>
    <n v="90"/>
    <n v="86"/>
    <n v="86"/>
    <n v="90"/>
    <n v="633"/>
    <n v="90.428571428571431"/>
    <x v="1"/>
    <x v="3"/>
    <x v="1"/>
  </r>
  <r>
    <n v="688"/>
    <s v="Tara"/>
    <s v="Thomas"/>
    <s v="tara.thomas.688@gslingacademy.com"/>
    <x v="1"/>
    <x v="0"/>
    <x v="10"/>
    <x v="0"/>
    <n v="29"/>
    <x v="1"/>
    <n v="88"/>
    <n v="71"/>
    <n v="87"/>
    <n v="85"/>
    <n v="100"/>
    <n v="78"/>
    <n v="78"/>
    <n v="587"/>
    <n v="83.857142857142861"/>
    <x v="0"/>
    <x v="3"/>
    <x v="0"/>
  </r>
  <r>
    <n v="689"/>
    <s v="Aaron"/>
    <s v="Williamson"/>
    <s v="aaron.williamson.689@gslingacademy.com"/>
    <x v="0"/>
    <x v="0"/>
    <x v="1"/>
    <x v="1"/>
    <n v="0"/>
    <x v="3"/>
    <n v="88"/>
    <n v="69"/>
    <n v="76"/>
    <n v="64"/>
    <n v="90"/>
    <n v="78"/>
    <n v="80"/>
    <n v="545"/>
    <n v="77.857142857142861"/>
    <x v="3"/>
    <x v="0"/>
    <x v="0"/>
  </r>
  <r>
    <n v="690"/>
    <s v="Phillip"/>
    <s v="Nelson"/>
    <s v="phillip.nelson.690@gslingacademy.com"/>
    <x v="0"/>
    <x v="0"/>
    <x v="0"/>
    <x v="0"/>
    <n v="10"/>
    <x v="4"/>
    <n v="76"/>
    <n v="61"/>
    <n v="68"/>
    <n v="88"/>
    <n v="86"/>
    <n v="87"/>
    <n v="66"/>
    <n v="532"/>
    <n v="76"/>
    <x v="4"/>
    <x v="0"/>
    <x v="0"/>
  </r>
  <r>
    <n v="691"/>
    <s v="Michael"/>
    <s v="Hinton"/>
    <s v="michael.hinton.691@gslingacademy.com"/>
    <x v="0"/>
    <x v="0"/>
    <x v="5"/>
    <x v="1"/>
    <n v="29"/>
    <x v="13"/>
    <n v="84"/>
    <n v="66"/>
    <n v="99"/>
    <n v="80"/>
    <n v="71"/>
    <n v="88"/>
    <n v="89"/>
    <n v="577"/>
    <n v="82.428571428571431"/>
    <x v="0"/>
    <x v="0"/>
    <x v="0"/>
  </r>
  <r>
    <n v="692"/>
    <s v="Alex"/>
    <s v="Shelton"/>
    <s v="alex.shelton.692@gslingacademy.com"/>
    <x v="0"/>
    <x v="0"/>
    <x v="10"/>
    <x v="1"/>
    <n v="17"/>
    <x v="5"/>
    <n v="96"/>
    <n v="77"/>
    <n v="91"/>
    <n v="85"/>
    <n v="69"/>
    <n v="91"/>
    <n v="91"/>
    <n v="600"/>
    <n v="85.714285714285708"/>
    <x v="2"/>
    <x v="3"/>
    <x v="0"/>
  </r>
  <r>
    <n v="693"/>
    <s v="Ross"/>
    <s v="Esparza"/>
    <s v="ross.esparza.693@gslingacademy.com"/>
    <x v="0"/>
    <x v="1"/>
    <x v="7"/>
    <x v="0"/>
    <n v="1"/>
    <x v="7"/>
    <n v="57"/>
    <n v="75"/>
    <n v="64"/>
    <n v="85"/>
    <n v="53"/>
    <n v="95"/>
    <n v="81"/>
    <n v="510"/>
    <n v="72.857142857142861"/>
    <x v="3"/>
    <x v="1"/>
    <x v="0"/>
  </r>
  <r>
    <n v="694"/>
    <s v="Lisa"/>
    <s v="Murphy"/>
    <s v="lisa.murphy.694@gslingacademy.com"/>
    <x v="1"/>
    <x v="0"/>
    <x v="5"/>
    <x v="0"/>
    <n v="14"/>
    <x v="6"/>
    <n v="93"/>
    <n v="79"/>
    <n v="82"/>
    <n v="67"/>
    <n v="64"/>
    <n v="90"/>
    <n v="65"/>
    <n v="540"/>
    <n v="77.142857142857139"/>
    <x v="2"/>
    <x v="0"/>
    <x v="0"/>
  </r>
  <r>
    <n v="695"/>
    <s v="Richard"/>
    <s v="Gibson"/>
    <s v="richard.gibson.695@gslingacademy.com"/>
    <x v="0"/>
    <x v="0"/>
    <x v="5"/>
    <x v="0"/>
    <n v="24"/>
    <x v="4"/>
    <n v="88"/>
    <n v="84"/>
    <n v="61"/>
    <n v="61"/>
    <n v="79"/>
    <n v="62"/>
    <n v="99"/>
    <n v="534"/>
    <n v="76.285714285714292"/>
    <x v="0"/>
    <x v="0"/>
    <x v="0"/>
  </r>
  <r>
    <n v="696"/>
    <s v="Jackson"/>
    <s v="Olson"/>
    <s v="jackson.olson.696@gslingacademy.com"/>
    <x v="0"/>
    <x v="0"/>
    <x v="1"/>
    <x v="0"/>
    <n v="35"/>
    <x v="13"/>
    <n v="89"/>
    <n v="99"/>
    <n v="86"/>
    <n v="97"/>
    <n v="98"/>
    <n v="97"/>
    <n v="93"/>
    <n v="659"/>
    <n v="94.142857142857139"/>
    <x v="1"/>
    <x v="0"/>
    <x v="1"/>
  </r>
  <r>
    <n v="697"/>
    <s v="Michael"/>
    <s v="Waters"/>
    <s v="michael.waters.697@gslingacademy.com"/>
    <x v="0"/>
    <x v="0"/>
    <x v="0"/>
    <x v="0"/>
    <n v="19"/>
    <x v="13"/>
    <n v="80"/>
    <n v="88"/>
    <n v="94"/>
    <n v="94"/>
    <n v="100"/>
    <n v="99"/>
    <n v="99"/>
    <n v="654"/>
    <n v="93.428571428571431"/>
    <x v="2"/>
    <x v="0"/>
    <x v="1"/>
  </r>
  <r>
    <n v="698"/>
    <s v="Daniel"/>
    <s v="Mcneil"/>
    <s v="daniel.mcneil.698@gslingacademy.com"/>
    <x v="0"/>
    <x v="0"/>
    <x v="4"/>
    <x v="0"/>
    <n v="23"/>
    <x v="9"/>
    <n v="94"/>
    <n v="92"/>
    <n v="61"/>
    <n v="87"/>
    <n v="61"/>
    <n v="94"/>
    <n v="69"/>
    <n v="558"/>
    <n v="79.714285714285708"/>
    <x v="0"/>
    <x v="2"/>
    <x v="0"/>
  </r>
  <r>
    <n v="699"/>
    <s v="James"/>
    <s v="Mcgee"/>
    <s v="james.mcgee.699@gslingacademy.com"/>
    <x v="0"/>
    <x v="0"/>
    <x v="2"/>
    <x v="0"/>
    <n v="14"/>
    <x v="13"/>
    <n v="99"/>
    <n v="74"/>
    <n v="98"/>
    <n v="69"/>
    <n v="69"/>
    <n v="64"/>
    <n v="96"/>
    <n v="569"/>
    <n v="81.285714285714292"/>
    <x v="2"/>
    <x v="1"/>
    <x v="0"/>
  </r>
  <r>
    <n v="700"/>
    <s v="Dennis"/>
    <s v="Park"/>
    <s v="dennis.park.700@gslingacademy.com"/>
    <x v="0"/>
    <x v="0"/>
    <x v="1"/>
    <x v="0"/>
    <n v="21"/>
    <x v="9"/>
    <n v="81"/>
    <n v="72"/>
    <n v="87"/>
    <n v="62"/>
    <n v="69"/>
    <n v="93"/>
    <n v="72"/>
    <n v="536"/>
    <n v="76.571428571428569"/>
    <x v="0"/>
    <x v="0"/>
    <x v="0"/>
  </r>
  <r>
    <n v="701"/>
    <s v="Gregory"/>
    <s v="Jones"/>
    <s v="gregory.jones.701@gslingacademy.com"/>
    <x v="0"/>
    <x v="0"/>
    <x v="4"/>
    <x v="0"/>
    <n v="18"/>
    <x v="4"/>
    <n v="91"/>
    <n v="61"/>
    <n v="95"/>
    <n v="82"/>
    <n v="77"/>
    <n v="87"/>
    <n v="95"/>
    <n v="588"/>
    <n v="84"/>
    <x v="2"/>
    <x v="2"/>
    <x v="0"/>
  </r>
  <r>
    <n v="702"/>
    <s v="Barbara"/>
    <s v="Petersen"/>
    <s v="barbara.petersen.702@gslingacademy.com"/>
    <x v="1"/>
    <x v="0"/>
    <x v="1"/>
    <x v="1"/>
    <n v="16"/>
    <x v="10"/>
    <n v="71"/>
    <n v="100"/>
    <n v="99"/>
    <n v="95"/>
    <n v="91"/>
    <n v="96"/>
    <n v="96"/>
    <n v="648"/>
    <n v="92.571428571428569"/>
    <x v="2"/>
    <x v="0"/>
    <x v="1"/>
  </r>
  <r>
    <n v="703"/>
    <s v="Andrea"/>
    <s v="Baker"/>
    <s v="andrea.baker.703@gslingacademy.com"/>
    <x v="1"/>
    <x v="0"/>
    <x v="9"/>
    <x v="0"/>
    <n v="2"/>
    <x v="4"/>
    <n v="61"/>
    <n v="66"/>
    <n v="78"/>
    <n v="79"/>
    <n v="79"/>
    <n v="96"/>
    <n v="81"/>
    <n v="540"/>
    <n v="77.142857142857139"/>
    <x v="3"/>
    <x v="2"/>
    <x v="0"/>
  </r>
  <r>
    <n v="704"/>
    <s v="Robert"/>
    <s v="Holmes"/>
    <s v="robert.holmes.704@gslingacademy.com"/>
    <x v="0"/>
    <x v="0"/>
    <x v="3"/>
    <x v="1"/>
    <n v="16"/>
    <x v="4"/>
    <n v="87"/>
    <n v="89"/>
    <n v="60"/>
    <n v="66"/>
    <n v="79"/>
    <n v="81"/>
    <n v="65"/>
    <n v="527"/>
    <n v="75.285714285714292"/>
    <x v="2"/>
    <x v="2"/>
    <x v="0"/>
  </r>
  <r>
    <n v="705"/>
    <s v="Autumn"/>
    <s v="Jones"/>
    <s v="autumn.jones.705@gslingacademy.com"/>
    <x v="1"/>
    <x v="0"/>
    <x v="10"/>
    <x v="0"/>
    <n v="29"/>
    <x v="5"/>
    <n v="93"/>
    <n v="69"/>
    <n v="79"/>
    <n v="78"/>
    <n v="77"/>
    <n v="73"/>
    <n v="77"/>
    <n v="546"/>
    <n v="78"/>
    <x v="0"/>
    <x v="3"/>
    <x v="0"/>
  </r>
  <r>
    <n v="706"/>
    <s v="Richard"/>
    <s v="Davis"/>
    <s v="richard.davis.706@gslingacademy.com"/>
    <x v="0"/>
    <x v="0"/>
    <x v="3"/>
    <x v="0"/>
    <n v="35"/>
    <x v="11"/>
    <n v="92"/>
    <n v="88"/>
    <n v="87"/>
    <n v="98"/>
    <n v="96"/>
    <n v="85"/>
    <n v="96"/>
    <n v="642"/>
    <n v="91.714285714285708"/>
    <x v="1"/>
    <x v="2"/>
    <x v="1"/>
  </r>
  <r>
    <n v="707"/>
    <s v="Anthony"/>
    <s v="Armstrong"/>
    <s v="anthony.armstrong.707@gslingacademy.com"/>
    <x v="0"/>
    <x v="0"/>
    <x v="1"/>
    <x v="0"/>
    <n v="11"/>
    <x v="9"/>
    <n v="96"/>
    <n v="87"/>
    <n v="99"/>
    <n v="65"/>
    <n v="98"/>
    <n v="79"/>
    <n v="93"/>
    <n v="617"/>
    <n v="88.142857142857139"/>
    <x v="2"/>
    <x v="0"/>
    <x v="1"/>
  </r>
  <r>
    <n v="708"/>
    <s v="Julian"/>
    <s v="Ortiz"/>
    <s v="julian.ortiz.708@gslingacademy.com"/>
    <x v="0"/>
    <x v="0"/>
    <x v="0"/>
    <x v="0"/>
    <n v="4"/>
    <x v="3"/>
    <n v="83"/>
    <n v="75"/>
    <n v="77"/>
    <n v="61"/>
    <n v="93"/>
    <n v="61"/>
    <n v="75"/>
    <n v="525"/>
    <n v="75"/>
    <x v="3"/>
    <x v="0"/>
    <x v="0"/>
  </r>
  <r>
    <n v="709"/>
    <s v="Melinda"/>
    <s v="Sanchez"/>
    <s v="melinda.sanchez.709@gslingacademy.com"/>
    <x v="1"/>
    <x v="0"/>
    <x v="10"/>
    <x v="0"/>
    <n v="15"/>
    <x v="6"/>
    <n v="78"/>
    <n v="84"/>
    <n v="79"/>
    <n v="96"/>
    <n v="76"/>
    <n v="71"/>
    <n v="71"/>
    <n v="555"/>
    <n v="79.285714285714292"/>
    <x v="2"/>
    <x v="3"/>
    <x v="0"/>
  </r>
  <r>
    <n v="710"/>
    <s v="James"/>
    <s v="Carter"/>
    <s v="james.carter.710@gslingacademy.com"/>
    <x v="0"/>
    <x v="1"/>
    <x v="7"/>
    <x v="0"/>
    <n v="25"/>
    <x v="9"/>
    <n v="82"/>
    <n v="74"/>
    <n v="84"/>
    <n v="74"/>
    <n v="86"/>
    <n v="81"/>
    <n v="100"/>
    <n v="581"/>
    <n v="83"/>
    <x v="0"/>
    <x v="1"/>
    <x v="0"/>
  </r>
  <r>
    <n v="711"/>
    <s v="Alejandra"/>
    <s v="Johns"/>
    <s v="alejandra.johns.711@gslingacademy.com"/>
    <x v="1"/>
    <x v="0"/>
    <x v="5"/>
    <x v="0"/>
    <n v="31"/>
    <x v="11"/>
    <n v="94"/>
    <n v="91"/>
    <n v="68"/>
    <n v="61"/>
    <n v="34"/>
    <n v="60"/>
    <n v="63"/>
    <n v="471"/>
    <n v="67.285714285714292"/>
    <x v="1"/>
    <x v="0"/>
    <x v="0"/>
  </r>
  <r>
    <n v="712"/>
    <s v="Susan"/>
    <s v="Long"/>
    <s v="susan.long.712@gslingacademy.com"/>
    <x v="1"/>
    <x v="0"/>
    <x v="6"/>
    <x v="0"/>
    <n v="30"/>
    <x v="1"/>
    <n v="93"/>
    <n v="73"/>
    <n v="97"/>
    <n v="89"/>
    <n v="88"/>
    <n v="63"/>
    <n v="70"/>
    <n v="573"/>
    <n v="81.857142857142861"/>
    <x v="0"/>
    <x v="1"/>
    <x v="0"/>
  </r>
  <r>
    <n v="713"/>
    <s v="Sharon"/>
    <s v="Allen"/>
    <s v="sharon.allen.713@gslingacademy.com"/>
    <x v="1"/>
    <x v="0"/>
    <x v="0"/>
    <x v="0"/>
    <n v="17"/>
    <x v="6"/>
    <n v="80"/>
    <n v="95"/>
    <n v="98"/>
    <n v="95"/>
    <n v="96"/>
    <n v="97"/>
    <n v="85"/>
    <n v="646"/>
    <n v="92.285714285714292"/>
    <x v="2"/>
    <x v="0"/>
    <x v="1"/>
  </r>
  <r>
    <n v="714"/>
    <s v="Leah"/>
    <s v="Brown"/>
    <s v="leah.brown.714@gslingacademy.com"/>
    <x v="1"/>
    <x v="0"/>
    <x v="7"/>
    <x v="0"/>
    <n v="0"/>
    <x v="7"/>
    <n v="55"/>
    <n v="99"/>
    <n v="71"/>
    <n v="94"/>
    <n v="69"/>
    <n v="87"/>
    <n v="84"/>
    <n v="559"/>
    <n v="79.857142857142861"/>
    <x v="3"/>
    <x v="1"/>
    <x v="0"/>
  </r>
  <r>
    <n v="715"/>
    <s v="Maria"/>
    <s v="Barker"/>
    <s v="maria.barker.715@gslingacademy.com"/>
    <x v="1"/>
    <x v="1"/>
    <x v="1"/>
    <x v="0"/>
    <n v="10"/>
    <x v="2"/>
    <n v="94"/>
    <n v="71"/>
    <n v="83"/>
    <n v="76"/>
    <n v="99"/>
    <n v="95"/>
    <n v="94"/>
    <n v="612"/>
    <n v="87.428571428571431"/>
    <x v="4"/>
    <x v="0"/>
    <x v="1"/>
  </r>
  <r>
    <n v="716"/>
    <s v="Kelly"/>
    <s v="Church"/>
    <s v="kelly.church.716@gslingacademy.com"/>
    <x v="1"/>
    <x v="0"/>
    <x v="1"/>
    <x v="0"/>
    <n v="22"/>
    <x v="10"/>
    <n v="72"/>
    <n v="72"/>
    <n v="85"/>
    <n v="90"/>
    <n v="75"/>
    <n v="94"/>
    <n v="65"/>
    <n v="553"/>
    <n v="79"/>
    <x v="0"/>
    <x v="0"/>
    <x v="0"/>
  </r>
  <r>
    <n v="717"/>
    <s v="Michael"/>
    <s v="Walsh"/>
    <s v="michael.walsh.717@gslingacademy.com"/>
    <x v="0"/>
    <x v="0"/>
    <x v="0"/>
    <x v="0"/>
    <n v="16"/>
    <x v="5"/>
    <n v="98"/>
    <n v="89"/>
    <n v="75"/>
    <n v="68"/>
    <n v="87"/>
    <n v="69"/>
    <n v="96"/>
    <n v="582"/>
    <n v="83.142857142857139"/>
    <x v="2"/>
    <x v="0"/>
    <x v="0"/>
  </r>
  <r>
    <n v="718"/>
    <s v="Alyssa"/>
    <s v="Gallagher"/>
    <s v="alyssa.gallagher.718@gslingacademy.com"/>
    <x v="1"/>
    <x v="0"/>
    <x v="1"/>
    <x v="0"/>
    <n v="11"/>
    <x v="4"/>
    <n v="71"/>
    <n v="98"/>
    <n v="66"/>
    <n v="65"/>
    <n v="78"/>
    <n v="81"/>
    <n v="82"/>
    <n v="541"/>
    <n v="77.285714285714292"/>
    <x v="2"/>
    <x v="0"/>
    <x v="0"/>
  </r>
  <r>
    <n v="719"/>
    <s v="Kelly"/>
    <s v="Morris"/>
    <s v="kelly.morris.719@gslingacademy.com"/>
    <x v="1"/>
    <x v="0"/>
    <x v="0"/>
    <x v="0"/>
    <n v="35"/>
    <x v="5"/>
    <n v="99"/>
    <n v="95"/>
    <n v="89"/>
    <n v="90"/>
    <n v="95"/>
    <n v="98"/>
    <n v="99"/>
    <n v="665"/>
    <n v="95"/>
    <x v="1"/>
    <x v="0"/>
    <x v="1"/>
  </r>
  <r>
    <n v="720"/>
    <s v="Ryan"/>
    <s v="Brown"/>
    <s v="ryan.brown.720@gslingacademy.com"/>
    <x v="0"/>
    <x v="0"/>
    <x v="5"/>
    <x v="0"/>
    <n v="25"/>
    <x v="15"/>
    <n v="97"/>
    <n v="67"/>
    <n v="86"/>
    <n v="95"/>
    <n v="65"/>
    <n v="91"/>
    <n v="76"/>
    <n v="577"/>
    <n v="82.428571428571431"/>
    <x v="0"/>
    <x v="0"/>
    <x v="0"/>
  </r>
  <r>
    <n v="721"/>
    <s v="Maria"/>
    <s v="Hall"/>
    <s v="maria.hall.721@gslingacademy.com"/>
    <x v="1"/>
    <x v="0"/>
    <x v="2"/>
    <x v="0"/>
    <n v="5"/>
    <x v="7"/>
    <n v="85"/>
    <n v="64"/>
    <n v="99"/>
    <n v="93"/>
    <n v="89"/>
    <n v="61"/>
    <n v="67"/>
    <n v="558"/>
    <n v="79.714285714285708"/>
    <x v="3"/>
    <x v="1"/>
    <x v="0"/>
  </r>
  <r>
    <n v="722"/>
    <s v="Mark"/>
    <s v="Brown"/>
    <s v="mark.brown.722@gslingacademy.com"/>
    <x v="0"/>
    <x v="0"/>
    <x v="1"/>
    <x v="1"/>
    <n v="35"/>
    <x v="4"/>
    <n v="100"/>
    <n v="88"/>
    <n v="98"/>
    <n v="90"/>
    <n v="93"/>
    <n v="95"/>
    <n v="98"/>
    <n v="662"/>
    <n v="94.571428571428569"/>
    <x v="1"/>
    <x v="0"/>
    <x v="1"/>
  </r>
  <r>
    <n v="723"/>
    <s v="William"/>
    <s v="Kerr"/>
    <s v="william.kerr.723@gslingacademy.com"/>
    <x v="0"/>
    <x v="0"/>
    <x v="9"/>
    <x v="0"/>
    <n v="15"/>
    <x v="9"/>
    <n v="89"/>
    <n v="63"/>
    <n v="73"/>
    <n v="83"/>
    <n v="74"/>
    <n v="91"/>
    <n v="83"/>
    <n v="556"/>
    <n v="79.428571428571431"/>
    <x v="2"/>
    <x v="2"/>
    <x v="0"/>
  </r>
  <r>
    <n v="724"/>
    <s v="Jake"/>
    <s v="Gonzalez"/>
    <s v="jake.gonzalez.724@gslingacademy.com"/>
    <x v="0"/>
    <x v="0"/>
    <x v="9"/>
    <x v="1"/>
    <n v="21"/>
    <x v="9"/>
    <n v="76"/>
    <n v="87"/>
    <n v="63"/>
    <n v="92"/>
    <n v="93"/>
    <n v="87"/>
    <n v="88"/>
    <n v="586"/>
    <n v="83.714285714285708"/>
    <x v="0"/>
    <x v="2"/>
    <x v="0"/>
  </r>
  <r>
    <n v="725"/>
    <s v="Theresa"/>
    <s v="Gray"/>
    <s v="theresa.gray.725@gslingacademy.com"/>
    <x v="1"/>
    <x v="0"/>
    <x v="1"/>
    <x v="0"/>
    <n v="3"/>
    <x v="12"/>
    <n v="100"/>
    <n v="68"/>
    <n v="80"/>
    <n v="75"/>
    <n v="85"/>
    <n v="82"/>
    <n v="85"/>
    <n v="575"/>
    <n v="82.142857142857139"/>
    <x v="3"/>
    <x v="0"/>
    <x v="0"/>
  </r>
  <r>
    <n v="726"/>
    <s v="Ashley"/>
    <s v="Ayers"/>
    <s v="ashley.ayers.726@gslingacademy.com"/>
    <x v="1"/>
    <x v="0"/>
    <x v="5"/>
    <x v="0"/>
    <n v="1"/>
    <x v="16"/>
    <n v="77"/>
    <n v="99"/>
    <n v="99"/>
    <n v="76"/>
    <n v="70"/>
    <n v="80"/>
    <n v="90"/>
    <n v="591"/>
    <n v="84.428571428571431"/>
    <x v="3"/>
    <x v="0"/>
    <x v="0"/>
  </r>
  <r>
    <n v="727"/>
    <s v="Ann"/>
    <s v="Mccann"/>
    <s v="ann.mccann.727@gslingacademy.com"/>
    <x v="1"/>
    <x v="0"/>
    <x v="5"/>
    <x v="0"/>
    <n v="32"/>
    <x v="5"/>
    <n v="85"/>
    <n v="86"/>
    <n v="84"/>
    <n v="81"/>
    <n v="92"/>
    <n v="84"/>
    <n v="93"/>
    <n v="605"/>
    <n v="86.428571428571431"/>
    <x v="1"/>
    <x v="0"/>
    <x v="1"/>
  </r>
  <r>
    <n v="728"/>
    <s v="Curtis"/>
    <s v="Bennett"/>
    <s v="curtis.bennett.728@gslingacademy.com"/>
    <x v="0"/>
    <x v="0"/>
    <x v="4"/>
    <x v="1"/>
    <n v="25"/>
    <x v="0"/>
    <n v="70"/>
    <n v="83"/>
    <n v="63"/>
    <n v="86"/>
    <n v="97"/>
    <n v="88"/>
    <n v="79"/>
    <n v="566"/>
    <n v="80.857142857142861"/>
    <x v="0"/>
    <x v="2"/>
    <x v="0"/>
  </r>
  <r>
    <n v="729"/>
    <s v="Debra"/>
    <s v="Gutierrez"/>
    <s v="debra.gutierrez.729@gslingacademy.com"/>
    <x v="1"/>
    <x v="0"/>
    <x v="2"/>
    <x v="0"/>
    <n v="26"/>
    <x v="0"/>
    <n v="76"/>
    <n v="83"/>
    <n v="90"/>
    <n v="68"/>
    <n v="96"/>
    <n v="94"/>
    <n v="87"/>
    <n v="594"/>
    <n v="84.857142857142861"/>
    <x v="0"/>
    <x v="1"/>
    <x v="0"/>
  </r>
  <r>
    <n v="730"/>
    <s v="Linda"/>
    <s v="West"/>
    <s v="linda.west.730@gslingacademy.com"/>
    <x v="1"/>
    <x v="1"/>
    <x v="6"/>
    <x v="0"/>
    <n v="34"/>
    <x v="0"/>
    <n v="75"/>
    <n v="82"/>
    <n v="89"/>
    <n v="65"/>
    <n v="85"/>
    <n v="89"/>
    <n v="81"/>
    <n v="566"/>
    <n v="80.857142857142861"/>
    <x v="1"/>
    <x v="1"/>
    <x v="0"/>
  </r>
  <r>
    <n v="731"/>
    <s v="Justin"/>
    <s v="Hughes"/>
    <s v="justin.hughes.731@gslingacademy.com"/>
    <x v="0"/>
    <x v="0"/>
    <x v="1"/>
    <x v="1"/>
    <n v="25"/>
    <x v="15"/>
    <n v="97"/>
    <n v="65"/>
    <n v="96"/>
    <n v="87"/>
    <n v="87"/>
    <n v="95"/>
    <n v="100"/>
    <n v="627"/>
    <n v="89.571428571428569"/>
    <x v="0"/>
    <x v="0"/>
    <x v="1"/>
  </r>
  <r>
    <n v="732"/>
    <s v="Jose"/>
    <s v="Jackson"/>
    <s v="jose.jackson.732@gslingacademy.com"/>
    <x v="0"/>
    <x v="1"/>
    <x v="7"/>
    <x v="0"/>
    <n v="3"/>
    <x v="7"/>
    <n v="72"/>
    <n v="81"/>
    <n v="61"/>
    <n v="73"/>
    <n v="96"/>
    <n v="72"/>
    <n v="86"/>
    <n v="541"/>
    <n v="77.285714285714292"/>
    <x v="3"/>
    <x v="1"/>
    <x v="0"/>
  </r>
  <r>
    <n v="733"/>
    <s v="Larry"/>
    <s v="Smith"/>
    <s v="larry.smith.733@gslingacademy.com"/>
    <x v="0"/>
    <x v="1"/>
    <x v="0"/>
    <x v="0"/>
    <n v="12"/>
    <x v="15"/>
    <n v="84"/>
    <n v="69"/>
    <n v="68"/>
    <n v="92"/>
    <n v="86"/>
    <n v="67"/>
    <n v="73"/>
    <n v="539"/>
    <n v="77"/>
    <x v="2"/>
    <x v="0"/>
    <x v="0"/>
  </r>
  <r>
    <n v="734"/>
    <s v="Austin"/>
    <s v="Dunn"/>
    <s v="austin.dunn.734@gslingacademy.com"/>
    <x v="0"/>
    <x v="0"/>
    <x v="5"/>
    <x v="0"/>
    <n v="25"/>
    <x v="4"/>
    <n v="84"/>
    <n v="94"/>
    <n v="65"/>
    <n v="74"/>
    <n v="92"/>
    <n v="81"/>
    <n v="79"/>
    <n v="569"/>
    <n v="81.285714285714292"/>
    <x v="0"/>
    <x v="0"/>
    <x v="0"/>
  </r>
  <r>
    <n v="735"/>
    <s v="Michael"/>
    <s v="Heath"/>
    <s v="michael.heath.735@gslingacademy.com"/>
    <x v="0"/>
    <x v="0"/>
    <x v="4"/>
    <x v="0"/>
    <n v="50"/>
    <x v="1"/>
    <n v="94"/>
    <n v="87"/>
    <n v="99"/>
    <n v="99"/>
    <n v="86"/>
    <n v="86"/>
    <n v="85"/>
    <n v="636"/>
    <n v="90.857142857142861"/>
    <x v="1"/>
    <x v="2"/>
    <x v="1"/>
  </r>
  <r>
    <n v="736"/>
    <s v="Beth"/>
    <s v="Acosta"/>
    <s v="beth.acosta.736@gslingacademy.com"/>
    <x v="1"/>
    <x v="0"/>
    <x v="6"/>
    <x v="0"/>
    <n v="15"/>
    <x v="12"/>
    <n v="80"/>
    <n v="91"/>
    <n v="100"/>
    <n v="87"/>
    <n v="87"/>
    <n v="94"/>
    <n v="100"/>
    <n v="639"/>
    <n v="91.285714285714292"/>
    <x v="2"/>
    <x v="1"/>
    <x v="1"/>
  </r>
  <r>
    <n v="737"/>
    <s v="Tracie"/>
    <s v="Weeks"/>
    <s v="tracie.weeks.737@gslingacademy.com"/>
    <x v="1"/>
    <x v="0"/>
    <x v="10"/>
    <x v="0"/>
    <n v="34"/>
    <x v="5"/>
    <n v="87"/>
    <n v="98"/>
    <n v="79"/>
    <n v="87"/>
    <n v="92"/>
    <n v="80"/>
    <n v="93"/>
    <n v="616"/>
    <n v="88"/>
    <x v="1"/>
    <x v="3"/>
    <x v="1"/>
  </r>
  <r>
    <n v="738"/>
    <s v="Brandi"/>
    <s v="Ray"/>
    <s v="brandi.ray.738@gslingacademy.com"/>
    <x v="1"/>
    <x v="0"/>
    <x v="4"/>
    <x v="0"/>
    <n v="27"/>
    <x v="15"/>
    <n v="93"/>
    <n v="94"/>
    <n v="87"/>
    <n v="92"/>
    <n v="99"/>
    <n v="93"/>
    <n v="88"/>
    <n v="646"/>
    <n v="92.285714285714292"/>
    <x v="0"/>
    <x v="2"/>
    <x v="1"/>
  </r>
  <r>
    <n v="739"/>
    <s v="Carla"/>
    <s v="Brandt"/>
    <s v="carla.brandt.739@gslingacademy.com"/>
    <x v="1"/>
    <x v="0"/>
    <x v="5"/>
    <x v="0"/>
    <n v="5"/>
    <x v="14"/>
    <n v="87"/>
    <n v="69"/>
    <n v="96"/>
    <n v="61"/>
    <n v="72"/>
    <n v="78"/>
    <n v="99"/>
    <n v="562"/>
    <n v="80.285714285714292"/>
    <x v="3"/>
    <x v="0"/>
    <x v="0"/>
  </r>
  <r>
    <n v="740"/>
    <s v="Thomas"/>
    <s v="Cruz"/>
    <s v="thomas.cruz.740@gslingacademy.com"/>
    <x v="0"/>
    <x v="0"/>
    <x v="7"/>
    <x v="1"/>
    <n v="0"/>
    <x v="7"/>
    <n v="64"/>
    <n v="51"/>
    <n v="70"/>
    <n v="94"/>
    <n v="86"/>
    <n v="65"/>
    <n v="80"/>
    <n v="510"/>
    <n v="72.857142857142861"/>
    <x v="3"/>
    <x v="1"/>
    <x v="0"/>
  </r>
  <r>
    <n v="741"/>
    <s v="Nicholas"/>
    <s v="Martin"/>
    <s v="nicholas.martin.741@gslingacademy.com"/>
    <x v="0"/>
    <x v="0"/>
    <x v="3"/>
    <x v="0"/>
    <n v="15"/>
    <x v="5"/>
    <n v="96"/>
    <n v="73"/>
    <n v="91"/>
    <n v="71"/>
    <n v="72"/>
    <n v="74"/>
    <n v="76"/>
    <n v="553"/>
    <n v="79"/>
    <x v="2"/>
    <x v="2"/>
    <x v="0"/>
  </r>
  <r>
    <n v="742"/>
    <s v="Breanna"/>
    <s v="Lee"/>
    <s v="breanna.lee.742@gslingacademy.com"/>
    <x v="1"/>
    <x v="0"/>
    <x v="1"/>
    <x v="1"/>
    <n v="31"/>
    <x v="8"/>
    <n v="97"/>
    <n v="62"/>
    <n v="93"/>
    <n v="80"/>
    <n v="96"/>
    <n v="94"/>
    <n v="67"/>
    <n v="589"/>
    <n v="84.142857142857139"/>
    <x v="1"/>
    <x v="0"/>
    <x v="0"/>
  </r>
  <r>
    <n v="743"/>
    <s v="Angie"/>
    <s v="White"/>
    <s v="angie.white.743@gslingacademy.com"/>
    <x v="1"/>
    <x v="0"/>
    <x v="4"/>
    <x v="0"/>
    <n v="0"/>
    <x v="3"/>
    <n v="62"/>
    <n v="79"/>
    <n v="75"/>
    <n v="65"/>
    <n v="71"/>
    <n v="75"/>
    <n v="93"/>
    <n v="520"/>
    <n v="74.285714285714292"/>
    <x v="3"/>
    <x v="2"/>
    <x v="0"/>
  </r>
  <r>
    <n v="744"/>
    <s v="William"/>
    <s v="Lester"/>
    <s v="william.lester.744@gslingacademy.com"/>
    <x v="0"/>
    <x v="1"/>
    <x v="5"/>
    <x v="0"/>
    <n v="5"/>
    <x v="7"/>
    <n v="97"/>
    <n v="79"/>
    <n v="96"/>
    <n v="94"/>
    <n v="59"/>
    <n v="83"/>
    <n v="64"/>
    <n v="572"/>
    <n v="81.714285714285708"/>
    <x v="3"/>
    <x v="0"/>
    <x v="0"/>
  </r>
  <r>
    <n v="745"/>
    <s v="Joshua"/>
    <s v="Miller"/>
    <s v="joshua.miller.745@gslingacademy.com"/>
    <x v="0"/>
    <x v="0"/>
    <x v="0"/>
    <x v="0"/>
    <n v="35"/>
    <x v="5"/>
    <n v="85"/>
    <n v="100"/>
    <n v="90"/>
    <n v="93"/>
    <n v="94"/>
    <n v="97"/>
    <n v="98"/>
    <n v="657"/>
    <n v="93.857142857142861"/>
    <x v="1"/>
    <x v="0"/>
    <x v="1"/>
  </r>
  <r>
    <n v="746"/>
    <s v="Thomas"/>
    <s v="Stone"/>
    <s v="thomas.stone.746@gslingacademy.com"/>
    <x v="0"/>
    <x v="0"/>
    <x v="10"/>
    <x v="0"/>
    <n v="27"/>
    <x v="4"/>
    <n v="68"/>
    <n v="95"/>
    <n v="66"/>
    <n v="65"/>
    <n v="89"/>
    <n v="84"/>
    <n v="100"/>
    <n v="567"/>
    <n v="81"/>
    <x v="0"/>
    <x v="3"/>
    <x v="0"/>
  </r>
  <r>
    <n v="747"/>
    <s v="Sarah"/>
    <s v="King"/>
    <s v="sarah.king.747@gslingacademy.com"/>
    <x v="1"/>
    <x v="1"/>
    <x v="6"/>
    <x v="0"/>
    <n v="1"/>
    <x v="7"/>
    <n v="45"/>
    <n v="68"/>
    <n v="99"/>
    <n v="91"/>
    <n v="88"/>
    <n v="63"/>
    <n v="61"/>
    <n v="515"/>
    <n v="73.571428571428569"/>
    <x v="3"/>
    <x v="1"/>
    <x v="0"/>
  </r>
  <r>
    <n v="748"/>
    <s v="Jeffery"/>
    <s v="Carlson"/>
    <s v="jeffery.carlson.748@gslingacademy.com"/>
    <x v="0"/>
    <x v="1"/>
    <x v="4"/>
    <x v="0"/>
    <n v="2"/>
    <x v="7"/>
    <n v="86"/>
    <n v="79"/>
    <n v="86"/>
    <n v="73"/>
    <n v="53"/>
    <n v="84"/>
    <n v="79"/>
    <n v="540"/>
    <n v="77.142857142857139"/>
    <x v="3"/>
    <x v="2"/>
    <x v="0"/>
  </r>
  <r>
    <n v="749"/>
    <s v="Ashley"/>
    <s v="Gutierrez"/>
    <s v="ashley.gutierrez.749@gslingacademy.com"/>
    <x v="1"/>
    <x v="0"/>
    <x v="7"/>
    <x v="0"/>
    <n v="34"/>
    <x v="5"/>
    <n v="97"/>
    <n v="94"/>
    <n v="73"/>
    <n v="98"/>
    <n v="87"/>
    <n v="97"/>
    <n v="98"/>
    <n v="644"/>
    <n v="92"/>
    <x v="1"/>
    <x v="1"/>
    <x v="1"/>
  </r>
  <r>
    <n v="750"/>
    <s v="Adam"/>
    <s v="Herring"/>
    <s v="adam.herring.750@gslingacademy.com"/>
    <x v="0"/>
    <x v="1"/>
    <x v="1"/>
    <x v="1"/>
    <n v="18"/>
    <x v="5"/>
    <n v="93"/>
    <n v="67"/>
    <n v="65"/>
    <n v="61"/>
    <n v="61"/>
    <n v="96"/>
    <n v="65"/>
    <n v="508"/>
    <n v="72.571428571428569"/>
    <x v="2"/>
    <x v="0"/>
    <x v="0"/>
  </r>
  <r>
    <n v="751"/>
    <s v="David"/>
    <s v="Ramirez"/>
    <s v="david.ramirez.751@gslingacademy.com"/>
    <x v="0"/>
    <x v="0"/>
    <x v="5"/>
    <x v="0"/>
    <n v="14"/>
    <x v="5"/>
    <n v="85"/>
    <n v="93"/>
    <n v="75"/>
    <n v="72"/>
    <n v="84"/>
    <n v="63"/>
    <n v="63"/>
    <n v="535"/>
    <n v="76.428571428571431"/>
    <x v="2"/>
    <x v="0"/>
    <x v="0"/>
  </r>
  <r>
    <n v="752"/>
    <s v="Angela"/>
    <s v="Brown"/>
    <s v="angela.brown.752@gslingacademy.com"/>
    <x v="1"/>
    <x v="0"/>
    <x v="5"/>
    <x v="0"/>
    <n v="6"/>
    <x v="12"/>
    <n v="88"/>
    <n v="88"/>
    <n v="98"/>
    <n v="92"/>
    <n v="71"/>
    <n v="66"/>
    <n v="90"/>
    <n v="593"/>
    <n v="84.714285714285708"/>
    <x v="4"/>
    <x v="0"/>
    <x v="0"/>
  </r>
  <r>
    <n v="753"/>
    <s v="Eric"/>
    <s v="Jones"/>
    <s v="eric.jones.753@gslingacademy.com"/>
    <x v="0"/>
    <x v="0"/>
    <x v="3"/>
    <x v="1"/>
    <n v="2"/>
    <x v="3"/>
    <n v="100"/>
    <n v="67"/>
    <n v="98"/>
    <n v="71"/>
    <n v="92"/>
    <n v="79"/>
    <n v="99"/>
    <n v="606"/>
    <n v="86.571428571428569"/>
    <x v="3"/>
    <x v="2"/>
    <x v="1"/>
  </r>
  <r>
    <n v="754"/>
    <s v="Angel"/>
    <s v="Garner"/>
    <s v="angel.garner.754@gslingacademy.com"/>
    <x v="0"/>
    <x v="0"/>
    <x v="1"/>
    <x v="0"/>
    <n v="19"/>
    <x v="5"/>
    <n v="93"/>
    <n v="74"/>
    <n v="88"/>
    <n v="92"/>
    <n v="77"/>
    <n v="89"/>
    <n v="96"/>
    <n v="609"/>
    <n v="87"/>
    <x v="2"/>
    <x v="0"/>
    <x v="1"/>
  </r>
  <r>
    <n v="755"/>
    <s v="Lisa"/>
    <s v="Cowan"/>
    <s v="lisa.cowan.755@gslingacademy.com"/>
    <x v="1"/>
    <x v="0"/>
    <x v="5"/>
    <x v="0"/>
    <n v="1"/>
    <x v="3"/>
    <n v="70"/>
    <n v="63"/>
    <n v="73"/>
    <n v="97"/>
    <n v="63"/>
    <n v="61"/>
    <n v="90"/>
    <n v="517"/>
    <n v="73.857142857142861"/>
    <x v="3"/>
    <x v="0"/>
    <x v="0"/>
  </r>
  <r>
    <n v="756"/>
    <s v="Nicole"/>
    <s v="Perry"/>
    <s v="nicole.perry.756@gslingacademy.com"/>
    <x v="1"/>
    <x v="0"/>
    <x v="1"/>
    <x v="0"/>
    <n v="13"/>
    <x v="9"/>
    <n v="82"/>
    <n v="67"/>
    <n v="94"/>
    <n v="88"/>
    <n v="86"/>
    <n v="89"/>
    <n v="98"/>
    <n v="604"/>
    <n v="86.285714285714292"/>
    <x v="2"/>
    <x v="0"/>
    <x v="1"/>
  </r>
  <r>
    <n v="757"/>
    <s v="Annette"/>
    <s v="Wells"/>
    <s v="annette.wells.757@gslingacademy.com"/>
    <x v="1"/>
    <x v="1"/>
    <x v="8"/>
    <x v="0"/>
    <n v="3"/>
    <x v="7"/>
    <n v="41"/>
    <n v="76"/>
    <n v="94"/>
    <n v="93"/>
    <n v="79"/>
    <n v="84"/>
    <n v="96"/>
    <n v="563"/>
    <n v="80.428571428571431"/>
    <x v="3"/>
    <x v="1"/>
    <x v="0"/>
  </r>
  <r>
    <n v="758"/>
    <s v="Ian"/>
    <s v="Scott"/>
    <s v="ian.scott.758@gslingacademy.com"/>
    <x v="0"/>
    <x v="0"/>
    <x v="1"/>
    <x v="0"/>
    <n v="21"/>
    <x v="9"/>
    <n v="94"/>
    <n v="74"/>
    <n v="74"/>
    <n v="89"/>
    <n v="67"/>
    <n v="93"/>
    <n v="96"/>
    <n v="587"/>
    <n v="83.857142857142861"/>
    <x v="0"/>
    <x v="0"/>
    <x v="0"/>
  </r>
  <r>
    <n v="759"/>
    <s v="Kari"/>
    <s v="Hernandez"/>
    <s v="kari.hernandez.759@gslingacademy.com"/>
    <x v="1"/>
    <x v="1"/>
    <x v="1"/>
    <x v="0"/>
    <n v="29"/>
    <x v="12"/>
    <n v="67"/>
    <n v="69"/>
    <n v="75"/>
    <n v="94"/>
    <n v="98"/>
    <n v="80"/>
    <n v="74"/>
    <n v="557"/>
    <n v="79.571428571428569"/>
    <x v="0"/>
    <x v="0"/>
    <x v="0"/>
  </r>
  <r>
    <n v="760"/>
    <s v="Mary"/>
    <s v="Haynes"/>
    <s v="mary.haynes.760@gslingacademy.com"/>
    <x v="1"/>
    <x v="0"/>
    <x v="10"/>
    <x v="1"/>
    <n v="11"/>
    <x v="2"/>
    <n v="89"/>
    <n v="75"/>
    <n v="64"/>
    <n v="81"/>
    <n v="66"/>
    <n v="82"/>
    <n v="92"/>
    <n v="549"/>
    <n v="78.428571428571431"/>
    <x v="2"/>
    <x v="3"/>
    <x v="0"/>
  </r>
  <r>
    <n v="761"/>
    <s v="Raymond"/>
    <s v="Smith"/>
    <s v="raymond.smith.761@gslingacademy.com"/>
    <x v="0"/>
    <x v="0"/>
    <x v="0"/>
    <x v="0"/>
    <n v="23"/>
    <x v="1"/>
    <n v="82"/>
    <n v="82"/>
    <n v="100"/>
    <n v="93"/>
    <n v="91"/>
    <n v="61"/>
    <n v="83"/>
    <n v="592"/>
    <n v="84.571428571428569"/>
    <x v="0"/>
    <x v="0"/>
    <x v="0"/>
  </r>
  <r>
    <n v="762"/>
    <s v="Christopher"/>
    <s v="Ayala"/>
    <s v="christopher.ayala.762@gslingacademy.com"/>
    <x v="0"/>
    <x v="1"/>
    <x v="1"/>
    <x v="0"/>
    <n v="30"/>
    <x v="5"/>
    <n v="96"/>
    <n v="79"/>
    <n v="93"/>
    <n v="92"/>
    <n v="92"/>
    <n v="71"/>
    <n v="87"/>
    <n v="610"/>
    <n v="87.142857142857139"/>
    <x v="0"/>
    <x v="0"/>
    <x v="1"/>
  </r>
  <r>
    <n v="763"/>
    <s v="Jacqueline"/>
    <s v="Frazier"/>
    <s v="jacqueline.frazier.763@gslingacademy.com"/>
    <x v="1"/>
    <x v="0"/>
    <x v="5"/>
    <x v="0"/>
    <n v="13"/>
    <x v="11"/>
    <n v="94"/>
    <n v="84"/>
    <n v="84"/>
    <n v="89"/>
    <n v="52"/>
    <n v="97"/>
    <n v="76"/>
    <n v="576"/>
    <n v="82.285714285714292"/>
    <x v="2"/>
    <x v="0"/>
    <x v="0"/>
  </r>
  <r>
    <n v="764"/>
    <s v="Jesse"/>
    <s v="Kelly"/>
    <s v="jesse.kelly.764@gslingacademy.com"/>
    <x v="0"/>
    <x v="0"/>
    <x v="9"/>
    <x v="0"/>
    <n v="19"/>
    <x v="13"/>
    <n v="84"/>
    <n v="65"/>
    <n v="83"/>
    <n v="99"/>
    <n v="86"/>
    <n v="75"/>
    <n v="67"/>
    <n v="559"/>
    <n v="79.857142857142861"/>
    <x v="2"/>
    <x v="2"/>
    <x v="0"/>
  </r>
  <r>
    <n v="765"/>
    <s v="Teresa"/>
    <s v="Lee"/>
    <s v="teresa.lee.765@gslingacademy.com"/>
    <x v="1"/>
    <x v="0"/>
    <x v="3"/>
    <x v="0"/>
    <n v="33"/>
    <x v="5"/>
    <n v="87"/>
    <n v="98"/>
    <n v="97"/>
    <n v="70"/>
    <n v="80"/>
    <n v="67"/>
    <n v="82"/>
    <n v="581"/>
    <n v="83"/>
    <x v="1"/>
    <x v="2"/>
    <x v="0"/>
  </r>
  <r>
    <n v="766"/>
    <s v="Michael"/>
    <s v="Aguirre"/>
    <s v="michael.aguirre.766@gslingacademy.com"/>
    <x v="0"/>
    <x v="0"/>
    <x v="1"/>
    <x v="0"/>
    <n v="21"/>
    <x v="5"/>
    <n v="90"/>
    <n v="93"/>
    <n v="66"/>
    <n v="77"/>
    <n v="72"/>
    <n v="82"/>
    <n v="82"/>
    <n v="562"/>
    <n v="80.285714285714292"/>
    <x v="0"/>
    <x v="0"/>
    <x v="0"/>
  </r>
  <r>
    <n v="767"/>
    <s v="April"/>
    <s v="Delgado"/>
    <s v="april.delgado.767@gslingacademy.com"/>
    <x v="1"/>
    <x v="0"/>
    <x v="6"/>
    <x v="0"/>
    <n v="31"/>
    <x v="8"/>
    <n v="86"/>
    <n v="81"/>
    <n v="91"/>
    <n v="83"/>
    <n v="97"/>
    <n v="83"/>
    <n v="80"/>
    <n v="601"/>
    <n v="85.857142857142861"/>
    <x v="1"/>
    <x v="1"/>
    <x v="1"/>
  </r>
  <r>
    <n v="768"/>
    <s v="Troy"/>
    <s v="Prince"/>
    <s v="troy.prince.768@gslingacademy.com"/>
    <x v="0"/>
    <x v="0"/>
    <x v="4"/>
    <x v="0"/>
    <n v="3"/>
    <x v="7"/>
    <n v="48"/>
    <n v="72"/>
    <n v="64"/>
    <n v="65"/>
    <n v="64"/>
    <n v="55"/>
    <n v="79"/>
    <n v="447"/>
    <n v="63.857142857142854"/>
    <x v="3"/>
    <x v="2"/>
    <x v="0"/>
  </r>
  <r>
    <n v="769"/>
    <s v="Martha"/>
    <s v="Summers"/>
    <s v="martha.summers.769@gslingacademy.com"/>
    <x v="1"/>
    <x v="1"/>
    <x v="6"/>
    <x v="0"/>
    <n v="3"/>
    <x v="7"/>
    <n v="49"/>
    <n v="59"/>
    <n v="99"/>
    <n v="59"/>
    <n v="75"/>
    <n v="54"/>
    <n v="70"/>
    <n v="465"/>
    <n v="66.428571428571431"/>
    <x v="3"/>
    <x v="1"/>
    <x v="0"/>
  </r>
  <r>
    <n v="770"/>
    <s v="William"/>
    <s v="Dean"/>
    <s v="william.dean.770@gslingacademy.com"/>
    <x v="0"/>
    <x v="1"/>
    <x v="10"/>
    <x v="0"/>
    <n v="30"/>
    <x v="4"/>
    <n v="90"/>
    <n v="83"/>
    <n v="72"/>
    <n v="77"/>
    <n v="99"/>
    <n v="84"/>
    <n v="67"/>
    <n v="572"/>
    <n v="81.714285714285708"/>
    <x v="0"/>
    <x v="3"/>
    <x v="0"/>
  </r>
  <r>
    <n v="771"/>
    <s v="Cheryl"/>
    <s v="Gutierrez"/>
    <s v="cheryl.gutierrez.771@gslingacademy.com"/>
    <x v="1"/>
    <x v="1"/>
    <x v="3"/>
    <x v="1"/>
    <n v="1"/>
    <x v="7"/>
    <n v="40"/>
    <n v="51"/>
    <n v="93"/>
    <n v="100"/>
    <n v="76"/>
    <n v="60"/>
    <n v="99"/>
    <n v="519"/>
    <n v="74.142857142857139"/>
    <x v="3"/>
    <x v="2"/>
    <x v="0"/>
  </r>
  <r>
    <n v="772"/>
    <s v="Diane"/>
    <s v="Spears"/>
    <s v="diane.spears.772@gslingacademy.com"/>
    <x v="1"/>
    <x v="0"/>
    <x v="10"/>
    <x v="1"/>
    <n v="8"/>
    <x v="4"/>
    <n v="78"/>
    <n v="81"/>
    <n v="71"/>
    <n v="91"/>
    <n v="79"/>
    <n v="79"/>
    <n v="75"/>
    <n v="554"/>
    <n v="79.142857142857139"/>
    <x v="4"/>
    <x v="3"/>
    <x v="0"/>
  </r>
  <r>
    <n v="773"/>
    <s v="Brian"/>
    <s v="David"/>
    <s v="brian.david.773@gslingacademy.com"/>
    <x v="0"/>
    <x v="0"/>
    <x v="1"/>
    <x v="0"/>
    <n v="29"/>
    <x v="5"/>
    <n v="87"/>
    <n v="68"/>
    <n v="75"/>
    <n v="96"/>
    <n v="91"/>
    <n v="72"/>
    <n v="78"/>
    <n v="567"/>
    <n v="81"/>
    <x v="0"/>
    <x v="0"/>
    <x v="0"/>
  </r>
  <r>
    <n v="774"/>
    <s v="Heather"/>
    <s v="Brooks"/>
    <s v="heather.brooks.774@gslingacademy.com"/>
    <x v="1"/>
    <x v="0"/>
    <x v="1"/>
    <x v="0"/>
    <n v="18"/>
    <x v="11"/>
    <n v="79"/>
    <n v="81"/>
    <n v="68"/>
    <n v="70"/>
    <n v="60"/>
    <n v="65"/>
    <n v="71"/>
    <n v="494"/>
    <n v="70.571428571428569"/>
    <x v="2"/>
    <x v="0"/>
    <x v="0"/>
  </r>
  <r>
    <n v="775"/>
    <s v="Pamela"/>
    <s v="Rodgers"/>
    <s v="pamela.rodgers.775@gslingacademy.com"/>
    <x v="1"/>
    <x v="0"/>
    <x v="4"/>
    <x v="1"/>
    <n v="4"/>
    <x v="14"/>
    <n v="100"/>
    <n v="100"/>
    <n v="94"/>
    <n v="83"/>
    <n v="62"/>
    <n v="92"/>
    <n v="71"/>
    <n v="602"/>
    <n v="86"/>
    <x v="3"/>
    <x v="2"/>
    <x v="1"/>
  </r>
  <r>
    <n v="776"/>
    <s v="Betty"/>
    <s v="Nash"/>
    <s v="betty.nash.776@gslingacademy.com"/>
    <x v="1"/>
    <x v="0"/>
    <x v="5"/>
    <x v="0"/>
    <n v="10"/>
    <x v="4"/>
    <n v="71"/>
    <n v="72"/>
    <n v="65"/>
    <n v="65"/>
    <n v="65"/>
    <n v="67"/>
    <n v="97"/>
    <n v="502"/>
    <n v="71.714285714285708"/>
    <x v="4"/>
    <x v="0"/>
    <x v="0"/>
  </r>
  <r>
    <n v="777"/>
    <s v="Heather"/>
    <s v="Donaldson"/>
    <s v="heather.donaldson.777@gslingacademy.com"/>
    <x v="1"/>
    <x v="0"/>
    <x v="1"/>
    <x v="0"/>
    <n v="32"/>
    <x v="9"/>
    <n v="77"/>
    <n v="64"/>
    <n v="69"/>
    <n v="60"/>
    <n v="92"/>
    <n v="76"/>
    <n v="74"/>
    <n v="512"/>
    <n v="73.142857142857139"/>
    <x v="1"/>
    <x v="0"/>
    <x v="0"/>
  </r>
  <r>
    <n v="778"/>
    <s v="Ebony"/>
    <s v="Shepherd"/>
    <s v="ebony.shepherd.778@gslingacademy.com"/>
    <x v="1"/>
    <x v="0"/>
    <x v="5"/>
    <x v="0"/>
    <n v="32"/>
    <x v="0"/>
    <n v="83"/>
    <n v="84"/>
    <n v="96"/>
    <n v="96"/>
    <n v="79"/>
    <n v="80"/>
    <n v="81"/>
    <n v="599"/>
    <n v="85.571428571428569"/>
    <x v="1"/>
    <x v="0"/>
    <x v="0"/>
  </r>
  <r>
    <n v="779"/>
    <s v="Sean"/>
    <s v="Thomas"/>
    <s v="sean.thomas.779@gslingacademy.com"/>
    <x v="0"/>
    <x v="0"/>
    <x v="1"/>
    <x v="1"/>
    <n v="16"/>
    <x v="5"/>
    <n v="96"/>
    <n v="79"/>
    <n v="80"/>
    <n v="71"/>
    <n v="67"/>
    <n v="76"/>
    <n v="63"/>
    <n v="532"/>
    <n v="76"/>
    <x v="2"/>
    <x v="0"/>
    <x v="0"/>
  </r>
  <r>
    <n v="780"/>
    <s v="Todd"/>
    <s v="Howard"/>
    <s v="todd.howard.780@gslingacademy.com"/>
    <x v="0"/>
    <x v="0"/>
    <x v="4"/>
    <x v="0"/>
    <n v="35"/>
    <x v="4"/>
    <n v="91"/>
    <n v="96"/>
    <n v="100"/>
    <n v="95"/>
    <n v="100"/>
    <n v="94"/>
    <n v="95"/>
    <n v="671"/>
    <n v="95.857142857142861"/>
    <x v="1"/>
    <x v="2"/>
    <x v="1"/>
  </r>
  <r>
    <n v="781"/>
    <s v="Julia"/>
    <s v="Richmond"/>
    <s v="julia.richmond.781@gslingacademy.com"/>
    <x v="1"/>
    <x v="0"/>
    <x v="8"/>
    <x v="0"/>
    <n v="2"/>
    <x v="7"/>
    <n v="71"/>
    <n v="69"/>
    <n v="95"/>
    <n v="83"/>
    <n v="90"/>
    <n v="93"/>
    <n v="89"/>
    <n v="590"/>
    <n v="84.285714285714292"/>
    <x v="3"/>
    <x v="1"/>
    <x v="0"/>
  </r>
  <r>
    <n v="782"/>
    <s v="Mary"/>
    <s v="Mccormick"/>
    <s v="mary.mccormick.782@gslingacademy.com"/>
    <x v="1"/>
    <x v="0"/>
    <x v="0"/>
    <x v="0"/>
    <n v="27"/>
    <x v="4"/>
    <n v="84"/>
    <n v="80"/>
    <n v="75"/>
    <n v="63"/>
    <n v="71"/>
    <n v="86"/>
    <n v="63"/>
    <n v="522"/>
    <n v="74.571428571428569"/>
    <x v="0"/>
    <x v="0"/>
    <x v="0"/>
  </r>
  <r>
    <n v="783"/>
    <s v="Jimmy"/>
    <s v="Warren"/>
    <s v="jimmy.warren.783@gslingacademy.com"/>
    <x v="0"/>
    <x v="0"/>
    <x v="0"/>
    <x v="0"/>
    <n v="28"/>
    <x v="5"/>
    <n v="91"/>
    <n v="61"/>
    <n v="61"/>
    <n v="85"/>
    <n v="64"/>
    <n v="76"/>
    <n v="88"/>
    <n v="526"/>
    <n v="75.142857142857139"/>
    <x v="0"/>
    <x v="0"/>
    <x v="0"/>
  </r>
  <r>
    <n v="784"/>
    <s v="Henry"/>
    <s v="Spencer"/>
    <s v="henry.spencer.784@gslingacademy.com"/>
    <x v="0"/>
    <x v="0"/>
    <x v="1"/>
    <x v="0"/>
    <n v="2"/>
    <x v="16"/>
    <n v="59"/>
    <n v="65"/>
    <n v="72"/>
    <n v="60"/>
    <n v="94"/>
    <n v="63"/>
    <n v="75"/>
    <n v="488"/>
    <n v="69.714285714285708"/>
    <x v="3"/>
    <x v="0"/>
    <x v="0"/>
  </r>
  <r>
    <n v="785"/>
    <s v="Peter"/>
    <s v="Yates"/>
    <s v="peter.yates.785@gslingacademy.com"/>
    <x v="0"/>
    <x v="0"/>
    <x v="0"/>
    <x v="0"/>
    <n v="42"/>
    <x v="1"/>
    <n v="89"/>
    <n v="90"/>
    <n v="91"/>
    <n v="95"/>
    <n v="87"/>
    <n v="92"/>
    <n v="96"/>
    <n v="640"/>
    <n v="91.428571428571431"/>
    <x v="1"/>
    <x v="0"/>
    <x v="1"/>
  </r>
  <r>
    <n v="786"/>
    <s v="Robert"/>
    <s v="Campbell"/>
    <s v="robert.campbell.786@gslingacademy.com"/>
    <x v="0"/>
    <x v="0"/>
    <x v="6"/>
    <x v="0"/>
    <n v="31"/>
    <x v="9"/>
    <n v="81"/>
    <n v="92"/>
    <n v="68"/>
    <n v="93"/>
    <n v="69"/>
    <n v="78"/>
    <n v="89"/>
    <n v="570"/>
    <n v="81.428571428571431"/>
    <x v="1"/>
    <x v="1"/>
    <x v="0"/>
  </r>
  <r>
    <n v="787"/>
    <s v="Matthew"/>
    <s v="Conway"/>
    <s v="matthew.conway.787@gslingacademy.com"/>
    <x v="0"/>
    <x v="0"/>
    <x v="0"/>
    <x v="0"/>
    <n v="15"/>
    <x v="11"/>
    <n v="77"/>
    <n v="84"/>
    <n v="86"/>
    <n v="97"/>
    <n v="90"/>
    <n v="83"/>
    <n v="92"/>
    <n v="609"/>
    <n v="87"/>
    <x v="2"/>
    <x v="0"/>
    <x v="1"/>
  </r>
  <r>
    <n v="788"/>
    <s v="Tyler"/>
    <s v="Calderon"/>
    <s v="tyler.calderon.788@gslingacademy.com"/>
    <x v="0"/>
    <x v="0"/>
    <x v="6"/>
    <x v="0"/>
    <n v="1"/>
    <x v="7"/>
    <n v="72"/>
    <n v="58"/>
    <n v="73"/>
    <n v="57"/>
    <n v="67"/>
    <n v="88"/>
    <n v="70"/>
    <n v="485"/>
    <n v="69.285714285714292"/>
    <x v="3"/>
    <x v="1"/>
    <x v="0"/>
  </r>
  <r>
    <n v="789"/>
    <s v="Brittney"/>
    <s v="Moon"/>
    <s v="brittney.moon.789@gslingacademy.com"/>
    <x v="1"/>
    <x v="0"/>
    <x v="3"/>
    <x v="0"/>
    <n v="10"/>
    <x v="6"/>
    <n v="91"/>
    <n v="63"/>
    <n v="78"/>
    <n v="93"/>
    <n v="76"/>
    <n v="76"/>
    <n v="90"/>
    <n v="567"/>
    <n v="81"/>
    <x v="4"/>
    <x v="2"/>
    <x v="0"/>
  </r>
  <r>
    <n v="790"/>
    <s v="Tracy"/>
    <s v="White"/>
    <s v="tracy.white.790@gslingacademy.com"/>
    <x v="1"/>
    <x v="0"/>
    <x v="3"/>
    <x v="0"/>
    <n v="40"/>
    <x v="1"/>
    <n v="88"/>
    <n v="100"/>
    <n v="94"/>
    <n v="91"/>
    <n v="85"/>
    <n v="91"/>
    <n v="88"/>
    <n v="637"/>
    <n v="91"/>
    <x v="1"/>
    <x v="2"/>
    <x v="1"/>
  </r>
  <r>
    <n v="791"/>
    <s v="Gregory"/>
    <s v="Welch"/>
    <s v="gregory.welch.791@gslingacademy.com"/>
    <x v="0"/>
    <x v="0"/>
    <x v="8"/>
    <x v="0"/>
    <n v="40"/>
    <x v="1"/>
    <n v="94"/>
    <n v="88"/>
    <n v="99"/>
    <n v="92"/>
    <n v="98"/>
    <n v="85"/>
    <n v="95"/>
    <n v="651"/>
    <n v="93"/>
    <x v="1"/>
    <x v="1"/>
    <x v="1"/>
  </r>
  <r>
    <n v="792"/>
    <s v="Caroline"/>
    <s v="Cooper"/>
    <s v="caroline.cooper.792@gslingacademy.com"/>
    <x v="1"/>
    <x v="0"/>
    <x v="10"/>
    <x v="0"/>
    <n v="8"/>
    <x v="16"/>
    <n v="67"/>
    <n v="72"/>
    <n v="98"/>
    <n v="65"/>
    <n v="61"/>
    <n v="87"/>
    <n v="89"/>
    <n v="539"/>
    <n v="77"/>
    <x v="4"/>
    <x v="3"/>
    <x v="0"/>
  </r>
  <r>
    <n v="793"/>
    <s v="Kelly"/>
    <s v="Rivera"/>
    <s v="kelly.rivera.793@gslingacademy.com"/>
    <x v="1"/>
    <x v="0"/>
    <x v="1"/>
    <x v="0"/>
    <n v="22"/>
    <x v="4"/>
    <n v="88"/>
    <n v="86"/>
    <n v="82"/>
    <n v="89"/>
    <n v="81"/>
    <n v="61"/>
    <n v="83"/>
    <n v="570"/>
    <n v="81.428571428571431"/>
    <x v="0"/>
    <x v="0"/>
    <x v="0"/>
  </r>
  <r>
    <n v="794"/>
    <s v="Stacey"/>
    <s v="Wilson"/>
    <s v="stacey.wilson.794@gslingacademy.com"/>
    <x v="1"/>
    <x v="0"/>
    <x v="0"/>
    <x v="0"/>
    <n v="21"/>
    <x v="4"/>
    <n v="67"/>
    <n v="67"/>
    <n v="62"/>
    <n v="80"/>
    <n v="61"/>
    <n v="61"/>
    <n v="82"/>
    <n v="480"/>
    <n v="68.571428571428569"/>
    <x v="0"/>
    <x v="0"/>
    <x v="0"/>
  </r>
  <r>
    <n v="795"/>
    <s v="Craig"/>
    <s v="Graham"/>
    <s v="craig.graham.795@gslingacademy.com"/>
    <x v="0"/>
    <x v="0"/>
    <x v="6"/>
    <x v="0"/>
    <n v="31"/>
    <x v="0"/>
    <n v="95"/>
    <n v="87"/>
    <n v="96"/>
    <n v="97"/>
    <n v="83"/>
    <n v="93"/>
    <n v="88"/>
    <n v="639"/>
    <n v="91.285714285714292"/>
    <x v="1"/>
    <x v="1"/>
    <x v="1"/>
  </r>
  <r>
    <n v="796"/>
    <s v="Earl"/>
    <s v="Santana"/>
    <s v="earl.santana.796@gslingacademy.com"/>
    <x v="0"/>
    <x v="0"/>
    <x v="5"/>
    <x v="0"/>
    <n v="10"/>
    <x v="2"/>
    <n v="96"/>
    <n v="91"/>
    <n v="78"/>
    <n v="94"/>
    <n v="81"/>
    <n v="88"/>
    <n v="86"/>
    <n v="614"/>
    <n v="87.714285714285708"/>
    <x v="4"/>
    <x v="0"/>
    <x v="1"/>
  </r>
  <r>
    <n v="797"/>
    <s v="Lisa"/>
    <s v="Mitchell"/>
    <s v="lisa.mitchell.797@gslingacademy.com"/>
    <x v="1"/>
    <x v="0"/>
    <x v="0"/>
    <x v="1"/>
    <n v="35"/>
    <x v="9"/>
    <n v="87"/>
    <n v="99"/>
    <n v="99"/>
    <n v="100"/>
    <n v="98"/>
    <n v="96"/>
    <n v="94"/>
    <n v="673"/>
    <n v="96.142857142857139"/>
    <x v="1"/>
    <x v="0"/>
    <x v="1"/>
  </r>
  <r>
    <n v="798"/>
    <s v="Michael"/>
    <s v="Williams"/>
    <s v="michael.williams.798@gslingacademy.com"/>
    <x v="0"/>
    <x v="0"/>
    <x v="0"/>
    <x v="0"/>
    <n v="14"/>
    <x v="9"/>
    <n v="85"/>
    <n v="88"/>
    <n v="85"/>
    <n v="92"/>
    <n v="96"/>
    <n v="81"/>
    <n v="95"/>
    <n v="622"/>
    <n v="88.857142857142861"/>
    <x v="2"/>
    <x v="0"/>
    <x v="1"/>
  </r>
  <r>
    <n v="799"/>
    <s v="Jerry"/>
    <s v="Jones"/>
    <s v="jerry.jones.799@gslingacademy.com"/>
    <x v="0"/>
    <x v="0"/>
    <x v="1"/>
    <x v="0"/>
    <n v="7"/>
    <x v="2"/>
    <n v="88"/>
    <n v="85"/>
    <n v="100"/>
    <n v="68"/>
    <n v="65"/>
    <n v="97"/>
    <n v="94"/>
    <n v="597"/>
    <n v="85.285714285714292"/>
    <x v="4"/>
    <x v="0"/>
    <x v="0"/>
  </r>
  <r>
    <n v="800"/>
    <s v="Matthew"/>
    <s v="Miles"/>
    <s v="matthew.miles.800@gslingacademy.com"/>
    <x v="0"/>
    <x v="0"/>
    <x v="3"/>
    <x v="0"/>
    <n v="4"/>
    <x v="7"/>
    <n v="94"/>
    <n v="68"/>
    <n v="72"/>
    <n v="99"/>
    <n v="83"/>
    <n v="53"/>
    <n v="83"/>
    <n v="552"/>
    <n v="78.857142857142861"/>
    <x v="3"/>
    <x v="2"/>
    <x v="0"/>
  </r>
  <r>
    <n v="801"/>
    <s v="Mary"/>
    <s v="Cox"/>
    <s v="mary.cox.801@gslingacademy.com"/>
    <x v="1"/>
    <x v="0"/>
    <x v="9"/>
    <x v="1"/>
    <n v="14"/>
    <x v="6"/>
    <n v="67"/>
    <n v="100"/>
    <n v="77"/>
    <n v="85"/>
    <n v="73"/>
    <n v="95"/>
    <n v="86"/>
    <n v="583"/>
    <n v="83.285714285714292"/>
    <x v="2"/>
    <x v="2"/>
    <x v="0"/>
  </r>
  <r>
    <n v="802"/>
    <s v="Jessica"/>
    <s v="Young"/>
    <s v="jessica.young.802@gslingacademy.com"/>
    <x v="1"/>
    <x v="0"/>
    <x v="5"/>
    <x v="1"/>
    <n v="29"/>
    <x v="5"/>
    <n v="92"/>
    <n v="63"/>
    <n v="99"/>
    <n v="77"/>
    <n v="82"/>
    <n v="88"/>
    <n v="72"/>
    <n v="573"/>
    <n v="81.857142857142861"/>
    <x v="0"/>
    <x v="0"/>
    <x v="0"/>
  </r>
  <r>
    <n v="803"/>
    <s v="Tiffany"/>
    <s v="Small"/>
    <s v="tiffany.small.803@gslingacademy.com"/>
    <x v="1"/>
    <x v="1"/>
    <x v="0"/>
    <x v="0"/>
    <n v="20"/>
    <x v="11"/>
    <n v="76"/>
    <n v="75"/>
    <n v="60"/>
    <n v="77"/>
    <n v="71"/>
    <n v="70"/>
    <n v="88"/>
    <n v="517"/>
    <n v="73.857142857142861"/>
    <x v="2"/>
    <x v="0"/>
    <x v="0"/>
  </r>
  <r>
    <n v="804"/>
    <s v="Mary"/>
    <s v="Wyatt"/>
    <s v="mary.wyatt.804@gslingacademy.com"/>
    <x v="1"/>
    <x v="0"/>
    <x v="0"/>
    <x v="1"/>
    <n v="24"/>
    <x v="5"/>
    <n v="86"/>
    <n v="75"/>
    <n v="96"/>
    <n v="62"/>
    <n v="81"/>
    <n v="91"/>
    <n v="84"/>
    <n v="575"/>
    <n v="82.142857142857139"/>
    <x v="0"/>
    <x v="0"/>
    <x v="0"/>
  </r>
  <r>
    <n v="805"/>
    <s v="Maria"/>
    <s v="Mercer"/>
    <s v="maria.mercer.805@gslingacademy.com"/>
    <x v="1"/>
    <x v="0"/>
    <x v="0"/>
    <x v="1"/>
    <n v="27"/>
    <x v="5"/>
    <n v="94"/>
    <n v="94"/>
    <n v="86"/>
    <n v="62"/>
    <n v="73"/>
    <n v="90"/>
    <n v="75"/>
    <n v="574"/>
    <n v="82"/>
    <x v="0"/>
    <x v="0"/>
    <x v="0"/>
  </r>
  <r>
    <n v="806"/>
    <s v="Erin"/>
    <s v="Moore"/>
    <s v="erin.moore.806@gslingacademy.com"/>
    <x v="1"/>
    <x v="0"/>
    <x v="0"/>
    <x v="0"/>
    <n v="31"/>
    <x v="5"/>
    <n v="100"/>
    <n v="85"/>
    <n v="62"/>
    <n v="62"/>
    <n v="89"/>
    <n v="65"/>
    <n v="67"/>
    <n v="530"/>
    <n v="75.714285714285708"/>
    <x v="1"/>
    <x v="0"/>
    <x v="0"/>
  </r>
  <r>
    <n v="807"/>
    <s v="Kendra"/>
    <s v="Dalton"/>
    <s v="kendra.dalton.807@gslingacademy.com"/>
    <x v="1"/>
    <x v="0"/>
    <x v="9"/>
    <x v="0"/>
    <n v="27"/>
    <x v="0"/>
    <n v="74"/>
    <n v="84"/>
    <n v="71"/>
    <n v="93"/>
    <n v="65"/>
    <n v="98"/>
    <n v="61"/>
    <n v="546"/>
    <n v="78"/>
    <x v="0"/>
    <x v="2"/>
    <x v="0"/>
  </r>
  <r>
    <n v="808"/>
    <s v="Anthony"/>
    <s v="Gomez"/>
    <s v="anthony.gomez.808@gslingacademy.com"/>
    <x v="0"/>
    <x v="0"/>
    <x v="1"/>
    <x v="0"/>
    <n v="23"/>
    <x v="4"/>
    <n v="99"/>
    <n v="98"/>
    <n v="70"/>
    <n v="73"/>
    <n v="63"/>
    <n v="62"/>
    <n v="88"/>
    <n v="553"/>
    <n v="79"/>
    <x v="0"/>
    <x v="0"/>
    <x v="0"/>
  </r>
  <r>
    <n v="809"/>
    <s v="Molly"/>
    <s v="Jackson"/>
    <s v="molly.jackson.809@gslingacademy.com"/>
    <x v="1"/>
    <x v="0"/>
    <x v="7"/>
    <x v="0"/>
    <n v="0"/>
    <x v="7"/>
    <n v="66"/>
    <n v="97"/>
    <n v="72"/>
    <n v="98"/>
    <n v="86"/>
    <n v="86"/>
    <n v="63"/>
    <n v="568"/>
    <n v="81.142857142857139"/>
    <x v="3"/>
    <x v="1"/>
    <x v="0"/>
  </r>
  <r>
    <n v="810"/>
    <s v="Brianna"/>
    <s v="Gutierrez"/>
    <s v="brianna.gutierrez.810@gslingacademy.com"/>
    <x v="1"/>
    <x v="0"/>
    <x v="1"/>
    <x v="0"/>
    <n v="35"/>
    <x v="8"/>
    <n v="99"/>
    <n v="96"/>
    <n v="100"/>
    <n v="95"/>
    <n v="90"/>
    <n v="95"/>
    <n v="88"/>
    <n v="663"/>
    <n v="94.714285714285708"/>
    <x v="1"/>
    <x v="0"/>
    <x v="1"/>
  </r>
  <r>
    <n v="811"/>
    <s v="John"/>
    <s v="Henderson"/>
    <s v="john.henderson.811@gslingacademy.com"/>
    <x v="0"/>
    <x v="0"/>
    <x v="5"/>
    <x v="1"/>
    <n v="33"/>
    <x v="4"/>
    <n v="97"/>
    <n v="76"/>
    <n v="99"/>
    <n v="85"/>
    <n v="98"/>
    <n v="62"/>
    <n v="97"/>
    <n v="614"/>
    <n v="87.714285714285708"/>
    <x v="1"/>
    <x v="0"/>
    <x v="1"/>
  </r>
  <r>
    <n v="812"/>
    <s v="Steven"/>
    <s v="Martin"/>
    <s v="steven.martin.812@gslingacademy.com"/>
    <x v="0"/>
    <x v="0"/>
    <x v="3"/>
    <x v="1"/>
    <n v="11"/>
    <x v="9"/>
    <n v="81"/>
    <n v="71"/>
    <n v="76"/>
    <n v="95"/>
    <n v="99"/>
    <n v="85"/>
    <n v="71"/>
    <n v="578"/>
    <n v="82.571428571428569"/>
    <x v="2"/>
    <x v="2"/>
    <x v="0"/>
  </r>
  <r>
    <n v="813"/>
    <s v="Tina"/>
    <s v="Bowers"/>
    <s v="tina.bowers.813@gslingacademy.com"/>
    <x v="1"/>
    <x v="0"/>
    <x v="2"/>
    <x v="0"/>
    <n v="10"/>
    <x v="9"/>
    <n v="95"/>
    <n v="88"/>
    <n v="62"/>
    <n v="85"/>
    <n v="82"/>
    <n v="94"/>
    <n v="73"/>
    <n v="579"/>
    <n v="82.714285714285708"/>
    <x v="4"/>
    <x v="1"/>
    <x v="0"/>
  </r>
  <r>
    <n v="814"/>
    <s v="Luis"/>
    <s v="Jones"/>
    <s v="luis.jones.814@gslingacademy.com"/>
    <x v="0"/>
    <x v="1"/>
    <x v="4"/>
    <x v="0"/>
    <n v="3"/>
    <x v="7"/>
    <n v="55"/>
    <n v="69"/>
    <n v="53"/>
    <n v="75"/>
    <n v="86"/>
    <n v="95"/>
    <n v="61"/>
    <n v="494"/>
    <n v="70.571428571428569"/>
    <x v="3"/>
    <x v="2"/>
    <x v="0"/>
  </r>
  <r>
    <n v="815"/>
    <s v="Jeffrey"/>
    <s v="Thomas"/>
    <s v="jeffrey.thomas.815@gslingacademy.com"/>
    <x v="0"/>
    <x v="0"/>
    <x v="0"/>
    <x v="0"/>
    <n v="5"/>
    <x v="16"/>
    <n v="50"/>
    <n v="62"/>
    <n v="97"/>
    <n v="90"/>
    <n v="93"/>
    <n v="75"/>
    <n v="80"/>
    <n v="547"/>
    <n v="78.142857142857139"/>
    <x v="3"/>
    <x v="0"/>
    <x v="0"/>
  </r>
  <r>
    <n v="816"/>
    <s v="Jeffrey"/>
    <s v="Cox"/>
    <s v="jeffrey.cox.816@gslingacademy.com"/>
    <x v="0"/>
    <x v="0"/>
    <x v="3"/>
    <x v="0"/>
    <n v="34"/>
    <x v="5"/>
    <n v="98"/>
    <n v="84"/>
    <n v="90"/>
    <n v="83"/>
    <n v="84"/>
    <n v="61"/>
    <n v="99"/>
    <n v="599"/>
    <n v="85.571428571428569"/>
    <x v="1"/>
    <x v="2"/>
    <x v="0"/>
  </r>
  <r>
    <n v="817"/>
    <s v="Jennifer"/>
    <s v="Bautista"/>
    <s v="jennifer.bautista.817@gslingacademy.com"/>
    <x v="1"/>
    <x v="0"/>
    <x v="6"/>
    <x v="0"/>
    <n v="15"/>
    <x v="11"/>
    <n v="88"/>
    <n v="67"/>
    <n v="71"/>
    <n v="85"/>
    <n v="68"/>
    <n v="88"/>
    <n v="67"/>
    <n v="534"/>
    <n v="76.285714285714292"/>
    <x v="2"/>
    <x v="1"/>
    <x v="0"/>
  </r>
  <r>
    <n v="818"/>
    <s v="Judy"/>
    <s v="Pugh"/>
    <s v="judy.pugh.818@gslingacademy.com"/>
    <x v="1"/>
    <x v="0"/>
    <x v="5"/>
    <x v="0"/>
    <n v="20"/>
    <x v="5"/>
    <n v="87"/>
    <n v="99"/>
    <n v="92"/>
    <n v="85"/>
    <n v="62"/>
    <n v="69"/>
    <n v="67"/>
    <n v="561"/>
    <n v="80.142857142857139"/>
    <x v="2"/>
    <x v="0"/>
    <x v="0"/>
  </r>
  <r>
    <n v="819"/>
    <s v="Henry"/>
    <s v="Craig"/>
    <s v="henry.craig.819@gslingacademy.com"/>
    <x v="0"/>
    <x v="0"/>
    <x v="5"/>
    <x v="0"/>
    <n v="3"/>
    <x v="2"/>
    <n v="73"/>
    <n v="74"/>
    <n v="94"/>
    <n v="76"/>
    <n v="97"/>
    <n v="86"/>
    <n v="85"/>
    <n v="585"/>
    <n v="83.571428571428569"/>
    <x v="3"/>
    <x v="0"/>
    <x v="0"/>
  </r>
  <r>
    <n v="820"/>
    <s v="Steven"/>
    <s v="Alvarez"/>
    <s v="steven.alvarez.820@gslingacademy.com"/>
    <x v="0"/>
    <x v="1"/>
    <x v="1"/>
    <x v="1"/>
    <n v="2"/>
    <x v="7"/>
    <n v="46"/>
    <n v="71"/>
    <n v="60"/>
    <n v="50"/>
    <n v="85"/>
    <n v="69"/>
    <n v="62"/>
    <n v="443"/>
    <n v="63.285714285714285"/>
    <x v="3"/>
    <x v="0"/>
    <x v="0"/>
  </r>
  <r>
    <n v="821"/>
    <s v="Rebecca"/>
    <s v="Mckay"/>
    <s v="rebecca.mckay.821@gslingacademy.com"/>
    <x v="1"/>
    <x v="0"/>
    <x v="5"/>
    <x v="0"/>
    <n v="27"/>
    <x v="9"/>
    <n v="88"/>
    <n v="82"/>
    <n v="90"/>
    <n v="94"/>
    <n v="99"/>
    <n v="78"/>
    <n v="65"/>
    <n v="596"/>
    <n v="85.142857142857139"/>
    <x v="0"/>
    <x v="0"/>
    <x v="0"/>
  </r>
  <r>
    <n v="822"/>
    <s v="James"/>
    <s v="Reynolds"/>
    <s v="james.reynolds.822@gslingacademy.com"/>
    <x v="0"/>
    <x v="1"/>
    <x v="10"/>
    <x v="0"/>
    <n v="29"/>
    <x v="5"/>
    <n v="95"/>
    <n v="62"/>
    <n v="68"/>
    <n v="64"/>
    <n v="71"/>
    <n v="87"/>
    <n v="60"/>
    <n v="507"/>
    <n v="72.428571428571431"/>
    <x v="0"/>
    <x v="3"/>
    <x v="0"/>
  </r>
  <r>
    <n v="823"/>
    <s v="Heather"/>
    <s v="Bentley"/>
    <s v="heather.bentley.823@gslingacademy.com"/>
    <x v="1"/>
    <x v="0"/>
    <x v="5"/>
    <x v="1"/>
    <n v="2"/>
    <x v="3"/>
    <n v="73"/>
    <n v="71"/>
    <n v="60"/>
    <n v="70"/>
    <n v="78"/>
    <n v="72"/>
    <n v="78"/>
    <n v="502"/>
    <n v="71.714285714285708"/>
    <x v="3"/>
    <x v="0"/>
    <x v="0"/>
  </r>
  <r>
    <n v="824"/>
    <s v="Alexis"/>
    <s v="Hall"/>
    <s v="alexis.hall.824@gslingacademy.com"/>
    <x v="1"/>
    <x v="0"/>
    <x v="3"/>
    <x v="0"/>
    <n v="9"/>
    <x v="12"/>
    <n v="70"/>
    <n v="88"/>
    <n v="100"/>
    <n v="91"/>
    <n v="98"/>
    <n v="68"/>
    <n v="81"/>
    <n v="596"/>
    <n v="85.142857142857139"/>
    <x v="4"/>
    <x v="2"/>
    <x v="0"/>
  </r>
  <r>
    <n v="825"/>
    <s v="Ryan"/>
    <s v="Soto"/>
    <s v="ryan.soto.825@gslingacademy.com"/>
    <x v="0"/>
    <x v="0"/>
    <x v="6"/>
    <x v="0"/>
    <n v="14"/>
    <x v="13"/>
    <n v="84"/>
    <n v="100"/>
    <n v="99"/>
    <n v="94"/>
    <n v="84"/>
    <n v="86"/>
    <n v="63"/>
    <n v="610"/>
    <n v="87.142857142857139"/>
    <x v="2"/>
    <x v="1"/>
    <x v="1"/>
  </r>
  <r>
    <n v="826"/>
    <s v="Brent"/>
    <s v="Clements"/>
    <s v="brent.clements.826@gslingacademy.com"/>
    <x v="0"/>
    <x v="0"/>
    <x v="8"/>
    <x v="0"/>
    <n v="25"/>
    <x v="1"/>
    <n v="88"/>
    <n v="60"/>
    <n v="87"/>
    <n v="90"/>
    <n v="87"/>
    <n v="86"/>
    <n v="62"/>
    <n v="560"/>
    <n v="80"/>
    <x v="0"/>
    <x v="1"/>
    <x v="0"/>
  </r>
  <r>
    <n v="827"/>
    <s v="Thomas"/>
    <s v="Hernandez"/>
    <s v="thomas.hernandez.827@gslingacademy.com"/>
    <x v="0"/>
    <x v="0"/>
    <x v="5"/>
    <x v="1"/>
    <n v="9"/>
    <x v="4"/>
    <n v="66"/>
    <n v="65"/>
    <n v="82"/>
    <n v="96"/>
    <n v="87"/>
    <n v="87"/>
    <n v="63"/>
    <n v="546"/>
    <n v="78"/>
    <x v="4"/>
    <x v="0"/>
    <x v="0"/>
  </r>
  <r>
    <n v="828"/>
    <s v="Kevin"/>
    <s v="Mack"/>
    <s v="kevin.mack.828@gslingacademy.com"/>
    <x v="0"/>
    <x v="1"/>
    <x v="2"/>
    <x v="0"/>
    <n v="2"/>
    <x v="7"/>
    <n v="46"/>
    <n v="54"/>
    <n v="93"/>
    <n v="57"/>
    <n v="99"/>
    <n v="59"/>
    <n v="73"/>
    <n v="481"/>
    <n v="68.714285714285708"/>
    <x v="3"/>
    <x v="1"/>
    <x v="0"/>
  </r>
  <r>
    <n v="829"/>
    <s v="Patrick"/>
    <s v="Kirk"/>
    <s v="patrick.kirk.829@gslingacademy.com"/>
    <x v="0"/>
    <x v="0"/>
    <x v="3"/>
    <x v="0"/>
    <n v="31"/>
    <x v="0"/>
    <n v="71"/>
    <n v="92"/>
    <n v="60"/>
    <n v="73"/>
    <n v="74"/>
    <n v="86"/>
    <n v="94"/>
    <n v="550"/>
    <n v="78.571428571428569"/>
    <x v="1"/>
    <x v="2"/>
    <x v="0"/>
  </r>
  <r>
    <n v="830"/>
    <s v="Christopher"/>
    <s v="Jenkins"/>
    <s v="christopher.jenkins.830@gslingacademy.com"/>
    <x v="0"/>
    <x v="0"/>
    <x v="3"/>
    <x v="0"/>
    <n v="3"/>
    <x v="12"/>
    <n v="76"/>
    <n v="77"/>
    <n v="99"/>
    <n v="87"/>
    <n v="95"/>
    <n v="94"/>
    <n v="85"/>
    <n v="613"/>
    <n v="87.571428571428569"/>
    <x v="3"/>
    <x v="2"/>
    <x v="1"/>
  </r>
  <r>
    <n v="831"/>
    <s v="Cassandra"/>
    <s v="Hodges"/>
    <s v="cassandra.hodges.831@gslingacademy.com"/>
    <x v="1"/>
    <x v="0"/>
    <x v="3"/>
    <x v="0"/>
    <n v="12"/>
    <x v="12"/>
    <n v="78"/>
    <n v="95"/>
    <n v="66"/>
    <n v="70"/>
    <n v="75"/>
    <n v="99"/>
    <n v="84"/>
    <n v="567"/>
    <n v="81"/>
    <x v="2"/>
    <x v="2"/>
    <x v="0"/>
  </r>
  <r>
    <n v="832"/>
    <s v="Christian"/>
    <s v="Powers"/>
    <s v="christian.powers.832@gslingacademy.com"/>
    <x v="0"/>
    <x v="0"/>
    <x v="3"/>
    <x v="0"/>
    <n v="5"/>
    <x v="7"/>
    <n v="100"/>
    <n v="54"/>
    <n v="70"/>
    <n v="58"/>
    <n v="50"/>
    <n v="95"/>
    <n v="92"/>
    <n v="519"/>
    <n v="74.142857142857139"/>
    <x v="3"/>
    <x v="2"/>
    <x v="0"/>
  </r>
  <r>
    <n v="833"/>
    <s v="Brittany"/>
    <s v="Collier"/>
    <s v="brittany.collier.833@gslingacademy.com"/>
    <x v="1"/>
    <x v="0"/>
    <x v="7"/>
    <x v="0"/>
    <n v="11"/>
    <x v="2"/>
    <n v="73"/>
    <n v="97"/>
    <n v="87"/>
    <n v="93"/>
    <n v="78"/>
    <n v="99"/>
    <n v="86"/>
    <n v="613"/>
    <n v="87.571428571428569"/>
    <x v="2"/>
    <x v="1"/>
    <x v="1"/>
  </r>
  <r>
    <n v="834"/>
    <s v="James"/>
    <s v="Bridges"/>
    <s v="james.bridges.834@gslingacademy.com"/>
    <x v="0"/>
    <x v="0"/>
    <x v="1"/>
    <x v="0"/>
    <n v="4"/>
    <x v="14"/>
    <n v="96"/>
    <n v="63"/>
    <n v="85"/>
    <n v="77"/>
    <n v="82"/>
    <n v="65"/>
    <n v="88"/>
    <n v="556"/>
    <n v="79.428571428571431"/>
    <x v="3"/>
    <x v="0"/>
    <x v="0"/>
  </r>
  <r>
    <n v="835"/>
    <s v="Alexander"/>
    <s v="Fowler"/>
    <s v="alexander.fowler.835@gslingacademy.com"/>
    <x v="0"/>
    <x v="0"/>
    <x v="1"/>
    <x v="0"/>
    <n v="25"/>
    <x v="4"/>
    <n v="82"/>
    <n v="84"/>
    <n v="93"/>
    <n v="70"/>
    <n v="99"/>
    <n v="66"/>
    <n v="80"/>
    <n v="574"/>
    <n v="82"/>
    <x v="0"/>
    <x v="0"/>
    <x v="0"/>
  </r>
  <r>
    <n v="836"/>
    <s v="Andrew"/>
    <s v="Wong"/>
    <s v="andrew.wong.836@gslingacademy.com"/>
    <x v="0"/>
    <x v="0"/>
    <x v="5"/>
    <x v="0"/>
    <n v="33"/>
    <x v="4"/>
    <n v="81"/>
    <n v="91"/>
    <n v="71"/>
    <n v="79"/>
    <n v="98"/>
    <n v="69"/>
    <n v="75"/>
    <n v="564"/>
    <n v="80.571428571428569"/>
    <x v="1"/>
    <x v="0"/>
    <x v="0"/>
  </r>
  <r>
    <n v="837"/>
    <s v="Bobby"/>
    <s v="Valdez"/>
    <s v="bobby.valdez.837@gslingacademy.com"/>
    <x v="0"/>
    <x v="1"/>
    <x v="5"/>
    <x v="0"/>
    <n v="24"/>
    <x v="4"/>
    <n v="97"/>
    <n v="80"/>
    <n v="67"/>
    <n v="71"/>
    <n v="75"/>
    <n v="96"/>
    <n v="100"/>
    <n v="586"/>
    <n v="83.714285714285708"/>
    <x v="0"/>
    <x v="0"/>
    <x v="0"/>
  </r>
  <r>
    <n v="838"/>
    <s v="Mary"/>
    <s v="Bird"/>
    <s v="mary.bird.838@gslingacademy.com"/>
    <x v="1"/>
    <x v="0"/>
    <x v="0"/>
    <x v="0"/>
    <n v="0"/>
    <x v="3"/>
    <n v="92"/>
    <n v="65"/>
    <n v="95"/>
    <n v="60"/>
    <n v="93"/>
    <n v="69"/>
    <n v="82"/>
    <n v="556"/>
    <n v="79.428571428571431"/>
    <x v="3"/>
    <x v="0"/>
    <x v="0"/>
  </r>
  <r>
    <n v="839"/>
    <s v="Andrew"/>
    <s v="Rodriguez"/>
    <s v="andrew.rodriguez.839@gslingacademy.com"/>
    <x v="0"/>
    <x v="1"/>
    <x v="4"/>
    <x v="0"/>
    <n v="0"/>
    <x v="7"/>
    <n v="81"/>
    <n v="77"/>
    <n v="92"/>
    <n v="97"/>
    <n v="62"/>
    <n v="65"/>
    <n v="92"/>
    <n v="566"/>
    <n v="80.857142857142861"/>
    <x v="3"/>
    <x v="2"/>
    <x v="0"/>
  </r>
  <r>
    <n v="840"/>
    <s v="Melanie"/>
    <s v="Carter"/>
    <s v="melanie.carter.840@gslingacademy.com"/>
    <x v="1"/>
    <x v="0"/>
    <x v="1"/>
    <x v="0"/>
    <n v="3"/>
    <x v="2"/>
    <n v="99"/>
    <n v="69"/>
    <n v="71"/>
    <n v="84"/>
    <n v="96"/>
    <n v="84"/>
    <n v="69"/>
    <n v="572"/>
    <n v="81.714285714285708"/>
    <x v="3"/>
    <x v="0"/>
    <x v="0"/>
  </r>
  <r>
    <n v="841"/>
    <s v="Randy"/>
    <s v="Lopez"/>
    <s v="randy.lopez.841@gslingacademy.com"/>
    <x v="0"/>
    <x v="0"/>
    <x v="1"/>
    <x v="0"/>
    <n v="26"/>
    <x v="0"/>
    <n v="97"/>
    <n v="100"/>
    <n v="87"/>
    <n v="90"/>
    <n v="96"/>
    <n v="86"/>
    <n v="93"/>
    <n v="649"/>
    <n v="92.714285714285708"/>
    <x v="0"/>
    <x v="0"/>
    <x v="1"/>
  </r>
  <r>
    <n v="842"/>
    <s v="David"/>
    <s v="Cole"/>
    <s v="david.cole.842@gslingacademy.com"/>
    <x v="0"/>
    <x v="0"/>
    <x v="6"/>
    <x v="0"/>
    <n v="31"/>
    <x v="13"/>
    <n v="80"/>
    <n v="87"/>
    <n v="94"/>
    <n v="68"/>
    <n v="89"/>
    <n v="82"/>
    <n v="76"/>
    <n v="576"/>
    <n v="82.285714285714292"/>
    <x v="1"/>
    <x v="1"/>
    <x v="0"/>
  </r>
  <r>
    <n v="843"/>
    <s v="Jennifer"/>
    <s v="Baxter"/>
    <s v="jennifer.baxter.843@gslingacademy.com"/>
    <x v="1"/>
    <x v="0"/>
    <x v="9"/>
    <x v="0"/>
    <n v="20"/>
    <x v="5"/>
    <n v="88"/>
    <n v="62"/>
    <n v="91"/>
    <n v="83"/>
    <n v="97"/>
    <n v="83"/>
    <n v="63"/>
    <n v="567"/>
    <n v="81"/>
    <x v="2"/>
    <x v="2"/>
    <x v="0"/>
  </r>
  <r>
    <n v="844"/>
    <s v="Shannon"/>
    <s v="Graham"/>
    <s v="shannon.graham.844@gslingacademy.com"/>
    <x v="1"/>
    <x v="0"/>
    <x v="5"/>
    <x v="0"/>
    <n v="9"/>
    <x v="4"/>
    <n v="95"/>
    <n v="72"/>
    <n v="99"/>
    <n v="67"/>
    <n v="83"/>
    <n v="78"/>
    <n v="65"/>
    <n v="559"/>
    <n v="79.857142857142861"/>
    <x v="4"/>
    <x v="0"/>
    <x v="0"/>
  </r>
  <r>
    <n v="845"/>
    <s v="Stephanie"/>
    <s v="Bush"/>
    <s v="stephanie.bush.845@gslingacademy.com"/>
    <x v="1"/>
    <x v="0"/>
    <x v="7"/>
    <x v="1"/>
    <n v="15"/>
    <x v="5"/>
    <n v="90"/>
    <n v="81"/>
    <n v="69"/>
    <n v="70"/>
    <n v="95"/>
    <n v="97"/>
    <n v="62"/>
    <n v="564"/>
    <n v="80.571428571428569"/>
    <x v="2"/>
    <x v="1"/>
    <x v="0"/>
  </r>
  <r>
    <n v="846"/>
    <s v="Keith"/>
    <s v="Tanner"/>
    <s v="keith.tanner.846@gslingacademy.com"/>
    <x v="0"/>
    <x v="0"/>
    <x v="7"/>
    <x v="0"/>
    <n v="1"/>
    <x v="7"/>
    <n v="77"/>
    <n v="89"/>
    <n v="50"/>
    <n v="82"/>
    <n v="71"/>
    <n v="78"/>
    <n v="70"/>
    <n v="517"/>
    <n v="73.857142857142861"/>
    <x v="3"/>
    <x v="1"/>
    <x v="0"/>
  </r>
  <r>
    <n v="847"/>
    <s v="Robert"/>
    <s v="Anderson"/>
    <s v="robert.anderson.847@gslingacademy.com"/>
    <x v="0"/>
    <x v="1"/>
    <x v="5"/>
    <x v="1"/>
    <n v="4"/>
    <x v="7"/>
    <n v="82"/>
    <n v="69"/>
    <n v="91"/>
    <n v="95"/>
    <n v="82"/>
    <n v="85"/>
    <n v="60"/>
    <n v="564"/>
    <n v="80.571428571428569"/>
    <x v="3"/>
    <x v="0"/>
    <x v="0"/>
  </r>
  <r>
    <n v="848"/>
    <s v="Matthew"/>
    <s v="Cantu"/>
    <s v="matthew.cantu.848@gslingacademy.com"/>
    <x v="0"/>
    <x v="0"/>
    <x v="0"/>
    <x v="1"/>
    <n v="2"/>
    <x v="16"/>
    <n v="90"/>
    <n v="74"/>
    <n v="88"/>
    <n v="97"/>
    <n v="88"/>
    <n v="73"/>
    <n v="66"/>
    <n v="576"/>
    <n v="82.285714285714292"/>
    <x v="3"/>
    <x v="0"/>
    <x v="0"/>
  </r>
  <r>
    <n v="849"/>
    <s v="Heather"/>
    <s v="Johnson"/>
    <s v="heather.johnson.849@gslingacademy.com"/>
    <x v="1"/>
    <x v="0"/>
    <x v="3"/>
    <x v="0"/>
    <n v="32"/>
    <x v="5"/>
    <n v="94"/>
    <n v="90"/>
    <n v="81"/>
    <n v="82"/>
    <n v="100"/>
    <n v="82"/>
    <n v="98"/>
    <n v="627"/>
    <n v="89.571428571428569"/>
    <x v="1"/>
    <x v="2"/>
    <x v="1"/>
  </r>
  <r>
    <n v="850"/>
    <s v="Lee"/>
    <s v="Taylor"/>
    <s v="lee.taylor.850@gslingacademy.com"/>
    <x v="0"/>
    <x v="1"/>
    <x v="6"/>
    <x v="0"/>
    <n v="2"/>
    <x v="7"/>
    <n v="87"/>
    <n v="84"/>
    <n v="76"/>
    <n v="87"/>
    <n v="65"/>
    <n v="80"/>
    <n v="72"/>
    <n v="551"/>
    <n v="78.714285714285708"/>
    <x v="3"/>
    <x v="1"/>
    <x v="0"/>
  </r>
  <r>
    <n v="851"/>
    <s v="Jessica"/>
    <s v="Williams"/>
    <s v="jessica.williams.851@gslingacademy.com"/>
    <x v="1"/>
    <x v="1"/>
    <x v="5"/>
    <x v="0"/>
    <n v="2"/>
    <x v="14"/>
    <n v="86"/>
    <n v="66"/>
    <n v="88"/>
    <n v="98"/>
    <n v="68"/>
    <n v="79"/>
    <n v="77"/>
    <n v="562"/>
    <n v="80.285714285714292"/>
    <x v="3"/>
    <x v="0"/>
    <x v="0"/>
  </r>
  <r>
    <n v="852"/>
    <s v="Holly"/>
    <s v="Sanchez"/>
    <s v="holly.sanchez.852@gslingacademy.com"/>
    <x v="1"/>
    <x v="0"/>
    <x v="4"/>
    <x v="0"/>
    <n v="19"/>
    <x v="9"/>
    <n v="84"/>
    <n v="85"/>
    <n v="83"/>
    <n v="69"/>
    <n v="82"/>
    <n v="91"/>
    <n v="69"/>
    <n v="563"/>
    <n v="80.428571428571431"/>
    <x v="2"/>
    <x v="2"/>
    <x v="0"/>
  </r>
  <r>
    <n v="853"/>
    <s v="James"/>
    <s v="Ray"/>
    <s v="james.ray.853@gslingacademy.com"/>
    <x v="0"/>
    <x v="0"/>
    <x v="9"/>
    <x v="0"/>
    <n v="12"/>
    <x v="11"/>
    <n v="86"/>
    <n v="63"/>
    <n v="85"/>
    <n v="64"/>
    <n v="98"/>
    <n v="97"/>
    <n v="86"/>
    <n v="579"/>
    <n v="82.714285714285708"/>
    <x v="2"/>
    <x v="2"/>
    <x v="0"/>
  </r>
  <r>
    <n v="854"/>
    <s v="William"/>
    <s v="Hernandez"/>
    <s v="william.hernandez.854@gslingacademy.com"/>
    <x v="0"/>
    <x v="0"/>
    <x v="7"/>
    <x v="0"/>
    <n v="5"/>
    <x v="7"/>
    <n v="70"/>
    <n v="66"/>
    <n v="98"/>
    <n v="96"/>
    <n v="64"/>
    <n v="65"/>
    <n v="91"/>
    <n v="550"/>
    <n v="78.571428571428569"/>
    <x v="3"/>
    <x v="1"/>
    <x v="0"/>
  </r>
  <r>
    <n v="855"/>
    <s v="Lisa"/>
    <s v="Brown"/>
    <s v="lisa.brown.855@gslingacademy.com"/>
    <x v="1"/>
    <x v="0"/>
    <x v="9"/>
    <x v="0"/>
    <n v="22"/>
    <x v="11"/>
    <n v="87"/>
    <n v="94"/>
    <n v="72"/>
    <n v="93"/>
    <n v="44"/>
    <n v="92"/>
    <n v="83"/>
    <n v="565"/>
    <n v="80.714285714285708"/>
    <x v="0"/>
    <x v="2"/>
    <x v="0"/>
  </r>
  <r>
    <n v="856"/>
    <s v="Kevin"/>
    <s v="York"/>
    <s v="kevin.york.856@gslingacademy.com"/>
    <x v="0"/>
    <x v="1"/>
    <x v="6"/>
    <x v="0"/>
    <n v="1"/>
    <x v="7"/>
    <n v="47"/>
    <n v="78"/>
    <n v="75"/>
    <n v="62"/>
    <n v="61"/>
    <n v="55"/>
    <n v="93"/>
    <n v="471"/>
    <n v="67.285714285714292"/>
    <x v="3"/>
    <x v="1"/>
    <x v="0"/>
  </r>
  <r>
    <n v="857"/>
    <s v="Benjamin"/>
    <s v="Davis"/>
    <s v="benjamin.davis.857@gslingacademy.com"/>
    <x v="0"/>
    <x v="0"/>
    <x v="10"/>
    <x v="0"/>
    <n v="21"/>
    <x v="5"/>
    <n v="96"/>
    <n v="63"/>
    <n v="77"/>
    <n v="93"/>
    <n v="61"/>
    <n v="86"/>
    <n v="83"/>
    <n v="559"/>
    <n v="79.857142857142861"/>
    <x v="0"/>
    <x v="3"/>
    <x v="0"/>
  </r>
  <r>
    <n v="858"/>
    <s v="Sarah"/>
    <s v="Nielsen"/>
    <s v="sarah.nielsen.858@gslingacademy.com"/>
    <x v="1"/>
    <x v="1"/>
    <x v="9"/>
    <x v="0"/>
    <n v="5"/>
    <x v="7"/>
    <n v="54"/>
    <n v="93"/>
    <n v="96"/>
    <n v="59"/>
    <n v="84"/>
    <n v="79"/>
    <n v="93"/>
    <n v="558"/>
    <n v="79.714285714285708"/>
    <x v="3"/>
    <x v="2"/>
    <x v="0"/>
  </r>
  <r>
    <n v="859"/>
    <s v="Elizabeth"/>
    <s v="Parks"/>
    <s v="elizabeth.parks.859@gslingacademy.com"/>
    <x v="1"/>
    <x v="0"/>
    <x v="0"/>
    <x v="1"/>
    <n v="5"/>
    <x v="16"/>
    <n v="59"/>
    <n v="100"/>
    <n v="64"/>
    <n v="68"/>
    <n v="86"/>
    <n v="89"/>
    <n v="91"/>
    <n v="557"/>
    <n v="79.571428571428569"/>
    <x v="3"/>
    <x v="0"/>
    <x v="0"/>
  </r>
  <r>
    <n v="860"/>
    <s v="Deborah"/>
    <s v="Moore"/>
    <s v="deborah.moore.860@gslingacademy.com"/>
    <x v="1"/>
    <x v="0"/>
    <x v="1"/>
    <x v="0"/>
    <n v="8"/>
    <x v="4"/>
    <n v="92"/>
    <n v="99"/>
    <n v="93"/>
    <n v="82"/>
    <n v="97"/>
    <n v="70"/>
    <n v="79"/>
    <n v="612"/>
    <n v="87.428571428571431"/>
    <x v="4"/>
    <x v="0"/>
    <x v="1"/>
  </r>
  <r>
    <n v="861"/>
    <s v="Michael"/>
    <s v="Anderson"/>
    <s v="michael.anderson.861@gslingacademy.com"/>
    <x v="0"/>
    <x v="0"/>
    <x v="9"/>
    <x v="0"/>
    <n v="25"/>
    <x v="5"/>
    <n v="100"/>
    <n v="62"/>
    <n v="78"/>
    <n v="74"/>
    <n v="72"/>
    <n v="73"/>
    <n v="78"/>
    <n v="537"/>
    <n v="76.714285714285708"/>
    <x v="0"/>
    <x v="2"/>
    <x v="0"/>
  </r>
  <r>
    <n v="862"/>
    <s v="Brian"/>
    <s v="Adams"/>
    <s v="brian.adams.862@gslingacademy.com"/>
    <x v="0"/>
    <x v="0"/>
    <x v="3"/>
    <x v="0"/>
    <n v="34"/>
    <x v="8"/>
    <n v="92"/>
    <n v="81"/>
    <n v="84"/>
    <n v="84"/>
    <n v="84"/>
    <n v="66"/>
    <n v="74"/>
    <n v="565"/>
    <n v="80.714285714285708"/>
    <x v="1"/>
    <x v="2"/>
    <x v="0"/>
  </r>
  <r>
    <n v="863"/>
    <s v="Anthony"/>
    <s v="Silva"/>
    <s v="anthony.silva.863@gslingacademy.com"/>
    <x v="0"/>
    <x v="0"/>
    <x v="0"/>
    <x v="0"/>
    <n v="0"/>
    <x v="16"/>
    <n v="75"/>
    <n v="66"/>
    <n v="91"/>
    <n v="73"/>
    <n v="100"/>
    <n v="94"/>
    <n v="67"/>
    <n v="566"/>
    <n v="80.857142857142861"/>
    <x v="3"/>
    <x v="0"/>
    <x v="0"/>
  </r>
  <r>
    <n v="864"/>
    <s v="Melinda"/>
    <s v="Velazquez"/>
    <s v="melinda.velazquez.864@gslingacademy.com"/>
    <x v="1"/>
    <x v="0"/>
    <x v="10"/>
    <x v="0"/>
    <n v="34"/>
    <x v="5"/>
    <n v="93"/>
    <n v="74"/>
    <n v="63"/>
    <n v="97"/>
    <n v="64"/>
    <n v="61"/>
    <n v="92"/>
    <n v="544"/>
    <n v="77.714285714285708"/>
    <x v="1"/>
    <x v="3"/>
    <x v="0"/>
  </r>
  <r>
    <n v="865"/>
    <s v="Andre"/>
    <s v="Hoffman"/>
    <s v="andre.hoffman.865@gslingacademy.com"/>
    <x v="0"/>
    <x v="0"/>
    <x v="1"/>
    <x v="0"/>
    <n v="31"/>
    <x v="0"/>
    <n v="100"/>
    <n v="96"/>
    <n v="67"/>
    <n v="63"/>
    <n v="91"/>
    <n v="96"/>
    <n v="84"/>
    <n v="597"/>
    <n v="85.285714285714292"/>
    <x v="1"/>
    <x v="0"/>
    <x v="0"/>
  </r>
  <r>
    <n v="866"/>
    <s v="Vanessa"/>
    <s v="Coleman"/>
    <s v="vanessa.coleman.866@gslingacademy.com"/>
    <x v="1"/>
    <x v="1"/>
    <x v="6"/>
    <x v="0"/>
    <n v="1"/>
    <x v="7"/>
    <n v="80"/>
    <n v="84"/>
    <n v="67"/>
    <n v="96"/>
    <n v="88"/>
    <n v="94"/>
    <n v="86"/>
    <n v="595"/>
    <n v="85"/>
    <x v="3"/>
    <x v="1"/>
    <x v="0"/>
  </r>
  <r>
    <n v="867"/>
    <s v="Stephanie"/>
    <s v="Hernandez"/>
    <s v="stephanie.hernandez.867@gslingacademy.com"/>
    <x v="1"/>
    <x v="0"/>
    <x v="5"/>
    <x v="1"/>
    <n v="28"/>
    <x v="0"/>
    <n v="100"/>
    <n v="92"/>
    <n v="66"/>
    <n v="96"/>
    <n v="76"/>
    <n v="88"/>
    <n v="77"/>
    <n v="595"/>
    <n v="85"/>
    <x v="0"/>
    <x v="0"/>
    <x v="0"/>
  </r>
  <r>
    <n v="868"/>
    <s v="Timothy"/>
    <s v="David"/>
    <s v="timothy.david.868@gslingacademy.com"/>
    <x v="0"/>
    <x v="1"/>
    <x v="9"/>
    <x v="0"/>
    <n v="5"/>
    <x v="7"/>
    <n v="52"/>
    <n v="65"/>
    <n v="74"/>
    <n v="71"/>
    <n v="63"/>
    <n v="59"/>
    <n v="67"/>
    <n v="451"/>
    <n v="64.428571428571431"/>
    <x v="3"/>
    <x v="2"/>
    <x v="0"/>
  </r>
  <r>
    <n v="869"/>
    <s v="Carol"/>
    <s v="Cortez"/>
    <s v="carol.cortez.869@gslingacademy.com"/>
    <x v="1"/>
    <x v="0"/>
    <x v="5"/>
    <x v="0"/>
    <n v="26"/>
    <x v="5"/>
    <n v="95"/>
    <n v="69"/>
    <n v="91"/>
    <n v="67"/>
    <n v="67"/>
    <n v="70"/>
    <n v="71"/>
    <n v="530"/>
    <n v="75.714285714285708"/>
    <x v="0"/>
    <x v="0"/>
    <x v="0"/>
  </r>
  <r>
    <n v="870"/>
    <s v="Justin"/>
    <s v="Kelly"/>
    <s v="justin.kelly.870@gslingacademy.com"/>
    <x v="0"/>
    <x v="0"/>
    <x v="5"/>
    <x v="0"/>
    <n v="21"/>
    <x v="4"/>
    <n v="100"/>
    <n v="67"/>
    <n v="100"/>
    <n v="65"/>
    <n v="67"/>
    <n v="92"/>
    <n v="67"/>
    <n v="558"/>
    <n v="79.714285714285708"/>
    <x v="0"/>
    <x v="0"/>
    <x v="0"/>
  </r>
  <r>
    <n v="871"/>
    <s v="George"/>
    <s v="King"/>
    <s v="george.king.871@gslingacademy.com"/>
    <x v="0"/>
    <x v="0"/>
    <x v="9"/>
    <x v="0"/>
    <n v="22"/>
    <x v="5"/>
    <n v="96"/>
    <n v="73"/>
    <n v="90"/>
    <n v="84"/>
    <n v="64"/>
    <n v="75"/>
    <n v="62"/>
    <n v="544"/>
    <n v="77.714285714285708"/>
    <x v="0"/>
    <x v="2"/>
    <x v="0"/>
  </r>
  <r>
    <n v="872"/>
    <s v="Ashley"/>
    <s v="Craig"/>
    <s v="ashley.craig.872@gslingacademy.com"/>
    <x v="1"/>
    <x v="0"/>
    <x v="0"/>
    <x v="0"/>
    <n v="30"/>
    <x v="4"/>
    <n v="60"/>
    <n v="67"/>
    <n v="94"/>
    <n v="74"/>
    <n v="71"/>
    <n v="98"/>
    <n v="74"/>
    <n v="538"/>
    <n v="76.857142857142861"/>
    <x v="0"/>
    <x v="0"/>
    <x v="0"/>
  </r>
  <r>
    <n v="873"/>
    <s v="Patricia"/>
    <s v="Sullivan"/>
    <s v="patricia.sullivan.873@gslingacademy.com"/>
    <x v="1"/>
    <x v="1"/>
    <x v="6"/>
    <x v="0"/>
    <n v="2"/>
    <x v="7"/>
    <n v="51"/>
    <n v="98"/>
    <n v="90"/>
    <n v="54"/>
    <n v="77"/>
    <n v="80"/>
    <n v="71"/>
    <n v="521"/>
    <n v="74.428571428571431"/>
    <x v="3"/>
    <x v="1"/>
    <x v="0"/>
  </r>
  <r>
    <n v="874"/>
    <s v="David"/>
    <s v="Jones"/>
    <s v="david.jones.874@gslingacademy.com"/>
    <x v="0"/>
    <x v="0"/>
    <x v="3"/>
    <x v="0"/>
    <n v="24"/>
    <x v="5"/>
    <n v="85"/>
    <n v="100"/>
    <n v="93"/>
    <n v="64"/>
    <n v="81"/>
    <n v="78"/>
    <n v="64"/>
    <n v="565"/>
    <n v="80.714285714285708"/>
    <x v="0"/>
    <x v="2"/>
    <x v="0"/>
  </r>
  <r>
    <n v="875"/>
    <s v="Cody"/>
    <s v="Smith"/>
    <s v="cody.smith.875@gslingacademy.com"/>
    <x v="0"/>
    <x v="0"/>
    <x v="7"/>
    <x v="0"/>
    <n v="15"/>
    <x v="11"/>
    <n v="76"/>
    <n v="86"/>
    <n v="68"/>
    <n v="83"/>
    <n v="82"/>
    <n v="67"/>
    <n v="69"/>
    <n v="531"/>
    <n v="75.857142857142861"/>
    <x v="2"/>
    <x v="1"/>
    <x v="0"/>
  </r>
  <r>
    <n v="876"/>
    <s v="Joseph"/>
    <s v="Jackson"/>
    <s v="joseph.jackson.876@gslingacademy.com"/>
    <x v="0"/>
    <x v="0"/>
    <x v="5"/>
    <x v="0"/>
    <n v="24"/>
    <x v="5"/>
    <n v="92"/>
    <n v="63"/>
    <n v="87"/>
    <n v="92"/>
    <n v="81"/>
    <n v="78"/>
    <n v="74"/>
    <n v="567"/>
    <n v="81"/>
    <x v="0"/>
    <x v="0"/>
    <x v="0"/>
  </r>
  <r>
    <n v="877"/>
    <s v="Adam"/>
    <s v="Edwards"/>
    <s v="adam.edwards.877@gslingacademy.com"/>
    <x v="0"/>
    <x v="0"/>
    <x v="3"/>
    <x v="0"/>
    <n v="3"/>
    <x v="2"/>
    <n v="90"/>
    <n v="89"/>
    <n v="95"/>
    <n v="73"/>
    <n v="79"/>
    <n v="98"/>
    <n v="68"/>
    <n v="592"/>
    <n v="84.571428571428569"/>
    <x v="3"/>
    <x v="2"/>
    <x v="0"/>
  </r>
  <r>
    <n v="878"/>
    <s v="Brian"/>
    <s v="Morales"/>
    <s v="brian.morales.878@gslingacademy.com"/>
    <x v="0"/>
    <x v="1"/>
    <x v="4"/>
    <x v="1"/>
    <n v="4"/>
    <x v="7"/>
    <n v="73"/>
    <n v="53"/>
    <n v="68"/>
    <n v="60"/>
    <n v="95"/>
    <n v="96"/>
    <n v="99"/>
    <n v="544"/>
    <n v="77.714285714285708"/>
    <x v="3"/>
    <x v="2"/>
    <x v="0"/>
  </r>
  <r>
    <n v="879"/>
    <s v="Melissa"/>
    <s v="Fry"/>
    <s v="melissa.fry.879@gslingacademy.com"/>
    <x v="1"/>
    <x v="0"/>
    <x v="3"/>
    <x v="0"/>
    <n v="42"/>
    <x v="1"/>
    <n v="90"/>
    <n v="89"/>
    <n v="92"/>
    <n v="93"/>
    <n v="97"/>
    <n v="92"/>
    <n v="100"/>
    <n v="653"/>
    <n v="93.285714285714292"/>
    <x v="1"/>
    <x v="2"/>
    <x v="1"/>
  </r>
  <r>
    <n v="880"/>
    <s v="Lori"/>
    <s v="Jacobson"/>
    <s v="lori.jacobson.880@gslingacademy.com"/>
    <x v="1"/>
    <x v="0"/>
    <x v="4"/>
    <x v="0"/>
    <n v="24"/>
    <x v="11"/>
    <n v="87"/>
    <n v="87"/>
    <n v="86"/>
    <n v="91"/>
    <n v="90"/>
    <n v="75"/>
    <n v="79"/>
    <n v="595"/>
    <n v="85"/>
    <x v="0"/>
    <x v="2"/>
    <x v="0"/>
  </r>
  <r>
    <n v="881"/>
    <s v="Jessica"/>
    <s v="Shannon"/>
    <s v="jessica.shannon.881@gslingacademy.com"/>
    <x v="1"/>
    <x v="0"/>
    <x v="5"/>
    <x v="0"/>
    <n v="0"/>
    <x v="16"/>
    <n v="93"/>
    <n v="96"/>
    <n v="70"/>
    <n v="92"/>
    <n v="65"/>
    <n v="90"/>
    <n v="84"/>
    <n v="590"/>
    <n v="84.285714285714292"/>
    <x v="3"/>
    <x v="0"/>
    <x v="0"/>
  </r>
  <r>
    <n v="882"/>
    <s v="Sharon"/>
    <s v="Ramirez"/>
    <s v="sharon.ramirez.882@gslingacademy.com"/>
    <x v="1"/>
    <x v="0"/>
    <x v="0"/>
    <x v="0"/>
    <n v="4"/>
    <x v="16"/>
    <n v="75"/>
    <n v="91"/>
    <n v="68"/>
    <n v="86"/>
    <n v="81"/>
    <n v="72"/>
    <n v="89"/>
    <n v="562"/>
    <n v="80.285714285714292"/>
    <x v="3"/>
    <x v="0"/>
    <x v="0"/>
  </r>
  <r>
    <n v="883"/>
    <s v="Nicole"/>
    <s v="Rice"/>
    <s v="nicole.rice.883@gslingacademy.com"/>
    <x v="1"/>
    <x v="0"/>
    <x v="0"/>
    <x v="0"/>
    <n v="25"/>
    <x v="5"/>
    <n v="96"/>
    <n v="100"/>
    <n v="99"/>
    <n v="82"/>
    <n v="79"/>
    <n v="95"/>
    <n v="89"/>
    <n v="640"/>
    <n v="91.428571428571431"/>
    <x v="0"/>
    <x v="0"/>
    <x v="1"/>
  </r>
  <r>
    <n v="884"/>
    <s v="Alison"/>
    <s v="Webster"/>
    <s v="alison.webster.884@gslingacademy.com"/>
    <x v="1"/>
    <x v="1"/>
    <x v="5"/>
    <x v="1"/>
    <n v="1"/>
    <x v="3"/>
    <n v="63"/>
    <n v="75"/>
    <n v="68"/>
    <n v="63"/>
    <n v="63"/>
    <n v="73"/>
    <n v="79"/>
    <n v="484"/>
    <n v="69.142857142857139"/>
    <x v="3"/>
    <x v="0"/>
    <x v="0"/>
  </r>
  <r>
    <n v="885"/>
    <s v="Alexander"/>
    <s v="Mitchell"/>
    <s v="alexander.mitchell.885@gslingacademy.com"/>
    <x v="0"/>
    <x v="0"/>
    <x v="3"/>
    <x v="0"/>
    <n v="35"/>
    <x v="0"/>
    <n v="85"/>
    <n v="90"/>
    <n v="89"/>
    <n v="98"/>
    <n v="100"/>
    <n v="97"/>
    <n v="95"/>
    <n v="654"/>
    <n v="93.428571428571431"/>
    <x v="1"/>
    <x v="2"/>
    <x v="1"/>
  </r>
  <r>
    <n v="886"/>
    <s v="Bryan"/>
    <s v="Grimes"/>
    <s v="bryan.grimes.886@gslingacademy.com"/>
    <x v="0"/>
    <x v="0"/>
    <x v="6"/>
    <x v="0"/>
    <n v="20"/>
    <x v="5"/>
    <n v="93"/>
    <n v="61"/>
    <n v="65"/>
    <n v="77"/>
    <n v="97"/>
    <n v="90"/>
    <n v="90"/>
    <n v="573"/>
    <n v="81.857142857142861"/>
    <x v="2"/>
    <x v="1"/>
    <x v="0"/>
  </r>
  <r>
    <n v="887"/>
    <s v="Nicole"/>
    <s v="Mcdonald"/>
    <s v="nicole.mcdonald.887@gslingacademy.com"/>
    <x v="1"/>
    <x v="0"/>
    <x v="6"/>
    <x v="0"/>
    <n v="11"/>
    <x v="4"/>
    <n v="60"/>
    <n v="92"/>
    <n v="82"/>
    <n v="65"/>
    <n v="82"/>
    <n v="91"/>
    <n v="67"/>
    <n v="539"/>
    <n v="77"/>
    <x v="2"/>
    <x v="1"/>
    <x v="0"/>
  </r>
  <r>
    <n v="888"/>
    <s v="Christopher"/>
    <s v="Ramirez"/>
    <s v="christopher.ramirez.888@gslingacademy.com"/>
    <x v="0"/>
    <x v="1"/>
    <x v="0"/>
    <x v="0"/>
    <n v="21"/>
    <x v="4"/>
    <n v="95"/>
    <n v="91"/>
    <n v="63"/>
    <n v="83"/>
    <n v="75"/>
    <n v="73"/>
    <n v="74"/>
    <n v="554"/>
    <n v="79.142857142857139"/>
    <x v="0"/>
    <x v="0"/>
    <x v="0"/>
  </r>
  <r>
    <n v="889"/>
    <s v="Lawrence"/>
    <s v="Fields"/>
    <s v="lawrence.fields.889@gslingacademy.com"/>
    <x v="0"/>
    <x v="1"/>
    <x v="2"/>
    <x v="0"/>
    <n v="1"/>
    <x v="7"/>
    <n v="61"/>
    <n v="73"/>
    <n v="76"/>
    <n v="51"/>
    <n v="76"/>
    <n v="50"/>
    <n v="77"/>
    <n v="464"/>
    <n v="66.285714285714292"/>
    <x v="3"/>
    <x v="1"/>
    <x v="0"/>
  </r>
  <r>
    <n v="890"/>
    <s v="Rebecca"/>
    <s v="Molina"/>
    <s v="rebecca.molina.890@gslingacademy.com"/>
    <x v="1"/>
    <x v="0"/>
    <x v="0"/>
    <x v="0"/>
    <n v="15"/>
    <x v="5"/>
    <n v="97"/>
    <n v="81"/>
    <n v="65"/>
    <n v="70"/>
    <n v="62"/>
    <n v="96"/>
    <n v="75"/>
    <n v="546"/>
    <n v="78"/>
    <x v="2"/>
    <x v="0"/>
    <x v="0"/>
  </r>
  <r>
    <n v="891"/>
    <s v="John"/>
    <s v="Castillo"/>
    <s v="john.castillo.891@gslingacademy.com"/>
    <x v="0"/>
    <x v="0"/>
    <x v="5"/>
    <x v="0"/>
    <n v="33"/>
    <x v="5"/>
    <n v="90"/>
    <n v="64"/>
    <n v="91"/>
    <n v="93"/>
    <n v="86"/>
    <n v="91"/>
    <n v="97"/>
    <n v="612"/>
    <n v="87.428571428571431"/>
    <x v="1"/>
    <x v="0"/>
    <x v="1"/>
  </r>
  <r>
    <n v="892"/>
    <s v="Sandra"/>
    <s v="Davis"/>
    <s v="sandra.davis.892@gslingacademy.com"/>
    <x v="1"/>
    <x v="1"/>
    <x v="7"/>
    <x v="0"/>
    <n v="4"/>
    <x v="7"/>
    <n v="90"/>
    <n v="100"/>
    <n v="80"/>
    <n v="66"/>
    <n v="63"/>
    <n v="69"/>
    <n v="66"/>
    <n v="534"/>
    <n v="76.285714285714292"/>
    <x v="3"/>
    <x v="1"/>
    <x v="0"/>
  </r>
  <r>
    <n v="893"/>
    <s v="Andrew"/>
    <s v="Smith"/>
    <s v="andrew.smith.893@gslingacademy.com"/>
    <x v="0"/>
    <x v="0"/>
    <x v="1"/>
    <x v="1"/>
    <n v="24"/>
    <x v="5"/>
    <n v="85"/>
    <n v="74"/>
    <n v="68"/>
    <n v="68"/>
    <n v="75"/>
    <n v="78"/>
    <n v="95"/>
    <n v="543"/>
    <n v="77.571428571428569"/>
    <x v="0"/>
    <x v="0"/>
    <x v="0"/>
  </r>
  <r>
    <n v="894"/>
    <s v="Elizabeth"/>
    <s v="Smith"/>
    <s v="elizabeth.smith.894@gslingacademy.com"/>
    <x v="1"/>
    <x v="0"/>
    <x v="5"/>
    <x v="0"/>
    <n v="13"/>
    <x v="9"/>
    <n v="82"/>
    <n v="87"/>
    <n v="98"/>
    <n v="73"/>
    <n v="74"/>
    <n v="89"/>
    <n v="66"/>
    <n v="569"/>
    <n v="81.285714285714292"/>
    <x v="2"/>
    <x v="0"/>
    <x v="0"/>
  </r>
  <r>
    <n v="895"/>
    <s v="Scott"/>
    <s v="Schultz"/>
    <s v="scott.schultz.895@gslingacademy.com"/>
    <x v="0"/>
    <x v="1"/>
    <x v="4"/>
    <x v="0"/>
    <n v="5"/>
    <x v="7"/>
    <n v="95"/>
    <n v="88"/>
    <n v="66"/>
    <n v="72"/>
    <n v="92"/>
    <n v="52"/>
    <n v="70"/>
    <n v="535"/>
    <n v="76.428571428571431"/>
    <x v="3"/>
    <x v="2"/>
    <x v="0"/>
  </r>
  <r>
    <n v="896"/>
    <s v="Joseph"/>
    <s v="Harper"/>
    <s v="joseph.harper.896@gslingacademy.com"/>
    <x v="0"/>
    <x v="0"/>
    <x v="5"/>
    <x v="1"/>
    <n v="12"/>
    <x v="2"/>
    <n v="95"/>
    <n v="96"/>
    <n v="66"/>
    <n v="68"/>
    <n v="90"/>
    <n v="91"/>
    <n v="99"/>
    <n v="605"/>
    <n v="86.428571428571431"/>
    <x v="2"/>
    <x v="0"/>
    <x v="1"/>
  </r>
  <r>
    <n v="897"/>
    <s v="Ryan"/>
    <s v="Salazar"/>
    <s v="ryan.salazar.897@gslingacademy.com"/>
    <x v="0"/>
    <x v="0"/>
    <x v="9"/>
    <x v="1"/>
    <n v="8"/>
    <x v="16"/>
    <n v="81"/>
    <n v="90"/>
    <n v="71"/>
    <n v="97"/>
    <n v="81"/>
    <n v="86"/>
    <n v="73"/>
    <n v="579"/>
    <n v="82.714285714285708"/>
    <x v="4"/>
    <x v="2"/>
    <x v="0"/>
  </r>
  <r>
    <n v="898"/>
    <s v="Brenda"/>
    <s v="Davis"/>
    <s v="brenda.davis.898@gslingacademy.com"/>
    <x v="1"/>
    <x v="0"/>
    <x v="1"/>
    <x v="0"/>
    <n v="8"/>
    <x v="6"/>
    <n v="62"/>
    <n v="69"/>
    <n v="99"/>
    <n v="95"/>
    <n v="73"/>
    <n v="79"/>
    <n v="83"/>
    <n v="560"/>
    <n v="80"/>
    <x v="4"/>
    <x v="0"/>
    <x v="0"/>
  </r>
  <r>
    <n v="899"/>
    <s v="Chad"/>
    <s v="Taylor"/>
    <s v="chad.taylor.899@gslingacademy.com"/>
    <x v="0"/>
    <x v="0"/>
    <x v="3"/>
    <x v="0"/>
    <n v="8"/>
    <x v="16"/>
    <n v="95"/>
    <n v="92"/>
    <n v="89"/>
    <n v="64"/>
    <n v="77"/>
    <n v="80"/>
    <n v="66"/>
    <n v="563"/>
    <n v="80.428571428571431"/>
    <x v="4"/>
    <x v="2"/>
    <x v="0"/>
  </r>
  <r>
    <n v="900"/>
    <s v="Natasha"/>
    <s v="Edwards"/>
    <s v="natasha.edwards.900@gslingacademy.com"/>
    <x v="1"/>
    <x v="1"/>
    <x v="9"/>
    <x v="1"/>
    <n v="0"/>
    <x v="7"/>
    <n v="64"/>
    <n v="62"/>
    <n v="51"/>
    <n v="85"/>
    <n v="74"/>
    <n v="91"/>
    <n v="93"/>
    <n v="520"/>
    <n v="74.285714285714292"/>
    <x v="3"/>
    <x v="2"/>
    <x v="0"/>
  </r>
  <r>
    <n v="901"/>
    <s v="Pamela"/>
    <s v="Edwards"/>
    <s v="pamela.edwards.901@gslingacademy.com"/>
    <x v="1"/>
    <x v="0"/>
    <x v="3"/>
    <x v="0"/>
    <n v="14"/>
    <x v="12"/>
    <n v="96"/>
    <n v="67"/>
    <n v="88"/>
    <n v="82"/>
    <n v="90"/>
    <n v="74"/>
    <n v="96"/>
    <n v="593"/>
    <n v="84.714285714285708"/>
    <x v="2"/>
    <x v="2"/>
    <x v="0"/>
  </r>
  <r>
    <n v="902"/>
    <s v="Cynthia"/>
    <s v="Richardson"/>
    <s v="cynthia.richardson.902@gslingacademy.com"/>
    <x v="1"/>
    <x v="1"/>
    <x v="9"/>
    <x v="1"/>
    <n v="3"/>
    <x v="7"/>
    <n v="40"/>
    <n v="58"/>
    <n v="57"/>
    <n v="68"/>
    <n v="57"/>
    <n v="99"/>
    <n v="95"/>
    <n v="474"/>
    <n v="67.714285714285708"/>
    <x v="3"/>
    <x v="2"/>
    <x v="0"/>
  </r>
  <r>
    <n v="903"/>
    <s v="Robert"/>
    <s v="Johnson"/>
    <s v="robert.johnson.903@gslingacademy.com"/>
    <x v="0"/>
    <x v="0"/>
    <x v="1"/>
    <x v="0"/>
    <n v="19"/>
    <x v="15"/>
    <n v="87"/>
    <n v="80"/>
    <n v="84"/>
    <n v="65"/>
    <n v="91"/>
    <n v="84"/>
    <n v="65"/>
    <n v="556"/>
    <n v="79.428571428571431"/>
    <x v="2"/>
    <x v="0"/>
    <x v="0"/>
  </r>
  <r>
    <n v="904"/>
    <s v="Kevin"/>
    <s v="Ryan"/>
    <s v="kevin.ryan.904@gslingacademy.com"/>
    <x v="0"/>
    <x v="0"/>
    <x v="9"/>
    <x v="0"/>
    <n v="29"/>
    <x v="4"/>
    <n v="74"/>
    <n v="95"/>
    <n v="82"/>
    <n v="61"/>
    <n v="70"/>
    <n v="88"/>
    <n v="92"/>
    <n v="562"/>
    <n v="80.285714285714292"/>
    <x v="0"/>
    <x v="2"/>
    <x v="0"/>
  </r>
  <r>
    <n v="905"/>
    <s v="Eileen"/>
    <s v="Nicholson"/>
    <s v="eileen.nicholson.905@gslingacademy.com"/>
    <x v="1"/>
    <x v="1"/>
    <x v="6"/>
    <x v="1"/>
    <n v="0"/>
    <x v="7"/>
    <n v="51"/>
    <n v="56"/>
    <n v="64"/>
    <n v="85"/>
    <n v="91"/>
    <n v="78"/>
    <n v="97"/>
    <n v="522"/>
    <n v="74.571428571428569"/>
    <x v="3"/>
    <x v="1"/>
    <x v="0"/>
  </r>
  <r>
    <n v="906"/>
    <s v="Robert"/>
    <s v="Torres"/>
    <s v="robert.torres.906@gslingacademy.com"/>
    <x v="0"/>
    <x v="0"/>
    <x v="6"/>
    <x v="0"/>
    <n v="5"/>
    <x v="16"/>
    <n v="57"/>
    <n v="74"/>
    <n v="98"/>
    <n v="93"/>
    <n v="63"/>
    <n v="70"/>
    <n v="67"/>
    <n v="522"/>
    <n v="74.571428571428569"/>
    <x v="3"/>
    <x v="1"/>
    <x v="0"/>
  </r>
  <r>
    <n v="907"/>
    <s v="Alicia"/>
    <s v="Beltran"/>
    <s v="alicia.beltran.907@gslingacademy.com"/>
    <x v="1"/>
    <x v="0"/>
    <x v="4"/>
    <x v="0"/>
    <n v="4"/>
    <x v="7"/>
    <n v="84"/>
    <n v="54"/>
    <n v="52"/>
    <n v="52"/>
    <n v="65"/>
    <n v="54"/>
    <n v="69"/>
    <n v="430"/>
    <n v="61.428571428571431"/>
    <x v="3"/>
    <x v="2"/>
    <x v="0"/>
  </r>
  <r>
    <n v="908"/>
    <s v="Jessica"/>
    <s v="Wong"/>
    <s v="jessica.wong.908@gslingacademy.com"/>
    <x v="1"/>
    <x v="0"/>
    <x v="6"/>
    <x v="0"/>
    <n v="1"/>
    <x v="7"/>
    <n v="84"/>
    <n v="83"/>
    <n v="71"/>
    <n v="98"/>
    <n v="93"/>
    <n v="95"/>
    <n v="99"/>
    <n v="623"/>
    <n v="89"/>
    <x v="3"/>
    <x v="1"/>
    <x v="1"/>
  </r>
  <r>
    <n v="909"/>
    <s v="Ruben"/>
    <s v="Meyer"/>
    <s v="ruben.meyer.909@gslingacademy.com"/>
    <x v="0"/>
    <x v="0"/>
    <x v="8"/>
    <x v="1"/>
    <n v="12"/>
    <x v="15"/>
    <n v="100"/>
    <n v="84"/>
    <n v="73"/>
    <n v="96"/>
    <n v="97"/>
    <n v="85"/>
    <n v="63"/>
    <n v="598"/>
    <n v="85.428571428571431"/>
    <x v="2"/>
    <x v="1"/>
    <x v="0"/>
  </r>
  <r>
    <n v="910"/>
    <s v="Megan"/>
    <s v="Alexander"/>
    <s v="megan.alexander.910@gslingacademy.com"/>
    <x v="1"/>
    <x v="0"/>
    <x v="0"/>
    <x v="0"/>
    <n v="27"/>
    <x v="5"/>
    <n v="90"/>
    <n v="91"/>
    <n v="88"/>
    <n v="95"/>
    <n v="98"/>
    <n v="99"/>
    <n v="71"/>
    <n v="632"/>
    <n v="90.285714285714292"/>
    <x v="0"/>
    <x v="0"/>
    <x v="1"/>
  </r>
  <r>
    <n v="911"/>
    <s v="Jennifer"/>
    <s v="Gonzalez"/>
    <s v="jennifer.gonzalez.911@gslingacademy.com"/>
    <x v="1"/>
    <x v="0"/>
    <x v="9"/>
    <x v="1"/>
    <n v="12"/>
    <x v="9"/>
    <n v="97"/>
    <n v="77"/>
    <n v="66"/>
    <n v="93"/>
    <n v="99"/>
    <n v="78"/>
    <n v="91"/>
    <n v="601"/>
    <n v="85.857142857142861"/>
    <x v="2"/>
    <x v="2"/>
    <x v="1"/>
  </r>
  <r>
    <n v="912"/>
    <s v="Carl"/>
    <s v="Ferguson"/>
    <s v="carl.ferguson.912@gslingacademy.com"/>
    <x v="0"/>
    <x v="0"/>
    <x v="0"/>
    <x v="0"/>
    <n v="21"/>
    <x v="9"/>
    <n v="77"/>
    <n v="93"/>
    <n v="69"/>
    <n v="75"/>
    <n v="88"/>
    <n v="81"/>
    <n v="89"/>
    <n v="572"/>
    <n v="81.714285714285708"/>
    <x v="0"/>
    <x v="0"/>
    <x v="0"/>
  </r>
  <r>
    <n v="913"/>
    <s v="Valerie"/>
    <s v="Romero"/>
    <s v="valerie.romero.913@gslingacademy.com"/>
    <x v="1"/>
    <x v="0"/>
    <x v="2"/>
    <x v="0"/>
    <n v="15"/>
    <x v="6"/>
    <n v="82"/>
    <n v="61"/>
    <n v="79"/>
    <n v="84"/>
    <n v="73"/>
    <n v="95"/>
    <n v="85"/>
    <n v="559"/>
    <n v="79.857142857142861"/>
    <x v="2"/>
    <x v="1"/>
    <x v="0"/>
  </r>
  <r>
    <n v="914"/>
    <s v="Laura"/>
    <s v="Romero"/>
    <s v="laura.romero.914@gslingacademy.com"/>
    <x v="1"/>
    <x v="0"/>
    <x v="0"/>
    <x v="0"/>
    <n v="26"/>
    <x v="5"/>
    <n v="89"/>
    <n v="68"/>
    <n v="83"/>
    <n v="88"/>
    <n v="69"/>
    <n v="79"/>
    <n v="74"/>
    <n v="550"/>
    <n v="78.571428571428569"/>
    <x v="0"/>
    <x v="0"/>
    <x v="0"/>
  </r>
  <r>
    <n v="915"/>
    <s v="Heidi"/>
    <s v="Adams"/>
    <s v="heidi.adams.915@gslingacademy.com"/>
    <x v="1"/>
    <x v="1"/>
    <x v="7"/>
    <x v="0"/>
    <n v="3"/>
    <x v="7"/>
    <n v="43"/>
    <n v="83"/>
    <n v="58"/>
    <n v="89"/>
    <n v="87"/>
    <n v="78"/>
    <n v="86"/>
    <n v="524"/>
    <n v="74.857142857142861"/>
    <x v="3"/>
    <x v="1"/>
    <x v="0"/>
  </r>
  <r>
    <n v="916"/>
    <s v="Regina"/>
    <s v="Spencer"/>
    <s v="regina.spencer.916@gslingacademy.com"/>
    <x v="1"/>
    <x v="0"/>
    <x v="5"/>
    <x v="0"/>
    <n v="31"/>
    <x v="0"/>
    <n v="86"/>
    <n v="85"/>
    <n v="66"/>
    <n v="94"/>
    <n v="62"/>
    <n v="86"/>
    <n v="92"/>
    <n v="571"/>
    <n v="81.571428571428569"/>
    <x v="1"/>
    <x v="0"/>
    <x v="0"/>
  </r>
  <r>
    <n v="917"/>
    <s v="Lee"/>
    <s v="Campbell"/>
    <s v="lee.campbell.917@gslingacademy.com"/>
    <x v="0"/>
    <x v="0"/>
    <x v="2"/>
    <x v="0"/>
    <n v="31"/>
    <x v="8"/>
    <n v="92"/>
    <n v="74"/>
    <n v="95"/>
    <n v="97"/>
    <n v="87"/>
    <n v="78"/>
    <n v="68"/>
    <n v="591"/>
    <n v="84.428571428571431"/>
    <x v="1"/>
    <x v="1"/>
    <x v="0"/>
  </r>
  <r>
    <n v="918"/>
    <s v="Noah"/>
    <s v="Mcdaniel"/>
    <s v="noah.mcdaniel.918@gslingacademy.com"/>
    <x v="0"/>
    <x v="0"/>
    <x v="0"/>
    <x v="0"/>
    <n v="3"/>
    <x v="4"/>
    <n v="71"/>
    <n v="70"/>
    <n v="60"/>
    <n v="84"/>
    <n v="87"/>
    <n v="87"/>
    <n v="64"/>
    <n v="523"/>
    <n v="74.714285714285708"/>
    <x v="3"/>
    <x v="0"/>
    <x v="0"/>
  </r>
  <r>
    <n v="919"/>
    <s v="Dorothy"/>
    <s v="Mitchell"/>
    <s v="dorothy.mitchell.919@gslingacademy.com"/>
    <x v="1"/>
    <x v="0"/>
    <x v="8"/>
    <x v="0"/>
    <n v="16"/>
    <x v="5"/>
    <n v="92"/>
    <n v="81"/>
    <n v="71"/>
    <n v="97"/>
    <n v="96"/>
    <n v="72"/>
    <n v="63"/>
    <n v="572"/>
    <n v="81.714285714285708"/>
    <x v="2"/>
    <x v="1"/>
    <x v="0"/>
  </r>
  <r>
    <n v="920"/>
    <s v="Michael"/>
    <s v="Mccarthy"/>
    <s v="michael.mccarthy.920@gslingacademy.com"/>
    <x v="0"/>
    <x v="0"/>
    <x v="3"/>
    <x v="0"/>
    <n v="29"/>
    <x v="0"/>
    <n v="77"/>
    <n v="92"/>
    <n v="65"/>
    <n v="62"/>
    <n v="76"/>
    <n v="84"/>
    <n v="100"/>
    <n v="556"/>
    <n v="79.428571428571431"/>
    <x v="0"/>
    <x v="2"/>
    <x v="0"/>
  </r>
  <r>
    <n v="921"/>
    <s v="Matthew"/>
    <s v="Jones"/>
    <s v="matthew.jones.921@gslingacademy.com"/>
    <x v="0"/>
    <x v="0"/>
    <x v="9"/>
    <x v="0"/>
    <n v="31"/>
    <x v="5"/>
    <n v="90"/>
    <n v="62"/>
    <n v="87"/>
    <n v="63"/>
    <n v="77"/>
    <n v="71"/>
    <n v="68"/>
    <n v="518"/>
    <n v="74"/>
    <x v="1"/>
    <x v="2"/>
    <x v="0"/>
  </r>
  <r>
    <n v="922"/>
    <s v="John"/>
    <s v="Riley"/>
    <s v="john.riley.922@gslingacademy.com"/>
    <x v="0"/>
    <x v="0"/>
    <x v="5"/>
    <x v="0"/>
    <n v="46"/>
    <x v="1"/>
    <n v="91"/>
    <n v="85"/>
    <n v="98"/>
    <n v="96"/>
    <n v="98"/>
    <n v="96"/>
    <n v="93"/>
    <n v="657"/>
    <n v="93.857142857142861"/>
    <x v="1"/>
    <x v="0"/>
    <x v="1"/>
  </r>
  <r>
    <n v="923"/>
    <s v="Shelly"/>
    <s v="Dominguez"/>
    <s v="shelly.dominguez.923@gslingacademy.com"/>
    <x v="1"/>
    <x v="0"/>
    <x v="5"/>
    <x v="0"/>
    <n v="24"/>
    <x v="5"/>
    <n v="88"/>
    <n v="72"/>
    <n v="96"/>
    <n v="97"/>
    <n v="71"/>
    <n v="60"/>
    <n v="61"/>
    <n v="545"/>
    <n v="77.857142857142861"/>
    <x v="0"/>
    <x v="0"/>
    <x v="0"/>
  </r>
  <r>
    <n v="924"/>
    <s v="Ann"/>
    <s v="Evans"/>
    <s v="ann.evans.924@gslingacademy.com"/>
    <x v="1"/>
    <x v="0"/>
    <x v="1"/>
    <x v="0"/>
    <n v="2"/>
    <x v="16"/>
    <n v="98"/>
    <n v="73"/>
    <n v="85"/>
    <n v="78"/>
    <n v="61"/>
    <n v="74"/>
    <n v="96"/>
    <n v="565"/>
    <n v="80.714285714285708"/>
    <x v="3"/>
    <x v="0"/>
    <x v="0"/>
  </r>
  <r>
    <n v="925"/>
    <s v="David"/>
    <s v="Perez"/>
    <s v="david.perez.925@gslingacademy.com"/>
    <x v="0"/>
    <x v="1"/>
    <x v="7"/>
    <x v="0"/>
    <n v="2"/>
    <x v="7"/>
    <n v="87"/>
    <n v="60"/>
    <n v="67"/>
    <n v="88"/>
    <n v="99"/>
    <n v="56"/>
    <n v="92"/>
    <n v="549"/>
    <n v="78.428571428571431"/>
    <x v="3"/>
    <x v="1"/>
    <x v="0"/>
  </r>
  <r>
    <n v="926"/>
    <s v="Nicole"/>
    <s v="Bell"/>
    <s v="nicole.bell.926@gslingacademy.com"/>
    <x v="1"/>
    <x v="0"/>
    <x v="0"/>
    <x v="0"/>
    <n v="9"/>
    <x v="6"/>
    <n v="66"/>
    <n v="64"/>
    <n v="82"/>
    <n v="82"/>
    <n v="72"/>
    <n v="96"/>
    <n v="100"/>
    <n v="562"/>
    <n v="80.285714285714292"/>
    <x v="4"/>
    <x v="0"/>
    <x v="0"/>
  </r>
  <r>
    <n v="927"/>
    <s v="Amanda"/>
    <s v="Garcia"/>
    <s v="amanda.garcia.927@gslingacademy.com"/>
    <x v="1"/>
    <x v="1"/>
    <x v="6"/>
    <x v="0"/>
    <n v="0"/>
    <x v="7"/>
    <n v="83"/>
    <n v="98"/>
    <n v="51"/>
    <n v="72"/>
    <n v="90"/>
    <n v="59"/>
    <n v="73"/>
    <n v="526"/>
    <n v="75.142857142857139"/>
    <x v="3"/>
    <x v="1"/>
    <x v="0"/>
  </r>
  <r>
    <n v="928"/>
    <s v="Charles"/>
    <s v="Owens"/>
    <s v="charles.owens.928@gslingacademy.com"/>
    <x v="0"/>
    <x v="0"/>
    <x v="8"/>
    <x v="0"/>
    <n v="4"/>
    <x v="7"/>
    <n v="40"/>
    <n v="94"/>
    <n v="90"/>
    <n v="68"/>
    <n v="61"/>
    <n v="77"/>
    <n v="92"/>
    <n v="522"/>
    <n v="74.571428571428569"/>
    <x v="3"/>
    <x v="1"/>
    <x v="0"/>
  </r>
  <r>
    <n v="929"/>
    <s v="Teresa"/>
    <s v="Henry"/>
    <s v="teresa.henry.929@gslingacademy.com"/>
    <x v="1"/>
    <x v="0"/>
    <x v="4"/>
    <x v="0"/>
    <n v="4"/>
    <x v="7"/>
    <n v="43"/>
    <n v="90"/>
    <n v="78"/>
    <n v="63"/>
    <n v="68"/>
    <n v="63"/>
    <n v="72"/>
    <n v="477"/>
    <n v="68.142857142857139"/>
    <x v="3"/>
    <x v="2"/>
    <x v="0"/>
  </r>
  <r>
    <n v="930"/>
    <s v="Luis"/>
    <s v="Frank"/>
    <s v="luis.frank.930@gslingacademy.com"/>
    <x v="0"/>
    <x v="0"/>
    <x v="9"/>
    <x v="0"/>
    <n v="34"/>
    <x v="5"/>
    <n v="100"/>
    <n v="97"/>
    <n v="74"/>
    <n v="74"/>
    <n v="82"/>
    <n v="75"/>
    <n v="69"/>
    <n v="571"/>
    <n v="81.571428571428569"/>
    <x v="1"/>
    <x v="2"/>
    <x v="0"/>
  </r>
  <r>
    <n v="931"/>
    <s v="Timothy"/>
    <s v="Booth"/>
    <s v="timothy.booth.931@gslingacademy.com"/>
    <x v="0"/>
    <x v="0"/>
    <x v="1"/>
    <x v="0"/>
    <n v="34"/>
    <x v="4"/>
    <n v="93"/>
    <n v="70"/>
    <n v="74"/>
    <n v="78"/>
    <n v="94"/>
    <n v="75"/>
    <n v="96"/>
    <n v="580"/>
    <n v="82.857142857142861"/>
    <x v="1"/>
    <x v="0"/>
    <x v="0"/>
  </r>
  <r>
    <n v="932"/>
    <s v="Michael"/>
    <s v="Moon"/>
    <s v="michael.moon.932@gslingacademy.com"/>
    <x v="0"/>
    <x v="0"/>
    <x v="3"/>
    <x v="0"/>
    <n v="32"/>
    <x v="5"/>
    <n v="98"/>
    <n v="86"/>
    <n v="82"/>
    <n v="72"/>
    <n v="79"/>
    <n v="93"/>
    <n v="94"/>
    <n v="604"/>
    <n v="86.285714285714292"/>
    <x v="1"/>
    <x v="2"/>
    <x v="1"/>
  </r>
  <r>
    <n v="933"/>
    <s v="Rachel"/>
    <s v="Hall"/>
    <s v="rachel.hall.933@gslingacademy.com"/>
    <x v="1"/>
    <x v="1"/>
    <x v="9"/>
    <x v="0"/>
    <n v="23"/>
    <x v="5"/>
    <n v="90"/>
    <n v="95"/>
    <n v="73"/>
    <n v="81"/>
    <n v="81"/>
    <n v="62"/>
    <n v="81"/>
    <n v="563"/>
    <n v="80.428571428571431"/>
    <x v="0"/>
    <x v="2"/>
    <x v="0"/>
  </r>
  <r>
    <n v="934"/>
    <s v="Thomas"/>
    <s v="Nguyen"/>
    <s v="thomas.nguyen.934@gslingacademy.com"/>
    <x v="0"/>
    <x v="0"/>
    <x v="1"/>
    <x v="1"/>
    <n v="20"/>
    <x v="5"/>
    <n v="90"/>
    <n v="77"/>
    <n v="86"/>
    <n v="91"/>
    <n v="76"/>
    <n v="78"/>
    <n v="62"/>
    <n v="560"/>
    <n v="80"/>
    <x v="2"/>
    <x v="0"/>
    <x v="0"/>
  </r>
  <r>
    <n v="935"/>
    <s v="Tiffany"/>
    <s v="Fields"/>
    <s v="tiffany.fields.935@gslingacademy.com"/>
    <x v="1"/>
    <x v="0"/>
    <x v="5"/>
    <x v="0"/>
    <n v="5"/>
    <x v="3"/>
    <n v="68"/>
    <n v="67"/>
    <n v="65"/>
    <n v="68"/>
    <n v="63"/>
    <n v="97"/>
    <n v="63"/>
    <n v="491"/>
    <n v="70.142857142857139"/>
    <x v="3"/>
    <x v="0"/>
    <x v="0"/>
  </r>
  <r>
    <n v="936"/>
    <s v="Jessica"/>
    <s v="Marshall"/>
    <s v="jessica.marshall.936@gslingacademy.com"/>
    <x v="1"/>
    <x v="0"/>
    <x v="3"/>
    <x v="1"/>
    <n v="15"/>
    <x v="5"/>
    <n v="91"/>
    <n v="60"/>
    <n v="98"/>
    <n v="77"/>
    <n v="72"/>
    <n v="74"/>
    <n v="63"/>
    <n v="535"/>
    <n v="76.428571428571431"/>
    <x v="2"/>
    <x v="2"/>
    <x v="0"/>
  </r>
  <r>
    <n v="937"/>
    <s v="Maurice"/>
    <s v="Nguyen"/>
    <s v="maurice.nguyen.937@gslingacademy.com"/>
    <x v="0"/>
    <x v="0"/>
    <x v="0"/>
    <x v="0"/>
    <n v="21"/>
    <x v="12"/>
    <n v="87"/>
    <n v="74"/>
    <n v="92"/>
    <n v="67"/>
    <n v="85"/>
    <n v="63"/>
    <n v="87"/>
    <n v="555"/>
    <n v="79.285714285714292"/>
    <x v="0"/>
    <x v="0"/>
    <x v="0"/>
  </r>
  <r>
    <n v="938"/>
    <s v="William"/>
    <s v="Kelly"/>
    <s v="william.kelly.938@gslingacademy.com"/>
    <x v="0"/>
    <x v="0"/>
    <x v="5"/>
    <x v="0"/>
    <n v="30"/>
    <x v="5"/>
    <n v="91"/>
    <n v="90"/>
    <n v="88"/>
    <n v="92"/>
    <n v="75"/>
    <n v="98"/>
    <n v="91"/>
    <n v="625"/>
    <n v="89.285714285714292"/>
    <x v="0"/>
    <x v="0"/>
    <x v="1"/>
  </r>
  <r>
    <n v="939"/>
    <s v="Harry"/>
    <s v="Hunter"/>
    <s v="harry.hunter.939@gslingacademy.com"/>
    <x v="0"/>
    <x v="0"/>
    <x v="0"/>
    <x v="1"/>
    <n v="15"/>
    <x v="11"/>
    <n v="98"/>
    <n v="72"/>
    <n v="87"/>
    <n v="74"/>
    <n v="100"/>
    <n v="84"/>
    <n v="85"/>
    <n v="600"/>
    <n v="85.714285714285708"/>
    <x v="2"/>
    <x v="0"/>
    <x v="0"/>
  </r>
  <r>
    <n v="940"/>
    <s v="Gary"/>
    <s v="Gentry"/>
    <s v="gary.gentry.940@gslingacademy.com"/>
    <x v="0"/>
    <x v="0"/>
    <x v="4"/>
    <x v="1"/>
    <n v="18"/>
    <x v="9"/>
    <n v="85"/>
    <n v="74"/>
    <n v="79"/>
    <n v="82"/>
    <n v="71"/>
    <n v="87"/>
    <n v="67"/>
    <n v="545"/>
    <n v="77.857142857142861"/>
    <x v="2"/>
    <x v="2"/>
    <x v="0"/>
  </r>
  <r>
    <n v="941"/>
    <s v="Maria"/>
    <s v="Malone"/>
    <s v="maria.malone.941@gslingacademy.com"/>
    <x v="1"/>
    <x v="1"/>
    <x v="7"/>
    <x v="0"/>
    <n v="4"/>
    <x v="7"/>
    <n v="40"/>
    <n v="97"/>
    <n v="71"/>
    <n v="70"/>
    <n v="73"/>
    <n v="81"/>
    <n v="85"/>
    <n v="517"/>
    <n v="73.857142857142861"/>
    <x v="3"/>
    <x v="1"/>
    <x v="0"/>
  </r>
  <r>
    <n v="942"/>
    <s v="Jason"/>
    <s v="Vazquez"/>
    <s v="jason.vazquez.942@gslingacademy.com"/>
    <x v="0"/>
    <x v="0"/>
    <x v="0"/>
    <x v="0"/>
    <n v="24"/>
    <x v="11"/>
    <n v="76"/>
    <n v="75"/>
    <n v="76"/>
    <n v="67"/>
    <n v="60"/>
    <n v="77"/>
    <n v="100"/>
    <n v="531"/>
    <n v="75.857142857142861"/>
    <x v="0"/>
    <x v="0"/>
    <x v="0"/>
  </r>
  <r>
    <n v="943"/>
    <s v="Patrick"/>
    <s v="West"/>
    <s v="patrick.west.943@gslingacademy.com"/>
    <x v="0"/>
    <x v="0"/>
    <x v="0"/>
    <x v="0"/>
    <n v="15"/>
    <x v="9"/>
    <n v="89"/>
    <n v="76"/>
    <n v="84"/>
    <n v="93"/>
    <n v="64"/>
    <n v="86"/>
    <n v="95"/>
    <n v="587"/>
    <n v="83.857142857142861"/>
    <x v="2"/>
    <x v="0"/>
    <x v="0"/>
  </r>
  <r>
    <n v="944"/>
    <s v="Alexandra"/>
    <s v="Brown"/>
    <s v="alexandra.brown.944@gslingacademy.com"/>
    <x v="1"/>
    <x v="0"/>
    <x v="0"/>
    <x v="0"/>
    <n v="2"/>
    <x v="3"/>
    <n v="76"/>
    <n v="73"/>
    <n v="74"/>
    <n v="73"/>
    <n v="81"/>
    <n v="87"/>
    <n v="84"/>
    <n v="548"/>
    <n v="78.285714285714292"/>
    <x v="3"/>
    <x v="0"/>
    <x v="0"/>
  </r>
  <r>
    <n v="945"/>
    <s v="Jennifer"/>
    <s v="Torres"/>
    <s v="jennifer.torres.945@gslingacademy.com"/>
    <x v="1"/>
    <x v="0"/>
    <x v="4"/>
    <x v="0"/>
    <n v="14"/>
    <x v="5"/>
    <n v="91"/>
    <n v="61"/>
    <n v="100"/>
    <n v="88"/>
    <n v="73"/>
    <n v="84"/>
    <n v="100"/>
    <n v="597"/>
    <n v="85.285714285714292"/>
    <x v="2"/>
    <x v="2"/>
    <x v="0"/>
  </r>
  <r>
    <n v="946"/>
    <s v="Daniel"/>
    <s v="Smith"/>
    <s v="daniel.smith.946@gslingacademy.com"/>
    <x v="0"/>
    <x v="0"/>
    <x v="5"/>
    <x v="0"/>
    <n v="5"/>
    <x v="7"/>
    <n v="55"/>
    <n v="58"/>
    <n v="96"/>
    <n v="88"/>
    <n v="99"/>
    <n v="98"/>
    <n v="71"/>
    <n v="565"/>
    <n v="80.714285714285708"/>
    <x v="3"/>
    <x v="0"/>
    <x v="0"/>
  </r>
  <r>
    <n v="947"/>
    <s v="Catherine"/>
    <s v="Boyle"/>
    <s v="catherine.boyle.947@gslingacademy.com"/>
    <x v="1"/>
    <x v="0"/>
    <x v="3"/>
    <x v="0"/>
    <n v="0"/>
    <x v="16"/>
    <n v="93"/>
    <n v="88"/>
    <n v="76"/>
    <n v="73"/>
    <n v="67"/>
    <n v="88"/>
    <n v="76"/>
    <n v="561"/>
    <n v="80.142857142857139"/>
    <x v="3"/>
    <x v="2"/>
    <x v="0"/>
  </r>
  <r>
    <n v="948"/>
    <s v="Amanda"/>
    <s v="Bush"/>
    <s v="amanda.bush.948@gslingacademy.com"/>
    <x v="1"/>
    <x v="0"/>
    <x v="5"/>
    <x v="0"/>
    <n v="10"/>
    <x v="16"/>
    <n v="84"/>
    <n v="68"/>
    <n v="60"/>
    <n v="86"/>
    <n v="90"/>
    <n v="84"/>
    <n v="81"/>
    <n v="553"/>
    <n v="79"/>
    <x v="4"/>
    <x v="0"/>
    <x v="0"/>
  </r>
  <r>
    <n v="949"/>
    <s v="Emma"/>
    <s v="Copeland"/>
    <s v="emma.copeland.949@gslingacademy.com"/>
    <x v="1"/>
    <x v="1"/>
    <x v="3"/>
    <x v="0"/>
    <n v="2"/>
    <x v="7"/>
    <n v="62"/>
    <n v="65"/>
    <n v="98"/>
    <n v="52"/>
    <n v="66"/>
    <n v="94"/>
    <n v="82"/>
    <n v="519"/>
    <n v="74.142857142857139"/>
    <x v="3"/>
    <x v="2"/>
    <x v="0"/>
  </r>
  <r>
    <n v="950"/>
    <s v="Bradley"/>
    <s v="Avery"/>
    <s v="bradley.avery.950@gslingacademy.com"/>
    <x v="0"/>
    <x v="0"/>
    <x v="0"/>
    <x v="0"/>
    <n v="30"/>
    <x v="0"/>
    <n v="80"/>
    <n v="81"/>
    <n v="75"/>
    <n v="72"/>
    <n v="71"/>
    <n v="84"/>
    <n v="87"/>
    <n v="550"/>
    <n v="78.571428571428569"/>
    <x v="0"/>
    <x v="0"/>
    <x v="0"/>
  </r>
  <r>
    <n v="951"/>
    <s v="Danielle"/>
    <s v="Martinez"/>
    <s v="danielle.martinez.951@gslingacademy.com"/>
    <x v="1"/>
    <x v="0"/>
    <x v="6"/>
    <x v="0"/>
    <n v="28"/>
    <x v="1"/>
    <n v="93"/>
    <n v="84"/>
    <n v="85"/>
    <n v="94"/>
    <n v="95"/>
    <n v="74"/>
    <n v="83"/>
    <n v="608"/>
    <n v="86.857142857142861"/>
    <x v="0"/>
    <x v="1"/>
    <x v="1"/>
  </r>
  <r>
    <n v="952"/>
    <s v="Anna"/>
    <s v="Wolf"/>
    <s v="anna.wolf.952@gslingacademy.com"/>
    <x v="1"/>
    <x v="0"/>
    <x v="10"/>
    <x v="1"/>
    <n v="29"/>
    <x v="0"/>
    <n v="92"/>
    <n v="82"/>
    <n v="63"/>
    <n v="61"/>
    <n v="66"/>
    <n v="84"/>
    <n v="98"/>
    <n v="546"/>
    <n v="78"/>
    <x v="0"/>
    <x v="3"/>
    <x v="0"/>
  </r>
  <r>
    <n v="953"/>
    <s v="Megan"/>
    <s v="Whitaker"/>
    <s v="megan.whitaker.953@gslingacademy.com"/>
    <x v="1"/>
    <x v="0"/>
    <x v="10"/>
    <x v="0"/>
    <n v="35"/>
    <x v="5"/>
    <n v="87"/>
    <n v="89"/>
    <n v="91"/>
    <n v="89"/>
    <n v="93"/>
    <n v="92"/>
    <n v="95"/>
    <n v="636"/>
    <n v="90.857142857142861"/>
    <x v="1"/>
    <x v="3"/>
    <x v="1"/>
  </r>
  <r>
    <n v="954"/>
    <s v="Melissa"/>
    <s v="Richard"/>
    <s v="melissa.richard.954@gslingacademy.com"/>
    <x v="1"/>
    <x v="0"/>
    <x v="5"/>
    <x v="0"/>
    <n v="12"/>
    <x v="9"/>
    <n v="83"/>
    <n v="69"/>
    <n v="93"/>
    <n v="60"/>
    <n v="98"/>
    <n v="83"/>
    <n v="88"/>
    <n v="574"/>
    <n v="82"/>
    <x v="2"/>
    <x v="0"/>
    <x v="0"/>
  </r>
  <r>
    <n v="955"/>
    <s v="Richard"/>
    <s v="Small"/>
    <s v="richard.small.955@gslingacademy.com"/>
    <x v="0"/>
    <x v="1"/>
    <x v="0"/>
    <x v="0"/>
    <n v="32"/>
    <x v="15"/>
    <n v="95"/>
    <n v="75"/>
    <n v="87"/>
    <n v="67"/>
    <n v="96"/>
    <n v="86"/>
    <n v="85"/>
    <n v="591"/>
    <n v="84.428571428571431"/>
    <x v="1"/>
    <x v="0"/>
    <x v="0"/>
  </r>
  <r>
    <n v="956"/>
    <s v="Victor"/>
    <s v="Phillips"/>
    <s v="victor.phillips.956@gslingacademy.com"/>
    <x v="0"/>
    <x v="0"/>
    <x v="1"/>
    <x v="0"/>
    <n v="27"/>
    <x v="11"/>
    <n v="79"/>
    <n v="65"/>
    <n v="92"/>
    <n v="67"/>
    <n v="78"/>
    <n v="66"/>
    <n v="98"/>
    <n v="545"/>
    <n v="77.857142857142861"/>
    <x v="0"/>
    <x v="0"/>
    <x v="0"/>
  </r>
  <r>
    <n v="957"/>
    <s v="Madison"/>
    <s v="Callahan"/>
    <s v="madison.callahan.957@gslingacademy.com"/>
    <x v="1"/>
    <x v="0"/>
    <x v="9"/>
    <x v="0"/>
    <n v="25"/>
    <x v="4"/>
    <n v="87"/>
    <n v="68"/>
    <n v="84"/>
    <n v="92"/>
    <n v="96"/>
    <n v="88"/>
    <n v="60"/>
    <n v="575"/>
    <n v="82.142857142857139"/>
    <x v="0"/>
    <x v="2"/>
    <x v="0"/>
  </r>
  <r>
    <n v="958"/>
    <s v="Connor"/>
    <s v="Olson"/>
    <s v="connor.olson.958@gslingacademy.com"/>
    <x v="0"/>
    <x v="0"/>
    <x v="7"/>
    <x v="0"/>
    <n v="11"/>
    <x v="4"/>
    <n v="94"/>
    <n v="92"/>
    <n v="76"/>
    <n v="74"/>
    <n v="65"/>
    <n v="96"/>
    <n v="87"/>
    <n v="584"/>
    <n v="83.428571428571431"/>
    <x v="2"/>
    <x v="1"/>
    <x v="0"/>
  </r>
  <r>
    <n v="959"/>
    <s v="Hunter"/>
    <s v="Allen"/>
    <s v="hunter.allen.959@gslingacademy.com"/>
    <x v="0"/>
    <x v="0"/>
    <x v="0"/>
    <x v="0"/>
    <n v="2"/>
    <x v="14"/>
    <n v="82"/>
    <n v="77"/>
    <n v="95"/>
    <n v="81"/>
    <n v="83"/>
    <n v="73"/>
    <n v="76"/>
    <n v="567"/>
    <n v="81"/>
    <x v="3"/>
    <x v="0"/>
    <x v="0"/>
  </r>
  <r>
    <n v="960"/>
    <s v="Shannon"/>
    <s v="Johnson"/>
    <s v="shannon.johnson.960@gslingacademy.com"/>
    <x v="1"/>
    <x v="0"/>
    <x v="1"/>
    <x v="0"/>
    <n v="24"/>
    <x v="9"/>
    <n v="90"/>
    <n v="98"/>
    <n v="89"/>
    <n v="78"/>
    <n v="74"/>
    <n v="93"/>
    <n v="65"/>
    <n v="587"/>
    <n v="83.857142857142861"/>
    <x v="0"/>
    <x v="0"/>
    <x v="0"/>
  </r>
  <r>
    <n v="961"/>
    <s v="Samantha"/>
    <s v="Alexander"/>
    <s v="samantha.alexander.961@gslingacademy.com"/>
    <x v="1"/>
    <x v="0"/>
    <x v="9"/>
    <x v="0"/>
    <n v="16"/>
    <x v="11"/>
    <n v="100"/>
    <n v="68"/>
    <n v="62"/>
    <n v="76"/>
    <n v="72"/>
    <n v="94"/>
    <n v="89"/>
    <n v="561"/>
    <n v="80.142857142857139"/>
    <x v="2"/>
    <x v="2"/>
    <x v="0"/>
  </r>
  <r>
    <n v="962"/>
    <s v="Justin"/>
    <s v="Lester"/>
    <s v="justin.lester.962@gslingacademy.com"/>
    <x v="0"/>
    <x v="0"/>
    <x v="6"/>
    <x v="1"/>
    <n v="1"/>
    <x v="3"/>
    <n v="98"/>
    <n v="85"/>
    <n v="75"/>
    <n v="66"/>
    <n v="73"/>
    <n v="88"/>
    <n v="85"/>
    <n v="570"/>
    <n v="81.428571428571431"/>
    <x v="3"/>
    <x v="1"/>
    <x v="0"/>
  </r>
  <r>
    <n v="963"/>
    <s v="Hunter"/>
    <s v="Miller"/>
    <s v="hunter.miller.963@gslingacademy.com"/>
    <x v="0"/>
    <x v="0"/>
    <x v="10"/>
    <x v="0"/>
    <n v="2"/>
    <x v="14"/>
    <n v="80"/>
    <n v="84"/>
    <n v="94"/>
    <n v="63"/>
    <n v="62"/>
    <n v="72"/>
    <n v="68"/>
    <n v="523"/>
    <n v="74.714285714285708"/>
    <x v="3"/>
    <x v="3"/>
    <x v="0"/>
  </r>
  <r>
    <n v="964"/>
    <s v="Shelia"/>
    <s v="Rogers"/>
    <s v="shelia.rogers.964@gslingacademy.com"/>
    <x v="1"/>
    <x v="0"/>
    <x v="5"/>
    <x v="0"/>
    <n v="35"/>
    <x v="10"/>
    <n v="89"/>
    <n v="91"/>
    <n v="96"/>
    <n v="100"/>
    <n v="95"/>
    <n v="93"/>
    <n v="86"/>
    <n v="650"/>
    <n v="92.857142857142861"/>
    <x v="1"/>
    <x v="0"/>
    <x v="1"/>
  </r>
  <r>
    <n v="965"/>
    <s v="Laura"/>
    <s v="Walker"/>
    <s v="laura.walker.965@gslingacademy.com"/>
    <x v="1"/>
    <x v="0"/>
    <x v="10"/>
    <x v="0"/>
    <n v="5"/>
    <x v="4"/>
    <n v="96"/>
    <n v="67"/>
    <n v="74"/>
    <n v="90"/>
    <n v="75"/>
    <n v="95"/>
    <n v="83"/>
    <n v="580"/>
    <n v="82.857142857142861"/>
    <x v="3"/>
    <x v="3"/>
    <x v="0"/>
  </r>
  <r>
    <n v="966"/>
    <s v="Ashley"/>
    <s v="Green"/>
    <s v="ashley.green.966@gslingacademy.com"/>
    <x v="1"/>
    <x v="0"/>
    <x v="9"/>
    <x v="0"/>
    <n v="14"/>
    <x v="11"/>
    <n v="94"/>
    <n v="82"/>
    <n v="80"/>
    <n v="80"/>
    <n v="33"/>
    <n v="93"/>
    <n v="78"/>
    <n v="540"/>
    <n v="77.142857142857139"/>
    <x v="2"/>
    <x v="2"/>
    <x v="0"/>
  </r>
  <r>
    <n v="967"/>
    <s v="Beth"/>
    <s v="Bonilla"/>
    <s v="beth.bonilla.967@gslingacademy.com"/>
    <x v="1"/>
    <x v="0"/>
    <x v="1"/>
    <x v="0"/>
    <n v="26"/>
    <x v="4"/>
    <n v="64"/>
    <n v="65"/>
    <n v="97"/>
    <n v="96"/>
    <n v="80"/>
    <n v="80"/>
    <n v="78"/>
    <n v="560"/>
    <n v="80"/>
    <x v="0"/>
    <x v="0"/>
    <x v="0"/>
  </r>
  <r>
    <n v="968"/>
    <s v="Ray"/>
    <s v="Padilla"/>
    <s v="ray.padilla.968@gslingacademy.com"/>
    <x v="0"/>
    <x v="0"/>
    <x v="0"/>
    <x v="0"/>
    <n v="41"/>
    <x v="1"/>
    <n v="89"/>
    <n v="89"/>
    <n v="100"/>
    <n v="96"/>
    <n v="96"/>
    <n v="85"/>
    <n v="92"/>
    <n v="647"/>
    <n v="92.428571428571431"/>
    <x v="1"/>
    <x v="0"/>
    <x v="1"/>
  </r>
  <r>
    <n v="969"/>
    <s v="Jennifer"/>
    <s v="Cummings"/>
    <s v="jennifer.cummings.969@gslingacademy.com"/>
    <x v="1"/>
    <x v="0"/>
    <x v="1"/>
    <x v="1"/>
    <n v="6"/>
    <x v="4"/>
    <n v="97"/>
    <n v="78"/>
    <n v="99"/>
    <n v="88"/>
    <n v="69"/>
    <n v="98"/>
    <n v="60"/>
    <n v="589"/>
    <n v="84.142857142857139"/>
    <x v="4"/>
    <x v="0"/>
    <x v="0"/>
  </r>
  <r>
    <n v="970"/>
    <s v="Daniel"/>
    <s v="Peterson"/>
    <s v="daniel.peterson.970@gslingacademy.com"/>
    <x v="0"/>
    <x v="0"/>
    <x v="0"/>
    <x v="0"/>
    <n v="35"/>
    <x v="5"/>
    <n v="91"/>
    <n v="97"/>
    <n v="87"/>
    <n v="93"/>
    <n v="94"/>
    <n v="90"/>
    <n v="88"/>
    <n v="640"/>
    <n v="91.428571428571431"/>
    <x v="1"/>
    <x v="0"/>
    <x v="1"/>
  </r>
  <r>
    <n v="971"/>
    <s v="Andrew"/>
    <s v="Miller"/>
    <s v="andrew.miller.971@gslingacademy.com"/>
    <x v="0"/>
    <x v="0"/>
    <x v="10"/>
    <x v="1"/>
    <n v="30"/>
    <x v="13"/>
    <n v="96"/>
    <n v="98"/>
    <n v="99"/>
    <n v="65"/>
    <n v="95"/>
    <n v="76"/>
    <n v="68"/>
    <n v="597"/>
    <n v="85.285714285714292"/>
    <x v="0"/>
    <x v="3"/>
    <x v="0"/>
  </r>
  <r>
    <n v="972"/>
    <s v="Scott"/>
    <s v="Jacobson"/>
    <s v="scott.jacobson.972@gslingacademy.com"/>
    <x v="0"/>
    <x v="0"/>
    <x v="1"/>
    <x v="1"/>
    <n v="12"/>
    <x v="9"/>
    <n v="81"/>
    <n v="68"/>
    <n v="97"/>
    <n v="86"/>
    <n v="90"/>
    <n v="78"/>
    <n v="80"/>
    <n v="580"/>
    <n v="82.857142857142861"/>
    <x v="2"/>
    <x v="0"/>
    <x v="0"/>
  </r>
  <r>
    <n v="973"/>
    <s v="Jennifer"/>
    <s v="Baker"/>
    <s v="jennifer.baker.973@gslingacademy.com"/>
    <x v="1"/>
    <x v="0"/>
    <x v="1"/>
    <x v="0"/>
    <n v="29"/>
    <x v="5"/>
    <n v="87"/>
    <n v="89"/>
    <n v="61"/>
    <n v="66"/>
    <n v="72"/>
    <n v="90"/>
    <n v="61"/>
    <n v="526"/>
    <n v="75.142857142857139"/>
    <x v="0"/>
    <x v="0"/>
    <x v="0"/>
  </r>
  <r>
    <n v="974"/>
    <s v="Suzanne"/>
    <s v="Morrow"/>
    <s v="suzanne.morrow.974@gslingacademy.com"/>
    <x v="1"/>
    <x v="1"/>
    <x v="2"/>
    <x v="1"/>
    <n v="4"/>
    <x v="7"/>
    <n v="67"/>
    <n v="56"/>
    <n v="77"/>
    <n v="93"/>
    <n v="95"/>
    <n v="50"/>
    <n v="74"/>
    <n v="512"/>
    <n v="73.142857142857139"/>
    <x v="3"/>
    <x v="1"/>
    <x v="0"/>
  </r>
  <r>
    <n v="975"/>
    <s v="Melissa"/>
    <s v="Gonzales"/>
    <s v="melissa.gonzales.975@gslingacademy.com"/>
    <x v="1"/>
    <x v="1"/>
    <x v="1"/>
    <x v="0"/>
    <n v="0"/>
    <x v="3"/>
    <n v="100"/>
    <n v="95"/>
    <n v="60"/>
    <n v="89"/>
    <n v="77"/>
    <n v="89"/>
    <n v="67"/>
    <n v="577"/>
    <n v="82.428571428571431"/>
    <x v="3"/>
    <x v="0"/>
    <x v="0"/>
  </r>
  <r>
    <n v="976"/>
    <s v="Erik"/>
    <s v="Miller"/>
    <s v="erik.miller.976@gslingacademy.com"/>
    <x v="0"/>
    <x v="0"/>
    <x v="0"/>
    <x v="0"/>
    <n v="17"/>
    <x v="5"/>
    <n v="88"/>
    <n v="74"/>
    <n v="60"/>
    <n v="60"/>
    <n v="78"/>
    <n v="94"/>
    <n v="69"/>
    <n v="523"/>
    <n v="74.714285714285708"/>
    <x v="2"/>
    <x v="0"/>
    <x v="0"/>
  </r>
  <r>
    <n v="977"/>
    <s v="Pamela"/>
    <s v="Flores"/>
    <s v="pamela.flores.977@gslingacademy.com"/>
    <x v="1"/>
    <x v="0"/>
    <x v="5"/>
    <x v="1"/>
    <n v="20"/>
    <x v="5"/>
    <n v="86"/>
    <n v="64"/>
    <n v="100"/>
    <n v="76"/>
    <n v="99"/>
    <n v="77"/>
    <n v="86"/>
    <n v="588"/>
    <n v="84"/>
    <x v="2"/>
    <x v="0"/>
    <x v="0"/>
  </r>
  <r>
    <n v="978"/>
    <s v="Amanda"/>
    <s v="Hernandez"/>
    <s v="amanda.hernandez.978@gslingacademy.com"/>
    <x v="1"/>
    <x v="0"/>
    <x v="1"/>
    <x v="0"/>
    <n v="35"/>
    <x v="8"/>
    <n v="85"/>
    <n v="87"/>
    <n v="90"/>
    <n v="88"/>
    <n v="87"/>
    <n v="97"/>
    <n v="100"/>
    <n v="634"/>
    <n v="90.571428571428569"/>
    <x v="1"/>
    <x v="0"/>
    <x v="1"/>
  </r>
  <r>
    <n v="979"/>
    <s v="Gregory"/>
    <s v="Schaefer"/>
    <s v="gregory.schaefer.979@gslingacademy.com"/>
    <x v="0"/>
    <x v="0"/>
    <x v="1"/>
    <x v="0"/>
    <n v="26"/>
    <x v="5"/>
    <n v="93"/>
    <n v="95"/>
    <n v="80"/>
    <n v="88"/>
    <n v="83"/>
    <n v="62"/>
    <n v="65"/>
    <n v="566"/>
    <n v="80.857142857142861"/>
    <x v="0"/>
    <x v="0"/>
    <x v="0"/>
  </r>
  <r>
    <n v="980"/>
    <s v="Annette"/>
    <s v="Logan"/>
    <s v="annette.logan.980@gslingacademy.com"/>
    <x v="1"/>
    <x v="0"/>
    <x v="0"/>
    <x v="1"/>
    <n v="24"/>
    <x v="4"/>
    <n v="80"/>
    <n v="66"/>
    <n v="77"/>
    <n v="81"/>
    <n v="99"/>
    <n v="99"/>
    <n v="83"/>
    <n v="585"/>
    <n v="83.571428571428569"/>
    <x v="0"/>
    <x v="0"/>
    <x v="0"/>
  </r>
  <r>
    <n v="981"/>
    <s v="Tamara"/>
    <s v="Long"/>
    <s v="tamara.long.981@gslingacademy.com"/>
    <x v="1"/>
    <x v="1"/>
    <x v="4"/>
    <x v="0"/>
    <n v="0"/>
    <x v="7"/>
    <n v="56"/>
    <n v="67"/>
    <n v="57"/>
    <n v="79"/>
    <n v="87"/>
    <n v="89"/>
    <n v="89"/>
    <n v="524"/>
    <n v="74.857142857142861"/>
    <x v="3"/>
    <x v="2"/>
    <x v="0"/>
  </r>
  <r>
    <n v="982"/>
    <s v="John"/>
    <s v="Baker"/>
    <s v="john.baker.982@gslingacademy.com"/>
    <x v="0"/>
    <x v="0"/>
    <x v="6"/>
    <x v="0"/>
    <n v="32"/>
    <x v="13"/>
    <n v="87"/>
    <n v="62"/>
    <n v="84"/>
    <n v="96"/>
    <n v="69"/>
    <n v="98"/>
    <n v="64"/>
    <n v="560"/>
    <n v="80"/>
    <x v="1"/>
    <x v="1"/>
    <x v="0"/>
  </r>
  <r>
    <n v="983"/>
    <s v="Justin"/>
    <s v="Lynch"/>
    <s v="justin.lynch.983@gslingacademy.com"/>
    <x v="0"/>
    <x v="0"/>
    <x v="9"/>
    <x v="1"/>
    <n v="4"/>
    <x v="16"/>
    <n v="97"/>
    <n v="85"/>
    <n v="96"/>
    <n v="61"/>
    <n v="97"/>
    <n v="79"/>
    <n v="70"/>
    <n v="585"/>
    <n v="83.571428571428569"/>
    <x v="3"/>
    <x v="2"/>
    <x v="0"/>
  </r>
  <r>
    <n v="984"/>
    <s v="Daniel"/>
    <s v="Knight"/>
    <s v="daniel.knight.984@gslingacademy.com"/>
    <x v="0"/>
    <x v="0"/>
    <x v="0"/>
    <x v="0"/>
    <n v="34"/>
    <x v="8"/>
    <n v="86"/>
    <n v="67"/>
    <n v="98"/>
    <n v="86"/>
    <n v="86"/>
    <n v="83"/>
    <n v="89"/>
    <n v="595"/>
    <n v="85"/>
    <x v="1"/>
    <x v="0"/>
    <x v="0"/>
  </r>
  <r>
    <n v="985"/>
    <s v="Angelica"/>
    <s v="Jones"/>
    <s v="angelica.jones.985@gslingacademy.com"/>
    <x v="1"/>
    <x v="1"/>
    <x v="0"/>
    <x v="0"/>
    <n v="29"/>
    <x v="5"/>
    <n v="97"/>
    <n v="85"/>
    <n v="81"/>
    <n v="71"/>
    <n v="62"/>
    <n v="62"/>
    <n v="82"/>
    <n v="540"/>
    <n v="77.142857142857139"/>
    <x v="0"/>
    <x v="0"/>
    <x v="0"/>
  </r>
  <r>
    <n v="986"/>
    <s v="Lance"/>
    <s v="Nelson"/>
    <s v="lance.nelson.986@gslingacademy.com"/>
    <x v="0"/>
    <x v="0"/>
    <x v="1"/>
    <x v="1"/>
    <n v="35"/>
    <x v="4"/>
    <n v="91"/>
    <n v="94"/>
    <n v="97"/>
    <n v="97"/>
    <n v="100"/>
    <n v="88"/>
    <n v="99"/>
    <n v="666"/>
    <n v="95.142857142857139"/>
    <x v="1"/>
    <x v="0"/>
    <x v="1"/>
  </r>
  <r>
    <n v="987"/>
    <s v="Katherine"/>
    <s v="Jacobson"/>
    <s v="katherine.jacobson.987@gslingacademy.com"/>
    <x v="1"/>
    <x v="0"/>
    <x v="3"/>
    <x v="0"/>
    <n v="23"/>
    <x v="5"/>
    <n v="86"/>
    <n v="64"/>
    <n v="96"/>
    <n v="84"/>
    <n v="86"/>
    <n v="96"/>
    <n v="92"/>
    <n v="604"/>
    <n v="86.285714285714292"/>
    <x v="0"/>
    <x v="2"/>
    <x v="1"/>
  </r>
  <r>
    <n v="988"/>
    <s v="Corey"/>
    <s v="Taylor"/>
    <s v="corey.taylor.988@gslingacademy.com"/>
    <x v="0"/>
    <x v="1"/>
    <x v="8"/>
    <x v="0"/>
    <n v="5"/>
    <x v="7"/>
    <n v="90"/>
    <n v="97"/>
    <n v="54"/>
    <n v="59"/>
    <n v="82"/>
    <n v="76"/>
    <n v="72"/>
    <n v="530"/>
    <n v="75.714285714285708"/>
    <x v="3"/>
    <x v="1"/>
    <x v="0"/>
  </r>
  <r>
    <n v="989"/>
    <s v="Laura"/>
    <s v="Russell"/>
    <s v="laura.russell.989@gslingacademy.com"/>
    <x v="1"/>
    <x v="0"/>
    <x v="10"/>
    <x v="0"/>
    <n v="1"/>
    <x v="14"/>
    <n v="95"/>
    <n v="87"/>
    <n v="87"/>
    <n v="84"/>
    <n v="95"/>
    <n v="84"/>
    <n v="65"/>
    <n v="597"/>
    <n v="85.285714285714292"/>
    <x v="3"/>
    <x v="3"/>
    <x v="0"/>
  </r>
  <r>
    <n v="990"/>
    <s v="Arthur"/>
    <s v="Harris"/>
    <s v="arthur.harris.990@gslingacademy.com"/>
    <x v="0"/>
    <x v="0"/>
    <x v="5"/>
    <x v="0"/>
    <n v="31"/>
    <x v="9"/>
    <n v="90"/>
    <n v="100"/>
    <n v="76"/>
    <n v="76"/>
    <n v="84"/>
    <n v="79"/>
    <n v="84"/>
    <n v="589"/>
    <n v="84.142857142857139"/>
    <x v="1"/>
    <x v="0"/>
    <x v="0"/>
  </r>
  <r>
    <n v="991"/>
    <s v="Victoria"/>
    <s v="Garcia"/>
    <s v="victoria.garcia.991@gslingacademy.com"/>
    <x v="1"/>
    <x v="0"/>
    <x v="5"/>
    <x v="1"/>
    <n v="14"/>
    <x v="4"/>
    <n v="66"/>
    <n v="68"/>
    <n v="87"/>
    <n v="70"/>
    <n v="77"/>
    <n v="76"/>
    <n v="89"/>
    <n v="533"/>
    <n v="76.142857142857139"/>
    <x v="2"/>
    <x v="0"/>
    <x v="0"/>
  </r>
  <r>
    <n v="992"/>
    <s v="David"/>
    <s v="Gonzales"/>
    <s v="david.gonzales.992@gslingacademy.com"/>
    <x v="0"/>
    <x v="0"/>
    <x v="4"/>
    <x v="0"/>
    <n v="3"/>
    <x v="7"/>
    <n v="81"/>
    <n v="92"/>
    <n v="72"/>
    <n v="91"/>
    <n v="67"/>
    <n v="71"/>
    <n v="88"/>
    <n v="562"/>
    <n v="80.285714285714292"/>
    <x v="3"/>
    <x v="2"/>
    <x v="0"/>
  </r>
  <r>
    <n v="993"/>
    <s v="Charles"/>
    <s v="Thomas"/>
    <s v="charles.thomas.993@gslingacademy.com"/>
    <x v="0"/>
    <x v="1"/>
    <x v="1"/>
    <x v="0"/>
    <n v="18"/>
    <x v="5"/>
    <n v="85"/>
    <n v="99"/>
    <n v="86"/>
    <n v="69"/>
    <n v="68"/>
    <n v="98"/>
    <n v="62"/>
    <n v="567"/>
    <n v="81"/>
    <x v="2"/>
    <x v="0"/>
    <x v="0"/>
  </r>
  <r>
    <n v="994"/>
    <s v="Oscar"/>
    <s v="Gonzalez"/>
    <s v="oscar.gonzalez.994@gslingacademy.com"/>
    <x v="0"/>
    <x v="0"/>
    <x v="5"/>
    <x v="1"/>
    <n v="47"/>
    <x v="1"/>
    <n v="94"/>
    <n v="90"/>
    <n v="95"/>
    <n v="85"/>
    <n v="98"/>
    <n v="91"/>
    <n v="96"/>
    <n v="649"/>
    <n v="92.714285714285708"/>
    <x v="1"/>
    <x v="0"/>
    <x v="1"/>
  </r>
  <r>
    <n v="995"/>
    <s v="Sarah"/>
    <s v="Miller"/>
    <s v="sarah.miller.995@gslingacademy.com"/>
    <x v="1"/>
    <x v="0"/>
    <x v="1"/>
    <x v="0"/>
    <n v="4"/>
    <x v="14"/>
    <n v="81"/>
    <n v="71"/>
    <n v="83"/>
    <n v="63"/>
    <n v="80"/>
    <n v="79"/>
    <n v="83"/>
    <n v="540"/>
    <n v="77.142857142857139"/>
    <x v="3"/>
    <x v="0"/>
    <x v="0"/>
  </r>
  <r>
    <n v="996"/>
    <s v="Eric"/>
    <s v="Davis"/>
    <s v="eric.davis.996@gslingacademy.com"/>
    <x v="0"/>
    <x v="1"/>
    <x v="5"/>
    <x v="1"/>
    <n v="32"/>
    <x v="5"/>
    <n v="97"/>
    <n v="87"/>
    <n v="95"/>
    <n v="67"/>
    <n v="98"/>
    <n v="93"/>
    <n v="89"/>
    <n v="626"/>
    <n v="89.428571428571431"/>
    <x v="1"/>
    <x v="0"/>
    <x v="1"/>
  </r>
  <r>
    <n v="997"/>
    <s v="Patrick"/>
    <s v="Martin"/>
    <s v="patrick.martin.997@gslingacademy.com"/>
    <x v="0"/>
    <x v="0"/>
    <x v="0"/>
    <x v="1"/>
    <n v="20"/>
    <x v="11"/>
    <n v="100"/>
    <n v="79"/>
    <n v="72"/>
    <n v="98"/>
    <n v="87"/>
    <n v="76"/>
    <n v="76"/>
    <n v="588"/>
    <n v="84"/>
    <x v="2"/>
    <x v="0"/>
    <x v="0"/>
  </r>
  <r>
    <n v="998"/>
    <s v="Susan"/>
    <s v="Schmidt"/>
    <s v="susan.schmidt.998@gslingacademy.com"/>
    <x v="1"/>
    <x v="1"/>
    <x v="4"/>
    <x v="0"/>
    <n v="3"/>
    <x v="7"/>
    <n v="54"/>
    <n v="64"/>
    <n v="72"/>
    <n v="80"/>
    <n v="98"/>
    <n v="83"/>
    <n v="85"/>
    <n v="536"/>
    <n v="76.571428571428569"/>
    <x v="3"/>
    <x v="2"/>
    <x v="0"/>
  </r>
  <r>
    <n v="999"/>
    <s v="Brett"/>
    <s v="Bell"/>
    <s v="brett.bell.999@gslingacademy.com"/>
    <x v="0"/>
    <x v="1"/>
    <x v="3"/>
    <x v="0"/>
    <n v="19"/>
    <x v="5"/>
    <n v="97"/>
    <n v="87"/>
    <n v="70"/>
    <n v="74"/>
    <n v="73"/>
    <n v="74"/>
    <n v="81"/>
    <n v="556"/>
    <n v="79.428571428571431"/>
    <x v="2"/>
    <x v="2"/>
    <x v="0"/>
  </r>
  <r>
    <n v="1000"/>
    <s v="Dennis"/>
    <s v="Summers"/>
    <s v="dennis.summers.1000@gslingacademy.com"/>
    <x v="0"/>
    <x v="0"/>
    <x v="5"/>
    <x v="1"/>
    <n v="5"/>
    <x v="16"/>
    <n v="65"/>
    <n v="83"/>
    <n v="67"/>
    <n v="84"/>
    <n v="89"/>
    <n v="65"/>
    <n v="73"/>
    <n v="526"/>
    <n v="75.142857142857139"/>
    <x v="3"/>
    <x v="0"/>
    <x v="0"/>
  </r>
  <r>
    <n v="1001"/>
    <s v="Brandon"/>
    <s v="Smith"/>
    <s v="brandon.smith.1001@gslingacademy.com"/>
    <x v="0"/>
    <x v="0"/>
    <x v="7"/>
    <x v="1"/>
    <n v="0"/>
    <x v="7"/>
    <n v="53"/>
    <n v="51"/>
    <n v="57"/>
    <n v="72"/>
    <n v="77"/>
    <n v="78"/>
    <n v="79"/>
    <n v="467"/>
    <n v="66.714285714285708"/>
    <x v="3"/>
    <x v="1"/>
    <x v="0"/>
  </r>
  <r>
    <n v="1002"/>
    <s v="Nicole"/>
    <s v="Williams"/>
    <s v="nicole.williams.1002@gslingacademy.com"/>
    <x v="1"/>
    <x v="0"/>
    <x v="7"/>
    <x v="1"/>
    <n v="9"/>
    <x v="16"/>
    <n v="82"/>
    <n v="74"/>
    <n v="80"/>
    <n v="88"/>
    <n v="92"/>
    <n v="96"/>
    <n v="95"/>
    <n v="607"/>
    <n v="86.714285714285708"/>
    <x v="4"/>
    <x v="1"/>
    <x v="1"/>
  </r>
  <r>
    <n v="1003"/>
    <s v="Rachel"/>
    <s v="Frye"/>
    <s v="rachel.frye.1003@gslingacademy.com"/>
    <x v="1"/>
    <x v="0"/>
    <x v="7"/>
    <x v="0"/>
    <n v="4"/>
    <x v="7"/>
    <n v="93"/>
    <n v="90"/>
    <n v="79"/>
    <n v="54"/>
    <n v="53"/>
    <n v="99"/>
    <n v="79"/>
    <n v="547"/>
    <n v="78.142857142857139"/>
    <x v="3"/>
    <x v="1"/>
    <x v="0"/>
  </r>
  <r>
    <n v="1004"/>
    <s v="Tyler"/>
    <s v="Cabrera"/>
    <s v="tyler.cabrera.1004@gslingacademy.com"/>
    <x v="0"/>
    <x v="0"/>
    <x v="0"/>
    <x v="0"/>
    <n v="22"/>
    <x v="5"/>
    <n v="93"/>
    <n v="90"/>
    <n v="73"/>
    <n v="94"/>
    <n v="81"/>
    <n v="84"/>
    <n v="74"/>
    <n v="589"/>
    <n v="84.142857142857139"/>
    <x v="0"/>
    <x v="0"/>
    <x v="0"/>
  </r>
  <r>
    <n v="1005"/>
    <s v="Maureen"/>
    <s v="Jones"/>
    <s v="maureen.jones.1005@gslingacademy.com"/>
    <x v="1"/>
    <x v="0"/>
    <x v="2"/>
    <x v="0"/>
    <n v="3"/>
    <x v="7"/>
    <n v="91"/>
    <n v="95"/>
    <n v="88"/>
    <n v="89"/>
    <n v="58"/>
    <n v="81"/>
    <n v="69"/>
    <n v="571"/>
    <n v="81.571428571428569"/>
    <x v="3"/>
    <x v="1"/>
    <x v="0"/>
  </r>
  <r>
    <n v="1006"/>
    <s v="Pamela"/>
    <s v="Green"/>
    <s v="pamela.green.1006@gslingacademy.com"/>
    <x v="1"/>
    <x v="0"/>
    <x v="0"/>
    <x v="0"/>
    <n v="33"/>
    <x v="8"/>
    <n v="99"/>
    <n v="91"/>
    <n v="85"/>
    <n v="100"/>
    <n v="84"/>
    <n v="77"/>
    <n v="98"/>
    <n v="634"/>
    <n v="90.571428571428569"/>
    <x v="1"/>
    <x v="0"/>
    <x v="1"/>
  </r>
  <r>
    <n v="1007"/>
    <s v="Jeffery"/>
    <s v="Mcdonald"/>
    <s v="jeffery.mcdonald.1007@gslingacademy.com"/>
    <x v="0"/>
    <x v="0"/>
    <x v="10"/>
    <x v="0"/>
    <n v="13"/>
    <x v="13"/>
    <n v="87"/>
    <n v="63"/>
    <n v="81"/>
    <n v="85"/>
    <n v="62"/>
    <n v="98"/>
    <n v="81"/>
    <n v="557"/>
    <n v="79.571428571428569"/>
    <x v="2"/>
    <x v="3"/>
    <x v="0"/>
  </r>
  <r>
    <n v="1008"/>
    <s v="Austin"/>
    <s v="Matthews"/>
    <s v="austin.matthews.1008@gslingacademy.com"/>
    <x v="0"/>
    <x v="0"/>
    <x v="10"/>
    <x v="0"/>
    <n v="19"/>
    <x v="4"/>
    <n v="83"/>
    <n v="79"/>
    <n v="91"/>
    <n v="62"/>
    <n v="63"/>
    <n v="76"/>
    <n v="93"/>
    <n v="547"/>
    <n v="78.142857142857139"/>
    <x v="2"/>
    <x v="3"/>
    <x v="0"/>
  </r>
  <r>
    <n v="1009"/>
    <s v="Jacqueline"/>
    <s v="Allen"/>
    <s v="jacqueline.allen.1009@gslingacademy.com"/>
    <x v="1"/>
    <x v="0"/>
    <x v="1"/>
    <x v="1"/>
    <n v="10"/>
    <x v="16"/>
    <n v="59"/>
    <n v="73"/>
    <n v="90"/>
    <n v="74"/>
    <n v="95"/>
    <n v="77"/>
    <n v="81"/>
    <n v="549"/>
    <n v="78.428571428571431"/>
    <x v="4"/>
    <x v="0"/>
    <x v="0"/>
  </r>
  <r>
    <n v="1010"/>
    <s v="Joanna"/>
    <s v="Dominguez"/>
    <s v="joanna.dominguez.1010@gslingacademy.com"/>
    <x v="1"/>
    <x v="1"/>
    <x v="1"/>
    <x v="0"/>
    <n v="29"/>
    <x v="4"/>
    <n v="74"/>
    <n v="68"/>
    <n v="71"/>
    <n v="60"/>
    <n v="97"/>
    <n v="64"/>
    <n v="63"/>
    <n v="497"/>
    <n v="71"/>
    <x v="0"/>
    <x v="0"/>
    <x v="0"/>
  </r>
  <r>
    <n v="1011"/>
    <s v="Brian"/>
    <s v="Griffin"/>
    <s v="brian.griffin.1011@gslingacademy.com"/>
    <x v="0"/>
    <x v="0"/>
    <x v="0"/>
    <x v="1"/>
    <n v="31"/>
    <x v="0"/>
    <n v="81"/>
    <n v="98"/>
    <n v="71"/>
    <n v="92"/>
    <n v="74"/>
    <n v="93"/>
    <n v="63"/>
    <n v="572"/>
    <n v="81.714285714285708"/>
    <x v="1"/>
    <x v="0"/>
    <x v="0"/>
  </r>
  <r>
    <n v="1012"/>
    <s v="Dean"/>
    <s v="Lee"/>
    <s v="dean.lee.1012@gslingacademy.com"/>
    <x v="0"/>
    <x v="0"/>
    <x v="0"/>
    <x v="1"/>
    <n v="3"/>
    <x v="14"/>
    <n v="80"/>
    <n v="92"/>
    <n v="85"/>
    <n v="81"/>
    <n v="94"/>
    <n v="75"/>
    <n v="72"/>
    <n v="579"/>
    <n v="82.714285714285708"/>
    <x v="3"/>
    <x v="0"/>
    <x v="0"/>
  </r>
  <r>
    <n v="1013"/>
    <s v="Denise"/>
    <s v="Rodriguez"/>
    <s v="denise.rodriguez.1013@gslingacademy.com"/>
    <x v="1"/>
    <x v="0"/>
    <x v="10"/>
    <x v="1"/>
    <n v="29"/>
    <x v="9"/>
    <n v="89"/>
    <n v="66"/>
    <n v="72"/>
    <n v="77"/>
    <n v="79"/>
    <n v="95"/>
    <n v="92"/>
    <n v="570"/>
    <n v="81.428571428571431"/>
    <x v="0"/>
    <x v="3"/>
    <x v="0"/>
  </r>
  <r>
    <n v="1014"/>
    <s v="Brendan"/>
    <s v="Rivera"/>
    <s v="brendan.rivera.1014@gslingacademy.com"/>
    <x v="0"/>
    <x v="1"/>
    <x v="0"/>
    <x v="0"/>
    <n v="34"/>
    <x v="4"/>
    <n v="65"/>
    <n v="78"/>
    <n v="82"/>
    <n v="65"/>
    <n v="100"/>
    <n v="92"/>
    <n v="64"/>
    <n v="546"/>
    <n v="78"/>
    <x v="1"/>
    <x v="0"/>
    <x v="0"/>
  </r>
  <r>
    <n v="1015"/>
    <s v="Jackson"/>
    <s v="Smith"/>
    <s v="jackson.smith.1015@gslingacademy.com"/>
    <x v="0"/>
    <x v="1"/>
    <x v="7"/>
    <x v="0"/>
    <n v="4"/>
    <x v="7"/>
    <n v="94"/>
    <n v="61"/>
    <n v="60"/>
    <n v="77"/>
    <n v="75"/>
    <n v="93"/>
    <n v="60"/>
    <n v="520"/>
    <n v="74.285714285714292"/>
    <x v="3"/>
    <x v="1"/>
    <x v="0"/>
  </r>
  <r>
    <n v="1016"/>
    <s v="Craig"/>
    <s v="Weber"/>
    <s v="craig.weber.1016@gslingacademy.com"/>
    <x v="0"/>
    <x v="0"/>
    <x v="0"/>
    <x v="0"/>
    <n v="34"/>
    <x v="12"/>
    <n v="93"/>
    <n v="70"/>
    <n v="80"/>
    <n v="67"/>
    <n v="77"/>
    <n v="80"/>
    <n v="91"/>
    <n v="558"/>
    <n v="79.714285714285708"/>
    <x v="1"/>
    <x v="0"/>
    <x v="0"/>
  </r>
  <r>
    <n v="1017"/>
    <s v="Joseph"/>
    <s v="Carpenter"/>
    <s v="joseph.carpenter.1017@gslingacademy.com"/>
    <x v="0"/>
    <x v="0"/>
    <x v="1"/>
    <x v="0"/>
    <n v="30"/>
    <x v="5"/>
    <n v="90"/>
    <n v="69"/>
    <n v="91"/>
    <n v="84"/>
    <n v="65"/>
    <n v="86"/>
    <n v="93"/>
    <n v="578"/>
    <n v="82.571428571428569"/>
    <x v="0"/>
    <x v="0"/>
    <x v="0"/>
  </r>
  <r>
    <n v="1018"/>
    <s v="Sarah"/>
    <s v="Tucker"/>
    <s v="sarah.tucker.1018@gslingacademy.com"/>
    <x v="1"/>
    <x v="0"/>
    <x v="0"/>
    <x v="0"/>
    <n v="18"/>
    <x v="4"/>
    <n v="67"/>
    <n v="60"/>
    <n v="87"/>
    <n v="73"/>
    <n v="92"/>
    <n v="82"/>
    <n v="70"/>
    <n v="531"/>
    <n v="75.857142857142861"/>
    <x v="2"/>
    <x v="0"/>
    <x v="0"/>
  </r>
  <r>
    <n v="1019"/>
    <s v="Steven"/>
    <s v="Hernandez"/>
    <s v="steven.hernandez.1019@gslingacademy.com"/>
    <x v="0"/>
    <x v="0"/>
    <x v="0"/>
    <x v="0"/>
    <n v="32"/>
    <x v="11"/>
    <n v="81"/>
    <n v="91"/>
    <n v="73"/>
    <n v="72"/>
    <n v="49"/>
    <n v="81"/>
    <n v="72"/>
    <n v="519"/>
    <n v="74.142857142857139"/>
    <x v="1"/>
    <x v="0"/>
    <x v="0"/>
  </r>
  <r>
    <n v="1020"/>
    <s v="Robert"/>
    <s v="Foley"/>
    <s v="robert.foley.1020@gslingacademy.com"/>
    <x v="0"/>
    <x v="0"/>
    <x v="5"/>
    <x v="0"/>
    <n v="31"/>
    <x v="5"/>
    <n v="95"/>
    <n v="71"/>
    <n v="88"/>
    <n v="96"/>
    <n v="82"/>
    <n v="65"/>
    <n v="80"/>
    <n v="577"/>
    <n v="82.428571428571431"/>
    <x v="1"/>
    <x v="0"/>
    <x v="0"/>
  </r>
  <r>
    <n v="1021"/>
    <s v="Michael"/>
    <s v="Carr"/>
    <s v="michael.carr.1021@gslingacademy.com"/>
    <x v="0"/>
    <x v="0"/>
    <x v="7"/>
    <x v="0"/>
    <n v="0"/>
    <x v="7"/>
    <n v="67"/>
    <n v="50"/>
    <n v="93"/>
    <n v="86"/>
    <n v="66"/>
    <n v="73"/>
    <n v="85"/>
    <n v="520"/>
    <n v="74.285714285714292"/>
    <x v="3"/>
    <x v="1"/>
    <x v="0"/>
  </r>
  <r>
    <n v="1022"/>
    <s v="Walter"/>
    <s v="Herrera"/>
    <s v="walter.herrera.1022@gslingacademy.com"/>
    <x v="0"/>
    <x v="0"/>
    <x v="6"/>
    <x v="0"/>
    <n v="3"/>
    <x v="14"/>
    <n v="83"/>
    <n v="69"/>
    <n v="99"/>
    <n v="88"/>
    <n v="87"/>
    <n v="81"/>
    <n v="68"/>
    <n v="575"/>
    <n v="82.142857142857139"/>
    <x v="3"/>
    <x v="1"/>
    <x v="0"/>
  </r>
  <r>
    <n v="1023"/>
    <s v="Sarah"/>
    <s v="Mckinney"/>
    <s v="sarah.mckinney.1023@gslingacademy.com"/>
    <x v="1"/>
    <x v="0"/>
    <x v="0"/>
    <x v="1"/>
    <n v="5"/>
    <x v="3"/>
    <n v="87"/>
    <n v="96"/>
    <n v="67"/>
    <n v="64"/>
    <n v="67"/>
    <n v="81"/>
    <n v="90"/>
    <n v="552"/>
    <n v="78.857142857142861"/>
    <x v="3"/>
    <x v="0"/>
    <x v="0"/>
  </r>
  <r>
    <n v="1024"/>
    <s v="Jacob"/>
    <s v="Nguyen"/>
    <s v="jacob.nguyen.1024@gslingacademy.com"/>
    <x v="0"/>
    <x v="0"/>
    <x v="0"/>
    <x v="1"/>
    <n v="24"/>
    <x v="13"/>
    <n v="82"/>
    <n v="71"/>
    <n v="84"/>
    <n v="68"/>
    <n v="74"/>
    <n v="64"/>
    <n v="73"/>
    <n v="516"/>
    <n v="73.714285714285708"/>
    <x v="0"/>
    <x v="0"/>
    <x v="0"/>
  </r>
  <r>
    <n v="1025"/>
    <s v="Mary"/>
    <s v="Garza"/>
    <s v="mary.garza.1025@gslingacademy.com"/>
    <x v="1"/>
    <x v="0"/>
    <x v="9"/>
    <x v="0"/>
    <n v="27"/>
    <x v="11"/>
    <n v="97"/>
    <n v="87"/>
    <n v="65"/>
    <n v="90"/>
    <n v="66"/>
    <n v="84"/>
    <n v="75"/>
    <n v="564"/>
    <n v="80.571428571428569"/>
    <x v="0"/>
    <x v="2"/>
    <x v="0"/>
  </r>
  <r>
    <n v="1026"/>
    <s v="Jesse"/>
    <s v="Hawkins"/>
    <s v="jesse.hawkins.1026@gslingacademy.com"/>
    <x v="0"/>
    <x v="0"/>
    <x v="5"/>
    <x v="1"/>
    <n v="21"/>
    <x v="5"/>
    <n v="88"/>
    <n v="67"/>
    <n v="77"/>
    <n v="89"/>
    <n v="97"/>
    <n v="70"/>
    <n v="71"/>
    <n v="559"/>
    <n v="79.857142857142861"/>
    <x v="0"/>
    <x v="0"/>
    <x v="0"/>
  </r>
  <r>
    <n v="1027"/>
    <s v="Jordan"/>
    <s v="Boyd"/>
    <s v="jordan.boyd.1027@gslingacademy.com"/>
    <x v="1"/>
    <x v="0"/>
    <x v="9"/>
    <x v="0"/>
    <n v="32"/>
    <x v="9"/>
    <n v="91"/>
    <n v="94"/>
    <n v="81"/>
    <n v="61"/>
    <n v="61"/>
    <n v="82"/>
    <n v="73"/>
    <n v="543"/>
    <n v="77.571428571428569"/>
    <x v="1"/>
    <x v="2"/>
    <x v="0"/>
  </r>
  <r>
    <n v="1028"/>
    <s v="Latoya"/>
    <s v="Mullins"/>
    <s v="latoya.mullins.1028@gslingacademy.com"/>
    <x v="1"/>
    <x v="1"/>
    <x v="6"/>
    <x v="0"/>
    <n v="5"/>
    <x v="7"/>
    <n v="77"/>
    <n v="60"/>
    <n v="83"/>
    <n v="65"/>
    <n v="81"/>
    <n v="80"/>
    <n v="88"/>
    <n v="534"/>
    <n v="76.285714285714292"/>
    <x v="3"/>
    <x v="1"/>
    <x v="0"/>
  </r>
  <r>
    <n v="1029"/>
    <s v="Jill"/>
    <s v="Armstrong"/>
    <s v="jill.armstrong.1029@gslingacademy.com"/>
    <x v="1"/>
    <x v="0"/>
    <x v="6"/>
    <x v="0"/>
    <n v="7"/>
    <x v="4"/>
    <n v="94"/>
    <n v="65"/>
    <n v="96"/>
    <n v="77"/>
    <n v="83"/>
    <n v="75"/>
    <n v="98"/>
    <n v="588"/>
    <n v="84"/>
    <x v="4"/>
    <x v="1"/>
    <x v="0"/>
  </r>
  <r>
    <n v="1030"/>
    <s v="Aaron"/>
    <s v="Peterson"/>
    <s v="aaron.peterson.1030@gslingacademy.com"/>
    <x v="0"/>
    <x v="1"/>
    <x v="8"/>
    <x v="0"/>
    <n v="1"/>
    <x v="7"/>
    <n v="100"/>
    <n v="82"/>
    <n v="91"/>
    <n v="82"/>
    <n v="70"/>
    <n v="51"/>
    <n v="77"/>
    <n v="553"/>
    <n v="79"/>
    <x v="3"/>
    <x v="1"/>
    <x v="0"/>
  </r>
  <r>
    <n v="1031"/>
    <s v="April"/>
    <s v="Greene"/>
    <s v="april.greene.1031@gslingacademy.com"/>
    <x v="1"/>
    <x v="0"/>
    <x v="0"/>
    <x v="0"/>
    <n v="22"/>
    <x v="9"/>
    <n v="96"/>
    <n v="75"/>
    <n v="79"/>
    <n v="72"/>
    <n v="69"/>
    <n v="94"/>
    <n v="64"/>
    <n v="549"/>
    <n v="78.428571428571431"/>
    <x v="0"/>
    <x v="0"/>
    <x v="0"/>
  </r>
  <r>
    <n v="1032"/>
    <s v="Theodore"/>
    <s v="Gomez"/>
    <s v="theodore.gomez.1032@gslingacademy.com"/>
    <x v="0"/>
    <x v="0"/>
    <x v="3"/>
    <x v="1"/>
    <n v="15"/>
    <x v="11"/>
    <n v="75"/>
    <n v="64"/>
    <n v="76"/>
    <n v="65"/>
    <n v="44"/>
    <n v="80"/>
    <n v="91"/>
    <n v="495"/>
    <n v="70.714285714285708"/>
    <x v="2"/>
    <x v="2"/>
    <x v="0"/>
  </r>
  <r>
    <n v="1033"/>
    <s v="John"/>
    <s v="Gardner"/>
    <s v="john.gardner.1033@gslingacademy.com"/>
    <x v="0"/>
    <x v="0"/>
    <x v="5"/>
    <x v="0"/>
    <n v="12"/>
    <x v="2"/>
    <n v="94"/>
    <n v="84"/>
    <n v="85"/>
    <n v="63"/>
    <n v="67"/>
    <n v="89"/>
    <n v="66"/>
    <n v="548"/>
    <n v="78.285714285714292"/>
    <x v="2"/>
    <x v="0"/>
    <x v="0"/>
  </r>
  <r>
    <n v="1034"/>
    <s v="Joseph"/>
    <s v="Petersen"/>
    <s v="joseph.petersen.1034@gslingacademy.com"/>
    <x v="0"/>
    <x v="0"/>
    <x v="0"/>
    <x v="1"/>
    <n v="21"/>
    <x v="4"/>
    <n v="89"/>
    <n v="100"/>
    <n v="89"/>
    <n v="65"/>
    <n v="91"/>
    <n v="83"/>
    <n v="61"/>
    <n v="578"/>
    <n v="82.571428571428569"/>
    <x v="0"/>
    <x v="0"/>
    <x v="0"/>
  </r>
  <r>
    <n v="1035"/>
    <s v="Matthew"/>
    <s v="Potter"/>
    <s v="matthew.potter.1035@gslingacademy.com"/>
    <x v="0"/>
    <x v="1"/>
    <x v="3"/>
    <x v="0"/>
    <n v="24"/>
    <x v="15"/>
    <n v="100"/>
    <n v="80"/>
    <n v="74"/>
    <n v="87"/>
    <n v="77"/>
    <n v="95"/>
    <n v="92"/>
    <n v="605"/>
    <n v="86.428571428571431"/>
    <x v="0"/>
    <x v="2"/>
    <x v="1"/>
  </r>
  <r>
    <n v="1036"/>
    <s v="Linda"/>
    <s v="Munoz"/>
    <s v="linda.munoz.1036@gslingacademy.com"/>
    <x v="1"/>
    <x v="0"/>
    <x v="6"/>
    <x v="0"/>
    <n v="18"/>
    <x v="11"/>
    <n v="94"/>
    <n v="97"/>
    <n v="61"/>
    <n v="67"/>
    <n v="77"/>
    <n v="88"/>
    <n v="70"/>
    <n v="554"/>
    <n v="79.142857142857139"/>
    <x v="2"/>
    <x v="1"/>
    <x v="0"/>
  </r>
  <r>
    <n v="1037"/>
    <s v="Samantha"/>
    <s v="Stewart"/>
    <s v="samantha.stewart.1037@gslingacademy.com"/>
    <x v="1"/>
    <x v="0"/>
    <x v="4"/>
    <x v="0"/>
    <n v="4"/>
    <x v="2"/>
    <n v="78"/>
    <n v="78"/>
    <n v="100"/>
    <n v="87"/>
    <n v="98"/>
    <n v="80"/>
    <n v="98"/>
    <n v="619"/>
    <n v="88.428571428571431"/>
    <x v="3"/>
    <x v="2"/>
    <x v="1"/>
  </r>
  <r>
    <n v="1038"/>
    <s v="Michael"/>
    <s v="Reyes"/>
    <s v="michael.reyes.1038@gslingacademy.com"/>
    <x v="0"/>
    <x v="1"/>
    <x v="4"/>
    <x v="0"/>
    <n v="5"/>
    <x v="7"/>
    <n v="65"/>
    <n v="71"/>
    <n v="88"/>
    <n v="57"/>
    <n v="75"/>
    <n v="62"/>
    <n v="62"/>
    <n v="480"/>
    <n v="68.571428571428569"/>
    <x v="3"/>
    <x v="2"/>
    <x v="0"/>
  </r>
  <r>
    <n v="1039"/>
    <s v="Sarah"/>
    <s v="Murphy"/>
    <s v="sarah.murphy.1039@gslingacademy.com"/>
    <x v="1"/>
    <x v="1"/>
    <x v="6"/>
    <x v="0"/>
    <n v="32"/>
    <x v="10"/>
    <n v="68"/>
    <n v="81"/>
    <n v="72"/>
    <n v="76"/>
    <n v="93"/>
    <n v="94"/>
    <n v="97"/>
    <n v="581"/>
    <n v="83"/>
    <x v="1"/>
    <x v="1"/>
    <x v="0"/>
  </r>
  <r>
    <n v="1040"/>
    <s v="Derrick"/>
    <s v="Melton"/>
    <s v="derrick.melton.1040@gslingacademy.com"/>
    <x v="0"/>
    <x v="0"/>
    <x v="8"/>
    <x v="1"/>
    <n v="0"/>
    <x v="3"/>
    <n v="93"/>
    <n v="78"/>
    <n v="98"/>
    <n v="76"/>
    <n v="86"/>
    <n v="89"/>
    <n v="92"/>
    <n v="612"/>
    <n v="87.428571428571431"/>
    <x v="3"/>
    <x v="1"/>
    <x v="1"/>
  </r>
  <r>
    <n v="1041"/>
    <s v="Donna"/>
    <s v="Horne"/>
    <s v="donna.horne.1041@gslingacademy.com"/>
    <x v="1"/>
    <x v="0"/>
    <x v="1"/>
    <x v="0"/>
    <n v="34"/>
    <x v="8"/>
    <n v="100"/>
    <n v="64"/>
    <n v="95"/>
    <n v="83"/>
    <n v="83"/>
    <n v="94"/>
    <n v="83"/>
    <n v="602"/>
    <n v="86"/>
    <x v="1"/>
    <x v="0"/>
    <x v="1"/>
  </r>
  <r>
    <n v="1042"/>
    <s v="Natasha"/>
    <s v="Butler"/>
    <s v="natasha.butler.1042@gslingacademy.com"/>
    <x v="1"/>
    <x v="0"/>
    <x v="3"/>
    <x v="0"/>
    <n v="28"/>
    <x v="0"/>
    <n v="85"/>
    <n v="99"/>
    <n v="64"/>
    <n v="78"/>
    <n v="63"/>
    <n v="95"/>
    <n v="91"/>
    <n v="575"/>
    <n v="82.142857142857139"/>
    <x v="0"/>
    <x v="2"/>
    <x v="0"/>
  </r>
  <r>
    <n v="1043"/>
    <s v="David"/>
    <s v="Vasquez"/>
    <s v="david.vasquez.1043@gslingacademy.com"/>
    <x v="0"/>
    <x v="1"/>
    <x v="5"/>
    <x v="1"/>
    <n v="30"/>
    <x v="1"/>
    <n v="80"/>
    <n v="93"/>
    <n v="82"/>
    <n v="89"/>
    <n v="94"/>
    <n v="95"/>
    <n v="70"/>
    <n v="603"/>
    <n v="86.142857142857139"/>
    <x v="0"/>
    <x v="0"/>
    <x v="1"/>
  </r>
  <r>
    <n v="1044"/>
    <s v="Christopher"/>
    <s v="Lester"/>
    <s v="christopher.lester.1044@gslingacademy.com"/>
    <x v="0"/>
    <x v="0"/>
    <x v="8"/>
    <x v="0"/>
    <n v="31"/>
    <x v="0"/>
    <n v="97"/>
    <n v="80"/>
    <n v="60"/>
    <n v="98"/>
    <n v="86"/>
    <n v="83"/>
    <n v="75"/>
    <n v="579"/>
    <n v="82.714285714285708"/>
    <x v="1"/>
    <x v="1"/>
    <x v="0"/>
  </r>
  <r>
    <n v="1045"/>
    <s v="Martin"/>
    <s v="Franco"/>
    <s v="martin.franco.1045@gslingacademy.com"/>
    <x v="0"/>
    <x v="0"/>
    <x v="0"/>
    <x v="1"/>
    <n v="33"/>
    <x v="5"/>
    <n v="85"/>
    <n v="90"/>
    <n v="100"/>
    <n v="84"/>
    <n v="95"/>
    <n v="77"/>
    <n v="62"/>
    <n v="593"/>
    <n v="84.714285714285708"/>
    <x v="1"/>
    <x v="0"/>
    <x v="0"/>
  </r>
  <r>
    <n v="1046"/>
    <s v="Katherine"/>
    <s v="Donaldson"/>
    <s v="katherine.donaldson.1046@gslingacademy.com"/>
    <x v="1"/>
    <x v="0"/>
    <x v="1"/>
    <x v="0"/>
    <n v="28"/>
    <x v="9"/>
    <n v="87"/>
    <n v="76"/>
    <n v="87"/>
    <n v="98"/>
    <n v="61"/>
    <n v="92"/>
    <n v="81"/>
    <n v="582"/>
    <n v="83.142857142857139"/>
    <x v="0"/>
    <x v="0"/>
    <x v="0"/>
  </r>
  <r>
    <n v="1047"/>
    <s v="Harold"/>
    <s v="Daniels"/>
    <s v="harold.daniels.1047@gslingacademy.com"/>
    <x v="0"/>
    <x v="0"/>
    <x v="1"/>
    <x v="0"/>
    <n v="31"/>
    <x v="9"/>
    <n v="79"/>
    <n v="70"/>
    <n v="82"/>
    <n v="63"/>
    <n v="90"/>
    <n v="89"/>
    <n v="96"/>
    <n v="569"/>
    <n v="81.285714285714292"/>
    <x v="1"/>
    <x v="0"/>
    <x v="0"/>
  </r>
  <r>
    <n v="1048"/>
    <s v="Michael"/>
    <s v="Anderson"/>
    <s v="michael.anderson.1048@gslingacademy.com"/>
    <x v="0"/>
    <x v="1"/>
    <x v="0"/>
    <x v="0"/>
    <n v="7"/>
    <x v="2"/>
    <n v="87"/>
    <n v="86"/>
    <n v="73"/>
    <n v="88"/>
    <n v="98"/>
    <n v="71"/>
    <n v="85"/>
    <n v="588"/>
    <n v="84"/>
    <x v="4"/>
    <x v="0"/>
    <x v="0"/>
  </r>
  <r>
    <n v="1049"/>
    <s v="Nichole"/>
    <s v="Harrington"/>
    <s v="nichole.harrington.1049@gslingacademy.com"/>
    <x v="1"/>
    <x v="0"/>
    <x v="4"/>
    <x v="0"/>
    <n v="28"/>
    <x v="0"/>
    <n v="72"/>
    <n v="88"/>
    <n v="62"/>
    <n v="60"/>
    <n v="97"/>
    <n v="86"/>
    <n v="64"/>
    <n v="529"/>
    <n v="75.571428571428569"/>
    <x v="0"/>
    <x v="2"/>
    <x v="0"/>
  </r>
  <r>
    <n v="1050"/>
    <s v="Wendy"/>
    <s v="Clark"/>
    <s v="wendy.clark.1050@gslingacademy.com"/>
    <x v="1"/>
    <x v="0"/>
    <x v="9"/>
    <x v="1"/>
    <n v="44"/>
    <x v="1"/>
    <n v="89"/>
    <n v="99"/>
    <n v="93"/>
    <n v="99"/>
    <n v="87"/>
    <n v="89"/>
    <n v="98"/>
    <n v="654"/>
    <n v="93.428571428571431"/>
    <x v="1"/>
    <x v="2"/>
    <x v="1"/>
  </r>
  <r>
    <n v="1051"/>
    <s v="Chelsea"/>
    <s v="Taylor"/>
    <s v="chelsea.taylor.1051@gslingacademy.com"/>
    <x v="1"/>
    <x v="1"/>
    <x v="10"/>
    <x v="0"/>
    <n v="13"/>
    <x v="4"/>
    <n v="62"/>
    <n v="88"/>
    <n v="87"/>
    <n v="90"/>
    <n v="84"/>
    <n v="88"/>
    <n v="95"/>
    <n v="594"/>
    <n v="84.857142857142861"/>
    <x v="2"/>
    <x v="3"/>
    <x v="0"/>
  </r>
  <r>
    <n v="1052"/>
    <s v="Jeffrey"/>
    <s v="Knight"/>
    <s v="jeffrey.knight.1052@gslingacademy.com"/>
    <x v="0"/>
    <x v="0"/>
    <x v="1"/>
    <x v="0"/>
    <n v="15"/>
    <x v="9"/>
    <n v="93"/>
    <n v="84"/>
    <n v="86"/>
    <n v="82"/>
    <n v="62"/>
    <n v="87"/>
    <n v="84"/>
    <n v="578"/>
    <n v="82.571428571428569"/>
    <x v="2"/>
    <x v="0"/>
    <x v="0"/>
  </r>
  <r>
    <n v="1053"/>
    <s v="Katelyn"/>
    <s v="Watkins"/>
    <s v="katelyn.watkins.1053@gslingacademy.com"/>
    <x v="1"/>
    <x v="0"/>
    <x v="0"/>
    <x v="0"/>
    <n v="16"/>
    <x v="11"/>
    <n v="75"/>
    <n v="97"/>
    <n v="97"/>
    <n v="83"/>
    <n v="74"/>
    <n v="74"/>
    <n v="74"/>
    <n v="574"/>
    <n v="82"/>
    <x v="2"/>
    <x v="0"/>
    <x v="0"/>
  </r>
  <r>
    <n v="1054"/>
    <s v="Anne"/>
    <s v="Johnston"/>
    <s v="anne.johnston.1054@gslingacademy.com"/>
    <x v="1"/>
    <x v="0"/>
    <x v="5"/>
    <x v="0"/>
    <n v="18"/>
    <x v="9"/>
    <n v="75"/>
    <n v="66"/>
    <n v="61"/>
    <n v="69"/>
    <n v="68"/>
    <n v="96"/>
    <n v="63"/>
    <n v="498"/>
    <n v="71.142857142857139"/>
    <x v="2"/>
    <x v="0"/>
    <x v="0"/>
  </r>
  <r>
    <n v="1055"/>
    <s v="Rebecca"/>
    <s v="Carpenter"/>
    <s v="rebecca.carpenter.1055@gslingacademy.com"/>
    <x v="1"/>
    <x v="0"/>
    <x v="5"/>
    <x v="0"/>
    <n v="28"/>
    <x v="4"/>
    <n v="88"/>
    <n v="93"/>
    <n v="92"/>
    <n v="70"/>
    <n v="90"/>
    <n v="94"/>
    <n v="85"/>
    <n v="612"/>
    <n v="87.428571428571431"/>
    <x v="0"/>
    <x v="0"/>
    <x v="1"/>
  </r>
  <r>
    <n v="1056"/>
    <s v="Ashley"/>
    <s v="Baker"/>
    <s v="ashley.baker.1056@gslingacademy.com"/>
    <x v="1"/>
    <x v="0"/>
    <x v="3"/>
    <x v="0"/>
    <n v="29"/>
    <x v="0"/>
    <n v="86"/>
    <n v="95"/>
    <n v="95"/>
    <n v="72"/>
    <n v="72"/>
    <n v="80"/>
    <n v="65"/>
    <n v="565"/>
    <n v="80.714285714285708"/>
    <x v="0"/>
    <x v="2"/>
    <x v="0"/>
  </r>
  <r>
    <n v="1057"/>
    <s v="Lacey"/>
    <s v="Norris"/>
    <s v="lacey.norris.1057@gslingacademy.com"/>
    <x v="1"/>
    <x v="0"/>
    <x v="8"/>
    <x v="0"/>
    <n v="30"/>
    <x v="0"/>
    <n v="86"/>
    <n v="98"/>
    <n v="97"/>
    <n v="75"/>
    <n v="83"/>
    <n v="95"/>
    <n v="80"/>
    <n v="614"/>
    <n v="87.714285714285708"/>
    <x v="0"/>
    <x v="1"/>
    <x v="1"/>
  </r>
  <r>
    <n v="1058"/>
    <s v="Angela"/>
    <s v="Moore"/>
    <s v="angela.moore.1058@gslingacademy.com"/>
    <x v="1"/>
    <x v="0"/>
    <x v="5"/>
    <x v="1"/>
    <n v="32"/>
    <x v="5"/>
    <n v="99"/>
    <n v="95"/>
    <n v="88"/>
    <n v="68"/>
    <n v="91"/>
    <n v="62"/>
    <n v="75"/>
    <n v="578"/>
    <n v="82.571428571428569"/>
    <x v="1"/>
    <x v="0"/>
    <x v="0"/>
  </r>
  <r>
    <n v="1059"/>
    <s v="Maria"/>
    <s v="Obrien"/>
    <s v="maria.obrien.1059@gslingacademy.com"/>
    <x v="1"/>
    <x v="0"/>
    <x v="10"/>
    <x v="0"/>
    <n v="19"/>
    <x v="5"/>
    <n v="95"/>
    <n v="85"/>
    <n v="76"/>
    <n v="96"/>
    <n v="68"/>
    <n v="74"/>
    <n v="93"/>
    <n v="587"/>
    <n v="83.857142857142861"/>
    <x v="2"/>
    <x v="3"/>
    <x v="0"/>
  </r>
  <r>
    <n v="1060"/>
    <s v="Rebecca"/>
    <s v="Larsen"/>
    <s v="rebecca.larsen.1060@gslingacademy.com"/>
    <x v="1"/>
    <x v="0"/>
    <x v="1"/>
    <x v="0"/>
    <n v="18"/>
    <x v="5"/>
    <n v="92"/>
    <n v="72"/>
    <n v="61"/>
    <n v="93"/>
    <n v="86"/>
    <n v="97"/>
    <n v="79"/>
    <n v="580"/>
    <n v="82.857142857142861"/>
    <x v="2"/>
    <x v="0"/>
    <x v="0"/>
  </r>
  <r>
    <n v="1061"/>
    <s v="Amanda"/>
    <s v="Rodriguez"/>
    <s v="amanda.rodriguez.1061@gslingacademy.com"/>
    <x v="1"/>
    <x v="0"/>
    <x v="3"/>
    <x v="0"/>
    <n v="23"/>
    <x v="1"/>
    <n v="88"/>
    <n v="91"/>
    <n v="96"/>
    <n v="99"/>
    <n v="85"/>
    <n v="62"/>
    <n v="86"/>
    <n v="607"/>
    <n v="86.714285714285708"/>
    <x v="0"/>
    <x v="2"/>
    <x v="1"/>
  </r>
  <r>
    <n v="1062"/>
    <s v="Patrick"/>
    <s v="Clark"/>
    <s v="patrick.clark.1062@gslingacademy.com"/>
    <x v="0"/>
    <x v="0"/>
    <x v="6"/>
    <x v="0"/>
    <n v="16"/>
    <x v="9"/>
    <n v="92"/>
    <n v="60"/>
    <n v="76"/>
    <n v="61"/>
    <n v="94"/>
    <n v="93"/>
    <n v="94"/>
    <n v="570"/>
    <n v="81.428571428571431"/>
    <x v="2"/>
    <x v="1"/>
    <x v="0"/>
  </r>
  <r>
    <n v="1063"/>
    <s v="Janet"/>
    <s v="Morrison"/>
    <s v="janet.morrison.1063@gslingacademy.com"/>
    <x v="1"/>
    <x v="1"/>
    <x v="8"/>
    <x v="0"/>
    <n v="1"/>
    <x v="7"/>
    <n v="70"/>
    <n v="70"/>
    <n v="75"/>
    <n v="83"/>
    <n v="60"/>
    <n v="86"/>
    <n v="62"/>
    <n v="506"/>
    <n v="72.285714285714292"/>
    <x v="3"/>
    <x v="1"/>
    <x v="0"/>
  </r>
  <r>
    <n v="1064"/>
    <s v="James"/>
    <s v="Acosta"/>
    <s v="james.acosta.1064@gslingacademy.com"/>
    <x v="0"/>
    <x v="1"/>
    <x v="5"/>
    <x v="0"/>
    <n v="35"/>
    <x v="8"/>
    <n v="85"/>
    <n v="90"/>
    <n v="98"/>
    <n v="92"/>
    <n v="89"/>
    <n v="88"/>
    <n v="95"/>
    <n v="637"/>
    <n v="91"/>
    <x v="1"/>
    <x v="0"/>
    <x v="1"/>
  </r>
  <r>
    <n v="1065"/>
    <s v="Richard"/>
    <s v="Burke"/>
    <s v="richard.burke.1065@gslingacademy.com"/>
    <x v="0"/>
    <x v="0"/>
    <x v="0"/>
    <x v="0"/>
    <n v="32"/>
    <x v="4"/>
    <n v="79"/>
    <n v="78"/>
    <n v="69"/>
    <n v="80"/>
    <n v="72"/>
    <n v="71"/>
    <n v="88"/>
    <n v="537"/>
    <n v="76.714285714285708"/>
    <x v="1"/>
    <x v="0"/>
    <x v="0"/>
  </r>
  <r>
    <n v="1066"/>
    <s v="Donald"/>
    <s v="Contreras"/>
    <s v="donald.contreras.1066@gslingacademy.com"/>
    <x v="0"/>
    <x v="0"/>
    <x v="10"/>
    <x v="0"/>
    <n v="31"/>
    <x v="4"/>
    <n v="60"/>
    <n v="88"/>
    <n v="75"/>
    <n v="94"/>
    <n v="87"/>
    <n v="82"/>
    <n v="79"/>
    <n v="565"/>
    <n v="80.714285714285708"/>
    <x v="1"/>
    <x v="3"/>
    <x v="0"/>
  </r>
  <r>
    <n v="1067"/>
    <s v="Kenneth"/>
    <s v="Mendez"/>
    <s v="kenneth.mendez.1067@gslingacademy.com"/>
    <x v="0"/>
    <x v="0"/>
    <x v="7"/>
    <x v="0"/>
    <n v="0"/>
    <x v="7"/>
    <n v="63"/>
    <n v="86"/>
    <n v="89"/>
    <n v="87"/>
    <n v="67"/>
    <n v="73"/>
    <n v="80"/>
    <n v="545"/>
    <n v="77.857142857142861"/>
    <x v="3"/>
    <x v="1"/>
    <x v="0"/>
  </r>
  <r>
    <n v="1068"/>
    <s v="Kenneth"/>
    <s v="Sparks"/>
    <s v="kenneth.sparks.1068@gslingacademy.com"/>
    <x v="0"/>
    <x v="0"/>
    <x v="0"/>
    <x v="0"/>
    <n v="24"/>
    <x v="9"/>
    <n v="99"/>
    <n v="77"/>
    <n v="82"/>
    <n v="60"/>
    <n v="88"/>
    <n v="91"/>
    <n v="93"/>
    <n v="590"/>
    <n v="84.285714285714292"/>
    <x v="0"/>
    <x v="0"/>
    <x v="0"/>
  </r>
  <r>
    <n v="1069"/>
    <s v="Natasha"/>
    <s v="Morales"/>
    <s v="natasha.morales.1069@gslingacademy.com"/>
    <x v="1"/>
    <x v="0"/>
    <x v="9"/>
    <x v="0"/>
    <n v="13"/>
    <x v="11"/>
    <n v="93"/>
    <n v="61"/>
    <n v="71"/>
    <n v="82"/>
    <n v="43"/>
    <n v="94"/>
    <n v="88"/>
    <n v="532"/>
    <n v="76"/>
    <x v="2"/>
    <x v="2"/>
    <x v="0"/>
  </r>
  <r>
    <n v="1070"/>
    <s v="David"/>
    <s v="Mendoza"/>
    <s v="david.mendoza.1070@gslingacademy.com"/>
    <x v="0"/>
    <x v="0"/>
    <x v="5"/>
    <x v="0"/>
    <n v="4"/>
    <x v="4"/>
    <n v="63"/>
    <n v="72"/>
    <n v="92"/>
    <n v="82"/>
    <n v="84"/>
    <n v="82"/>
    <n v="60"/>
    <n v="535"/>
    <n v="76.428571428571431"/>
    <x v="3"/>
    <x v="0"/>
    <x v="0"/>
  </r>
  <r>
    <n v="1071"/>
    <s v="Melissa"/>
    <s v="Wright"/>
    <s v="melissa.wright.1071@gslingacademy.com"/>
    <x v="1"/>
    <x v="0"/>
    <x v="5"/>
    <x v="0"/>
    <n v="1"/>
    <x v="7"/>
    <n v="81"/>
    <n v="86"/>
    <n v="84"/>
    <n v="78"/>
    <n v="63"/>
    <n v="86"/>
    <n v="73"/>
    <n v="551"/>
    <n v="78.714285714285708"/>
    <x v="3"/>
    <x v="0"/>
    <x v="0"/>
  </r>
  <r>
    <n v="1072"/>
    <s v="Cindy"/>
    <s v="Hamilton"/>
    <s v="cindy.hamilton.1072@gslingacademy.com"/>
    <x v="1"/>
    <x v="0"/>
    <x v="3"/>
    <x v="0"/>
    <n v="27"/>
    <x v="4"/>
    <n v="60"/>
    <n v="61"/>
    <n v="66"/>
    <n v="82"/>
    <n v="100"/>
    <n v="76"/>
    <n v="79"/>
    <n v="524"/>
    <n v="74.857142857142861"/>
    <x v="0"/>
    <x v="2"/>
    <x v="0"/>
  </r>
  <r>
    <n v="1073"/>
    <s v="Nancy"/>
    <s v="Walker"/>
    <s v="nancy.walker.1073@gslingacademy.com"/>
    <x v="1"/>
    <x v="1"/>
    <x v="6"/>
    <x v="0"/>
    <n v="4"/>
    <x v="7"/>
    <n v="68"/>
    <n v="50"/>
    <n v="68"/>
    <n v="53"/>
    <n v="58"/>
    <n v="87"/>
    <n v="74"/>
    <n v="458"/>
    <n v="65.428571428571431"/>
    <x v="3"/>
    <x v="1"/>
    <x v="0"/>
  </r>
  <r>
    <n v="1074"/>
    <s v="Matthew"/>
    <s v="Peterson"/>
    <s v="matthew.peterson.1074@gslingacademy.com"/>
    <x v="0"/>
    <x v="0"/>
    <x v="6"/>
    <x v="0"/>
    <n v="8"/>
    <x v="15"/>
    <n v="89"/>
    <n v="97"/>
    <n v="65"/>
    <n v="75"/>
    <n v="61"/>
    <n v="60"/>
    <n v="60"/>
    <n v="507"/>
    <n v="72.428571428571431"/>
    <x v="4"/>
    <x v="1"/>
    <x v="0"/>
  </r>
  <r>
    <n v="1075"/>
    <s v="Grant"/>
    <s v="Mason"/>
    <s v="grant.mason.1075@gslingacademy.com"/>
    <x v="0"/>
    <x v="0"/>
    <x v="5"/>
    <x v="1"/>
    <n v="35"/>
    <x v="8"/>
    <n v="86"/>
    <n v="87"/>
    <n v="89"/>
    <n v="91"/>
    <n v="90"/>
    <n v="85"/>
    <n v="92"/>
    <n v="620"/>
    <n v="88.571428571428569"/>
    <x v="1"/>
    <x v="0"/>
    <x v="1"/>
  </r>
  <r>
    <n v="1076"/>
    <s v="David"/>
    <s v="Mays"/>
    <s v="david.mays.1076@gslingacademy.com"/>
    <x v="0"/>
    <x v="0"/>
    <x v="1"/>
    <x v="1"/>
    <n v="7"/>
    <x v="16"/>
    <n v="71"/>
    <n v="96"/>
    <n v="83"/>
    <n v="76"/>
    <n v="60"/>
    <n v="87"/>
    <n v="74"/>
    <n v="547"/>
    <n v="78.142857142857139"/>
    <x v="4"/>
    <x v="0"/>
    <x v="0"/>
  </r>
  <r>
    <n v="1077"/>
    <s v="Sheryl"/>
    <s v="Parker"/>
    <s v="sheryl.parker.1077@gslingacademy.com"/>
    <x v="1"/>
    <x v="0"/>
    <x v="2"/>
    <x v="0"/>
    <n v="4"/>
    <x v="7"/>
    <n v="72"/>
    <n v="69"/>
    <n v="58"/>
    <n v="79"/>
    <n v="70"/>
    <n v="50"/>
    <n v="98"/>
    <n v="496"/>
    <n v="70.857142857142861"/>
    <x v="3"/>
    <x v="1"/>
    <x v="0"/>
  </r>
  <r>
    <n v="1078"/>
    <s v="Ross"/>
    <s v="Sanchez"/>
    <s v="ross.sanchez.1078@gslingacademy.com"/>
    <x v="0"/>
    <x v="0"/>
    <x v="1"/>
    <x v="0"/>
    <n v="25"/>
    <x v="4"/>
    <n v="74"/>
    <n v="67"/>
    <n v="90"/>
    <n v="69"/>
    <n v="83"/>
    <n v="89"/>
    <n v="68"/>
    <n v="540"/>
    <n v="77.142857142857139"/>
    <x v="0"/>
    <x v="0"/>
    <x v="0"/>
  </r>
  <r>
    <n v="1079"/>
    <s v="Robert"/>
    <s v="Barnett"/>
    <s v="robert.barnett.1079@gslingacademy.com"/>
    <x v="0"/>
    <x v="0"/>
    <x v="1"/>
    <x v="0"/>
    <n v="28"/>
    <x v="5"/>
    <n v="99"/>
    <n v="84"/>
    <n v="75"/>
    <n v="81"/>
    <n v="91"/>
    <n v="87"/>
    <n v="63"/>
    <n v="580"/>
    <n v="82.857142857142861"/>
    <x v="0"/>
    <x v="0"/>
    <x v="0"/>
  </r>
  <r>
    <n v="1080"/>
    <s v="Dean"/>
    <s v="Sims"/>
    <s v="dean.sims.1080@gslingacademy.com"/>
    <x v="0"/>
    <x v="0"/>
    <x v="9"/>
    <x v="0"/>
    <n v="19"/>
    <x v="15"/>
    <n v="99"/>
    <n v="78"/>
    <n v="74"/>
    <n v="95"/>
    <n v="72"/>
    <n v="65"/>
    <n v="91"/>
    <n v="574"/>
    <n v="82"/>
    <x v="2"/>
    <x v="2"/>
    <x v="0"/>
  </r>
  <r>
    <n v="1081"/>
    <s v="Jaime"/>
    <s v="Morrison"/>
    <s v="jaime.morrison.1081@gslingacademy.com"/>
    <x v="0"/>
    <x v="0"/>
    <x v="1"/>
    <x v="0"/>
    <n v="16"/>
    <x v="5"/>
    <n v="88"/>
    <n v="71"/>
    <n v="82"/>
    <n v="98"/>
    <n v="91"/>
    <n v="73"/>
    <n v="74"/>
    <n v="577"/>
    <n v="82.428571428571431"/>
    <x v="2"/>
    <x v="0"/>
    <x v="0"/>
  </r>
  <r>
    <n v="1082"/>
    <s v="Regina"/>
    <s v="Hernandez"/>
    <s v="regina.hernandez.1082@gslingacademy.com"/>
    <x v="1"/>
    <x v="0"/>
    <x v="0"/>
    <x v="0"/>
    <n v="6"/>
    <x v="4"/>
    <n v="65"/>
    <n v="72"/>
    <n v="77"/>
    <n v="89"/>
    <n v="74"/>
    <n v="76"/>
    <n v="61"/>
    <n v="514"/>
    <n v="73.428571428571431"/>
    <x v="4"/>
    <x v="0"/>
    <x v="0"/>
  </r>
  <r>
    <n v="1083"/>
    <s v="Margaret"/>
    <s v="Smith"/>
    <s v="margaret.smith.1083@gslingacademy.com"/>
    <x v="1"/>
    <x v="1"/>
    <x v="3"/>
    <x v="0"/>
    <n v="4"/>
    <x v="7"/>
    <n v="90"/>
    <n v="99"/>
    <n v="87"/>
    <n v="81"/>
    <n v="90"/>
    <n v="80"/>
    <n v="92"/>
    <n v="619"/>
    <n v="88.428571428571431"/>
    <x v="3"/>
    <x v="2"/>
    <x v="1"/>
  </r>
  <r>
    <n v="1084"/>
    <s v="Kyle"/>
    <s v="Garcia"/>
    <s v="kyle.garcia.1084@gslingacademy.com"/>
    <x v="0"/>
    <x v="0"/>
    <x v="2"/>
    <x v="0"/>
    <n v="34"/>
    <x v="0"/>
    <n v="91"/>
    <n v="88"/>
    <n v="79"/>
    <n v="60"/>
    <n v="82"/>
    <n v="96"/>
    <n v="83"/>
    <n v="579"/>
    <n v="82.714285714285708"/>
    <x v="1"/>
    <x v="1"/>
    <x v="0"/>
  </r>
  <r>
    <n v="1085"/>
    <s v="Trevor"/>
    <s v="Stark"/>
    <s v="trevor.stark.1085@gslingacademy.com"/>
    <x v="0"/>
    <x v="1"/>
    <x v="0"/>
    <x v="0"/>
    <n v="31"/>
    <x v="0"/>
    <n v="86"/>
    <n v="92"/>
    <n v="66"/>
    <n v="66"/>
    <n v="100"/>
    <n v="99"/>
    <n v="91"/>
    <n v="600"/>
    <n v="85.714285714285708"/>
    <x v="1"/>
    <x v="0"/>
    <x v="0"/>
  </r>
  <r>
    <n v="1086"/>
    <s v="Nathaniel"/>
    <s v="Adams"/>
    <s v="nathaniel.adams.1086@gslingacademy.com"/>
    <x v="0"/>
    <x v="0"/>
    <x v="1"/>
    <x v="0"/>
    <n v="27"/>
    <x v="5"/>
    <n v="86"/>
    <n v="84"/>
    <n v="98"/>
    <n v="67"/>
    <n v="76"/>
    <n v="75"/>
    <n v="65"/>
    <n v="551"/>
    <n v="78.714285714285708"/>
    <x v="0"/>
    <x v="0"/>
    <x v="0"/>
  </r>
  <r>
    <n v="1087"/>
    <s v="Gabriela"/>
    <s v="Martinez"/>
    <s v="gabriela.martinez.1087@gslingacademy.com"/>
    <x v="1"/>
    <x v="0"/>
    <x v="9"/>
    <x v="0"/>
    <n v="22"/>
    <x v="5"/>
    <n v="92"/>
    <n v="91"/>
    <n v="85"/>
    <n v="94"/>
    <n v="69"/>
    <n v="80"/>
    <n v="71"/>
    <n v="582"/>
    <n v="83.142857142857139"/>
    <x v="0"/>
    <x v="2"/>
    <x v="0"/>
  </r>
  <r>
    <n v="1088"/>
    <s v="Debra"/>
    <s v="Walter"/>
    <s v="debra.walter.1088@gslingacademy.com"/>
    <x v="1"/>
    <x v="0"/>
    <x v="0"/>
    <x v="1"/>
    <n v="25"/>
    <x v="9"/>
    <n v="90"/>
    <n v="97"/>
    <n v="64"/>
    <n v="64"/>
    <n v="61"/>
    <n v="81"/>
    <n v="93"/>
    <n v="550"/>
    <n v="78.571428571428569"/>
    <x v="0"/>
    <x v="0"/>
    <x v="0"/>
  </r>
  <r>
    <n v="1089"/>
    <s v="Kimberly"/>
    <s v="Herrera"/>
    <s v="kimberly.herrera.1089@gslingacademy.com"/>
    <x v="1"/>
    <x v="0"/>
    <x v="0"/>
    <x v="0"/>
    <n v="19"/>
    <x v="11"/>
    <n v="98"/>
    <n v="69"/>
    <n v="61"/>
    <n v="62"/>
    <n v="82"/>
    <n v="87"/>
    <n v="64"/>
    <n v="523"/>
    <n v="74.714285714285708"/>
    <x v="2"/>
    <x v="0"/>
    <x v="0"/>
  </r>
  <r>
    <n v="1090"/>
    <s v="William"/>
    <s v="Fleming"/>
    <s v="william.fleming.1090@gslingacademy.com"/>
    <x v="0"/>
    <x v="0"/>
    <x v="5"/>
    <x v="0"/>
    <n v="28"/>
    <x v="0"/>
    <n v="72"/>
    <n v="93"/>
    <n v="68"/>
    <n v="62"/>
    <n v="83"/>
    <n v="98"/>
    <n v="67"/>
    <n v="543"/>
    <n v="77.571428571428569"/>
    <x v="0"/>
    <x v="0"/>
    <x v="0"/>
  </r>
  <r>
    <n v="1091"/>
    <s v="Brandon"/>
    <s v="Foster"/>
    <s v="brandon.foster.1091@gslingacademy.com"/>
    <x v="0"/>
    <x v="1"/>
    <x v="0"/>
    <x v="1"/>
    <n v="34"/>
    <x v="8"/>
    <n v="77"/>
    <n v="93"/>
    <n v="83"/>
    <n v="84"/>
    <n v="83"/>
    <n v="84"/>
    <n v="71"/>
    <n v="575"/>
    <n v="82.142857142857139"/>
    <x v="1"/>
    <x v="0"/>
    <x v="0"/>
  </r>
  <r>
    <n v="1092"/>
    <s v="John"/>
    <s v="Wilson"/>
    <s v="john.wilson.1092@gslingacademy.com"/>
    <x v="0"/>
    <x v="0"/>
    <x v="7"/>
    <x v="0"/>
    <n v="5"/>
    <x v="7"/>
    <n v="75"/>
    <n v="52"/>
    <n v="84"/>
    <n v="70"/>
    <n v="81"/>
    <n v="99"/>
    <n v="85"/>
    <n v="546"/>
    <n v="78"/>
    <x v="3"/>
    <x v="1"/>
    <x v="0"/>
  </r>
  <r>
    <n v="1093"/>
    <s v="George"/>
    <s v="Kerr"/>
    <s v="george.kerr.1093@gslingacademy.com"/>
    <x v="0"/>
    <x v="1"/>
    <x v="5"/>
    <x v="0"/>
    <n v="34"/>
    <x v="0"/>
    <n v="94"/>
    <n v="82"/>
    <n v="83"/>
    <n v="76"/>
    <n v="83"/>
    <n v="93"/>
    <n v="94"/>
    <n v="605"/>
    <n v="86.428571428571431"/>
    <x v="1"/>
    <x v="0"/>
    <x v="1"/>
  </r>
  <r>
    <n v="1094"/>
    <s v="Kenneth"/>
    <s v="Gilbert"/>
    <s v="kenneth.gilbert.1094@gslingacademy.com"/>
    <x v="0"/>
    <x v="0"/>
    <x v="6"/>
    <x v="0"/>
    <n v="34"/>
    <x v="9"/>
    <n v="75"/>
    <n v="88"/>
    <n v="71"/>
    <n v="62"/>
    <n v="90"/>
    <n v="78"/>
    <n v="95"/>
    <n v="559"/>
    <n v="79.857142857142861"/>
    <x v="1"/>
    <x v="1"/>
    <x v="0"/>
  </r>
  <r>
    <n v="1095"/>
    <s v="Jodi"/>
    <s v="Price"/>
    <s v="jodi.price.1095@gslingacademy.com"/>
    <x v="1"/>
    <x v="0"/>
    <x v="10"/>
    <x v="0"/>
    <n v="19"/>
    <x v="5"/>
    <n v="91"/>
    <n v="91"/>
    <n v="66"/>
    <n v="97"/>
    <n v="62"/>
    <n v="89"/>
    <n v="82"/>
    <n v="578"/>
    <n v="82.571428571428569"/>
    <x v="2"/>
    <x v="3"/>
    <x v="0"/>
  </r>
  <r>
    <n v="1096"/>
    <s v="Jordan"/>
    <s v="Sheppard"/>
    <s v="jordan.sheppard.1096@gslingacademy.com"/>
    <x v="0"/>
    <x v="0"/>
    <x v="10"/>
    <x v="0"/>
    <n v="13"/>
    <x v="11"/>
    <n v="75"/>
    <n v="64"/>
    <n v="100"/>
    <n v="63"/>
    <n v="98"/>
    <n v="71"/>
    <n v="73"/>
    <n v="544"/>
    <n v="77.714285714285708"/>
    <x v="2"/>
    <x v="3"/>
    <x v="0"/>
  </r>
  <r>
    <n v="1097"/>
    <s v="Tristan"/>
    <s v="Martinez"/>
    <s v="tristan.martinez.1097@gslingacademy.com"/>
    <x v="0"/>
    <x v="0"/>
    <x v="0"/>
    <x v="0"/>
    <n v="18"/>
    <x v="11"/>
    <n v="93"/>
    <n v="79"/>
    <n v="86"/>
    <n v="72"/>
    <n v="89"/>
    <n v="61"/>
    <n v="98"/>
    <n v="578"/>
    <n v="82.571428571428569"/>
    <x v="2"/>
    <x v="0"/>
    <x v="0"/>
  </r>
  <r>
    <n v="1098"/>
    <s v="Sharon"/>
    <s v="Chandler"/>
    <s v="sharon.chandler.1098@gslingacademy.com"/>
    <x v="1"/>
    <x v="0"/>
    <x v="3"/>
    <x v="0"/>
    <n v="1"/>
    <x v="14"/>
    <n v="86"/>
    <n v="81"/>
    <n v="80"/>
    <n v="85"/>
    <n v="62"/>
    <n v="86"/>
    <n v="69"/>
    <n v="549"/>
    <n v="78.428571428571431"/>
    <x v="3"/>
    <x v="2"/>
    <x v="0"/>
  </r>
  <r>
    <n v="1099"/>
    <s v="Steven"/>
    <s v="Allen"/>
    <s v="steven.allen.1099@gslingacademy.com"/>
    <x v="0"/>
    <x v="0"/>
    <x v="5"/>
    <x v="0"/>
    <n v="29"/>
    <x v="4"/>
    <n v="92"/>
    <n v="61"/>
    <n v="96"/>
    <n v="79"/>
    <n v="97"/>
    <n v="89"/>
    <n v="78"/>
    <n v="592"/>
    <n v="84.571428571428569"/>
    <x v="0"/>
    <x v="0"/>
    <x v="0"/>
  </r>
  <r>
    <n v="1100"/>
    <s v="Douglas"/>
    <s v="Robertson"/>
    <s v="douglas.robertson.1100@gslingacademy.com"/>
    <x v="0"/>
    <x v="0"/>
    <x v="3"/>
    <x v="0"/>
    <n v="34"/>
    <x v="5"/>
    <n v="90"/>
    <n v="91"/>
    <n v="61"/>
    <n v="72"/>
    <n v="64"/>
    <n v="84"/>
    <n v="72"/>
    <n v="534"/>
    <n v="76.285714285714292"/>
    <x v="1"/>
    <x v="2"/>
    <x v="0"/>
  </r>
  <r>
    <n v="1101"/>
    <s v="Sabrina"/>
    <s v="Zavala"/>
    <s v="sabrina.zavala.1101@gslingacademy.com"/>
    <x v="1"/>
    <x v="0"/>
    <x v="5"/>
    <x v="0"/>
    <n v="31"/>
    <x v="8"/>
    <n v="92"/>
    <n v="78"/>
    <n v="96"/>
    <n v="91"/>
    <n v="82"/>
    <n v="98"/>
    <n v="100"/>
    <n v="637"/>
    <n v="91"/>
    <x v="1"/>
    <x v="0"/>
    <x v="1"/>
  </r>
  <r>
    <n v="1102"/>
    <s v="Corey"/>
    <s v="Merritt"/>
    <s v="corey.merritt.1102@gslingacademy.com"/>
    <x v="0"/>
    <x v="0"/>
    <x v="1"/>
    <x v="0"/>
    <n v="14"/>
    <x v="11"/>
    <n v="90"/>
    <n v="88"/>
    <n v="71"/>
    <n v="96"/>
    <n v="72"/>
    <n v="74"/>
    <n v="80"/>
    <n v="571"/>
    <n v="81.571428571428569"/>
    <x v="2"/>
    <x v="0"/>
    <x v="0"/>
  </r>
  <r>
    <n v="1103"/>
    <s v="Jennifer"/>
    <s v="Salas"/>
    <s v="jennifer.salas.1103@gslingacademy.com"/>
    <x v="1"/>
    <x v="0"/>
    <x v="4"/>
    <x v="1"/>
    <n v="32"/>
    <x v="0"/>
    <n v="78"/>
    <n v="92"/>
    <n v="77"/>
    <n v="100"/>
    <n v="61"/>
    <n v="82"/>
    <n v="61"/>
    <n v="551"/>
    <n v="78.714285714285708"/>
    <x v="1"/>
    <x v="2"/>
    <x v="0"/>
  </r>
  <r>
    <n v="1104"/>
    <s v="John"/>
    <s v="Klein"/>
    <s v="john.klein.1104@gslingacademy.com"/>
    <x v="0"/>
    <x v="0"/>
    <x v="7"/>
    <x v="0"/>
    <n v="5"/>
    <x v="7"/>
    <n v="82"/>
    <n v="58"/>
    <n v="58"/>
    <n v="91"/>
    <n v="91"/>
    <n v="55"/>
    <n v="98"/>
    <n v="533"/>
    <n v="76.142857142857139"/>
    <x v="3"/>
    <x v="1"/>
    <x v="0"/>
  </r>
  <r>
    <n v="1105"/>
    <s v="Rachel"/>
    <s v="Grant"/>
    <s v="rachel.grant.1105@gslingacademy.com"/>
    <x v="1"/>
    <x v="0"/>
    <x v="3"/>
    <x v="0"/>
    <n v="33"/>
    <x v="5"/>
    <n v="86"/>
    <n v="62"/>
    <n v="81"/>
    <n v="63"/>
    <n v="75"/>
    <n v="92"/>
    <n v="95"/>
    <n v="554"/>
    <n v="79.142857142857139"/>
    <x v="1"/>
    <x v="2"/>
    <x v="0"/>
  </r>
  <r>
    <n v="1106"/>
    <s v="Jose"/>
    <s v="Wood"/>
    <s v="jose.wood.1106@gslingacademy.com"/>
    <x v="0"/>
    <x v="0"/>
    <x v="5"/>
    <x v="0"/>
    <n v="32"/>
    <x v="8"/>
    <n v="83"/>
    <n v="63"/>
    <n v="93"/>
    <n v="94"/>
    <n v="93"/>
    <n v="90"/>
    <n v="78"/>
    <n v="594"/>
    <n v="84.857142857142861"/>
    <x v="1"/>
    <x v="0"/>
    <x v="0"/>
  </r>
  <r>
    <n v="1107"/>
    <s v="Michelle"/>
    <s v="Mcdonald"/>
    <s v="michelle.mcdonald.1107@gslingacademy.com"/>
    <x v="1"/>
    <x v="0"/>
    <x v="10"/>
    <x v="0"/>
    <n v="11"/>
    <x v="6"/>
    <n v="69"/>
    <n v="85"/>
    <n v="70"/>
    <n v="79"/>
    <n v="68"/>
    <n v="81"/>
    <n v="89"/>
    <n v="541"/>
    <n v="77.285714285714292"/>
    <x v="2"/>
    <x v="3"/>
    <x v="0"/>
  </r>
  <r>
    <n v="1108"/>
    <s v="Thomas"/>
    <s v="George"/>
    <s v="thomas.george.1108@gslingacademy.com"/>
    <x v="0"/>
    <x v="0"/>
    <x v="10"/>
    <x v="0"/>
    <n v="12"/>
    <x v="9"/>
    <n v="83"/>
    <n v="81"/>
    <n v="96"/>
    <n v="96"/>
    <n v="62"/>
    <n v="82"/>
    <n v="77"/>
    <n v="577"/>
    <n v="82.428571428571431"/>
    <x v="2"/>
    <x v="3"/>
    <x v="0"/>
  </r>
  <r>
    <n v="1109"/>
    <s v="Charles"/>
    <s v="Torres"/>
    <s v="charles.torres.1109@gslingacademy.com"/>
    <x v="0"/>
    <x v="0"/>
    <x v="1"/>
    <x v="0"/>
    <n v="24"/>
    <x v="9"/>
    <n v="84"/>
    <n v="63"/>
    <n v="98"/>
    <n v="70"/>
    <n v="92"/>
    <n v="78"/>
    <n v="93"/>
    <n v="578"/>
    <n v="82.571428571428569"/>
    <x v="0"/>
    <x v="0"/>
    <x v="0"/>
  </r>
  <r>
    <n v="1110"/>
    <s v="Jonathan"/>
    <s v="Finley"/>
    <s v="jonathan.finley.1110@gslingacademy.com"/>
    <x v="0"/>
    <x v="0"/>
    <x v="1"/>
    <x v="1"/>
    <n v="29"/>
    <x v="9"/>
    <n v="89"/>
    <n v="71"/>
    <n v="77"/>
    <n v="88"/>
    <n v="66"/>
    <n v="80"/>
    <n v="87"/>
    <n v="558"/>
    <n v="79.714285714285708"/>
    <x v="0"/>
    <x v="0"/>
    <x v="0"/>
  </r>
  <r>
    <n v="1111"/>
    <s v="Diana"/>
    <s v="Long"/>
    <s v="diana.long.1111@gslingacademy.com"/>
    <x v="1"/>
    <x v="0"/>
    <x v="10"/>
    <x v="0"/>
    <n v="33"/>
    <x v="11"/>
    <n v="77"/>
    <n v="99"/>
    <n v="73"/>
    <n v="83"/>
    <n v="71"/>
    <n v="82"/>
    <n v="80"/>
    <n v="565"/>
    <n v="80.714285714285708"/>
    <x v="1"/>
    <x v="3"/>
    <x v="0"/>
  </r>
  <r>
    <n v="1112"/>
    <s v="Jonathan"/>
    <s v="Johnson"/>
    <s v="jonathan.johnson.1112@gslingacademy.com"/>
    <x v="0"/>
    <x v="0"/>
    <x v="10"/>
    <x v="0"/>
    <n v="13"/>
    <x v="13"/>
    <n v="94"/>
    <n v="88"/>
    <n v="98"/>
    <n v="64"/>
    <n v="99"/>
    <n v="98"/>
    <n v="96"/>
    <n v="637"/>
    <n v="91"/>
    <x v="2"/>
    <x v="3"/>
    <x v="1"/>
  </r>
  <r>
    <n v="1113"/>
    <s v="Nicole"/>
    <s v="Robinson"/>
    <s v="nicole.robinson.1113@gslingacademy.com"/>
    <x v="1"/>
    <x v="0"/>
    <x v="0"/>
    <x v="0"/>
    <n v="10"/>
    <x v="6"/>
    <n v="93"/>
    <n v="64"/>
    <n v="81"/>
    <n v="74"/>
    <n v="96"/>
    <n v="94"/>
    <n v="98"/>
    <n v="600"/>
    <n v="85.714285714285708"/>
    <x v="4"/>
    <x v="0"/>
    <x v="0"/>
  </r>
  <r>
    <n v="1114"/>
    <s v="Rebecca"/>
    <s v="Mckinney"/>
    <s v="rebecca.mckinney.1114@gslingacademy.com"/>
    <x v="1"/>
    <x v="0"/>
    <x v="0"/>
    <x v="0"/>
    <n v="38"/>
    <x v="1"/>
    <n v="92"/>
    <n v="88"/>
    <n v="90"/>
    <n v="94"/>
    <n v="88"/>
    <n v="92"/>
    <n v="96"/>
    <n v="640"/>
    <n v="91.428571428571431"/>
    <x v="1"/>
    <x v="0"/>
    <x v="1"/>
  </r>
  <r>
    <n v="1115"/>
    <s v="Daniel"/>
    <s v="Guerrero"/>
    <s v="daniel.guerrero.1115@gslingacademy.com"/>
    <x v="0"/>
    <x v="0"/>
    <x v="1"/>
    <x v="0"/>
    <n v="5"/>
    <x v="16"/>
    <n v="73"/>
    <n v="87"/>
    <n v="92"/>
    <n v="99"/>
    <n v="84"/>
    <n v="91"/>
    <n v="71"/>
    <n v="597"/>
    <n v="85.285714285714292"/>
    <x v="3"/>
    <x v="0"/>
    <x v="0"/>
  </r>
  <r>
    <n v="1116"/>
    <s v="Jillian"/>
    <s v="Dominguez"/>
    <s v="jillian.dominguez.1116@gslingacademy.com"/>
    <x v="1"/>
    <x v="0"/>
    <x v="0"/>
    <x v="1"/>
    <n v="35"/>
    <x v="4"/>
    <n v="90"/>
    <n v="87"/>
    <n v="100"/>
    <n v="98"/>
    <n v="91"/>
    <n v="98"/>
    <n v="96"/>
    <n v="660"/>
    <n v="94.285714285714292"/>
    <x v="1"/>
    <x v="0"/>
    <x v="1"/>
  </r>
  <r>
    <n v="1117"/>
    <s v="Samantha"/>
    <s v="Phillips"/>
    <s v="samantha.phillips.1117@gslingacademy.com"/>
    <x v="1"/>
    <x v="1"/>
    <x v="7"/>
    <x v="0"/>
    <n v="1"/>
    <x v="7"/>
    <n v="87"/>
    <n v="58"/>
    <n v="85"/>
    <n v="82"/>
    <n v="100"/>
    <n v="87"/>
    <n v="91"/>
    <n v="590"/>
    <n v="84.285714285714292"/>
    <x v="3"/>
    <x v="1"/>
    <x v="0"/>
  </r>
  <r>
    <n v="1118"/>
    <s v="Dylan"/>
    <s v="Rogers"/>
    <s v="dylan.rogers.1118@gslingacademy.com"/>
    <x v="0"/>
    <x v="0"/>
    <x v="1"/>
    <x v="0"/>
    <n v="21"/>
    <x v="5"/>
    <n v="88"/>
    <n v="74"/>
    <n v="99"/>
    <n v="72"/>
    <n v="63"/>
    <n v="87"/>
    <n v="79"/>
    <n v="562"/>
    <n v="80.285714285714292"/>
    <x v="0"/>
    <x v="0"/>
    <x v="0"/>
  </r>
  <r>
    <n v="1119"/>
    <s v="Brittany"/>
    <s v="Spencer"/>
    <s v="brittany.spencer.1119@gslingacademy.com"/>
    <x v="1"/>
    <x v="0"/>
    <x v="4"/>
    <x v="0"/>
    <n v="5"/>
    <x v="4"/>
    <n v="88"/>
    <n v="99"/>
    <n v="71"/>
    <n v="85"/>
    <n v="82"/>
    <n v="94"/>
    <n v="90"/>
    <n v="609"/>
    <n v="87"/>
    <x v="3"/>
    <x v="2"/>
    <x v="1"/>
  </r>
  <r>
    <n v="1120"/>
    <s v="Melissa"/>
    <s v="Terry"/>
    <s v="melissa.terry.1120@gslingacademy.com"/>
    <x v="1"/>
    <x v="1"/>
    <x v="5"/>
    <x v="1"/>
    <n v="15"/>
    <x v="9"/>
    <n v="96"/>
    <n v="87"/>
    <n v="64"/>
    <n v="88"/>
    <n v="64"/>
    <n v="92"/>
    <n v="77"/>
    <n v="568"/>
    <n v="81.142857142857139"/>
    <x v="2"/>
    <x v="0"/>
    <x v="0"/>
  </r>
  <r>
    <n v="1121"/>
    <s v="Robin"/>
    <s v="Perez"/>
    <s v="robin.perez.1121@gslingacademy.com"/>
    <x v="1"/>
    <x v="0"/>
    <x v="0"/>
    <x v="0"/>
    <n v="28"/>
    <x v="1"/>
    <n v="89"/>
    <n v="96"/>
    <n v="85"/>
    <n v="91"/>
    <n v="100"/>
    <n v="91"/>
    <n v="91"/>
    <n v="643"/>
    <n v="91.857142857142861"/>
    <x v="0"/>
    <x v="0"/>
    <x v="1"/>
  </r>
  <r>
    <n v="1122"/>
    <s v="Veronica"/>
    <s v="Hopkins"/>
    <s v="veronica.hopkins.1122@gslingacademy.com"/>
    <x v="1"/>
    <x v="0"/>
    <x v="5"/>
    <x v="0"/>
    <n v="5"/>
    <x v="16"/>
    <n v="58"/>
    <n v="77"/>
    <n v="69"/>
    <n v="83"/>
    <n v="94"/>
    <n v="70"/>
    <n v="97"/>
    <n v="548"/>
    <n v="78.285714285714292"/>
    <x v="3"/>
    <x v="0"/>
    <x v="0"/>
  </r>
  <r>
    <n v="1123"/>
    <s v="Daniel"/>
    <s v="Lewis"/>
    <s v="daniel.lewis.1123@gslingacademy.com"/>
    <x v="0"/>
    <x v="0"/>
    <x v="1"/>
    <x v="0"/>
    <n v="35"/>
    <x v="1"/>
    <n v="95"/>
    <n v="98"/>
    <n v="97"/>
    <n v="94"/>
    <n v="88"/>
    <n v="99"/>
    <n v="96"/>
    <n v="667"/>
    <n v="95.285714285714292"/>
    <x v="1"/>
    <x v="0"/>
    <x v="1"/>
  </r>
  <r>
    <n v="1124"/>
    <s v="Mallory"/>
    <s v="Collins"/>
    <s v="mallory.collins.1124@gslingacademy.com"/>
    <x v="1"/>
    <x v="0"/>
    <x v="8"/>
    <x v="1"/>
    <n v="28"/>
    <x v="9"/>
    <n v="76"/>
    <n v="69"/>
    <n v="86"/>
    <n v="72"/>
    <n v="71"/>
    <n v="79"/>
    <n v="63"/>
    <n v="516"/>
    <n v="73.714285714285708"/>
    <x v="0"/>
    <x v="1"/>
    <x v="0"/>
  </r>
  <r>
    <n v="1125"/>
    <s v="Stephen"/>
    <s v="Sosa"/>
    <s v="stephen.sosa.1125@gslingacademy.com"/>
    <x v="0"/>
    <x v="0"/>
    <x v="1"/>
    <x v="0"/>
    <n v="16"/>
    <x v="13"/>
    <n v="87"/>
    <n v="89"/>
    <n v="91"/>
    <n v="76"/>
    <n v="77"/>
    <n v="97"/>
    <n v="61"/>
    <n v="578"/>
    <n v="82.571428571428569"/>
    <x v="2"/>
    <x v="0"/>
    <x v="0"/>
  </r>
  <r>
    <n v="1126"/>
    <s v="Andrew"/>
    <s v="Hunter"/>
    <s v="andrew.hunter.1126@gslingacademy.com"/>
    <x v="0"/>
    <x v="0"/>
    <x v="1"/>
    <x v="0"/>
    <n v="29"/>
    <x v="4"/>
    <n v="60"/>
    <n v="65"/>
    <n v="86"/>
    <n v="66"/>
    <n v="61"/>
    <n v="99"/>
    <n v="89"/>
    <n v="526"/>
    <n v="75.142857142857139"/>
    <x v="0"/>
    <x v="0"/>
    <x v="0"/>
  </r>
  <r>
    <n v="1127"/>
    <s v="David"/>
    <s v="Hartman"/>
    <s v="david.hartman.1127@gslingacademy.com"/>
    <x v="0"/>
    <x v="0"/>
    <x v="7"/>
    <x v="0"/>
    <n v="3"/>
    <x v="7"/>
    <n v="70"/>
    <n v="61"/>
    <n v="83"/>
    <n v="52"/>
    <n v="81"/>
    <n v="97"/>
    <n v="69"/>
    <n v="513"/>
    <n v="73.285714285714292"/>
    <x v="3"/>
    <x v="1"/>
    <x v="0"/>
  </r>
  <r>
    <n v="1128"/>
    <s v="Paul"/>
    <s v="Taylor"/>
    <s v="paul.taylor.1128@gslingacademy.com"/>
    <x v="0"/>
    <x v="0"/>
    <x v="4"/>
    <x v="0"/>
    <n v="35"/>
    <x v="13"/>
    <n v="90"/>
    <n v="86"/>
    <n v="99"/>
    <n v="94"/>
    <n v="100"/>
    <n v="89"/>
    <n v="85"/>
    <n v="643"/>
    <n v="91.857142857142861"/>
    <x v="1"/>
    <x v="2"/>
    <x v="1"/>
  </r>
  <r>
    <n v="1129"/>
    <s v="Brittany"/>
    <s v="Simmons"/>
    <s v="brittany.simmons.1129@gslingacademy.com"/>
    <x v="1"/>
    <x v="0"/>
    <x v="1"/>
    <x v="0"/>
    <n v="29"/>
    <x v="4"/>
    <n v="75"/>
    <n v="96"/>
    <n v="61"/>
    <n v="73"/>
    <n v="60"/>
    <n v="77"/>
    <n v="81"/>
    <n v="523"/>
    <n v="74.714285714285708"/>
    <x v="0"/>
    <x v="0"/>
    <x v="0"/>
  </r>
  <r>
    <n v="1130"/>
    <s v="Emma"/>
    <s v="Jones"/>
    <s v="emma.jones.1130@gslingacademy.com"/>
    <x v="1"/>
    <x v="0"/>
    <x v="0"/>
    <x v="1"/>
    <n v="14"/>
    <x v="11"/>
    <n v="96"/>
    <n v="100"/>
    <n v="96"/>
    <n v="87"/>
    <n v="83"/>
    <n v="81"/>
    <n v="95"/>
    <n v="638"/>
    <n v="91.142857142857139"/>
    <x v="2"/>
    <x v="0"/>
    <x v="1"/>
  </r>
  <r>
    <n v="1131"/>
    <s v="Matthew"/>
    <s v="Aguilar"/>
    <s v="matthew.aguilar.1131@gslingacademy.com"/>
    <x v="0"/>
    <x v="0"/>
    <x v="1"/>
    <x v="0"/>
    <n v="11"/>
    <x v="9"/>
    <n v="88"/>
    <n v="98"/>
    <n v="81"/>
    <n v="61"/>
    <n v="62"/>
    <n v="96"/>
    <n v="60"/>
    <n v="546"/>
    <n v="78"/>
    <x v="2"/>
    <x v="0"/>
    <x v="0"/>
  </r>
  <r>
    <n v="1132"/>
    <s v="Brett"/>
    <s v="Myers"/>
    <s v="brett.myers.1132@gslingacademy.com"/>
    <x v="0"/>
    <x v="0"/>
    <x v="1"/>
    <x v="1"/>
    <n v="1"/>
    <x v="14"/>
    <n v="99"/>
    <n v="60"/>
    <n v="87"/>
    <n v="94"/>
    <n v="71"/>
    <n v="93"/>
    <n v="93"/>
    <n v="597"/>
    <n v="85.285714285714292"/>
    <x v="3"/>
    <x v="0"/>
    <x v="0"/>
  </r>
  <r>
    <n v="1133"/>
    <s v="Lisa"/>
    <s v="Alexander"/>
    <s v="lisa.alexander.1133@gslingacademy.com"/>
    <x v="1"/>
    <x v="0"/>
    <x v="9"/>
    <x v="0"/>
    <n v="14"/>
    <x v="6"/>
    <n v="86"/>
    <n v="99"/>
    <n v="64"/>
    <n v="88"/>
    <n v="84"/>
    <n v="95"/>
    <n v="97"/>
    <n v="613"/>
    <n v="87.571428571428569"/>
    <x v="2"/>
    <x v="2"/>
    <x v="1"/>
  </r>
  <r>
    <n v="1134"/>
    <s v="Stephanie"/>
    <s v="Allen"/>
    <s v="stephanie.allen.1134@gslingacademy.com"/>
    <x v="1"/>
    <x v="0"/>
    <x v="9"/>
    <x v="1"/>
    <n v="11"/>
    <x v="12"/>
    <n v="96"/>
    <n v="61"/>
    <n v="85"/>
    <n v="87"/>
    <n v="83"/>
    <n v="80"/>
    <n v="79"/>
    <n v="571"/>
    <n v="81.571428571428569"/>
    <x v="2"/>
    <x v="2"/>
    <x v="0"/>
  </r>
  <r>
    <n v="1135"/>
    <s v="Rebecca"/>
    <s v="Clark"/>
    <s v="rebecca.clark.1135@gslingacademy.com"/>
    <x v="1"/>
    <x v="0"/>
    <x v="0"/>
    <x v="0"/>
    <n v="28"/>
    <x v="0"/>
    <n v="87"/>
    <n v="99"/>
    <n v="70"/>
    <n v="81"/>
    <n v="62"/>
    <n v="90"/>
    <n v="91"/>
    <n v="580"/>
    <n v="82.857142857142861"/>
    <x v="0"/>
    <x v="0"/>
    <x v="0"/>
  </r>
  <r>
    <n v="1136"/>
    <s v="Andrew"/>
    <s v="Sanders"/>
    <s v="andrew.sanders.1136@gslingacademy.com"/>
    <x v="0"/>
    <x v="0"/>
    <x v="4"/>
    <x v="0"/>
    <n v="18"/>
    <x v="5"/>
    <n v="89"/>
    <n v="90"/>
    <n v="96"/>
    <n v="97"/>
    <n v="87"/>
    <n v="84"/>
    <n v="63"/>
    <n v="606"/>
    <n v="86.571428571428569"/>
    <x v="2"/>
    <x v="2"/>
    <x v="1"/>
  </r>
  <r>
    <n v="1137"/>
    <s v="Julia"/>
    <s v="Day"/>
    <s v="julia.day.1137@gslingacademy.com"/>
    <x v="1"/>
    <x v="0"/>
    <x v="5"/>
    <x v="0"/>
    <n v="31"/>
    <x v="10"/>
    <n v="77"/>
    <n v="98"/>
    <n v="67"/>
    <n v="67"/>
    <n v="80"/>
    <n v="90"/>
    <n v="66"/>
    <n v="545"/>
    <n v="77.857142857142861"/>
    <x v="1"/>
    <x v="0"/>
    <x v="0"/>
  </r>
  <r>
    <n v="1138"/>
    <s v="Amber"/>
    <s v="Levy"/>
    <s v="amber.levy.1138@gslingacademy.com"/>
    <x v="1"/>
    <x v="1"/>
    <x v="4"/>
    <x v="0"/>
    <n v="2"/>
    <x v="7"/>
    <n v="57"/>
    <n v="71"/>
    <n v="51"/>
    <n v="59"/>
    <n v="84"/>
    <n v="74"/>
    <n v="68"/>
    <n v="464"/>
    <n v="66.285714285714292"/>
    <x v="3"/>
    <x v="2"/>
    <x v="0"/>
  </r>
  <r>
    <n v="1139"/>
    <s v="Nicole"/>
    <s v="Daniel"/>
    <s v="nicole.daniel.1139@gslingacademy.com"/>
    <x v="1"/>
    <x v="0"/>
    <x v="10"/>
    <x v="0"/>
    <n v="32"/>
    <x v="11"/>
    <n v="88"/>
    <n v="93"/>
    <n v="91"/>
    <n v="92"/>
    <n v="53"/>
    <n v="65"/>
    <n v="88"/>
    <n v="570"/>
    <n v="81.428571428571431"/>
    <x v="1"/>
    <x v="3"/>
    <x v="0"/>
  </r>
  <r>
    <n v="1140"/>
    <s v="Sarah"/>
    <s v="Wells"/>
    <s v="sarah.wells.1140@gslingacademy.com"/>
    <x v="1"/>
    <x v="0"/>
    <x v="0"/>
    <x v="0"/>
    <n v="3"/>
    <x v="16"/>
    <n v="56"/>
    <n v="75"/>
    <n v="78"/>
    <n v="82"/>
    <n v="98"/>
    <n v="99"/>
    <n v="81"/>
    <n v="569"/>
    <n v="81.285714285714292"/>
    <x v="3"/>
    <x v="0"/>
    <x v="0"/>
  </r>
  <r>
    <n v="1141"/>
    <s v="Laura"/>
    <s v="Stone"/>
    <s v="laura.stone.1141@gslingacademy.com"/>
    <x v="1"/>
    <x v="1"/>
    <x v="5"/>
    <x v="0"/>
    <n v="33"/>
    <x v="11"/>
    <n v="94"/>
    <n v="79"/>
    <n v="64"/>
    <n v="79"/>
    <n v="96"/>
    <n v="98"/>
    <n v="93"/>
    <n v="603"/>
    <n v="86.142857142857139"/>
    <x v="1"/>
    <x v="0"/>
    <x v="1"/>
  </r>
  <r>
    <n v="1142"/>
    <s v="Katherine"/>
    <s v="Glenn"/>
    <s v="katherine.glenn.1142@gslingacademy.com"/>
    <x v="1"/>
    <x v="0"/>
    <x v="0"/>
    <x v="0"/>
    <n v="4"/>
    <x v="7"/>
    <n v="57"/>
    <n v="71"/>
    <n v="76"/>
    <n v="59"/>
    <n v="58"/>
    <n v="84"/>
    <n v="73"/>
    <n v="478"/>
    <n v="68.285714285714292"/>
    <x v="3"/>
    <x v="0"/>
    <x v="0"/>
  </r>
  <r>
    <n v="1143"/>
    <s v="Catherine"/>
    <s v="Mccall"/>
    <s v="catherine.mccall.1143@gslingacademy.com"/>
    <x v="1"/>
    <x v="1"/>
    <x v="9"/>
    <x v="0"/>
    <n v="0"/>
    <x v="7"/>
    <n v="81"/>
    <n v="86"/>
    <n v="68"/>
    <n v="65"/>
    <n v="87"/>
    <n v="78"/>
    <n v="82"/>
    <n v="547"/>
    <n v="78.142857142857139"/>
    <x v="3"/>
    <x v="2"/>
    <x v="0"/>
  </r>
  <r>
    <n v="1144"/>
    <s v="Tammy"/>
    <s v="Andrews"/>
    <s v="tammy.andrews.1144@gslingacademy.com"/>
    <x v="1"/>
    <x v="0"/>
    <x v="1"/>
    <x v="0"/>
    <n v="10"/>
    <x v="15"/>
    <n v="96"/>
    <n v="83"/>
    <n v="64"/>
    <n v="84"/>
    <n v="98"/>
    <n v="79"/>
    <n v="99"/>
    <n v="603"/>
    <n v="86.142857142857139"/>
    <x v="4"/>
    <x v="0"/>
    <x v="1"/>
  </r>
  <r>
    <n v="1145"/>
    <s v="Kathryn"/>
    <s v="Powell"/>
    <s v="kathryn.powell.1145@gslingacademy.com"/>
    <x v="1"/>
    <x v="0"/>
    <x v="8"/>
    <x v="0"/>
    <n v="11"/>
    <x v="9"/>
    <n v="97"/>
    <n v="66"/>
    <n v="76"/>
    <n v="80"/>
    <n v="81"/>
    <n v="82"/>
    <n v="64"/>
    <n v="546"/>
    <n v="78"/>
    <x v="2"/>
    <x v="1"/>
    <x v="0"/>
  </r>
  <r>
    <n v="1146"/>
    <s v="Michael"/>
    <s v="Lutz"/>
    <s v="michael.lutz.1146@gslingacademy.com"/>
    <x v="0"/>
    <x v="0"/>
    <x v="0"/>
    <x v="0"/>
    <n v="5"/>
    <x v="14"/>
    <n v="86"/>
    <n v="76"/>
    <n v="92"/>
    <n v="86"/>
    <n v="75"/>
    <n v="67"/>
    <n v="79"/>
    <n v="561"/>
    <n v="80.142857142857139"/>
    <x v="3"/>
    <x v="0"/>
    <x v="0"/>
  </r>
  <r>
    <n v="1147"/>
    <s v="Brian"/>
    <s v="Myers"/>
    <s v="brian.myers.1147@gslingacademy.com"/>
    <x v="0"/>
    <x v="0"/>
    <x v="9"/>
    <x v="0"/>
    <n v="33"/>
    <x v="1"/>
    <n v="94"/>
    <n v="74"/>
    <n v="95"/>
    <n v="82"/>
    <n v="100"/>
    <n v="63"/>
    <n v="97"/>
    <n v="605"/>
    <n v="86.428571428571431"/>
    <x v="1"/>
    <x v="2"/>
    <x v="1"/>
  </r>
  <r>
    <n v="1148"/>
    <s v="Maria"/>
    <s v="Adams"/>
    <s v="maria.adams.1148@gslingacademy.com"/>
    <x v="1"/>
    <x v="0"/>
    <x v="1"/>
    <x v="1"/>
    <n v="29"/>
    <x v="5"/>
    <n v="88"/>
    <n v="83"/>
    <n v="94"/>
    <n v="80"/>
    <n v="97"/>
    <n v="95"/>
    <n v="78"/>
    <n v="615"/>
    <n v="87.857142857142861"/>
    <x v="0"/>
    <x v="0"/>
    <x v="1"/>
  </r>
  <r>
    <n v="1149"/>
    <s v="Ronnie"/>
    <s v="Nguyen"/>
    <s v="ronnie.nguyen.1149@gslingacademy.com"/>
    <x v="0"/>
    <x v="0"/>
    <x v="0"/>
    <x v="0"/>
    <n v="26"/>
    <x v="4"/>
    <n v="84"/>
    <n v="74"/>
    <n v="74"/>
    <n v="67"/>
    <n v="72"/>
    <n v="99"/>
    <n v="65"/>
    <n v="535"/>
    <n v="76.428571428571431"/>
    <x v="0"/>
    <x v="0"/>
    <x v="0"/>
  </r>
  <r>
    <n v="1150"/>
    <s v="Daniel"/>
    <s v="Stephens"/>
    <s v="daniel.stephens.1150@gslingacademy.com"/>
    <x v="0"/>
    <x v="0"/>
    <x v="5"/>
    <x v="0"/>
    <n v="25"/>
    <x v="15"/>
    <n v="85"/>
    <n v="82"/>
    <n v="88"/>
    <n v="62"/>
    <n v="71"/>
    <n v="71"/>
    <n v="75"/>
    <n v="534"/>
    <n v="76.285714285714292"/>
    <x v="0"/>
    <x v="0"/>
    <x v="0"/>
  </r>
  <r>
    <n v="1151"/>
    <s v="Brandon"/>
    <s v="Oliver"/>
    <s v="brandon.oliver.1151@gslingacademy.com"/>
    <x v="0"/>
    <x v="0"/>
    <x v="1"/>
    <x v="1"/>
    <n v="30"/>
    <x v="4"/>
    <n v="78"/>
    <n v="89"/>
    <n v="95"/>
    <n v="71"/>
    <n v="68"/>
    <n v="71"/>
    <n v="69"/>
    <n v="541"/>
    <n v="77.285714285714292"/>
    <x v="0"/>
    <x v="0"/>
    <x v="0"/>
  </r>
  <r>
    <n v="1152"/>
    <s v="David"/>
    <s v="Vazquez"/>
    <s v="david.vazquez.1152@gslingacademy.com"/>
    <x v="0"/>
    <x v="0"/>
    <x v="1"/>
    <x v="0"/>
    <n v="13"/>
    <x v="4"/>
    <n v="86"/>
    <n v="66"/>
    <n v="77"/>
    <n v="74"/>
    <n v="84"/>
    <n v="72"/>
    <n v="95"/>
    <n v="554"/>
    <n v="79.142857142857139"/>
    <x v="2"/>
    <x v="0"/>
    <x v="0"/>
  </r>
  <r>
    <n v="1153"/>
    <s v="Desiree"/>
    <s v="Moore"/>
    <s v="desiree.moore.1153@gslingacademy.com"/>
    <x v="1"/>
    <x v="0"/>
    <x v="5"/>
    <x v="0"/>
    <n v="25"/>
    <x v="5"/>
    <n v="99"/>
    <n v="98"/>
    <n v="80"/>
    <n v="83"/>
    <n v="89"/>
    <n v="68"/>
    <n v="61"/>
    <n v="578"/>
    <n v="82.571428571428569"/>
    <x v="0"/>
    <x v="0"/>
    <x v="0"/>
  </r>
  <r>
    <n v="1154"/>
    <s v="Jessica"/>
    <s v="Turner"/>
    <s v="jessica.turner.1154@gslingacademy.com"/>
    <x v="1"/>
    <x v="0"/>
    <x v="10"/>
    <x v="0"/>
    <n v="15"/>
    <x v="6"/>
    <n v="67"/>
    <n v="64"/>
    <n v="99"/>
    <n v="84"/>
    <n v="100"/>
    <n v="81"/>
    <n v="78"/>
    <n v="573"/>
    <n v="81.857142857142861"/>
    <x v="2"/>
    <x v="3"/>
    <x v="0"/>
  </r>
  <r>
    <n v="1155"/>
    <s v="Scott"/>
    <s v="Bishop"/>
    <s v="scott.bishop.1155@gslingacademy.com"/>
    <x v="0"/>
    <x v="0"/>
    <x v="4"/>
    <x v="0"/>
    <n v="10"/>
    <x v="9"/>
    <n v="84"/>
    <n v="94"/>
    <n v="60"/>
    <n v="83"/>
    <n v="97"/>
    <n v="75"/>
    <n v="97"/>
    <n v="590"/>
    <n v="84.285714285714292"/>
    <x v="4"/>
    <x v="2"/>
    <x v="0"/>
  </r>
  <r>
    <n v="1156"/>
    <s v="Cassandra"/>
    <s v="Flores"/>
    <s v="cassandra.flores.1156@gslingacademy.com"/>
    <x v="1"/>
    <x v="1"/>
    <x v="0"/>
    <x v="1"/>
    <n v="0"/>
    <x v="3"/>
    <n v="72"/>
    <n v="62"/>
    <n v="96"/>
    <n v="95"/>
    <n v="97"/>
    <n v="71"/>
    <n v="83"/>
    <n v="576"/>
    <n v="82.285714285714292"/>
    <x v="3"/>
    <x v="0"/>
    <x v="0"/>
  </r>
  <r>
    <n v="1157"/>
    <s v="Miguel"/>
    <s v="Hernandez"/>
    <s v="miguel.hernandez.1157@gslingacademy.com"/>
    <x v="0"/>
    <x v="1"/>
    <x v="5"/>
    <x v="0"/>
    <n v="17"/>
    <x v="12"/>
    <n v="74"/>
    <n v="88"/>
    <n v="99"/>
    <n v="92"/>
    <n v="93"/>
    <n v="85"/>
    <n v="81"/>
    <n v="612"/>
    <n v="87.428571428571431"/>
    <x v="2"/>
    <x v="0"/>
    <x v="1"/>
  </r>
  <r>
    <n v="1158"/>
    <s v="Brittany"/>
    <s v="Welch"/>
    <s v="brittany.welch.1158@gslingacademy.com"/>
    <x v="1"/>
    <x v="1"/>
    <x v="3"/>
    <x v="0"/>
    <n v="4"/>
    <x v="7"/>
    <n v="74"/>
    <n v="74"/>
    <n v="83"/>
    <n v="52"/>
    <n v="70"/>
    <n v="87"/>
    <n v="95"/>
    <n v="535"/>
    <n v="76.428571428571431"/>
    <x v="3"/>
    <x v="2"/>
    <x v="0"/>
  </r>
  <r>
    <n v="1159"/>
    <s v="Robert"/>
    <s v="Ross"/>
    <s v="robert.ross.1159@gslingacademy.com"/>
    <x v="0"/>
    <x v="0"/>
    <x v="0"/>
    <x v="0"/>
    <n v="32"/>
    <x v="0"/>
    <n v="91"/>
    <n v="92"/>
    <n v="64"/>
    <n v="69"/>
    <n v="82"/>
    <n v="94"/>
    <n v="61"/>
    <n v="553"/>
    <n v="79"/>
    <x v="1"/>
    <x v="0"/>
    <x v="0"/>
  </r>
  <r>
    <n v="1160"/>
    <s v="Jennifer"/>
    <s v="White"/>
    <s v="jennifer.white.1160@gslingacademy.com"/>
    <x v="1"/>
    <x v="0"/>
    <x v="3"/>
    <x v="0"/>
    <n v="34"/>
    <x v="11"/>
    <n v="77"/>
    <n v="66"/>
    <n v="94"/>
    <n v="77"/>
    <n v="49"/>
    <n v="83"/>
    <n v="64"/>
    <n v="510"/>
    <n v="72.857142857142861"/>
    <x v="1"/>
    <x v="2"/>
    <x v="0"/>
  </r>
  <r>
    <n v="1161"/>
    <s v="Rebecca"/>
    <s v="Smith"/>
    <s v="rebecca.smith.1161@gslingacademy.com"/>
    <x v="1"/>
    <x v="0"/>
    <x v="6"/>
    <x v="0"/>
    <n v="8"/>
    <x v="2"/>
    <n v="87"/>
    <n v="90"/>
    <n v="91"/>
    <n v="60"/>
    <n v="95"/>
    <n v="67"/>
    <n v="62"/>
    <n v="552"/>
    <n v="78.857142857142861"/>
    <x v="4"/>
    <x v="1"/>
    <x v="0"/>
  </r>
  <r>
    <n v="1162"/>
    <s v="Jessica"/>
    <s v="Ferrell"/>
    <s v="jessica.ferrell.1162@gslingacademy.com"/>
    <x v="1"/>
    <x v="0"/>
    <x v="5"/>
    <x v="1"/>
    <n v="3"/>
    <x v="4"/>
    <n v="60"/>
    <n v="70"/>
    <n v="61"/>
    <n v="63"/>
    <n v="61"/>
    <n v="71"/>
    <n v="73"/>
    <n v="459"/>
    <n v="65.571428571428569"/>
    <x v="3"/>
    <x v="0"/>
    <x v="0"/>
  </r>
  <r>
    <n v="1163"/>
    <s v="Jeremy"/>
    <s v="Montgomery"/>
    <s v="jeremy.montgomery.1163@gslingacademy.com"/>
    <x v="0"/>
    <x v="0"/>
    <x v="5"/>
    <x v="1"/>
    <n v="3"/>
    <x v="7"/>
    <n v="92"/>
    <n v="84"/>
    <n v="86"/>
    <n v="80"/>
    <n v="73"/>
    <n v="97"/>
    <n v="88"/>
    <n v="600"/>
    <n v="85.714285714285708"/>
    <x v="3"/>
    <x v="0"/>
    <x v="0"/>
  </r>
  <r>
    <n v="1164"/>
    <s v="Angel"/>
    <s v="Gilbert"/>
    <s v="angel.gilbert.1164@gslingacademy.com"/>
    <x v="1"/>
    <x v="1"/>
    <x v="2"/>
    <x v="0"/>
    <n v="4"/>
    <x v="7"/>
    <n v="71"/>
    <n v="89"/>
    <n v="63"/>
    <n v="50"/>
    <n v="63"/>
    <n v="64"/>
    <n v="69"/>
    <n v="469"/>
    <n v="67"/>
    <x v="3"/>
    <x v="1"/>
    <x v="0"/>
  </r>
  <r>
    <n v="1165"/>
    <s v="Rebecca"/>
    <s v="Roman"/>
    <s v="rebecca.roman.1165@gslingacademy.com"/>
    <x v="1"/>
    <x v="0"/>
    <x v="5"/>
    <x v="0"/>
    <n v="2"/>
    <x v="3"/>
    <n v="62"/>
    <n v="100"/>
    <n v="91"/>
    <n v="75"/>
    <n v="99"/>
    <n v="76"/>
    <n v="78"/>
    <n v="581"/>
    <n v="83"/>
    <x v="3"/>
    <x v="0"/>
    <x v="0"/>
  </r>
  <r>
    <n v="1166"/>
    <s v="Frank"/>
    <s v="Lopez"/>
    <s v="frank.lopez.1166@gslingacademy.com"/>
    <x v="0"/>
    <x v="0"/>
    <x v="10"/>
    <x v="0"/>
    <n v="0"/>
    <x v="16"/>
    <n v="100"/>
    <n v="85"/>
    <n v="81"/>
    <n v="91"/>
    <n v="75"/>
    <n v="64"/>
    <n v="83"/>
    <n v="579"/>
    <n v="82.714285714285708"/>
    <x v="3"/>
    <x v="3"/>
    <x v="0"/>
  </r>
  <r>
    <n v="1167"/>
    <s v="Thomas"/>
    <s v="Hernandez"/>
    <s v="thomas.hernandez.1167@gslingacademy.com"/>
    <x v="0"/>
    <x v="0"/>
    <x v="3"/>
    <x v="1"/>
    <n v="3"/>
    <x v="14"/>
    <n v="94"/>
    <n v="65"/>
    <n v="100"/>
    <n v="77"/>
    <n v="66"/>
    <n v="96"/>
    <n v="68"/>
    <n v="566"/>
    <n v="80.857142857142861"/>
    <x v="3"/>
    <x v="2"/>
    <x v="0"/>
  </r>
  <r>
    <n v="1168"/>
    <s v="Crystal"/>
    <s v="Miller"/>
    <s v="crystal.miller.1168@gslingacademy.com"/>
    <x v="1"/>
    <x v="0"/>
    <x v="9"/>
    <x v="0"/>
    <n v="4"/>
    <x v="3"/>
    <n v="98"/>
    <n v="80"/>
    <n v="66"/>
    <n v="94"/>
    <n v="86"/>
    <n v="72"/>
    <n v="86"/>
    <n v="582"/>
    <n v="83.142857142857139"/>
    <x v="3"/>
    <x v="2"/>
    <x v="0"/>
  </r>
  <r>
    <n v="1169"/>
    <s v="Nicholas"/>
    <s v="Wallace"/>
    <s v="nicholas.wallace.1169@gslingacademy.com"/>
    <x v="0"/>
    <x v="0"/>
    <x v="0"/>
    <x v="0"/>
    <n v="21"/>
    <x v="13"/>
    <n v="94"/>
    <n v="81"/>
    <n v="88"/>
    <n v="81"/>
    <n v="71"/>
    <n v="92"/>
    <n v="73"/>
    <n v="580"/>
    <n v="82.857142857142861"/>
    <x v="0"/>
    <x v="0"/>
    <x v="0"/>
  </r>
  <r>
    <n v="1170"/>
    <s v="Arthur"/>
    <s v="Brown"/>
    <s v="arthur.brown.1170@gslingacademy.com"/>
    <x v="0"/>
    <x v="0"/>
    <x v="0"/>
    <x v="0"/>
    <n v="4"/>
    <x v="14"/>
    <n v="92"/>
    <n v="69"/>
    <n v="93"/>
    <n v="67"/>
    <n v="79"/>
    <n v="84"/>
    <n v="69"/>
    <n v="553"/>
    <n v="79"/>
    <x v="3"/>
    <x v="0"/>
    <x v="0"/>
  </r>
  <r>
    <n v="1171"/>
    <s v="Corey"/>
    <s v="Monroe"/>
    <s v="corey.monroe.1171@gslingacademy.com"/>
    <x v="0"/>
    <x v="0"/>
    <x v="3"/>
    <x v="1"/>
    <n v="1"/>
    <x v="7"/>
    <n v="50"/>
    <n v="87"/>
    <n v="93"/>
    <n v="84"/>
    <n v="86"/>
    <n v="73"/>
    <n v="74"/>
    <n v="547"/>
    <n v="78.142857142857139"/>
    <x v="3"/>
    <x v="2"/>
    <x v="0"/>
  </r>
  <r>
    <n v="1172"/>
    <s v="Angel"/>
    <s v="Green"/>
    <s v="angel.green.1172@gslingacademy.com"/>
    <x v="1"/>
    <x v="0"/>
    <x v="6"/>
    <x v="0"/>
    <n v="49"/>
    <x v="1"/>
    <n v="99"/>
    <n v="98"/>
    <n v="94"/>
    <n v="96"/>
    <n v="95"/>
    <n v="88"/>
    <n v="92"/>
    <n v="662"/>
    <n v="94.571428571428569"/>
    <x v="1"/>
    <x v="1"/>
    <x v="1"/>
  </r>
  <r>
    <n v="1173"/>
    <s v="Tina"/>
    <s v="Anderson"/>
    <s v="tina.anderson.1173@gslingacademy.com"/>
    <x v="1"/>
    <x v="0"/>
    <x v="0"/>
    <x v="0"/>
    <n v="12"/>
    <x v="6"/>
    <n v="70"/>
    <n v="68"/>
    <n v="89"/>
    <n v="60"/>
    <n v="79"/>
    <n v="85"/>
    <n v="66"/>
    <n v="517"/>
    <n v="73.857142857142861"/>
    <x v="2"/>
    <x v="0"/>
    <x v="0"/>
  </r>
  <r>
    <n v="1174"/>
    <s v="Rebecca"/>
    <s v="Khan"/>
    <s v="rebecca.khan.1174@gslingacademy.com"/>
    <x v="1"/>
    <x v="0"/>
    <x v="4"/>
    <x v="0"/>
    <n v="9"/>
    <x v="2"/>
    <n v="92"/>
    <n v="93"/>
    <n v="86"/>
    <n v="61"/>
    <n v="78"/>
    <n v="80"/>
    <n v="62"/>
    <n v="552"/>
    <n v="78.857142857142861"/>
    <x v="4"/>
    <x v="2"/>
    <x v="0"/>
  </r>
  <r>
    <n v="1175"/>
    <s v="Terry"/>
    <s v="Dean"/>
    <s v="terry.dean.1175@gslingacademy.com"/>
    <x v="0"/>
    <x v="1"/>
    <x v="5"/>
    <x v="0"/>
    <n v="20"/>
    <x v="9"/>
    <n v="82"/>
    <n v="70"/>
    <n v="86"/>
    <n v="66"/>
    <n v="97"/>
    <n v="93"/>
    <n v="91"/>
    <n v="585"/>
    <n v="83.571428571428569"/>
    <x v="2"/>
    <x v="0"/>
    <x v="0"/>
  </r>
  <r>
    <n v="1176"/>
    <s v="Tyler"/>
    <s v="Martin"/>
    <s v="tyler.martin.1176@gslingacademy.com"/>
    <x v="0"/>
    <x v="0"/>
    <x v="6"/>
    <x v="1"/>
    <n v="16"/>
    <x v="13"/>
    <n v="83"/>
    <n v="73"/>
    <n v="82"/>
    <n v="62"/>
    <n v="92"/>
    <n v="68"/>
    <n v="76"/>
    <n v="536"/>
    <n v="76.571428571428569"/>
    <x v="2"/>
    <x v="1"/>
    <x v="0"/>
  </r>
  <r>
    <n v="1177"/>
    <s v="Derrick"/>
    <s v="Hartman"/>
    <s v="derrick.hartman.1177@gslingacademy.com"/>
    <x v="0"/>
    <x v="0"/>
    <x v="5"/>
    <x v="0"/>
    <n v="13"/>
    <x v="15"/>
    <n v="84"/>
    <n v="85"/>
    <n v="64"/>
    <n v="74"/>
    <n v="79"/>
    <n v="92"/>
    <n v="64"/>
    <n v="542"/>
    <n v="77.428571428571431"/>
    <x v="2"/>
    <x v="0"/>
    <x v="0"/>
  </r>
  <r>
    <n v="1178"/>
    <s v="Mark"/>
    <s v="Stevens"/>
    <s v="mark.stevens.1178@gslingacademy.com"/>
    <x v="0"/>
    <x v="0"/>
    <x v="10"/>
    <x v="0"/>
    <n v="30"/>
    <x v="4"/>
    <n v="60"/>
    <n v="71"/>
    <n v="91"/>
    <n v="83"/>
    <n v="93"/>
    <n v="88"/>
    <n v="97"/>
    <n v="583"/>
    <n v="83.285714285714292"/>
    <x v="0"/>
    <x v="3"/>
    <x v="0"/>
  </r>
  <r>
    <n v="1179"/>
    <s v="Scott"/>
    <s v="Tate"/>
    <s v="scott.tate.1179@gslingacademy.com"/>
    <x v="0"/>
    <x v="0"/>
    <x v="0"/>
    <x v="0"/>
    <n v="7"/>
    <x v="4"/>
    <n v="67"/>
    <n v="60"/>
    <n v="99"/>
    <n v="60"/>
    <n v="82"/>
    <n v="81"/>
    <n v="63"/>
    <n v="512"/>
    <n v="73.142857142857139"/>
    <x v="4"/>
    <x v="0"/>
    <x v="0"/>
  </r>
  <r>
    <n v="1180"/>
    <s v="Melissa"/>
    <s v="Deleon"/>
    <s v="melissa.deleon.1180@gslingacademy.com"/>
    <x v="1"/>
    <x v="0"/>
    <x v="0"/>
    <x v="0"/>
    <n v="38"/>
    <x v="1"/>
    <n v="96"/>
    <n v="92"/>
    <n v="93"/>
    <n v="91"/>
    <n v="88"/>
    <n v="90"/>
    <n v="88"/>
    <n v="638"/>
    <n v="91.142857142857139"/>
    <x v="1"/>
    <x v="0"/>
    <x v="1"/>
  </r>
  <r>
    <n v="1181"/>
    <s v="Nicole"/>
    <s v="Newman"/>
    <s v="nicole.newman.1181@gslingacademy.com"/>
    <x v="1"/>
    <x v="0"/>
    <x v="9"/>
    <x v="0"/>
    <n v="7"/>
    <x v="15"/>
    <n v="97"/>
    <n v="63"/>
    <n v="61"/>
    <n v="77"/>
    <n v="74"/>
    <n v="94"/>
    <n v="61"/>
    <n v="527"/>
    <n v="75.285714285714292"/>
    <x v="4"/>
    <x v="2"/>
    <x v="0"/>
  </r>
  <r>
    <n v="1182"/>
    <s v="Brent"/>
    <s v="Burton"/>
    <s v="brent.burton.1182@gslingacademy.com"/>
    <x v="0"/>
    <x v="0"/>
    <x v="5"/>
    <x v="0"/>
    <n v="8"/>
    <x v="4"/>
    <n v="89"/>
    <n v="62"/>
    <n v="79"/>
    <n v="60"/>
    <n v="93"/>
    <n v="77"/>
    <n v="73"/>
    <n v="533"/>
    <n v="76.142857142857139"/>
    <x v="4"/>
    <x v="0"/>
    <x v="0"/>
  </r>
  <r>
    <n v="1183"/>
    <s v="Victor"/>
    <s v="Bright"/>
    <s v="victor.bright.1183@gslingacademy.com"/>
    <x v="0"/>
    <x v="0"/>
    <x v="10"/>
    <x v="0"/>
    <n v="8"/>
    <x v="16"/>
    <n v="68"/>
    <n v="95"/>
    <n v="62"/>
    <n v="65"/>
    <n v="70"/>
    <n v="65"/>
    <n v="64"/>
    <n v="489"/>
    <n v="69.857142857142861"/>
    <x v="4"/>
    <x v="3"/>
    <x v="0"/>
  </r>
  <r>
    <n v="1184"/>
    <s v="Kenneth"/>
    <s v="Turner"/>
    <s v="kenneth.turner.1184@gslingacademy.com"/>
    <x v="0"/>
    <x v="0"/>
    <x v="2"/>
    <x v="1"/>
    <n v="11"/>
    <x v="13"/>
    <n v="82"/>
    <n v="85"/>
    <n v="94"/>
    <n v="75"/>
    <n v="97"/>
    <n v="98"/>
    <n v="76"/>
    <n v="607"/>
    <n v="86.714285714285708"/>
    <x v="2"/>
    <x v="1"/>
    <x v="1"/>
  </r>
  <r>
    <n v="1185"/>
    <s v="Lisa"/>
    <s v="Bailey"/>
    <s v="lisa.bailey.1185@gslingacademy.com"/>
    <x v="1"/>
    <x v="0"/>
    <x v="0"/>
    <x v="1"/>
    <n v="30"/>
    <x v="5"/>
    <n v="85"/>
    <n v="78"/>
    <n v="99"/>
    <n v="81"/>
    <n v="60"/>
    <n v="83"/>
    <n v="75"/>
    <n v="561"/>
    <n v="80.142857142857139"/>
    <x v="0"/>
    <x v="0"/>
    <x v="0"/>
  </r>
  <r>
    <n v="1186"/>
    <s v="Nancy"/>
    <s v="Fowler"/>
    <s v="nancy.fowler.1186@gslingacademy.com"/>
    <x v="1"/>
    <x v="0"/>
    <x v="0"/>
    <x v="1"/>
    <n v="11"/>
    <x v="4"/>
    <n v="86"/>
    <n v="66"/>
    <n v="84"/>
    <n v="86"/>
    <n v="74"/>
    <n v="91"/>
    <n v="66"/>
    <n v="553"/>
    <n v="79"/>
    <x v="2"/>
    <x v="0"/>
    <x v="0"/>
  </r>
  <r>
    <n v="1187"/>
    <s v="Gabriel"/>
    <s v="Wilson"/>
    <s v="gabriel.wilson.1187@gslingacademy.com"/>
    <x v="0"/>
    <x v="0"/>
    <x v="1"/>
    <x v="0"/>
    <n v="35"/>
    <x v="11"/>
    <n v="87"/>
    <n v="86"/>
    <n v="89"/>
    <n v="94"/>
    <n v="93"/>
    <n v="91"/>
    <n v="88"/>
    <n v="628"/>
    <n v="89.714285714285708"/>
    <x v="1"/>
    <x v="0"/>
    <x v="1"/>
  </r>
  <r>
    <n v="1188"/>
    <s v="Andrea"/>
    <s v="Barrett"/>
    <s v="andrea.barrett.1188@gslingacademy.com"/>
    <x v="1"/>
    <x v="0"/>
    <x v="6"/>
    <x v="0"/>
    <n v="4"/>
    <x v="7"/>
    <n v="98"/>
    <n v="81"/>
    <n v="58"/>
    <n v="78"/>
    <n v="91"/>
    <n v="74"/>
    <n v="75"/>
    <n v="555"/>
    <n v="79.285714285714292"/>
    <x v="3"/>
    <x v="1"/>
    <x v="0"/>
  </r>
  <r>
    <n v="1189"/>
    <s v="Jessica"/>
    <s v="Williams"/>
    <s v="jessica.williams.1189@gslingacademy.com"/>
    <x v="1"/>
    <x v="0"/>
    <x v="2"/>
    <x v="1"/>
    <n v="6"/>
    <x v="16"/>
    <n v="91"/>
    <n v="94"/>
    <n v="75"/>
    <n v="86"/>
    <n v="84"/>
    <n v="67"/>
    <n v="97"/>
    <n v="594"/>
    <n v="84.857142857142861"/>
    <x v="4"/>
    <x v="1"/>
    <x v="0"/>
  </r>
  <r>
    <n v="1190"/>
    <s v="Hector"/>
    <s v="Cox"/>
    <s v="hector.cox.1190@gslingacademy.com"/>
    <x v="0"/>
    <x v="0"/>
    <x v="5"/>
    <x v="0"/>
    <n v="33"/>
    <x v="1"/>
    <n v="100"/>
    <n v="90"/>
    <n v="89"/>
    <n v="91"/>
    <n v="86"/>
    <n v="75"/>
    <n v="72"/>
    <n v="603"/>
    <n v="86.142857142857139"/>
    <x v="1"/>
    <x v="0"/>
    <x v="1"/>
  </r>
  <r>
    <n v="1191"/>
    <s v="Michelle"/>
    <s v="Mendoza"/>
    <s v="michelle.mendoza.1191@gslingacademy.com"/>
    <x v="1"/>
    <x v="0"/>
    <x v="5"/>
    <x v="0"/>
    <n v="1"/>
    <x v="16"/>
    <n v="50"/>
    <n v="60"/>
    <n v="70"/>
    <n v="75"/>
    <n v="100"/>
    <n v="62"/>
    <n v="100"/>
    <n v="517"/>
    <n v="73.857142857142861"/>
    <x v="3"/>
    <x v="0"/>
    <x v="0"/>
  </r>
  <r>
    <n v="1192"/>
    <s v="Adam"/>
    <s v="Wallace"/>
    <s v="adam.wallace.1192@gslingacademy.com"/>
    <x v="0"/>
    <x v="0"/>
    <x v="0"/>
    <x v="0"/>
    <n v="11"/>
    <x v="12"/>
    <n v="75"/>
    <n v="92"/>
    <n v="70"/>
    <n v="62"/>
    <n v="87"/>
    <n v="87"/>
    <n v="98"/>
    <n v="571"/>
    <n v="81.571428571428569"/>
    <x v="2"/>
    <x v="0"/>
    <x v="0"/>
  </r>
  <r>
    <n v="1193"/>
    <s v="Kelly"/>
    <s v="Harris"/>
    <s v="kelly.harris.1193@gslingacademy.com"/>
    <x v="1"/>
    <x v="0"/>
    <x v="6"/>
    <x v="0"/>
    <n v="21"/>
    <x v="15"/>
    <n v="86"/>
    <n v="62"/>
    <n v="81"/>
    <n v="63"/>
    <n v="92"/>
    <n v="75"/>
    <n v="79"/>
    <n v="538"/>
    <n v="76.857142857142861"/>
    <x v="0"/>
    <x v="1"/>
    <x v="0"/>
  </r>
  <r>
    <n v="1194"/>
    <s v="Anthony"/>
    <s v="Clark"/>
    <s v="anthony.clark.1194@gslingacademy.com"/>
    <x v="0"/>
    <x v="0"/>
    <x v="0"/>
    <x v="0"/>
    <n v="24"/>
    <x v="9"/>
    <n v="80"/>
    <n v="66"/>
    <n v="67"/>
    <n v="72"/>
    <n v="78"/>
    <n v="99"/>
    <n v="67"/>
    <n v="529"/>
    <n v="75.571428571428569"/>
    <x v="0"/>
    <x v="0"/>
    <x v="0"/>
  </r>
  <r>
    <n v="1195"/>
    <s v="Randall"/>
    <s v="Wyatt"/>
    <s v="randall.wyatt.1195@gslingacademy.com"/>
    <x v="0"/>
    <x v="0"/>
    <x v="6"/>
    <x v="0"/>
    <n v="4"/>
    <x v="7"/>
    <n v="56"/>
    <n v="66"/>
    <n v="92"/>
    <n v="74"/>
    <n v="79"/>
    <n v="80"/>
    <n v="68"/>
    <n v="515"/>
    <n v="73.571428571428569"/>
    <x v="3"/>
    <x v="1"/>
    <x v="0"/>
  </r>
  <r>
    <n v="1196"/>
    <s v="Ryan"/>
    <s v="Sutton"/>
    <s v="ryan.sutton.1196@gslingacademy.com"/>
    <x v="0"/>
    <x v="0"/>
    <x v="5"/>
    <x v="0"/>
    <n v="1"/>
    <x v="14"/>
    <n v="91"/>
    <n v="72"/>
    <n v="85"/>
    <n v="78"/>
    <n v="92"/>
    <n v="82"/>
    <n v="85"/>
    <n v="585"/>
    <n v="83.571428571428569"/>
    <x v="3"/>
    <x v="0"/>
    <x v="0"/>
  </r>
  <r>
    <n v="1197"/>
    <s v="Rick"/>
    <s v="Garcia"/>
    <s v="rick.garcia.1197@gslingacademy.com"/>
    <x v="0"/>
    <x v="0"/>
    <x v="5"/>
    <x v="1"/>
    <n v="12"/>
    <x v="13"/>
    <n v="94"/>
    <n v="65"/>
    <n v="90"/>
    <n v="79"/>
    <n v="97"/>
    <n v="76"/>
    <n v="75"/>
    <n v="576"/>
    <n v="82.285714285714292"/>
    <x v="2"/>
    <x v="0"/>
    <x v="0"/>
  </r>
  <r>
    <n v="1198"/>
    <s v="Frank"/>
    <s v="Schmitt"/>
    <s v="frank.schmitt.1198@gslingacademy.com"/>
    <x v="0"/>
    <x v="0"/>
    <x v="6"/>
    <x v="0"/>
    <n v="28"/>
    <x v="13"/>
    <n v="81"/>
    <n v="82"/>
    <n v="99"/>
    <n v="86"/>
    <n v="88"/>
    <n v="60"/>
    <n v="89"/>
    <n v="585"/>
    <n v="83.571428571428569"/>
    <x v="0"/>
    <x v="1"/>
    <x v="0"/>
  </r>
  <r>
    <n v="1199"/>
    <s v="Alan"/>
    <s v="Mcgrath"/>
    <s v="alan.mcgrath.1199@gslingacademy.com"/>
    <x v="0"/>
    <x v="0"/>
    <x v="1"/>
    <x v="0"/>
    <n v="20"/>
    <x v="11"/>
    <n v="94"/>
    <n v="82"/>
    <n v="91"/>
    <n v="94"/>
    <n v="100"/>
    <n v="99"/>
    <n v="69"/>
    <n v="629"/>
    <n v="89.857142857142861"/>
    <x v="2"/>
    <x v="0"/>
    <x v="1"/>
  </r>
  <r>
    <n v="1200"/>
    <s v="Lauren"/>
    <s v="Gomez"/>
    <s v="lauren.gomez.1200@gslingacademy.com"/>
    <x v="1"/>
    <x v="0"/>
    <x v="0"/>
    <x v="0"/>
    <n v="35"/>
    <x v="1"/>
    <n v="99"/>
    <n v="89"/>
    <n v="93"/>
    <n v="87"/>
    <n v="86"/>
    <n v="90"/>
    <n v="96"/>
    <n v="640"/>
    <n v="91.428571428571431"/>
    <x v="1"/>
    <x v="0"/>
    <x v="1"/>
  </r>
  <r>
    <n v="1201"/>
    <s v="Katherine"/>
    <s v="Taylor"/>
    <s v="katherine.taylor.1201@gslingacademy.com"/>
    <x v="1"/>
    <x v="0"/>
    <x v="10"/>
    <x v="0"/>
    <n v="33"/>
    <x v="0"/>
    <n v="88"/>
    <n v="83"/>
    <n v="62"/>
    <n v="88"/>
    <n v="100"/>
    <n v="83"/>
    <n v="84"/>
    <n v="588"/>
    <n v="84"/>
    <x v="1"/>
    <x v="3"/>
    <x v="0"/>
  </r>
  <r>
    <n v="1202"/>
    <s v="Ashley"/>
    <s v="York"/>
    <s v="ashley.york.1202@gslingacademy.com"/>
    <x v="1"/>
    <x v="0"/>
    <x v="4"/>
    <x v="0"/>
    <n v="4"/>
    <x v="16"/>
    <n v="79"/>
    <n v="74"/>
    <n v="68"/>
    <n v="82"/>
    <n v="65"/>
    <n v="73"/>
    <n v="89"/>
    <n v="530"/>
    <n v="75.714285714285708"/>
    <x v="3"/>
    <x v="2"/>
    <x v="0"/>
  </r>
  <r>
    <n v="1203"/>
    <s v="Charles"/>
    <s v="Rangel"/>
    <s v="charles.rangel.1203@gslingacademy.com"/>
    <x v="0"/>
    <x v="1"/>
    <x v="9"/>
    <x v="0"/>
    <n v="1"/>
    <x v="7"/>
    <n v="49"/>
    <n v="85"/>
    <n v="70"/>
    <n v="90"/>
    <n v="79"/>
    <n v="71"/>
    <n v="67"/>
    <n v="511"/>
    <n v="73"/>
    <x v="3"/>
    <x v="2"/>
    <x v="0"/>
  </r>
  <r>
    <n v="1204"/>
    <s v="Brooke"/>
    <s v="Burnett"/>
    <s v="brooke.burnett.1204@gslingacademy.com"/>
    <x v="1"/>
    <x v="0"/>
    <x v="3"/>
    <x v="0"/>
    <n v="7"/>
    <x v="2"/>
    <n v="97"/>
    <n v="99"/>
    <n v="67"/>
    <n v="87"/>
    <n v="66"/>
    <n v="68"/>
    <n v="67"/>
    <n v="551"/>
    <n v="78.714285714285708"/>
    <x v="4"/>
    <x v="2"/>
    <x v="0"/>
  </r>
  <r>
    <n v="1205"/>
    <s v="Ronald"/>
    <s v="Lane"/>
    <s v="ronald.lane.1205@gslingacademy.com"/>
    <x v="0"/>
    <x v="0"/>
    <x v="0"/>
    <x v="0"/>
    <n v="27"/>
    <x v="13"/>
    <n v="96"/>
    <n v="70"/>
    <n v="82"/>
    <n v="71"/>
    <n v="99"/>
    <n v="90"/>
    <n v="65"/>
    <n v="573"/>
    <n v="81.857142857142861"/>
    <x v="0"/>
    <x v="0"/>
    <x v="0"/>
  </r>
  <r>
    <n v="1206"/>
    <s v="Emma"/>
    <s v="Andrews"/>
    <s v="emma.andrews.1206@gslingacademy.com"/>
    <x v="1"/>
    <x v="0"/>
    <x v="1"/>
    <x v="0"/>
    <n v="34"/>
    <x v="15"/>
    <n v="89"/>
    <n v="71"/>
    <n v="75"/>
    <n v="65"/>
    <n v="74"/>
    <n v="93"/>
    <n v="90"/>
    <n v="557"/>
    <n v="79.571428571428569"/>
    <x v="1"/>
    <x v="0"/>
    <x v="0"/>
  </r>
  <r>
    <n v="1207"/>
    <s v="Nancy"/>
    <s v="Esparza"/>
    <s v="nancy.esparza.1207@gslingacademy.com"/>
    <x v="1"/>
    <x v="1"/>
    <x v="1"/>
    <x v="0"/>
    <n v="17"/>
    <x v="5"/>
    <n v="94"/>
    <n v="90"/>
    <n v="77"/>
    <n v="65"/>
    <n v="83"/>
    <n v="79"/>
    <n v="96"/>
    <n v="584"/>
    <n v="83.428571428571431"/>
    <x v="2"/>
    <x v="0"/>
    <x v="0"/>
  </r>
  <r>
    <n v="1208"/>
    <s v="Sean"/>
    <s v="Erickson"/>
    <s v="sean.erickson.1208@gslingacademy.com"/>
    <x v="0"/>
    <x v="0"/>
    <x v="5"/>
    <x v="0"/>
    <n v="18"/>
    <x v="4"/>
    <n v="62"/>
    <n v="73"/>
    <n v="95"/>
    <n v="68"/>
    <n v="61"/>
    <n v="60"/>
    <n v="68"/>
    <n v="487"/>
    <n v="69.571428571428569"/>
    <x v="2"/>
    <x v="0"/>
    <x v="0"/>
  </r>
  <r>
    <n v="1209"/>
    <s v="Heather"/>
    <s v="Davis"/>
    <s v="heather.davis.1209@gslingacademy.com"/>
    <x v="1"/>
    <x v="0"/>
    <x v="1"/>
    <x v="1"/>
    <n v="9"/>
    <x v="16"/>
    <n v="68"/>
    <n v="94"/>
    <n v="92"/>
    <n v="77"/>
    <n v="79"/>
    <n v="88"/>
    <n v="74"/>
    <n v="572"/>
    <n v="81.714285714285708"/>
    <x v="4"/>
    <x v="0"/>
    <x v="0"/>
  </r>
  <r>
    <n v="1210"/>
    <s v="Kimberly"/>
    <s v="Bailey"/>
    <s v="kimberly.bailey.1210@gslingacademy.com"/>
    <x v="1"/>
    <x v="0"/>
    <x v="1"/>
    <x v="0"/>
    <n v="3"/>
    <x v="16"/>
    <n v="58"/>
    <n v="66"/>
    <n v="99"/>
    <n v="98"/>
    <n v="69"/>
    <n v="65"/>
    <n v="78"/>
    <n v="533"/>
    <n v="76.142857142857139"/>
    <x v="3"/>
    <x v="0"/>
    <x v="0"/>
  </r>
  <r>
    <n v="1211"/>
    <s v="Tracy"/>
    <s v="Garcia"/>
    <s v="tracy.garcia.1211@gslingacademy.com"/>
    <x v="1"/>
    <x v="0"/>
    <x v="3"/>
    <x v="0"/>
    <n v="28"/>
    <x v="9"/>
    <n v="92"/>
    <n v="77"/>
    <n v="75"/>
    <n v="84"/>
    <n v="74"/>
    <n v="82"/>
    <n v="78"/>
    <n v="562"/>
    <n v="80.285714285714292"/>
    <x v="0"/>
    <x v="2"/>
    <x v="0"/>
  </r>
  <r>
    <n v="1212"/>
    <s v="Brenda"/>
    <s v="Rhodes"/>
    <s v="brenda.rhodes.1212@gslingacademy.com"/>
    <x v="1"/>
    <x v="0"/>
    <x v="3"/>
    <x v="0"/>
    <n v="28"/>
    <x v="15"/>
    <n v="90"/>
    <n v="78"/>
    <n v="86"/>
    <n v="83"/>
    <n v="98"/>
    <n v="71"/>
    <n v="84"/>
    <n v="590"/>
    <n v="84.285714285714292"/>
    <x v="0"/>
    <x v="2"/>
    <x v="0"/>
  </r>
  <r>
    <n v="1213"/>
    <s v="Sarah"/>
    <s v="Brooks"/>
    <s v="sarah.brooks.1213@gslingacademy.com"/>
    <x v="1"/>
    <x v="0"/>
    <x v="1"/>
    <x v="0"/>
    <n v="26"/>
    <x v="1"/>
    <n v="84"/>
    <n v="67"/>
    <n v="89"/>
    <n v="96"/>
    <n v="88"/>
    <n v="60"/>
    <n v="88"/>
    <n v="572"/>
    <n v="81.714285714285708"/>
    <x v="0"/>
    <x v="0"/>
    <x v="0"/>
  </r>
  <r>
    <n v="1214"/>
    <s v="Jennifer"/>
    <s v="Beck"/>
    <s v="jennifer.beck.1214@gslingacademy.com"/>
    <x v="1"/>
    <x v="1"/>
    <x v="7"/>
    <x v="1"/>
    <n v="4"/>
    <x v="7"/>
    <n v="81"/>
    <n v="85"/>
    <n v="50"/>
    <n v="53"/>
    <n v="55"/>
    <n v="91"/>
    <n v="78"/>
    <n v="493"/>
    <n v="70.428571428571431"/>
    <x v="3"/>
    <x v="1"/>
    <x v="0"/>
  </r>
  <r>
    <n v="1215"/>
    <s v="Allison"/>
    <s v="Bond"/>
    <s v="allison.bond.1215@gslingacademy.com"/>
    <x v="1"/>
    <x v="0"/>
    <x v="0"/>
    <x v="0"/>
    <n v="15"/>
    <x v="6"/>
    <n v="87"/>
    <n v="89"/>
    <n v="94"/>
    <n v="82"/>
    <n v="81"/>
    <n v="98"/>
    <n v="88"/>
    <n v="619"/>
    <n v="88.428571428571431"/>
    <x v="2"/>
    <x v="0"/>
    <x v="1"/>
  </r>
  <r>
    <n v="1216"/>
    <s v="Jessica"/>
    <s v="Smith"/>
    <s v="jessica.smith.1216@gslingacademy.com"/>
    <x v="1"/>
    <x v="0"/>
    <x v="0"/>
    <x v="0"/>
    <n v="33"/>
    <x v="4"/>
    <n v="88"/>
    <n v="75"/>
    <n v="83"/>
    <n v="74"/>
    <n v="76"/>
    <n v="72"/>
    <n v="61"/>
    <n v="529"/>
    <n v="75.571428571428569"/>
    <x v="1"/>
    <x v="0"/>
    <x v="0"/>
  </r>
  <r>
    <n v="1217"/>
    <s v="Carol"/>
    <s v="Nguyen"/>
    <s v="carol.nguyen.1217@gslingacademy.com"/>
    <x v="1"/>
    <x v="0"/>
    <x v="0"/>
    <x v="1"/>
    <n v="31"/>
    <x v="10"/>
    <n v="76"/>
    <n v="83"/>
    <n v="100"/>
    <n v="96"/>
    <n v="65"/>
    <n v="98"/>
    <n v="97"/>
    <n v="615"/>
    <n v="87.857142857142861"/>
    <x v="1"/>
    <x v="0"/>
    <x v="1"/>
  </r>
  <r>
    <n v="1218"/>
    <s v="George"/>
    <s v="Francis"/>
    <s v="george.francis.1218@gslingacademy.com"/>
    <x v="0"/>
    <x v="0"/>
    <x v="3"/>
    <x v="1"/>
    <n v="7"/>
    <x v="2"/>
    <n v="60"/>
    <n v="66"/>
    <n v="65"/>
    <n v="90"/>
    <n v="61"/>
    <n v="96"/>
    <n v="74"/>
    <n v="512"/>
    <n v="73.142857142857139"/>
    <x v="4"/>
    <x v="2"/>
    <x v="0"/>
  </r>
  <r>
    <n v="1219"/>
    <s v="Michelle"/>
    <s v="Dixon"/>
    <s v="michelle.dixon.1219@gslingacademy.com"/>
    <x v="1"/>
    <x v="0"/>
    <x v="5"/>
    <x v="0"/>
    <n v="26"/>
    <x v="4"/>
    <n v="85"/>
    <n v="64"/>
    <n v="98"/>
    <n v="68"/>
    <n v="70"/>
    <n v="63"/>
    <n v="77"/>
    <n v="525"/>
    <n v="75"/>
    <x v="0"/>
    <x v="0"/>
    <x v="0"/>
  </r>
  <r>
    <n v="1220"/>
    <s v="Linda"/>
    <s v="George"/>
    <s v="linda.george.1220@gslingacademy.com"/>
    <x v="1"/>
    <x v="0"/>
    <x v="2"/>
    <x v="0"/>
    <n v="3"/>
    <x v="7"/>
    <n v="73"/>
    <n v="88"/>
    <n v="57"/>
    <n v="93"/>
    <n v="85"/>
    <n v="85"/>
    <n v="77"/>
    <n v="558"/>
    <n v="79.714285714285708"/>
    <x v="3"/>
    <x v="1"/>
    <x v="0"/>
  </r>
  <r>
    <n v="1221"/>
    <s v="Larry"/>
    <s v="Bruce"/>
    <s v="larry.bruce.1221@gslingacademy.com"/>
    <x v="0"/>
    <x v="0"/>
    <x v="3"/>
    <x v="0"/>
    <n v="31"/>
    <x v="0"/>
    <n v="99"/>
    <n v="81"/>
    <n v="80"/>
    <n v="89"/>
    <n v="75"/>
    <n v="83"/>
    <n v="93"/>
    <n v="600"/>
    <n v="85.714285714285708"/>
    <x v="1"/>
    <x v="2"/>
    <x v="0"/>
  </r>
  <r>
    <n v="1222"/>
    <s v="Charles"/>
    <s v="Myers"/>
    <s v="charles.myers.1222@gslingacademy.com"/>
    <x v="0"/>
    <x v="0"/>
    <x v="9"/>
    <x v="0"/>
    <n v="1"/>
    <x v="7"/>
    <n v="95"/>
    <n v="57"/>
    <n v="77"/>
    <n v="81"/>
    <n v="83"/>
    <n v="57"/>
    <n v="70"/>
    <n v="520"/>
    <n v="74.285714285714292"/>
    <x v="3"/>
    <x v="2"/>
    <x v="0"/>
  </r>
  <r>
    <n v="1223"/>
    <s v="Matthew"/>
    <s v="Boyd"/>
    <s v="matthew.boyd.1223@gslingacademy.com"/>
    <x v="0"/>
    <x v="0"/>
    <x v="9"/>
    <x v="1"/>
    <n v="30"/>
    <x v="11"/>
    <n v="92"/>
    <n v="90"/>
    <n v="92"/>
    <n v="78"/>
    <n v="59"/>
    <n v="68"/>
    <n v="96"/>
    <n v="575"/>
    <n v="82.142857142857139"/>
    <x v="0"/>
    <x v="2"/>
    <x v="0"/>
  </r>
  <r>
    <n v="1224"/>
    <s v="Ronald"/>
    <s v="Brewer"/>
    <s v="ronald.brewer.1224@gslingacademy.com"/>
    <x v="0"/>
    <x v="0"/>
    <x v="1"/>
    <x v="1"/>
    <n v="28"/>
    <x v="0"/>
    <n v="100"/>
    <n v="94"/>
    <n v="76"/>
    <n v="60"/>
    <n v="95"/>
    <n v="90"/>
    <n v="66"/>
    <n v="581"/>
    <n v="83"/>
    <x v="0"/>
    <x v="0"/>
    <x v="0"/>
  </r>
  <r>
    <n v="1225"/>
    <s v="Kimberly"/>
    <s v="Mcgee"/>
    <s v="kimberly.mcgee.1225@gslingacademy.com"/>
    <x v="1"/>
    <x v="1"/>
    <x v="0"/>
    <x v="0"/>
    <n v="24"/>
    <x v="1"/>
    <n v="89"/>
    <n v="67"/>
    <n v="98"/>
    <n v="94"/>
    <n v="89"/>
    <n v="60"/>
    <n v="95"/>
    <n v="592"/>
    <n v="84.571428571428569"/>
    <x v="0"/>
    <x v="0"/>
    <x v="0"/>
  </r>
  <r>
    <n v="1226"/>
    <s v="Jill"/>
    <s v="Anderson"/>
    <s v="jill.anderson.1226@gslingacademy.com"/>
    <x v="1"/>
    <x v="0"/>
    <x v="5"/>
    <x v="1"/>
    <n v="28"/>
    <x v="9"/>
    <n v="94"/>
    <n v="66"/>
    <n v="68"/>
    <n v="94"/>
    <n v="62"/>
    <n v="76"/>
    <n v="77"/>
    <n v="537"/>
    <n v="76.714285714285708"/>
    <x v="0"/>
    <x v="0"/>
    <x v="0"/>
  </r>
  <r>
    <n v="1227"/>
    <s v="David"/>
    <s v="Coffey"/>
    <s v="david.coffey.1227@gslingacademy.com"/>
    <x v="0"/>
    <x v="0"/>
    <x v="4"/>
    <x v="0"/>
    <n v="6"/>
    <x v="16"/>
    <n v="89"/>
    <n v="64"/>
    <n v="78"/>
    <n v="85"/>
    <n v="68"/>
    <n v="84"/>
    <n v="99"/>
    <n v="567"/>
    <n v="81"/>
    <x v="4"/>
    <x v="2"/>
    <x v="0"/>
  </r>
  <r>
    <n v="1228"/>
    <s v="Brittany"/>
    <s v="Henderson"/>
    <s v="brittany.henderson.1228@gslingacademy.com"/>
    <x v="1"/>
    <x v="1"/>
    <x v="2"/>
    <x v="1"/>
    <n v="5"/>
    <x v="7"/>
    <n v="74"/>
    <n v="79"/>
    <n v="82"/>
    <n v="51"/>
    <n v="67"/>
    <n v="65"/>
    <n v="82"/>
    <n v="500"/>
    <n v="71.428571428571431"/>
    <x v="3"/>
    <x v="1"/>
    <x v="0"/>
  </r>
  <r>
    <n v="1229"/>
    <s v="Holly"/>
    <s v="Richardson"/>
    <s v="holly.richardson.1229@gslingacademy.com"/>
    <x v="1"/>
    <x v="0"/>
    <x v="1"/>
    <x v="0"/>
    <n v="12"/>
    <x v="6"/>
    <n v="95"/>
    <n v="82"/>
    <n v="70"/>
    <n v="81"/>
    <n v="94"/>
    <n v="93"/>
    <n v="69"/>
    <n v="584"/>
    <n v="83.428571428571431"/>
    <x v="2"/>
    <x v="0"/>
    <x v="0"/>
  </r>
  <r>
    <n v="1230"/>
    <s v="Justin"/>
    <s v="Brooks"/>
    <s v="justin.brooks.1230@gslingacademy.com"/>
    <x v="0"/>
    <x v="0"/>
    <x v="6"/>
    <x v="0"/>
    <n v="3"/>
    <x v="4"/>
    <n v="93"/>
    <n v="74"/>
    <n v="98"/>
    <n v="100"/>
    <n v="62"/>
    <n v="83"/>
    <n v="87"/>
    <n v="597"/>
    <n v="85.285714285714292"/>
    <x v="3"/>
    <x v="1"/>
    <x v="0"/>
  </r>
  <r>
    <n v="1231"/>
    <s v="Joan"/>
    <s v="Frederick"/>
    <s v="joan.frederick.1231@gslingacademy.com"/>
    <x v="1"/>
    <x v="0"/>
    <x v="9"/>
    <x v="0"/>
    <n v="26"/>
    <x v="0"/>
    <n v="94"/>
    <n v="91"/>
    <n v="98"/>
    <n v="94"/>
    <n v="88"/>
    <n v="97"/>
    <n v="94"/>
    <n v="656"/>
    <n v="93.714285714285708"/>
    <x v="0"/>
    <x v="2"/>
    <x v="1"/>
  </r>
  <r>
    <n v="1232"/>
    <s v="Loretta"/>
    <s v="Webb"/>
    <s v="loretta.webb.1232@gslingacademy.com"/>
    <x v="1"/>
    <x v="0"/>
    <x v="9"/>
    <x v="0"/>
    <n v="18"/>
    <x v="11"/>
    <n v="85"/>
    <n v="80"/>
    <n v="84"/>
    <n v="96"/>
    <n v="45"/>
    <n v="84"/>
    <n v="90"/>
    <n v="564"/>
    <n v="80.571428571428569"/>
    <x v="2"/>
    <x v="2"/>
    <x v="0"/>
  </r>
  <r>
    <n v="1233"/>
    <s v="Toni"/>
    <s v="Zimmerman"/>
    <s v="toni.zimmerman.1233@gslingacademy.com"/>
    <x v="1"/>
    <x v="0"/>
    <x v="3"/>
    <x v="0"/>
    <n v="31"/>
    <x v="11"/>
    <n v="94"/>
    <n v="98"/>
    <n v="74"/>
    <n v="94"/>
    <n v="35"/>
    <n v="95"/>
    <n v="80"/>
    <n v="570"/>
    <n v="81.428571428571431"/>
    <x v="1"/>
    <x v="2"/>
    <x v="0"/>
  </r>
  <r>
    <n v="1234"/>
    <s v="Jaime"/>
    <s v="Houston"/>
    <s v="jaime.houston.1234@gslingacademy.com"/>
    <x v="1"/>
    <x v="0"/>
    <x v="5"/>
    <x v="0"/>
    <n v="17"/>
    <x v="6"/>
    <n v="95"/>
    <n v="88"/>
    <n v="85"/>
    <n v="66"/>
    <n v="70"/>
    <n v="72"/>
    <n v="97"/>
    <n v="573"/>
    <n v="81.857142857142861"/>
    <x v="2"/>
    <x v="0"/>
    <x v="0"/>
  </r>
  <r>
    <n v="1235"/>
    <s v="Jacqueline"/>
    <s v="Goodman"/>
    <s v="jacqueline.goodman.1235@gslingacademy.com"/>
    <x v="1"/>
    <x v="0"/>
    <x v="1"/>
    <x v="1"/>
    <n v="23"/>
    <x v="5"/>
    <n v="97"/>
    <n v="82"/>
    <n v="100"/>
    <n v="69"/>
    <n v="64"/>
    <n v="73"/>
    <n v="88"/>
    <n v="573"/>
    <n v="81.857142857142861"/>
    <x v="0"/>
    <x v="0"/>
    <x v="0"/>
  </r>
  <r>
    <n v="1236"/>
    <s v="Brian"/>
    <s v="Crawford"/>
    <s v="brian.crawford.1236@gslingacademy.com"/>
    <x v="0"/>
    <x v="0"/>
    <x v="10"/>
    <x v="0"/>
    <n v="17"/>
    <x v="12"/>
    <n v="100"/>
    <n v="83"/>
    <n v="67"/>
    <n v="77"/>
    <n v="88"/>
    <n v="76"/>
    <n v="84"/>
    <n v="575"/>
    <n v="82.142857142857139"/>
    <x v="2"/>
    <x v="3"/>
    <x v="0"/>
  </r>
  <r>
    <n v="1237"/>
    <s v="John"/>
    <s v="Reynolds"/>
    <s v="john.reynolds.1237@gslingacademy.com"/>
    <x v="0"/>
    <x v="0"/>
    <x v="9"/>
    <x v="0"/>
    <n v="29"/>
    <x v="1"/>
    <n v="99"/>
    <n v="65"/>
    <n v="97"/>
    <n v="89"/>
    <n v="87"/>
    <n v="72"/>
    <n v="86"/>
    <n v="595"/>
    <n v="85"/>
    <x v="0"/>
    <x v="2"/>
    <x v="0"/>
  </r>
  <r>
    <n v="1238"/>
    <s v="Heather"/>
    <s v="Marsh"/>
    <s v="heather.marsh.1238@gslingacademy.com"/>
    <x v="1"/>
    <x v="0"/>
    <x v="10"/>
    <x v="0"/>
    <n v="13"/>
    <x v="12"/>
    <n v="97"/>
    <n v="67"/>
    <n v="79"/>
    <n v="76"/>
    <n v="76"/>
    <n v="66"/>
    <n v="97"/>
    <n v="558"/>
    <n v="79.714285714285708"/>
    <x v="2"/>
    <x v="3"/>
    <x v="0"/>
  </r>
  <r>
    <n v="1239"/>
    <s v="Dawn"/>
    <s v="Flores"/>
    <s v="dawn.flores.1239@gslingacademy.com"/>
    <x v="1"/>
    <x v="1"/>
    <x v="7"/>
    <x v="1"/>
    <n v="2"/>
    <x v="7"/>
    <n v="53"/>
    <n v="98"/>
    <n v="66"/>
    <n v="80"/>
    <n v="82"/>
    <n v="89"/>
    <n v="85"/>
    <n v="553"/>
    <n v="79"/>
    <x v="3"/>
    <x v="1"/>
    <x v="0"/>
  </r>
  <r>
    <n v="1240"/>
    <s v="Christie"/>
    <s v="Lane"/>
    <s v="christie.lane.1240@gslingacademy.com"/>
    <x v="1"/>
    <x v="0"/>
    <x v="0"/>
    <x v="0"/>
    <n v="35"/>
    <x v="4"/>
    <n v="99"/>
    <n v="85"/>
    <n v="98"/>
    <n v="91"/>
    <n v="86"/>
    <n v="97"/>
    <n v="85"/>
    <n v="641"/>
    <n v="91.571428571428569"/>
    <x v="1"/>
    <x v="0"/>
    <x v="1"/>
  </r>
  <r>
    <n v="1241"/>
    <s v="Traci"/>
    <s v="Johnson"/>
    <s v="traci.johnson.1241@gslingacademy.com"/>
    <x v="1"/>
    <x v="0"/>
    <x v="3"/>
    <x v="0"/>
    <n v="35"/>
    <x v="12"/>
    <n v="99"/>
    <n v="89"/>
    <n v="88"/>
    <n v="94"/>
    <n v="99"/>
    <n v="89"/>
    <n v="92"/>
    <n v="650"/>
    <n v="92.857142857142861"/>
    <x v="1"/>
    <x v="2"/>
    <x v="1"/>
  </r>
  <r>
    <n v="1242"/>
    <s v="Robert"/>
    <s v="Hartman"/>
    <s v="robert.hartman.1242@gslingacademy.com"/>
    <x v="0"/>
    <x v="0"/>
    <x v="0"/>
    <x v="0"/>
    <n v="28"/>
    <x v="11"/>
    <n v="79"/>
    <n v="83"/>
    <n v="78"/>
    <n v="89"/>
    <n v="83"/>
    <n v="79"/>
    <n v="76"/>
    <n v="567"/>
    <n v="81"/>
    <x v="0"/>
    <x v="0"/>
    <x v="0"/>
  </r>
  <r>
    <n v="1243"/>
    <s v="Christopher"/>
    <s v="Porter"/>
    <s v="christopher.porter.1243@gslingacademy.com"/>
    <x v="0"/>
    <x v="1"/>
    <x v="4"/>
    <x v="1"/>
    <n v="2"/>
    <x v="7"/>
    <n v="94"/>
    <n v="95"/>
    <n v="75"/>
    <n v="73"/>
    <n v="51"/>
    <n v="89"/>
    <n v="77"/>
    <n v="554"/>
    <n v="79.142857142857139"/>
    <x v="3"/>
    <x v="2"/>
    <x v="0"/>
  </r>
  <r>
    <n v="1244"/>
    <s v="Phillip"/>
    <s v="Lynch"/>
    <s v="phillip.lynch.1244@gslingacademy.com"/>
    <x v="0"/>
    <x v="0"/>
    <x v="4"/>
    <x v="1"/>
    <n v="28"/>
    <x v="5"/>
    <n v="97"/>
    <n v="73"/>
    <n v="92"/>
    <n v="64"/>
    <n v="66"/>
    <n v="96"/>
    <n v="65"/>
    <n v="553"/>
    <n v="79"/>
    <x v="0"/>
    <x v="2"/>
    <x v="0"/>
  </r>
  <r>
    <n v="1245"/>
    <s v="Matthew"/>
    <s v="Green"/>
    <s v="matthew.green.1245@gslingacademy.com"/>
    <x v="0"/>
    <x v="0"/>
    <x v="0"/>
    <x v="1"/>
    <n v="26"/>
    <x v="11"/>
    <n v="87"/>
    <n v="70"/>
    <n v="65"/>
    <n v="64"/>
    <n v="30"/>
    <n v="72"/>
    <n v="68"/>
    <n v="456"/>
    <n v="65.142857142857139"/>
    <x v="0"/>
    <x v="0"/>
    <x v="0"/>
  </r>
  <r>
    <n v="1246"/>
    <s v="Jesse"/>
    <s v="Johnson"/>
    <s v="jesse.johnson.1246@gslingacademy.com"/>
    <x v="0"/>
    <x v="0"/>
    <x v="6"/>
    <x v="0"/>
    <n v="26"/>
    <x v="15"/>
    <n v="82"/>
    <n v="82"/>
    <n v="87"/>
    <n v="92"/>
    <n v="64"/>
    <n v="70"/>
    <n v="72"/>
    <n v="549"/>
    <n v="78.428571428571431"/>
    <x v="0"/>
    <x v="1"/>
    <x v="0"/>
  </r>
  <r>
    <n v="1247"/>
    <s v="Donna"/>
    <s v="Andrews"/>
    <s v="donna.andrews.1247@gslingacademy.com"/>
    <x v="1"/>
    <x v="0"/>
    <x v="5"/>
    <x v="0"/>
    <n v="22"/>
    <x v="1"/>
    <n v="94"/>
    <n v="98"/>
    <n v="96"/>
    <n v="88"/>
    <n v="96"/>
    <n v="61"/>
    <n v="80"/>
    <n v="613"/>
    <n v="87.571428571428569"/>
    <x v="0"/>
    <x v="0"/>
    <x v="1"/>
  </r>
  <r>
    <n v="1248"/>
    <s v="Timothy"/>
    <s v="Hall"/>
    <s v="timothy.hall.1248@gslingacademy.com"/>
    <x v="0"/>
    <x v="1"/>
    <x v="5"/>
    <x v="0"/>
    <n v="26"/>
    <x v="5"/>
    <n v="99"/>
    <n v="85"/>
    <n v="97"/>
    <n v="72"/>
    <n v="79"/>
    <n v="92"/>
    <n v="82"/>
    <n v="606"/>
    <n v="86.571428571428569"/>
    <x v="0"/>
    <x v="0"/>
    <x v="1"/>
  </r>
  <r>
    <n v="1249"/>
    <s v="Amy"/>
    <s v="Hicks"/>
    <s v="amy.hicks.1249@gslingacademy.com"/>
    <x v="1"/>
    <x v="0"/>
    <x v="5"/>
    <x v="0"/>
    <n v="16"/>
    <x v="6"/>
    <n v="68"/>
    <n v="83"/>
    <n v="74"/>
    <n v="87"/>
    <n v="71"/>
    <n v="86"/>
    <n v="82"/>
    <n v="551"/>
    <n v="78.714285714285708"/>
    <x v="2"/>
    <x v="0"/>
    <x v="0"/>
  </r>
  <r>
    <n v="1250"/>
    <s v="Susan"/>
    <s v="Wall"/>
    <s v="susan.wall.1250@gslingacademy.com"/>
    <x v="1"/>
    <x v="0"/>
    <x v="7"/>
    <x v="0"/>
    <n v="2"/>
    <x v="7"/>
    <n v="67"/>
    <n v="82"/>
    <n v="81"/>
    <n v="83"/>
    <n v="57"/>
    <n v="59"/>
    <n v="91"/>
    <n v="520"/>
    <n v="74.285714285714292"/>
    <x v="3"/>
    <x v="1"/>
    <x v="0"/>
  </r>
  <r>
    <n v="1251"/>
    <s v="David"/>
    <s v="Fields"/>
    <s v="david.fields.1251@gslingacademy.com"/>
    <x v="0"/>
    <x v="0"/>
    <x v="9"/>
    <x v="1"/>
    <n v="10"/>
    <x v="9"/>
    <n v="92"/>
    <n v="65"/>
    <n v="81"/>
    <n v="79"/>
    <n v="84"/>
    <n v="85"/>
    <n v="74"/>
    <n v="560"/>
    <n v="80"/>
    <x v="4"/>
    <x v="2"/>
    <x v="0"/>
  </r>
  <r>
    <n v="1252"/>
    <s v="Terri"/>
    <s v="Lyons"/>
    <s v="terri.lyons.1252@gslingacademy.com"/>
    <x v="1"/>
    <x v="0"/>
    <x v="0"/>
    <x v="1"/>
    <n v="21"/>
    <x v="10"/>
    <n v="69"/>
    <n v="77"/>
    <n v="82"/>
    <n v="93"/>
    <n v="92"/>
    <n v="90"/>
    <n v="71"/>
    <n v="574"/>
    <n v="82"/>
    <x v="0"/>
    <x v="0"/>
    <x v="0"/>
  </r>
  <r>
    <n v="1253"/>
    <s v="Eric"/>
    <s v="Jones"/>
    <s v="eric.jones.1253@gslingacademy.com"/>
    <x v="0"/>
    <x v="1"/>
    <x v="5"/>
    <x v="0"/>
    <n v="30"/>
    <x v="5"/>
    <n v="92"/>
    <n v="98"/>
    <n v="61"/>
    <n v="99"/>
    <n v="77"/>
    <n v="72"/>
    <n v="75"/>
    <n v="574"/>
    <n v="82"/>
    <x v="0"/>
    <x v="0"/>
    <x v="0"/>
  </r>
  <r>
    <n v="1254"/>
    <s v="Betty"/>
    <s v="Nguyen"/>
    <s v="betty.nguyen.1254@gslingacademy.com"/>
    <x v="1"/>
    <x v="0"/>
    <x v="4"/>
    <x v="0"/>
    <n v="24"/>
    <x v="11"/>
    <n v="90"/>
    <n v="64"/>
    <n v="90"/>
    <n v="75"/>
    <n v="64"/>
    <n v="96"/>
    <n v="71"/>
    <n v="550"/>
    <n v="78.571428571428569"/>
    <x v="0"/>
    <x v="2"/>
    <x v="0"/>
  </r>
  <r>
    <n v="1255"/>
    <s v="Albert"/>
    <s v="Anderson"/>
    <s v="albert.anderson.1255@gslingacademy.com"/>
    <x v="0"/>
    <x v="1"/>
    <x v="5"/>
    <x v="0"/>
    <n v="33"/>
    <x v="15"/>
    <n v="91"/>
    <n v="92"/>
    <n v="73"/>
    <n v="97"/>
    <n v="61"/>
    <n v="63"/>
    <n v="71"/>
    <n v="548"/>
    <n v="78.285714285714292"/>
    <x v="1"/>
    <x v="0"/>
    <x v="0"/>
  </r>
  <r>
    <n v="1256"/>
    <s v="Katrina"/>
    <s v="Montgomery"/>
    <s v="katrina.montgomery.1256@gslingacademy.com"/>
    <x v="1"/>
    <x v="0"/>
    <x v="3"/>
    <x v="0"/>
    <n v="3"/>
    <x v="3"/>
    <n v="65"/>
    <n v="67"/>
    <n v="91"/>
    <n v="81"/>
    <n v="97"/>
    <n v="99"/>
    <n v="75"/>
    <n v="575"/>
    <n v="82.142857142857139"/>
    <x v="3"/>
    <x v="2"/>
    <x v="0"/>
  </r>
  <r>
    <n v="1257"/>
    <s v="Samantha"/>
    <s v="Cole"/>
    <s v="samantha.cole.1257@gslingacademy.com"/>
    <x v="1"/>
    <x v="0"/>
    <x v="1"/>
    <x v="0"/>
    <n v="34"/>
    <x v="5"/>
    <n v="98"/>
    <n v="80"/>
    <n v="70"/>
    <n v="60"/>
    <n v="88"/>
    <n v="65"/>
    <n v="92"/>
    <n v="553"/>
    <n v="79"/>
    <x v="1"/>
    <x v="0"/>
    <x v="0"/>
  </r>
  <r>
    <n v="1258"/>
    <s v="Kathleen"/>
    <s v="Potts"/>
    <s v="kathleen.potts.1258@gslingacademy.com"/>
    <x v="1"/>
    <x v="0"/>
    <x v="4"/>
    <x v="1"/>
    <n v="2"/>
    <x v="7"/>
    <n v="70"/>
    <n v="89"/>
    <n v="78"/>
    <n v="87"/>
    <n v="87"/>
    <n v="62"/>
    <n v="85"/>
    <n v="558"/>
    <n v="79.714285714285708"/>
    <x v="3"/>
    <x v="2"/>
    <x v="0"/>
  </r>
  <r>
    <n v="1259"/>
    <s v="Melissa"/>
    <s v="Edwards"/>
    <s v="melissa.edwards.1259@gslingacademy.com"/>
    <x v="1"/>
    <x v="0"/>
    <x v="1"/>
    <x v="0"/>
    <n v="17"/>
    <x v="5"/>
    <n v="97"/>
    <n v="97"/>
    <n v="90"/>
    <n v="69"/>
    <n v="75"/>
    <n v="68"/>
    <n v="70"/>
    <n v="566"/>
    <n v="80.857142857142861"/>
    <x v="2"/>
    <x v="0"/>
    <x v="0"/>
  </r>
  <r>
    <n v="1260"/>
    <s v="Mark"/>
    <s v="Delgado"/>
    <s v="mark.delgado.1260@gslingacademy.com"/>
    <x v="0"/>
    <x v="0"/>
    <x v="5"/>
    <x v="0"/>
    <n v="18"/>
    <x v="11"/>
    <n v="80"/>
    <n v="71"/>
    <n v="89"/>
    <n v="81"/>
    <n v="75"/>
    <n v="81"/>
    <n v="63"/>
    <n v="540"/>
    <n v="77.142857142857139"/>
    <x v="2"/>
    <x v="0"/>
    <x v="0"/>
  </r>
  <r>
    <n v="1261"/>
    <s v="Derek"/>
    <s v="Bates"/>
    <s v="derek.bates.1261@gslingacademy.com"/>
    <x v="0"/>
    <x v="0"/>
    <x v="1"/>
    <x v="0"/>
    <n v="16"/>
    <x v="10"/>
    <n v="70"/>
    <n v="75"/>
    <n v="79"/>
    <n v="77"/>
    <n v="65"/>
    <n v="92"/>
    <n v="78"/>
    <n v="536"/>
    <n v="76.571428571428569"/>
    <x v="2"/>
    <x v="0"/>
    <x v="0"/>
  </r>
  <r>
    <n v="1262"/>
    <s v="Ryan"/>
    <s v="Ruiz"/>
    <s v="ryan.ruiz.1262@gslingacademy.com"/>
    <x v="0"/>
    <x v="0"/>
    <x v="0"/>
    <x v="1"/>
    <n v="21"/>
    <x v="1"/>
    <n v="96"/>
    <n v="79"/>
    <n v="92"/>
    <n v="85"/>
    <n v="95"/>
    <n v="69"/>
    <n v="65"/>
    <n v="581"/>
    <n v="83"/>
    <x v="0"/>
    <x v="0"/>
    <x v="0"/>
  </r>
  <r>
    <n v="1263"/>
    <s v="Charles"/>
    <s v="Gill"/>
    <s v="charles.gill.1263@gslingacademy.com"/>
    <x v="0"/>
    <x v="0"/>
    <x v="5"/>
    <x v="0"/>
    <n v="24"/>
    <x v="5"/>
    <n v="99"/>
    <n v="62"/>
    <n v="65"/>
    <n v="67"/>
    <n v="97"/>
    <n v="73"/>
    <n v="96"/>
    <n v="559"/>
    <n v="79.857142857142861"/>
    <x v="0"/>
    <x v="0"/>
    <x v="0"/>
  </r>
  <r>
    <n v="1264"/>
    <s v="Amanda"/>
    <s v="Edwards"/>
    <s v="amanda.edwards.1264@gslingacademy.com"/>
    <x v="1"/>
    <x v="0"/>
    <x v="0"/>
    <x v="1"/>
    <n v="27"/>
    <x v="4"/>
    <n v="76"/>
    <n v="72"/>
    <n v="97"/>
    <n v="65"/>
    <n v="87"/>
    <n v="93"/>
    <n v="84"/>
    <n v="574"/>
    <n v="82"/>
    <x v="0"/>
    <x v="0"/>
    <x v="0"/>
  </r>
  <r>
    <n v="1265"/>
    <s v="Emily"/>
    <s v="Waters"/>
    <s v="emily.waters.1265@gslingacademy.com"/>
    <x v="1"/>
    <x v="1"/>
    <x v="9"/>
    <x v="1"/>
    <n v="24"/>
    <x v="15"/>
    <n v="86"/>
    <n v="68"/>
    <n v="98"/>
    <n v="87"/>
    <n v="61"/>
    <n v="78"/>
    <n v="96"/>
    <n v="574"/>
    <n v="82"/>
    <x v="0"/>
    <x v="2"/>
    <x v="0"/>
  </r>
  <r>
    <n v="1266"/>
    <s v="John"/>
    <s v="Stevenson"/>
    <s v="john.stevenson.1266@gslingacademy.com"/>
    <x v="0"/>
    <x v="0"/>
    <x v="3"/>
    <x v="0"/>
    <n v="27"/>
    <x v="13"/>
    <n v="98"/>
    <n v="100"/>
    <n v="100"/>
    <n v="81"/>
    <n v="73"/>
    <n v="75"/>
    <n v="99"/>
    <n v="626"/>
    <n v="89.428571428571431"/>
    <x v="0"/>
    <x v="2"/>
    <x v="1"/>
  </r>
  <r>
    <n v="1267"/>
    <s v="Kevin"/>
    <s v="Hoffman"/>
    <s v="kevin.hoffman.1267@gslingacademy.com"/>
    <x v="0"/>
    <x v="0"/>
    <x v="0"/>
    <x v="0"/>
    <n v="14"/>
    <x v="2"/>
    <n v="88"/>
    <n v="74"/>
    <n v="88"/>
    <n v="92"/>
    <n v="83"/>
    <n v="71"/>
    <n v="89"/>
    <n v="585"/>
    <n v="83.571428571428569"/>
    <x v="2"/>
    <x v="0"/>
    <x v="0"/>
  </r>
  <r>
    <n v="1268"/>
    <s v="Joseph"/>
    <s v="Mcconnell"/>
    <s v="joseph.mcconnell.1268@gslingacademy.com"/>
    <x v="0"/>
    <x v="0"/>
    <x v="8"/>
    <x v="0"/>
    <n v="30"/>
    <x v="5"/>
    <n v="89"/>
    <n v="65"/>
    <n v="71"/>
    <n v="96"/>
    <n v="65"/>
    <n v="63"/>
    <n v="100"/>
    <n v="549"/>
    <n v="78.428571428571431"/>
    <x v="0"/>
    <x v="1"/>
    <x v="0"/>
  </r>
  <r>
    <n v="1269"/>
    <s v="Jessica"/>
    <s v="Smith"/>
    <s v="jessica.smith.1269@gslingacademy.com"/>
    <x v="1"/>
    <x v="0"/>
    <x v="5"/>
    <x v="0"/>
    <n v="24"/>
    <x v="0"/>
    <n v="88"/>
    <n v="100"/>
    <n v="89"/>
    <n v="87"/>
    <n v="76"/>
    <n v="89"/>
    <n v="85"/>
    <n v="614"/>
    <n v="87.714285714285708"/>
    <x v="0"/>
    <x v="0"/>
    <x v="1"/>
  </r>
  <r>
    <n v="1270"/>
    <s v="Shannon"/>
    <s v="Martinez"/>
    <s v="shannon.martinez.1270@gslingacademy.com"/>
    <x v="1"/>
    <x v="0"/>
    <x v="9"/>
    <x v="0"/>
    <n v="0"/>
    <x v="7"/>
    <n v="78"/>
    <n v="73"/>
    <n v="89"/>
    <n v="86"/>
    <n v="69"/>
    <n v="84"/>
    <n v="97"/>
    <n v="576"/>
    <n v="82.285714285714292"/>
    <x v="3"/>
    <x v="2"/>
    <x v="0"/>
  </r>
  <r>
    <n v="1271"/>
    <s v="Kenneth"/>
    <s v="Baker"/>
    <s v="kenneth.baker.1271@gslingacademy.com"/>
    <x v="0"/>
    <x v="0"/>
    <x v="0"/>
    <x v="0"/>
    <n v="35"/>
    <x v="1"/>
    <n v="87"/>
    <n v="85"/>
    <n v="96"/>
    <n v="98"/>
    <n v="88"/>
    <n v="99"/>
    <n v="92"/>
    <n v="645"/>
    <n v="92.142857142857139"/>
    <x v="1"/>
    <x v="0"/>
    <x v="1"/>
  </r>
  <r>
    <n v="1272"/>
    <s v="Margaret"/>
    <s v="Sanchez"/>
    <s v="margaret.sanchez.1272@gslingacademy.com"/>
    <x v="1"/>
    <x v="0"/>
    <x v="1"/>
    <x v="0"/>
    <n v="21"/>
    <x v="5"/>
    <n v="90"/>
    <n v="76"/>
    <n v="64"/>
    <n v="88"/>
    <n v="80"/>
    <n v="75"/>
    <n v="70"/>
    <n v="543"/>
    <n v="77.571428571428569"/>
    <x v="0"/>
    <x v="0"/>
    <x v="0"/>
  </r>
  <r>
    <n v="1273"/>
    <s v="Ryan"/>
    <s v="Hensley"/>
    <s v="ryan.hensley.1273@gslingacademy.com"/>
    <x v="0"/>
    <x v="1"/>
    <x v="5"/>
    <x v="0"/>
    <n v="15"/>
    <x v="11"/>
    <n v="88"/>
    <n v="67"/>
    <n v="90"/>
    <n v="89"/>
    <n v="49"/>
    <n v="85"/>
    <n v="63"/>
    <n v="531"/>
    <n v="75.857142857142861"/>
    <x v="2"/>
    <x v="0"/>
    <x v="0"/>
  </r>
  <r>
    <n v="1274"/>
    <s v="Sharon"/>
    <s v="Stephenson"/>
    <s v="sharon.stephenson.1274@gslingacademy.com"/>
    <x v="1"/>
    <x v="0"/>
    <x v="5"/>
    <x v="0"/>
    <n v="5"/>
    <x v="14"/>
    <n v="99"/>
    <n v="72"/>
    <n v="90"/>
    <n v="83"/>
    <n v="90"/>
    <n v="99"/>
    <n v="97"/>
    <n v="630"/>
    <n v="90"/>
    <x v="3"/>
    <x v="0"/>
    <x v="1"/>
  </r>
  <r>
    <n v="1275"/>
    <s v="Shawn"/>
    <s v="Cameron"/>
    <s v="shawn.cameron.1275@gslingacademy.com"/>
    <x v="0"/>
    <x v="1"/>
    <x v="7"/>
    <x v="0"/>
    <n v="3"/>
    <x v="7"/>
    <n v="41"/>
    <n v="99"/>
    <n v="84"/>
    <n v="63"/>
    <n v="92"/>
    <n v="72"/>
    <n v="81"/>
    <n v="532"/>
    <n v="76"/>
    <x v="3"/>
    <x v="1"/>
    <x v="0"/>
  </r>
  <r>
    <n v="1276"/>
    <s v="Stephanie"/>
    <s v="Kennedy"/>
    <s v="stephanie.kennedy.1276@gslingacademy.com"/>
    <x v="1"/>
    <x v="0"/>
    <x v="9"/>
    <x v="0"/>
    <n v="8"/>
    <x v="2"/>
    <n v="98"/>
    <n v="90"/>
    <n v="70"/>
    <n v="97"/>
    <n v="69"/>
    <n v="79"/>
    <n v="74"/>
    <n v="577"/>
    <n v="82.428571428571431"/>
    <x v="4"/>
    <x v="2"/>
    <x v="0"/>
  </r>
  <r>
    <n v="1277"/>
    <s v="Hayley"/>
    <s v="Abbott"/>
    <s v="hayley.abbott.1277@gslingacademy.com"/>
    <x v="1"/>
    <x v="0"/>
    <x v="10"/>
    <x v="0"/>
    <n v="1"/>
    <x v="14"/>
    <n v="91"/>
    <n v="66"/>
    <n v="91"/>
    <n v="62"/>
    <n v="82"/>
    <n v="69"/>
    <n v="62"/>
    <n v="523"/>
    <n v="74.714285714285708"/>
    <x v="3"/>
    <x v="3"/>
    <x v="0"/>
  </r>
  <r>
    <n v="1278"/>
    <s v="Rachel"/>
    <s v="Jacobs"/>
    <s v="rachel.jacobs.1278@gslingacademy.com"/>
    <x v="1"/>
    <x v="1"/>
    <x v="2"/>
    <x v="1"/>
    <n v="5"/>
    <x v="7"/>
    <n v="68"/>
    <n v="72"/>
    <n v="92"/>
    <n v="51"/>
    <n v="96"/>
    <n v="88"/>
    <n v="81"/>
    <n v="548"/>
    <n v="78.285714285714292"/>
    <x v="3"/>
    <x v="1"/>
    <x v="0"/>
  </r>
  <r>
    <n v="1279"/>
    <s v="Danielle"/>
    <s v="Tran"/>
    <s v="danielle.tran.1279@gslingacademy.com"/>
    <x v="1"/>
    <x v="1"/>
    <x v="5"/>
    <x v="1"/>
    <n v="26"/>
    <x v="9"/>
    <n v="79"/>
    <n v="100"/>
    <n v="79"/>
    <n v="60"/>
    <n v="100"/>
    <n v="84"/>
    <n v="93"/>
    <n v="595"/>
    <n v="85"/>
    <x v="0"/>
    <x v="0"/>
    <x v="0"/>
  </r>
  <r>
    <n v="1280"/>
    <s v="Autumn"/>
    <s v="Barrett"/>
    <s v="autumn.barrett.1280@gslingacademy.com"/>
    <x v="1"/>
    <x v="0"/>
    <x v="1"/>
    <x v="0"/>
    <n v="24"/>
    <x v="9"/>
    <n v="77"/>
    <n v="66"/>
    <n v="61"/>
    <n v="98"/>
    <n v="90"/>
    <n v="95"/>
    <n v="73"/>
    <n v="560"/>
    <n v="80"/>
    <x v="0"/>
    <x v="0"/>
    <x v="0"/>
  </r>
  <r>
    <n v="1281"/>
    <s v="Jennifer"/>
    <s v="Landry"/>
    <s v="jennifer.landry.1281@gslingacademy.com"/>
    <x v="1"/>
    <x v="0"/>
    <x v="3"/>
    <x v="0"/>
    <n v="24"/>
    <x v="9"/>
    <n v="89"/>
    <n v="100"/>
    <n v="90"/>
    <n v="81"/>
    <n v="86"/>
    <n v="80"/>
    <n v="92"/>
    <n v="618"/>
    <n v="88.285714285714292"/>
    <x v="0"/>
    <x v="2"/>
    <x v="1"/>
  </r>
  <r>
    <n v="1282"/>
    <s v="Sean"/>
    <s v="Rodriguez"/>
    <s v="sean.rodriguez.1282@gslingacademy.com"/>
    <x v="0"/>
    <x v="1"/>
    <x v="10"/>
    <x v="1"/>
    <n v="9"/>
    <x v="16"/>
    <n v="94"/>
    <n v="69"/>
    <n v="80"/>
    <n v="66"/>
    <n v="62"/>
    <n v="61"/>
    <n v="88"/>
    <n v="520"/>
    <n v="74.285714285714292"/>
    <x v="4"/>
    <x v="3"/>
    <x v="0"/>
  </r>
  <r>
    <n v="1283"/>
    <s v="Ryan"/>
    <s v="Long"/>
    <s v="ryan.long.1283@gslingacademy.com"/>
    <x v="0"/>
    <x v="0"/>
    <x v="1"/>
    <x v="0"/>
    <n v="3"/>
    <x v="3"/>
    <n v="80"/>
    <n v="85"/>
    <n v="85"/>
    <n v="60"/>
    <n v="77"/>
    <n v="90"/>
    <n v="81"/>
    <n v="558"/>
    <n v="79.714285714285708"/>
    <x v="3"/>
    <x v="0"/>
    <x v="0"/>
  </r>
  <r>
    <n v="1284"/>
    <s v="Robert"/>
    <s v="Hancock"/>
    <s v="robert.hancock.1284@gslingacademy.com"/>
    <x v="0"/>
    <x v="0"/>
    <x v="1"/>
    <x v="0"/>
    <n v="1"/>
    <x v="3"/>
    <n v="79"/>
    <n v="88"/>
    <n v="97"/>
    <n v="94"/>
    <n v="89"/>
    <n v="82"/>
    <n v="97"/>
    <n v="626"/>
    <n v="89.428571428571431"/>
    <x v="3"/>
    <x v="0"/>
    <x v="1"/>
  </r>
  <r>
    <n v="1285"/>
    <s v="Stephanie"/>
    <s v="Rodriguez"/>
    <s v="stephanie.rodriguez.1285@gslingacademy.com"/>
    <x v="1"/>
    <x v="0"/>
    <x v="1"/>
    <x v="0"/>
    <n v="15"/>
    <x v="9"/>
    <n v="92"/>
    <n v="65"/>
    <n v="88"/>
    <n v="78"/>
    <n v="67"/>
    <n v="95"/>
    <n v="96"/>
    <n v="581"/>
    <n v="83"/>
    <x v="2"/>
    <x v="0"/>
    <x v="0"/>
  </r>
  <r>
    <n v="1286"/>
    <s v="Kristen"/>
    <s v="Evans"/>
    <s v="kristen.evans.1286@gslingacademy.com"/>
    <x v="1"/>
    <x v="0"/>
    <x v="3"/>
    <x v="0"/>
    <n v="32"/>
    <x v="9"/>
    <n v="85"/>
    <n v="62"/>
    <n v="92"/>
    <n v="89"/>
    <n v="92"/>
    <n v="75"/>
    <n v="78"/>
    <n v="573"/>
    <n v="81.857142857142861"/>
    <x v="1"/>
    <x v="2"/>
    <x v="0"/>
  </r>
  <r>
    <n v="1287"/>
    <s v="Jaime"/>
    <s v="White"/>
    <s v="jaime.white.1287@gslingacademy.com"/>
    <x v="1"/>
    <x v="0"/>
    <x v="0"/>
    <x v="0"/>
    <n v="26"/>
    <x v="11"/>
    <n v="75"/>
    <n v="83"/>
    <n v="66"/>
    <n v="70"/>
    <n v="57"/>
    <n v="77"/>
    <n v="96"/>
    <n v="524"/>
    <n v="74.857142857142861"/>
    <x v="0"/>
    <x v="0"/>
    <x v="0"/>
  </r>
  <r>
    <n v="1288"/>
    <s v="Marcus"/>
    <s v="Howard"/>
    <s v="marcus.howard.1288@gslingacademy.com"/>
    <x v="0"/>
    <x v="0"/>
    <x v="3"/>
    <x v="1"/>
    <n v="32"/>
    <x v="5"/>
    <n v="88"/>
    <n v="65"/>
    <n v="75"/>
    <n v="73"/>
    <n v="66"/>
    <n v="98"/>
    <n v="81"/>
    <n v="546"/>
    <n v="78"/>
    <x v="1"/>
    <x v="2"/>
    <x v="0"/>
  </r>
  <r>
    <n v="1289"/>
    <s v="Lucas"/>
    <s v="Jenkins"/>
    <s v="lucas.jenkins.1289@gslingacademy.com"/>
    <x v="0"/>
    <x v="0"/>
    <x v="10"/>
    <x v="0"/>
    <n v="35"/>
    <x v="9"/>
    <n v="93"/>
    <n v="89"/>
    <n v="88"/>
    <n v="86"/>
    <n v="85"/>
    <n v="89"/>
    <n v="95"/>
    <n v="625"/>
    <n v="89.285714285714292"/>
    <x v="1"/>
    <x v="3"/>
    <x v="1"/>
  </r>
  <r>
    <n v="1290"/>
    <s v="Aaron"/>
    <s v="Ortiz"/>
    <s v="aaron.ortiz.1290@gslingacademy.com"/>
    <x v="0"/>
    <x v="0"/>
    <x v="0"/>
    <x v="0"/>
    <n v="2"/>
    <x v="14"/>
    <n v="86"/>
    <n v="93"/>
    <n v="91"/>
    <n v="64"/>
    <n v="69"/>
    <n v="71"/>
    <n v="64"/>
    <n v="538"/>
    <n v="76.857142857142861"/>
    <x v="3"/>
    <x v="0"/>
    <x v="0"/>
  </r>
  <r>
    <n v="1291"/>
    <s v="Todd"/>
    <s v="Stephens"/>
    <s v="todd.stephens.1291@gslingacademy.com"/>
    <x v="0"/>
    <x v="0"/>
    <x v="5"/>
    <x v="0"/>
    <n v="13"/>
    <x v="2"/>
    <n v="62"/>
    <n v="91"/>
    <n v="92"/>
    <n v="61"/>
    <n v="85"/>
    <n v="98"/>
    <n v="72"/>
    <n v="561"/>
    <n v="80.142857142857139"/>
    <x v="2"/>
    <x v="0"/>
    <x v="0"/>
  </r>
  <r>
    <n v="1292"/>
    <s v="Denise"/>
    <s v="Blackburn"/>
    <s v="denise.blackburn.1292@gslingacademy.com"/>
    <x v="1"/>
    <x v="1"/>
    <x v="1"/>
    <x v="1"/>
    <n v="20"/>
    <x v="15"/>
    <n v="82"/>
    <n v="74"/>
    <n v="80"/>
    <n v="60"/>
    <n v="96"/>
    <n v="76"/>
    <n v="99"/>
    <n v="567"/>
    <n v="81"/>
    <x v="2"/>
    <x v="0"/>
    <x v="0"/>
  </r>
  <r>
    <n v="1293"/>
    <s v="Susan"/>
    <s v="Perez"/>
    <s v="susan.perez.1293@gslingacademy.com"/>
    <x v="1"/>
    <x v="0"/>
    <x v="3"/>
    <x v="0"/>
    <n v="5"/>
    <x v="3"/>
    <n v="83"/>
    <n v="94"/>
    <n v="77"/>
    <n v="97"/>
    <n v="78"/>
    <n v="60"/>
    <n v="85"/>
    <n v="574"/>
    <n v="82"/>
    <x v="3"/>
    <x v="2"/>
    <x v="0"/>
  </r>
  <r>
    <n v="1294"/>
    <s v="Tyler"/>
    <s v="Green"/>
    <s v="tyler.green.1294@gslingacademy.com"/>
    <x v="0"/>
    <x v="0"/>
    <x v="5"/>
    <x v="0"/>
    <n v="5"/>
    <x v="16"/>
    <n v="98"/>
    <n v="75"/>
    <n v="62"/>
    <n v="64"/>
    <n v="68"/>
    <n v="80"/>
    <n v="79"/>
    <n v="526"/>
    <n v="75.142857142857139"/>
    <x v="3"/>
    <x v="0"/>
    <x v="0"/>
  </r>
  <r>
    <n v="1295"/>
    <s v="Rebecca"/>
    <s v="Daniel"/>
    <s v="rebecca.daniel.1295@gslingacademy.com"/>
    <x v="1"/>
    <x v="0"/>
    <x v="1"/>
    <x v="0"/>
    <n v="34"/>
    <x v="9"/>
    <n v="84"/>
    <n v="74"/>
    <n v="90"/>
    <n v="99"/>
    <n v="90"/>
    <n v="92"/>
    <n v="72"/>
    <n v="601"/>
    <n v="85.857142857142861"/>
    <x v="1"/>
    <x v="0"/>
    <x v="1"/>
  </r>
  <r>
    <n v="1296"/>
    <s v="Alexandria"/>
    <s v="Harris"/>
    <s v="alexandria.harris.1296@gslingacademy.com"/>
    <x v="1"/>
    <x v="0"/>
    <x v="4"/>
    <x v="0"/>
    <n v="34"/>
    <x v="10"/>
    <n v="91"/>
    <n v="75"/>
    <n v="82"/>
    <n v="68"/>
    <n v="88"/>
    <n v="98"/>
    <n v="88"/>
    <n v="590"/>
    <n v="84.285714285714292"/>
    <x v="1"/>
    <x v="2"/>
    <x v="0"/>
  </r>
  <r>
    <n v="1297"/>
    <s v="Danny"/>
    <s v="Taylor"/>
    <s v="danny.taylor.1297@gslingacademy.com"/>
    <x v="0"/>
    <x v="0"/>
    <x v="1"/>
    <x v="0"/>
    <n v="21"/>
    <x v="13"/>
    <n v="83"/>
    <n v="81"/>
    <n v="96"/>
    <n v="62"/>
    <n v="66"/>
    <n v="90"/>
    <n v="91"/>
    <n v="569"/>
    <n v="81.285714285714292"/>
    <x v="0"/>
    <x v="0"/>
    <x v="0"/>
  </r>
  <r>
    <n v="1298"/>
    <s v="Amanda"/>
    <s v="Evans"/>
    <s v="amanda.evans.1298@gslingacademy.com"/>
    <x v="1"/>
    <x v="0"/>
    <x v="9"/>
    <x v="0"/>
    <n v="27"/>
    <x v="11"/>
    <n v="83"/>
    <n v="63"/>
    <n v="84"/>
    <n v="82"/>
    <n v="78"/>
    <n v="60"/>
    <n v="71"/>
    <n v="521"/>
    <n v="74.428571428571431"/>
    <x v="0"/>
    <x v="2"/>
    <x v="0"/>
  </r>
  <r>
    <n v="1299"/>
    <s v="Scott"/>
    <s v="Owens"/>
    <s v="scott.owens.1299@gslingacademy.com"/>
    <x v="0"/>
    <x v="0"/>
    <x v="10"/>
    <x v="0"/>
    <n v="31"/>
    <x v="5"/>
    <n v="90"/>
    <n v="72"/>
    <n v="62"/>
    <n v="84"/>
    <n v="74"/>
    <n v="75"/>
    <n v="100"/>
    <n v="557"/>
    <n v="79.571428571428569"/>
    <x v="1"/>
    <x v="3"/>
    <x v="0"/>
  </r>
  <r>
    <n v="1300"/>
    <s v="Jesus"/>
    <s v="Jones"/>
    <s v="jesus.jones.1300@gslingacademy.com"/>
    <x v="0"/>
    <x v="0"/>
    <x v="9"/>
    <x v="0"/>
    <n v="31"/>
    <x v="0"/>
    <n v="81"/>
    <n v="92"/>
    <n v="97"/>
    <n v="73"/>
    <n v="90"/>
    <n v="90"/>
    <n v="60"/>
    <n v="583"/>
    <n v="83.285714285714292"/>
    <x v="1"/>
    <x v="2"/>
    <x v="0"/>
  </r>
  <r>
    <n v="1301"/>
    <s v="April"/>
    <s v="Spence"/>
    <s v="april.spence.1301@gslingacademy.com"/>
    <x v="1"/>
    <x v="1"/>
    <x v="0"/>
    <x v="0"/>
    <n v="12"/>
    <x v="6"/>
    <n v="89"/>
    <n v="67"/>
    <n v="87"/>
    <n v="61"/>
    <n v="91"/>
    <n v="80"/>
    <n v="76"/>
    <n v="551"/>
    <n v="78.714285714285708"/>
    <x v="2"/>
    <x v="0"/>
    <x v="0"/>
  </r>
  <r>
    <n v="1302"/>
    <s v="Christopher"/>
    <s v="Lopez"/>
    <s v="christopher.lopez.1302@gslingacademy.com"/>
    <x v="0"/>
    <x v="0"/>
    <x v="1"/>
    <x v="0"/>
    <n v="13"/>
    <x v="13"/>
    <n v="97"/>
    <n v="65"/>
    <n v="96"/>
    <n v="92"/>
    <n v="91"/>
    <n v="66"/>
    <n v="74"/>
    <n v="581"/>
    <n v="83"/>
    <x v="2"/>
    <x v="0"/>
    <x v="0"/>
  </r>
  <r>
    <n v="1303"/>
    <s v="Mario"/>
    <s v="Hopkins"/>
    <s v="mario.hopkins.1303@gslingacademy.com"/>
    <x v="0"/>
    <x v="0"/>
    <x v="0"/>
    <x v="0"/>
    <n v="28"/>
    <x v="11"/>
    <n v="97"/>
    <n v="88"/>
    <n v="88"/>
    <n v="79"/>
    <n v="100"/>
    <n v="74"/>
    <n v="83"/>
    <n v="609"/>
    <n v="87"/>
    <x v="0"/>
    <x v="0"/>
    <x v="1"/>
  </r>
  <r>
    <n v="1304"/>
    <s v="Cody"/>
    <s v="Burke"/>
    <s v="cody.burke.1304@gslingacademy.com"/>
    <x v="0"/>
    <x v="0"/>
    <x v="3"/>
    <x v="0"/>
    <n v="27"/>
    <x v="5"/>
    <n v="100"/>
    <n v="89"/>
    <n v="98"/>
    <n v="81"/>
    <n v="78"/>
    <n v="91"/>
    <n v="87"/>
    <n v="624"/>
    <n v="89.142857142857139"/>
    <x v="0"/>
    <x v="2"/>
    <x v="1"/>
  </r>
  <r>
    <n v="1305"/>
    <s v="Candace"/>
    <s v="White"/>
    <s v="candace.white.1305@gslingacademy.com"/>
    <x v="1"/>
    <x v="1"/>
    <x v="0"/>
    <x v="0"/>
    <n v="4"/>
    <x v="14"/>
    <n v="98"/>
    <n v="63"/>
    <n v="82"/>
    <n v="61"/>
    <n v="79"/>
    <n v="70"/>
    <n v="86"/>
    <n v="539"/>
    <n v="77"/>
    <x v="3"/>
    <x v="0"/>
    <x v="0"/>
  </r>
  <r>
    <n v="1306"/>
    <s v="Robert"/>
    <s v="Brown"/>
    <s v="robert.brown.1306@gslingacademy.com"/>
    <x v="0"/>
    <x v="0"/>
    <x v="1"/>
    <x v="0"/>
    <n v="33"/>
    <x v="5"/>
    <n v="97"/>
    <n v="98"/>
    <n v="83"/>
    <n v="87"/>
    <n v="60"/>
    <n v="78"/>
    <n v="70"/>
    <n v="573"/>
    <n v="81.857142857142861"/>
    <x v="1"/>
    <x v="0"/>
    <x v="0"/>
  </r>
  <r>
    <n v="1307"/>
    <s v="Erica"/>
    <s v="Woodward"/>
    <s v="erica.woodward.1307@gslingacademy.com"/>
    <x v="1"/>
    <x v="0"/>
    <x v="9"/>
    <x v="0"/>
    <n v="18"/>
    <x v="11"/>
    <n v="78"/>
    <n v="80"/>
    <n v="73"/>
    <n v="91"/>
    <n v="34"/>
    <n v="73"/>
    <n v="60"/>
    <n v="489"/>
    <n v="69.857142857142861"/>
    <x v="2"/>
    <x v="2"/>
    <x v="0"/>
  </r>
  <r>
    <n v="1308"/>
    <s v="Elizabeth"/>
    <s v="Smith"/>
    <s v="elizabeth.smith.1308@gslingacademy.com"/>
    <x v="1"/>
    <x v="0"/>
    <x v="10"/>
    <x v="0"/>
    <n v="29"/>
    <x v="0"/>
    <n v="100"/>
    <n v="92"/>
    <n v="67"/>
    <n v="89"/>
    <n v="90"/>
    <n v="83"/>
    <n v="89"/>
    <n v="610"/>
    <n v="87.142857142857139"/>
    <x v="0"/>
    <x v="3"/>
    <x v="1"/>
  </r>
  <r>
    <n v="1309"/>
    <s v="Jennifer"/>
    <s v="Martin"/>
    <s v="jennifer.martin.1309@gslingacademy.com"/>
    <x v="1"/>
    <x v="0"/>
    <x v="5"/>
    <x v="0"/>
    <n v="13"/>
    <x v="10"/>
    <n v="92"/>
    <n v="77"/>
    <n v="89"/>
    <n v="97"/>
    <n v="61"/>
    <n v="93"/>
    <n v="82"/>
    <n v="591"/>
    <n v="84.428571428571431"/>
    <x v="2"/>
    <x v="0"/>
    <x v="0"/>
  </r>
  <r>
    <n v="1310"/>
    <s v="David"/>
    <s v="Smith"/>
    <s v="david.smith.1310@gslingacademy.com"/>
    <x v="0"/>
    <x v="0"/>
    <x v="9"/>
    <x v="0"/>
    <n v="5"/>
    <x v="14"/>
    <n v="81"/>
    <n v="95"/>
    <n v="84"/>
    <n v="85"/>
    <n v="82"/>
    <n v="62"/>
    <n v="63"/>
    <n v="552"/>
    <n v="78.857142857142861"/>
    <x v="3"/>
    <x v="2"/>
    <x v="0"/>
  </r>
  <r>
    <n v="1311"/>
    <s v="Lori"/>
    <s v="Johnson"/>
    <s v="lori.johnson.1311@gslingacademy.com"/>
    <x v="1"/>
    <x v="0"/>
    <x v="4"/>
    <x v="0"/>
    <n v="15"/>
    <x v="5"/>
    <n v="98"/>
    <n v="67"/>
    <n v="74"/>
    <n v="94"/>
    <n v="94"/>
    <n v="96"/>
    <n v="85"/>
    <n v="608"/>
    <n v="86.857142857142861"/>
    <x v="2"/>
    <x v="2"/>
    <x v="1"/>
  </r>
  <r>
    <n v="1312"/>
    <s v="Martin"/>
    <s v="Garcia"/>
    <s v="martin.garcia.1312@gslingacademy.com"/>
    <x v="0"/>
    <x v="0"/>
    <x v="1"/>
    <x v="0"/>
    <n v="2"/>
    <x v="4"/>
    <n v="62"/>
    <n v="74"/>
    <n v="98"/>
    <n v="97"/>
    <n v="72"/>
    <n v="72"/>
    <n v="95"/>
    <n v="570"/>
    <n v="81.428571428571431"/>
    <x v="3"/>
    <x v="0"/>
    <x v="0"/>
  </r>
  <r>
    <n v="1313"/>
    <s v="Stacy"/>
    <s v="Collins"/>
    <s v="stacy.collins.1313@gslingacademy.com"/>
    <x v="1"/>
    <x v="0"/>
    <x v="0"/>
    <x v="0"/>
    <n v="27"/>
    <x v="11"/>
    <n v="95"/>
    <n v="88"/>
    <n v="85"/>
    <n v="86"/>
    <n v="76"/>
    <n v="78"/>
    <n v="81"/>
    <n v="589"/>
    <n v="84.142857142857139"/>
    <x v="0"/>
    <x v="0"/>
    <x v="0"/>
  </r>
  <r>
    <n v="1314"/>
    <s v="Timothy"/>
    <s v="Bailey"/>
    <s v="timothy.bailey.1314@gslingacademy.com"/>
    <x v="0"/>
    <x v="0"/>
    <x v="5"/>
    <x v="0"/>
    <n v="22"/>
    <x v="9"/>
    <n v="87"/>
    <n v="90"/>
    <n v="80"/>
    <n v="88"/>
    <n v="71"/>
    <n v="95"/>
    <n v="81"/>
    <n v="592"/>
    <n v="84.571428571428569"/>
    <x v="0"/>
    <x v="0"/>
    <x v="0"/>
  </r>
  <r>
    <n v="1315"/>
    <s v="Susan"/>
    <s v="Gonzalez"/>
    <s v="susan.gonzalez.1315@gslingacademy.com"/>
    <x v="1"/>
    <x v="0"/>
    <x v="3"/>
    <x v="1"/>
    <n v="24"/>
    <x v="11"/>
    <n v="85"/>
    <n v="85"/>
    <n v="67"/>
    <n v="91"/>
    <n v="75"/>
    <n v="93"/>
    <n v="81"/>
    <n v="577"/>
    <n v="82.428571428571431"/>
    <x v="0"/>
    <x v="2"/>
    <x v="0"/>
  </r>
  <r>
    <n v="1316"/>
    <s v="Nicole"/>
    <s v="Harris"/>
    <s v="nicole.harris.1316@gslingacademy.com"/>
    <x v="1"/>
    <x v="0"/>
    <x v="4"/>
    <x v="0"/>
    <n v="27"/>
    <x v="9"/>
    <n v="96"/>
    <n v="72"/>
    <n v="66"/>
    <n v="80"/>
    <n v="72"/>
    <n v="83"/>
    <n v="98"/>
    <n v="567"/>
    <n v="81"/>
    <x v="0"/>
    <x v="2"/>
    <x v="0"/>
  </r>
  <r>
    <n v="1317"/>
    <s v="Courtney"/>
    <s v="Moran"/>
    <s v="courtney.moran.1317@gslingacademy.com"/>
    <x v="1"/>
    <x v="0"/>
    <x v="1"/>
    <x v="0"/>
    <n v="25"/>
    <x v="11"/>
    <n v="83"/>
    <n v="63"/>
    <n v="66"/>
    <n v="67"/>
    <n v="60"/>
    <n v="60"/>
    <n v="61"/>
    <n v="460"/>
    <n v="65.714285714285708"/>
    <x v="0"/>
    <x v="0"/>
    <x v="0"/>
  </r>
  <r>
    <n v="1318"/>
    <s v="Gregory"/>
    <s v="Barton"/>
    <s v="gregory.barton.1318@gslingacademy.com"/>
    <x v="0"/>
    <x v="0"/>
    <x v="0"/>
    <x v="0"/>
    <n v="17"/>
    <x v="13"/>
    <n v="89"/>
    <n v="92"/>
    <n v="88"/>
    <n v="99"/>
    <n v="92"/>
    <n v="62"/>
    <n v="71"/>
    <n v="593"/>
    <n v="84.714285714285708"/>
    <x v="2"/>
    <x v="0"/>
    <x v="0"/>
  </r>
  <r>
    <n v="1319"/>
    <s v="Dakota"/>
    <s v="Clark"/>
    <s v="dakota.clark.1319@gslingacademy.com"/>
    <x v="0"/>
    <x v="0"/>
    <x v="5"/>
    <x v="0"/>
    <n v="14"/>
    <x v="13"/>
    <n v="90"/>
    <n v="73"/>
    <n v="98"/>
    <n v="72"/>
    <n v="69"/>
    <n v="84"/>
    <n v="86"/>
    <n v="572"/>
    <n v="81.714285714285708"/>
    <x v="2"/>
    <x v="0"/>
    <x v="0"/>
  </r>
  <r>
    <n v="1320"/>
    <s v="Robin"/>
    <s v="Leonard"/>
    <s v="robin.leonard.1320@gslingacademy.com"/>
    <x v="1"/>
    <x v="0"/>
    <x v="3"/>
    <x v="0"/>
    <n v="14"/>
    <x v="9"/>
    <n v="99"/>
    <n v="72"/>
    <n v="74"/>
    <n v="88"/>
    <n v="90"/>
    <n v="81"/>
    <n v="95"/>
    <n v="599"/>
    <n v="85.571428571428569"/>
    <x v="2"/>
    <x v="2"/>
    <x v="0"/>
  </r>
  <r>
    <n v="1321"/>
    <s v="Edward"/>
    <s v="Smith"/>
    <s v="edward.smith.1321@gslingacademy.com"/>
    <x v="0"/>
    <x v="0"/>
    <x v="5"/>
    <x v="0"/>
    <n v="3"/>
    <x v="2"/>
    <n v="62"/>
    <n v="67"/>
    <n v="96"/>
    <n v="67"/>
    <n v="82"/>
    <n v="65"/>
    <n v="73"/>
    <n v="512"/>
    <n v="73.142857142857139"/>
    <x v="3"/>
    <x v="0"/>
    <x v="0"/>
  </r>
  <r>
    <n v="1322"/>
    <s v="Julie"/>
    <s v="Little"/>
    <s v="julie.little.1322@gslingacademy.com"/>
    <x v="1"/>
    <x v="0"/>
    <x v="6"/>
    <x v="0"/>
    <n v="5"/>
    <x v="7"/>
    <n v="42"/>
    <n v="79"/>
    <n v="79"/>
    <n v="59"/>
    <n v="61"/>
    <n v="87"/>
    <n v="65"/>
    <n v="472"/>
    <n v="67.428571428571431"/>
    <x v="3"/>
    <x v="1"/>
    <x v="0"/>
  </r>
  <r>
    <n v="1323"/>
    <s v="Maureen"/>
    <s v="Norman"/>
    <s v="maureen.norman.1323@gslingacademy.com"/>
    <x v="1"/>
    <x v="0"/>
    <x v="7"/>
    <x v="1"/>
    <n v="2"/>
    <x v="7"/>
    <n v="46"/>
    <n v="52"/>
    <n v="87"/>
    <n v="80"/>
    <n v="76"/>
    <n v="73"/>
    <n v="76"/>
    <n v="490"/>
    <n v="70"/>
    <x v="3"/>
    <x v="1"/>
    <x v="0"/>
  </r>
  <r>
    <n v="1324"/>
    <s v="Jeffrey"/>
    <s v="Andrews"/>
    <s v="jeffrey.andrews.1324@gslingacademy.com"/>
    <x v="0"/>
    <x v="0"/>
    <x v="0"/>
    <x v="0"/>
    <n v="4"/>
    <x v="14"/>
    <n v="92"/>
    <n v="63"/>
    <n v="100"/>
    <n v="97"/>
    <n v="91"/>
    <n v="87"/>
    <n v="68"/>
    <n v="598"/>
    <n v="85.428571428571431"/>
    <x v="3"/>
    <x v="0"/>
    <x v="0"/>
  </r>
  <r>
    <n v="1325"/>
    <s v="Christina"/>
    <s v="Martinez"/>
    <s v="christina.martinez.1325@gslingacademy.com"/>
    <x v="1"/>
    <x v="0"/>
    <x v="7"/>
    <x v="0"/>
    <n v="33"/>
    <x v="0"/>
    <n v="94"/>
    <n v="89"/>
    <n v="96"/>
    <n v="98"/>
    <n v="61"/>
    <n v="95"/>
    <n v="67"/>
    <n v="600"/>
    <n v="85.714285714285708"/>
    <x v="1"/>
    <x v="1"/>
    <x v="0"/>
  </r>
  <r>
    <n v="1326"/>
    <s v="Samuel"/>
    <s v="Becker"/>
    <s v="samuel.becker.1326@gslingacademy.com"/>
    <x v="0"/>
    <x v="0"/>
    <x v="1"/>
    <x v="0"/>
    <n v="31"/>
    <x v="9"/>
    <n v="89"/>
    <n v="99"/>
    <n v="89"/>
    <n v="71"/>
    <n v="74"/>
    <n v="94"/>
    <n v="78"/>
    <n v="594"/>
    <n v="84.857142857142861"/>
    <x v="1"/>
    <x v="0"/>
    <x v="0"/>
  </r>
  <r>
    <n v="1327"/>
    <s v="Carlos"/>
    <s v="Flynn"/>
    <s v="carlos.flynn.1327@gslingacademy.com"/>
    <x v="0"/>
    <x v="0"/>
    <x v="5"/>
    <x v="0"/>
    <n v="16"/>
    <x v="13"/>
    <n v="90"/>
    <n v="100"/>
    <n v="98"/>
    <n v="95"/>
    <n v="97"/>
    <n v="74"/>
    <n v="63"/>
    <n v="617"/>
    <n v="88.142857142857139"/>
    <x v="2"/>
    <x v="0"/>
    <x v="1"/>
  </r>
  <r>
    <n v="1328"/>
    <s v="Roberto"/>
    <s v="Martin"/>
    <s v="roberto.martin.1328@gslingacademy.com"/>
    <x v="0"/>
    <x v="0"/>
    <x v="3"/>
    <x v="0"/>
    <n v="15"/>
    <x v="4"/>
    <n v="69"/>
    <n v="81"/>
    <n v="83"/>
    <n v="68"/>
    <n v="76"/>
    <n v="90"/>
    <n v="95"/>
    <n v="562"/>
    <n v="80.285714285714292"/>
    <x v="2"/>
    <x v="2"/>
    <x v="0"/>
  </r>
  <r>
    <n v="1329"/>
    <s v="Jennifer"/>
    <s v="Johnson"/>
    <s v="jennifer.johnson.1329@gslingacademy.com"/>
    <x v="1"/>
    <x v="0"/>
    <x v="6"/>
    <x v="1"/>
    <n v="5"/>
    <x v="7"/>
    <n v="40"/>
    <n v="51"/>
    <n v="67"/>
    <n v="63"/>
    <n v="98"/>
    <n v="54"/>
    <n v="79"/>
    <n v="452"/>
    <n v="64.571428571428569"/>
    <x v="3"/>
    <x v="1"/>
    <x v="0"/>
  </r>
  <r>
    <n v="1330"/>
    <s v="Anthony"/>
    <s v="Shah"/>
    <s v="anthony.shah.1330@gslingacademy.com"/>
    <x v="0"/>
    <x v="1"/>
    <x v="7"/>
    <x v="0"/>
    <n v="3"/>
    <x v="7"/>
    <n v="42"/>
    <n v="92"/>
    <n v="60"/>
    <n v="54"/>
    <n v="68"/>
    <n v="69"/>
    <n v="76"/>
    <n v="461"/>
    <n v="65.857142857142861"/>
    <x v="3"/>
    <x v="1"/>
    <x v="0"/>
  </r>
  <r>
    <n v="1331"/>
    <s v="Aimee"/>
    <s v="Cook"/>
    <s v="aimee.cook.1331@gslingacademy.com"/>
    <x v="1"/>
    <x v="0"/>
    <x v="8"/>
    <x v="0"/>
    <n v="4"/>
    <x v="7"/>
    <n v="82"/>
    <n v="91"/>
    <n v="69"/>
    <n v="61"/>
    <n v="79"/>
    <n v="76"/>
    <n v="83"/>
    <n v="541"/>
    <n v="77.285714285714292"/>
    <x v="3"/>
    <x v="1"/>
    <x v="0"/>
  </r>
  <r>
    <n v="1332"/>
    <s v="Angela"/>
    <s v="Collins"/>
    <s v="angela.collins.1332@gslingacademy.com"/>
    <x v="1"/>
    <x v="0"/>
    <x v="5"/>
    <x v="1"/>
    <n v="29"/>
    <x v="11"/>
    <n v="82"/>
    <n v="93"/>
    <n v="67"/>
    <n v="79"/>
    <n v="84"/>
    <n v="90"/>
    <n v="64"/>
    <n v="559"/>
    <n v="79.857142857142861"/>
    <x v="0"/>
    <x v="0"/>
    <x v="0"/>
  </r>
  <r>
    <n v="1333"/>
    <s v="John"/>
    <s v="Jensen"/>
    <s v="john.jensen.1333@gslingacademy.com"/>
    <x v="0"/>
    <x v="0"/>
    <x v="6"/>
    <x v="1"/>
    <n v="18"/>
    <x v="4"/>
    <n v="76"/>
    <n v="80"/>
    <n v="93"/>
    <n v="74"/>
    <n v="73"/>
    <n v="63"/>
    <n v="81"/>
    <n v="540"/>
    <n v="77.142857142857139"/>
    <x v="2"/>
    <x v="1"/>
    <x v="0"/>
  </r>
  <r>
    <n v="1334"/>
    <s v="Julie"/>
    <s v="Gomez"/>
    <s v="julie.gomez.1334@gslingacademy.com"/>
    <x v="1"/>
    <x v="0"/>
    <x v="1"/>
    <x v="0"/>
    <n v="16"/>
    <x v="6"/>
    <n v="80"/>
    <n v="62"/>
    <n v="66"/>
    <n v="88"/>
    <n v="75"/>
    <n v="98"/>
    <n v="68"/>
    <n v="537"/>
    <n v="76.714285714285708"/>
    <x v="2"/>
    <x v="0"/>
    <x v="0"/>
  </r>
  <r>
    <n v="1335"/>
    <s v="Bryan"/>
    <s v="Mitchell"/>
    <s v="bryan.mitchell.1335@gslingacademy.com"/>
    <x v="0"/>
    <x v="0"/>
    <x v="10"/>
    <x v="0"/>
    <n v="23"/>
    <x v="5"/>
    <n v="87"/>
    <n v="90"/>
    <n v="92"/>
    <n v="62"/>
    <n v="96"/>
    <n v="77"/>
    <n v="80"/>
    <n v="584"/>
    <n v="83.428571428571431"/>
    <x v="0"/>
    <x v="3"/>
    <x v="0"/>
  </r>
  <r>
    <n v="1336"/>
    <s v="Katie"/>
    <s v="Clark"/>
    <s v="katie.clark.1336@gslingacademy.com"/>
    <x v="1"/>
    <x v="1"/>
    <x v="0"/>
    <x v="0"/>
    <n v="28"/>
    <x v="5"/>
    <n v="91"/>
    <n v="98"/>
    <n v="60"/>
    <n v="88"/>
    <n v="63"/>
    <n v="78"/>
    <n v="95"/>
    <n v="573"/>
    <n v="81.857142857142861"/>
    <x v="0"/>
    <x v="0"/>
    <x v="0"/>
  </r>
  <r>
    <n v="1337"/>
    <s v="Kathleen"/>
    <s v="Simpson"/>
    <s v="kathleen.simpson.1337@gslingacademy.com"/>
    <x v="1"/>
    <x v="0"/>
    <x v="6"/>
    <x v="0"/>
    <n v="31"/>
    <x v="0"/>
    <n v="100"/>
    <n v="94"/>
    <n v="94"/>
    <n v="87"/>
    <n v="65"/>
    <n v="83"/>
    <n v="95"/>
    <n v="618"/>
    <n v="88.285714285714292"/>
    <x v="1"/>
    <x v="1"/>
    <x v="1"/>
  </r>
  <r>
    <n v="1338"/>
    <s v="Carolyn"/>
    <s v="Reyes"/>
    <s v="carolyn.reyes.1338@gslingacademy.com"/>
    <x v="1"/>
    <x v="0"/>
    <x v="2"/>
    <x v="0"/>
    <n v="5"/>
    <x v="7"/>
    <n v="56"/>
    <n v="60"/>
    <n v="88"/>
    <n v="96"/>
    <n v="57"/>
    <n v="68"/>
    <n v="76"/>
    <n v="501"/>
    <n v="71.571428571428569"/>
    <x v="3"/>
    <x v="1"/>
    <x v="0"/>
  </r>
  <r>
    <n v="1339"/>
    <s v="Derrick"/>
    <s v="Ortiz"/>
    <s v="derrick.ortiz.1339@gslingacademy.com"/>
    <x v="0"/>
    <x v="0"/>
    <x v="1"/>
    <x v="0"/>
    <n v="6"/>
    <x v="15"/>
    <n v="84"/>
    <n v="86"/>
    <n v="96"/>
    <n v="95"/>
    <n v="75"/>
    <n v="61"/>
    <n v="99"/>
    <n v="596"/>
    <n v="85.142857142857139"/>
    <x v="4"/>
    <x v="0"/>
    <x v="0"/>
  </r>
  <r>
    <n v="1340"/>
    <s v="Calvin"/>
    <s v="Huynh"/>
    <s v="calvin.huynh.1340@gslingacademy.com"/>
    <x v="0"/>
    <x v="0"/>
    <x v="5"/>
    <x v="0"/>
    <n v="33"/>
    <x v="0"/>
    <n v="86"/>
    <n v="86"/>
    <n v="64"/>
    <n v="61"/>
    <n v="97"/>
    <n v="97"/>
    <n v="91"/>
    <n v="582"/>
    <n v="83.142857142857139"/>
    <x v="1"/>
    <x v="0"/>
    <x v="0"/>
  </r>
  <r>
    <n v="1341"/>
    <s v="Margaret"/>
    <s v="Wells"/>
    <s v="margaret.wells.1341@gslingacademy.com"/>
    <x v="1"/>
    <x v="0"/>
    <x v="6"/>
    <x v="0"/>
    <n v="0"/>
    <x v="7"/>
    <n v="79"/>
    <n v="67"/>
    <n v="72"/>
    <n v="50"/>
    <n v="75"/>
    <n v="95"/>
    <n v="62"/>
    <n v="500"/>
    <n v="71.428571428571431"/>
    <x v="3"/>
    <x v="1"/>
    <x v="0"/>
  </r>
  <r>
    <n v="1342"/>
    <s v="Heather"/>
    <s v="Fitzpatrick"/>
    <s v="heather.fitzpatrick.1342@gslingacademy.com"/>
    <x v="1"/>
    <x v="0"/>
    <x v="4"/>
    <x v="1"/>
    <n v="19"/>
    <x v="5"/>
    <n v="99"/>
    <n v="78"/>
    <n v="61"/>
    <n v="64"/>
    <n v="75"/>
    <n v="66"/>
    <n v="76"/>
    <n v="519"/>
    <n v="74.142857142857139"/>
    <x v="2"/>
    <x v="2"/>
    <x v="0"/>
  </r>
  <r>
    <n v="1343"/>
    <s v="Kimberly"/>
    <s v="Wood"/>
    <s v="kimberly.wood.1343@gslingacademy.com"/>
    <x v="1"/>
    <x v="0"/>
    <x v="1"/>
    <x v="0"/>
    <n v="26"/>
    <x v="11"/>
    <n v="95"/>
    <n v="79"/>
    <n v="95"/>
    <n v="62"/>
    <n v="69"/>
    <n v="82"/>
    <n v="94"/>
    <n v="576"/>
    <n v="82.285714285714292"/>
    <x v="0"/>
    <x v="0"/>
    <x v="0"/>
  </r>
  <r>
    <n v="1344"/>
    <s v="Gina"/>
    <s v="Kennedy"/>
    <s v="gina.kennedy.1344@gslingacademy.com"/>
    <x v="1"/>
    <x v="0"/>
    <x v="5"/>
    <x v="0"/>
    <n v="3"/>
    <x v="3"/>
    <n v="65"/>
    <n v="67"/>
    <n v="90"/>
    <n v="99"/>
    <n v="93"/>
    <n v="91"/>
    <n v="99"/>
    <n v="604"/>
    <n v="86.285714285714292"/>
    <x v="3"/>
    <x v="0"/>
    <x v="1"/>
  </r>
  <r>
    <n v="1345"/>
    <s v="Jeremy"/>
    <s v="Ward"/>
    <s v="jeremy.ward.1345@gslingacademy.com"/>
    <x v="0"/>
    <x v="0"/>
    <x v="1"/>
    <x v="0"/>
    <n v="10"/>
    <x v="4"/>
    <n v="85"/>
    <n v="90"/>
    <n v="61"/>
    <n v="94"/>
    <n v="86"/>
    <n v="79"/>
    <n v="90"/>
    <n v="585"/>
    <n v="83.571428571428569"/>
    <x v="4"/>
    <x v="0"/>
    <x v="0"/>
  </r>
  <r>
    <n v="1346"/>
    <s v="Patricia"/>
    <s v="Rhodes"/>
    <s v="patricia.rhodes.1346@gslingacademy.com"/>
    <x v="1"/>
    <x v="0"/>
    <x v="3"/>
    <x v="0"/>
    <n v="24"/>
    <x v="1"/>
    <n v="99"/>
    <n v="82"/>
    <n v="81"/>
    <n v="98"/>
    <n v="86"/>
    <n v="85"/>
    <n v="85"/>
    <n v="616"/>
    <n v="88"/>
    <x v="0"/>
    <x v="2"/>
    <x v="1"/>
  </r>
  <r>
    <n v="1347"/>
    <s v="Connie"/>
    <s v="Colon"/>
    <s v="connie.colon.1347@gslingacademy.com"/>
    <x v="1"/>
    <x v="0"/>
    <x v="3"/>
    <x v="0"/>
    <n v="1"/>
    <x v="3"/>
    <n v="88"/>
    <n v="62"/>
    <n v="65"/>
    <n v="98"/>
    <n v="92"/>
    <n v="64"/>
    <n v="82"/>
    <n v="551"/>
    <n v="78.714285714285708"/>
    <x v="3"/>
    <x v="2"/>
    <x v="0"/>
  </r>
  <r>
    <n v="1348"/>
    <s v="Pamela"/>
    <s v="Moyer"/>
    <s v="pamela.moyer.1348@gslingacademy.com"/>
    <x v="1"/>
    <x v="0"/>
    <x v="5"/>
    <x v="0"/>
    <n v="25"/>
    <x v="5"/>
    <n v="100"/>
    <n v="87"/>
    <n v="88"/>
    <n v="100"/>
    <n v="89"/>
    <n v="98"/>
    <n v="71"/>
    <n v="633"/>
    <n v="90.428571428571431"/>
    <x v="0"/>
    <x v="0"/>
    <x v="1"/>
  </r>
  <r>
    <n v="1349"/>
    <s v="Rachel"/>
    <s v="Williams"/>
    <s v="rachel.williams.1349@gslingacademy.com"/>
    <x v="1"/>
    <x v="0"/>
    <x v="7"/>
    <x v="0"/>
    <n v="15"/>
    <x v="4"/>
    <n v="62"/>
    <n v="63"/>
    <n v="94"/>
    <n v="74"/>
    <n v="75"/>
    <n v="86"/>
    <n v="100"/>
    <n v="554"/>
    <n v="79.142857142857139"/>
    <x v="2"/>
    <x v="1"/>
    <x v="0"/>
  </r>
  <r>
    <n v="1350"/>
    <s v="Sean"/>
    <s v="Malone"/>
    <s v="sean.malone.1350@gslingacademy.com"/>
    <x v="0"/>
    <x v="1"/>
    <x v="7"/>
    <x v="0"/>
    <n v="3"/>
    <x v="7"/>
    <n v="84"/>
    <n v="75"/>
    <n v="61"/>
    <n v="87"/>
    <n v="86"/>
    <n v="67"/>
    <n v="93"/>
    <n v="553"/>
    <n v="79"/>
    <x v="3"/>
    <x v="1"/>
    <x v="0"/>
  </r>
  <r>
    <n v="1351"/>
    <s v="Natalie"/>
    <s v="Fitzgerald"/>
    <s v="natalie.fitzgerald.1351@gslingacademy.com"/>
    <x v="1"/>
    <x v="0"/>
    <x v="0"/>
    <x v="1"/>
    <n v="14"/>
    <x v="6"/>
    <n v="60"/>
    <n v="61"/>
    <n v="71"/>
    <n v="60"/>
    <n v="69"/>
    <n v="91"/>
    <n v="84"/>
    <n v="496"/>
    <n v="70.857142857142861"/>
    <x v="2"/>
    <x v="0"/>
    <x v="0"/>
  </r>
  <r>
    <n v="1352"/>
    <s v="Kevin"/>
    <s v="Diaz"/>
    <s v="kevin.diaz.1352@gslingacademy.com"/>
    <x v="0"/>
    <x v="0"/>
    <x v="2"/>
    <x v="0"/>
    <n v="31"/>
    <x v="15"/>
    <n v="96"/>
    <n v="76"/>
    <n v="74"/>
    <n v="92"/>
    <n v="96"/>
    <n v="74"/>
    <n v="99"/>
    <n v="607"/>
    <n v="86.714285714285708"/>
    <x v="1"/>
    <x v="1"/>
    <x v="1"/>
  </r>
  <r>
    <n v="1353"/>
    <s v="Beth"/>
    <s v="Jones"/>
    <s v="beth.jones.1353@gslingacademy.com"/>
    <x v="1"/>
    <x v="0"/>
    <x v="1"/>
    <x v="1"/>
    <n v="9"/>
    <x v="16"/>
    <n v="58"/>
    <n v="81"/>
    <n v="100"/>
    <n v="97"/>
    <n v="74"/>
    <n v="90"/>
    <n v="87"/>
    <n v="587"/>
    <n v="83.857142857142861"/>
    <x v="4"/>
    <x v="0"/>
    <x v="0"/>
  </r>
  <r>
    <n v="1354"/>
    <s v="Kathryn"/>
    <s v="Bates"/>
    <s v="kathryn.bates.1354@gslingacademy.com"/>
    <x v="1"/>
    <x v="0"/>
    <x v="5"/>
    <x v="0"/>
    <n v="8"/>
    <x v="6"/>
    <n v="90"/>
    <n v="67"/>
    <n v="73"/>
    <n v="82"/>
    <n v="66"/>
    <n v="75"/>
    <n v="90"/>
    <n v="543"/>
    <n v="77.571428571428569"/>
    <x v="4"/>
    <x v="0"/>
    <x v="0"/>
  </r>
  <r>
    <n v="1355"/>
    <s v="Aaron"/>
    <s v="Mcdaniel"/>
    <s v="aaron.mcdaniel.1355@gslingacademy.com"/>
    <x v="0"/>
    <x v="0"/>
    <x v="1"/>
    <x v="0"/>
    <n v="22"/>
    <x v="11"/>
    <n v="75"/>
    <n v="80"/>
    <n v="65"/>
    <n v="80"/>
    <n v="55"/>
    <n v="86"/>
    <n v="95"/>
    <n v="536"/>
    <n v="76.571428571428569"/>
    <x v="0"/>
    <x v="0"/>
    <x v="0"/>
  </r>
  <r>
    <n v="1356"/>
    <s v="Angela"/>
    <s v="King"/>
    <s v="angela.king.1356@gslingacademy.com"/>
    <x v="1"/>
    <x v="0"/>
    <x v="0"/>
    <x v="0"/>
    <n v="11"/>
    <x v="9"/>
    <n v="76"/>
    <n v="82"/>
    <n v="74"/>
    <n v="79"/>
    <n v="81"/>
    <n v="93"/>
    <n v="72"/>
    <n v="557"/>
    <n v="79.571428571428569"/>
    <x v="2"/>
    <x v="0"/>
    <x v="0"/>
  </r>
  <r>
    <n v="1357"/>
    <s v="Lauren"/>
    <s v="Arias"/>
    <s v="lauren.arias.1357@gslingacademy.com"/>
    <x v="1"/>
    <x v="1"/>
    <x v="7"/>
    <x v="0"/>
    <n v="2"/>
    <x v="7"/>
    <n v="81"/>
    <n v="100"/>
    <n v="64"/>
    <n v="61"/>
    <n v="91"/>
    <n v="76"/>
    <n v="93"/>
    <n v="566"/>
    <n v="80.857142857142861"/>
    <x v="3"/>
    <x v="1"/>
    <x v="0"/>
  </r>
  <r>
    <n v="1358"/>
    <s v="Alyssa"/>
    <s v="Miller"/>
    <s v="alyssa.miller.1358@gslingacademy.com"/>
    <x v="1"/>
    <x v="0"/>
    <x v="1"/>
    <x v="0"/>
    <n v="21"/>
    <x v="4"/>
    <n v="73"/>
    <n v="98"/>
    <n v="72"/>
    <n v="100"/>
    <n v="77"/>
    <n v="62"/>
    <n v="69"/>
    <n v="551"/>
    <n v="78.714285714285708"/>
    <x v="0"/>
    <x v="0"/>
    <x v="0"/>
  </r>
  <r>
    <n v="1359"/>
    <s v="Lisa"/>
    <s v="Best"/>
    <s v="lisa.best.1359@gslingacademy.com"/>
    <x v="1"/>
    <x v="0"/>
    <x v="5"/>
    <x v="0"/>
    <n v="28"/>
    <x v="4"/>
    <n v="60"/>
    <n v="64"/>
    <n v="84"/>
    <n v="64"/>
    <n v="66"/>
    <n v="96"/>
    <n v="99"/>
    <n v="533"/>
    <n v="76.142857142857139"/>
    <x v="0"/>
    <x v="0"/>
    <x v="0"/>
  </r>
  <r>
    <n v="1360"/>
    <s v="Nicole"/>
    <s v="Garcia"/>
    <s v="nicole.garcia.1360@gslingacademy.com"/>
    <x v="1"/>
    <x v="1"/>
    <x v="2"/>
    <x v="0"/>
    <n v="4"/>
    <x v="7"/>
    <n v="89"/>
    <n v="100"/>
    <n v="72"/>
    <n v="73"/>
    <n v="78"/>
    <n v="67"/>
    <n v="91"/>
    <n v="570"/>
    <n v="81.428571428571431"/>
    <x v="3"/>
    <x v="1"/>
    <x v="0"/>
  </r>
  <r>
    <n v="1361"/>
    <s v="William"/>
    <s v="Lee"/>
    <s v="william.lee.1361@gslingacademy.com"/>
    <x v="0"/>
    <x v="0"/>
    <x v="9"/>
    <x v="0"/>
    <n v="35"/>
    <x v="5"/>
    <n v="91"/>
    <n v="98"/>
    <n v="93"/>
    <n v="93"/>
    <n v="88"/>
    <n v="96"/>
    <n v="97"/>
    <n v="656"/>
    <n v="93.714285714285708"/>
    <x v="1"/>
    <x v="2"/>
    <x v="1"/>
  </r>
  <r>
    <n v="1362"/>
    <s v="Christopher"/>
    <s v="Bowen"/>
    <s v="christopher.bowen.1362@gslingacademy.com"/>
    <x v="0"/>
    <x v="0"/>
    <x v="4"/>
    <x v="0"/>
    <n v="27"/>
    <x v="1"/>
    <n v="85"/>
    <n v="72"/>
    <n v="80"/>
    <n v="85"/>
    <n v="94"/>
    <n v="96"/>
    <n v="87"/>
    <n v="599"/>
    <n v="85.571428571428569"/>
    <x v="0"/>
    <x v="2"/>
    <x v="0"/>
  </r>
  <r>
    <n v="1363"/>
    <s v="David"/>
    <s v="Bradford"/>
    <s v="david.bradford.1363@gslingacademy.com"/>
    <x v="0"/>
    <x v="0"/>
    <x v="10"/>
    <x v="1"/>
    <n v="14"/>
    <x v="11"/>
    <n v="81"/>
    <n v="84"/>
    <n v="69"/>
    <n v="99"/>
    <n v="55"/>
    <n v="68"/>
    <n v="73"/>
    <n v="529"/>
    <n v="75.571428571428569"/>
    <x v="2"/>
    <x v="3"/>
    <x v="0"/>
  </r>
  <r>
    <n v="1364"/>
    <s v="Stephanie"/>
    <s v="Jordan"/>
    <s v="stephanie.jordan.1364@gslingacademy.com"/>
    <x v="1"/>
    <x v="0"/>
    <x v="7"/>
    <x v="0"/>
    <n v="1"/>
    <x v="7"/>
    <n v="67"/>
    <n v="63"/>
    <n v="65"/>
    <n v="95"/>
    <n v="52"/>
    <n v="84"/>
    <n v="77"/>
    <n v="503"/>
    <n v="71.857142857142861"/>
    <x v="3"/>
    <x v="1"/>
    <x v="0"/>
  </r>
  <r>
    <n v="1365"/>
    <s v="Joseph"/>
    <s v="Blake"/>
    <s v="joseph.blake.1365@gslingacademy.com"/>
    <x v="0"/>
    <x v="0"/>
    <x v="9"/>
    <x v="0"/>
    <n v="29"/>
    <x v="1"/>
    <n v="86"/>
    <n v="71"/>
    <n v="86"/>
    <n v="93"/>
    <n v="99"/>
    <n v="92"/>
    <n v="77"/>
    <n v="604"/>
    <n v="86.285714285714292"/>
    <x v="0"/>
    <x v="2"/>
    <x v="1"/>
  </r>
  <r>
    <n v="1366"/>
    <s v="Christina"/>
    <s v="Velasquez"/>
    <s v="christina.velasquez.1366@gslingacademy.com"/>
    <x v="1"/>
    <x v="0"/>
    <x v="5"/>
    <x v="0"/>
    <n v="33"/>
    <x v="0"/>
    <n v="94"/>
    <n v="85"/>
    <n v="78"/>
    <n v="66"/>
    <n v="95"/>
    <n v="87"/>
    <n v="95"/>
    <n v="600"/>
    <n v="85.714285714285708"/>
    <x v="1"/>
    <x v="0"/>
    <x v="0"/>
  </r>
  <r>
    <n v="1367"/>
    <s v="Thomas"/>
    <s v="Calderon"/>
    <s v="thomas.calderon.1367@gslingacademy.com"/>
    <x v="0"/>
    <x v="0"/>
    <x v="5"/>
    <x v="0"/>
    <n v="18"/>
    <x v="10"/>
    <n v="83"/>
    <n v="96"/>
    <n v="72"/>
    <n v="81"/>
    <n v="86"/>
    <n v="93"/>
    <n v="75"/>
    <n v="586"/>
    <n v="83.714285714285708"/>
    <x v="2"/>
    <x v="0"/>
    <x v="0"/>
  </r>
  <r>
    <n v="1368"/>
    <s v="Jorge"/>
    <s v="Lee"/>
    <s v="jorge.lee.1368@gslingacademy.com"/>
    <x v="0"/>
    <x v="0"/>
    <x v="1"/>
    <x v="0"/>
    <n v="11"/>
    <x v="4"/>
    <n v="98"/>
    <n v="77"/>
    <n v="91"/>
    <n v="88"/>
    <n v="87"/>
    <n v="76"/>
    <n v="68"/>
    <n v="585"/>
    <n v="83.571428571428569"/>
    <x v="2"/>
    <x v="0"/>
    <x v="0"/>
  </r>
  <r>
    <n v="1369"/>
    <s v="Jasmin"/>
    <s v="Phillips"/>
    <s v="jasmin.phillips.1369@gslingacademy.com"/>
    <x v="1"/>
    <x v="1"/>
    <x v="3"/>
    <x v="0"/>
    <n v="3"/>
    <x v="7"/>
    <n v="46"/>
    <n v="63"/>
    <n v="60"/>
    <n v="61"/>
    <n v="66"/>
    <n v="91"/>
    <n v="97"/>
    <n v="484"/>
    <n v="69.142857142857139"/>
    <x v="3"/>
    <x v="2"/>
    <x v="0"/>
  </r>
  <r>
    <n v="1370"/>
    <s v="Vincent"/>
    <s v="Wilson"/>
    <s v="vincent.wilson.1370@gslingacademy.com"/>
    <x v="0"/>
    <x v="0"/>
    <x v="1"/>
    <x v="0"/>
    <n v="19"/>
    <x v="5"/>
    <n v="95"/>
    <n v="92"/>
    <n v="73"/>
    <n v="94"/>
    <n v="73"/>
    <n v="70"/>
    <n v="94"/>
    <n v="591"/>
    <n v="84.428571428571431"/>
    <x v="2"/>
    <x v="0"/>
    <x v="0"/>
  </r>
  <r>
    <n v="1371"/>
    <s v="Richard"/>
    <s v="Ryan"/>
    <s v="richard.ryan.1371@gslingacademy.com"/>
    <x v="0"/>
    <x v="0"/>
    <x v="5"/>
    <x v="0"/>
    <n v="31"/>
    <x v="5"/>
    <n v="88"/>
    <n v="68"/>
    <n v="81"/>
    <n v="68"/>
    <n v="73"/>
    <n v="61"/>
    <n v="93"/>
    <n v="532"/>
    <n v="76"/>
    <x v="1"/>
    <x v="0"/>
    <x v="0"/>
  </r>
  <r>
    <n v="1372"/>
    <s v="Jesse"/>
    <s v="Garcia"/>
    <s v="jesse.garcia.1372@gslingacademy.com"/>
    <x v="0"/>
    <x v="0"/>
    <x v="3"/>
    <x v="1"/>
    <n v="28"/>
    <x v="15"/>
    <n v="90"/>
    <n v="73"/>
    <n v="78"/>
    <n v="72"/>
    <n v="63"/>
    <n v="88"/>
    <n v="72"/>
    <n v="536"/>
    <n v="76.571428571428569"/>
    <x v="0"/>
    <x v="2"/>
    <x v="0"/>
  </r>
  <r>
    <n v="1373"/>
    <s v="James"/>
    <s v="Tate"/>
    <s v="james.tate.1373@gslingacademy.com"/>
    <x v="0"/>
    <x v="0"/>
    <x v="7"/>
    <x v="0"/>
    <n v="11"/>
    <x v="13"/>
    <n v="100"/>
    <n v="60"/>
    <n v="87"/>
    <n v="60"/>
    <n v="86"/>
    <n v="93"/>
    <n v="75"/>
    <n v="561"/>
    <n v="80.142857142857139"/>
    <x v="2"/>
    <x v="1"/>
    <x v="0"/>
  </r>
  <r>
    <n v="1374"/>
    <s v="Charles"/>
    <s v="May"/>
    <s v="charles.may.1374@gslingacademy.com"/>
    <x v="0"/>
    <x v="0"/>
    <x v="5"/>
    <x v="0"/>
    <n v="16"/>
    <x v="12"/>
    <n v="76"/>
    <n v="76"/>
    <n v="92"/>
    <n v="86"/>
    <n v="79"/>
    <n v="85"/>
    <n v="78"/>
    <n v="572"/>
    <n v="81.714285714285708"/>
    <x v="2"/>
    <x v="0"/>
    <x v="0"/>
  </r>
  <r>
    <n v="1375"/>
    <s v="Jeremiah"/>
    <s v="Lee"/>
    <s v="jeremiah.lee.1375@gslingacademy.com"/>
    <x v="0"/>
    <x v="0"/>
    <x v="0"/>
    <x v="0"/>
    <n v="4"/>
    <x v="3"/>
    <n v="73"/>
    <n v="73"/>
    <n v="81"/>
    <n v="78"/>
    <n v="82"/>
    <n v="85"/>
    <n v="66"/>
    <n v="538"/>
    <n v="76.857142857142861"/>
    <x v="3"/>
    <x v="0"/>
    <x v="0"/>
  </r>
  <r>
    <n v="1376"/>
    <s v="Debra"/>
    <s v="Reynolds"/>
    <s v="debra.reynolds.1376@gslingacademy.com"/>
    <x v="1"/>
    <x v="0"/>
    <x v="5"/>
    <x v="0"/>
    <n v="15"/>
    <x v="9"/>
    <n v="96"/>
    <n v="95"/>
    <n v="67"/>
    <n v="88"/>
    <n v="68"/>
    <n v="93"/>
    <n v="75"/>
    <n v="582"/>
    <n v="83.142857142857139"/>
    <x v="2"/>
    <x v="0"/>
    <x v="0"/>
  </r>
  <r>
    <n v="1377"/>
    <s v="Eric"/>
    <s v="Doyle"/>
    <s v="eric.doyle.1377@gslingacademy.com"/>
    <x v="0"/>
    <x v="0"/>
    <x v="9"/>
    <x v="0"/>
    <n v="31"/>
    <x v="10"/>
    <n v="85"/>
    <n v="87"/>
    <n v="99"/>
    <n v="65"/>
    <n v="66"/>
    <n v="95"/>
    <n v="77"/>
    <n v="574"/>
    <n v="82"/>
    <x v="1"/>
    <x v="2"/>
    <x v="0"/>
  </r>
  <r>
    <n v="1378"/>
    <s v="John"/>
    <s v="Perez"/>
    <s v="john.perez.1378@gslingacademy.com"/>
    <x v="0"/>
    <x v="0"/>
    <x v="9"/>
    <x v="0"/>
    <n v="29"/>
    <x v="5"/>
    <n v="91"/>
    <n v="93"/>
    <n v="62"/>
    <n v="63"/>
    <n v="100"/>
    <n v="85"/>
    <n v="85"/>
    <n v="579"/>
    <n v="82.714285714285708"/>
    <x v="0"/>
    <x v="2"/>
    <x v="0"/>
  </r>
  <r>
    <n v="1379"/>
    <s v="Hector"/>
    <s v="Garcia"/>
    <s v="hector.garcia.1379@gslingacademy.com"/>
    <x v="0"/>
    <x v="0"/>
    <x v="3"/>
    <x v="0"/>
    <n v="27"/>
    <x v="4"/>
    <n v="61"/>
    <n v="85"/>
    <n v="92"/>
    <n v="62"/>
    <n v="64"/>
    <n v="66"/>
    <n v="95"/>
    <n v="525"/>
    <n v="75"/>
    <x v="0"/>
    <x v="2"/>
    <x v="0"/>
  </r>
  <r>
    <n v="1380"/>
    <s v="Andres"/>
    <s v="Rodriguez"/>
    <s v="andres.rodriguez.1380@gslingacademy.com"/>
    <x v="0"/>
    <x v="0"/>
    <x v="5"/>
    <x v="0"/>
    <n v="29"/>
    <x v="12"/>
    <n v="79"/>
    <n v="69"/>
    <n v="78"/>
    <n v="78"/>
    <n v="99"/>
    <n v="61"/>
    <n v="87"/>
    <n v="551"/>
    <n v="78.714285714285708"/>
    <x v="0"/>
    <x v="0"/>
    <x v="0"/>
  </r>
  <r>
    <n v="1381"/>
    <s v="Shelley"/>
    <s v="Murphy"/>
    <s v="shelley.murphy.1381@gslingacademy.com"/>
    <x v="1"/>
    <x v="0"/>
    <x v="1"/>
    <x v="0"/>
    <n v="23"/>
    <x v="5"/>
    <n v="99"/>
    <n v="75"/>
    <n v="79"/>
    <n v="87"/>
    <n v="63"/>
    <n v="90"/>
    <n v="90"/>
    <n v="583"/>
    <n v="83.285714285714292"/>
    <x v="0"/>
    <x v="0"/>
    <x v="0"/>
  </r>
  <r>
    <n v="1382"/>
    <s v="Robin"/>
    <s v="Carr"/>
    <s v="robin.carr.1382@gslingacademy.com"/>
    <x v="1"/>
    <x v="0"/>
    <x v="1"/>
    <x v="0"/>
    <n v="32"/>
    <x v="8"/>
    <n v="81"/>
    <n v="64"/>
    <n v="81"/>
    <n v="92"/>
    <n v="87"/>
    <n v="84"/>
    <n v="95"/>
    <n v="584"/>
    <n v="83.428571428571431"/>
    <x v="1"/>
    <x v="0"/>
    <x v="0"/>
  </r>
  <r>
    <n v="1383"/>
    <s v="Julie"/>
    <s v="Lambert"/>
    <s v="julie.lambert.1383@gslingacademy.com"/>
    <x v="1"/>
    <x v="0"/>
    <x v="3"/>
    <x v="0"/>
    <n v="9"/>
    <x v="6"/>
    <n v="91"/>
    <n v="87"/>
    <n v="71"/>
    <n v="98"/>
    <n v="93"/>
    <n v="83"/>
    <n v="81"/>
    <n v="604"/>
    <n v="86.285714285714292"/>
    <x v="4"/>
    <x v="2"/>
    <x v="1"/>
  </r>
  <r>
    <n v="1384"/>
    <s v="Cynthia"/>
    <s v="Rodriguez"/>
    <s v="cynthia.rodriguez.1384@gslingacademy.com"/>
    <x v="1"/>
    <x v="0"/>
    <x v="0"/>
    <x v="0"/>
    <n v="16"/>
    <x v="5"/>
    <n v="91"/>
    <n v="84"/>
    <n v="95"/>
    <n v="97"/>
    <n v="88"/>
    <n v="70"/>
    <n v="77"/>
    <n v="602"/>
    <n v="86"/>
    <x v="2"/>
    <x v="0"/>
    <x v="1"/>
  </r>
  <r>
    <n v="1385"/>
    <s v="Thomas"/>
    <s v="Ball"/>
    <s v="thomas.ball.1385@gslingacademy.com"/>
    <x v="0"/>
    <x v="0"/>
    <x v="1"/>
    <x v="0"/>
    <n v="29"/>
    <x v="5"/>
    <n v="100"/>
    <n v="79"/>
    <n v="77"/>
    <n v="61"/>
    <n v="79"/>
    <n v="70"/>
    <n v="69"/>
    <n v="535"/>
    <n v="76.428571428571431"/>
    <x v="0"/>
    <x v="0"/>
    <x v="0"/>
  </r>
  <r>
    <n v="1386"/>
    <s v="Patricia"/>
    <s v="Pope"/>
    <s v="patricia.pope.1386@gslingacademy.com"/>
    <x v="1"/>
    <x v="0"/>
    <x v="0"/>
    <x v="1"/>
    <n v="5"/>
    <x v="3"/>
    <n v="60"/>
    <n v="69"/>
    <n v="80"/>
    <n v="87"/>
    <n v="100"/>
    <n v="93"/>
    <n v="92"/>
    <n v="581"/>
    <n v="83"/>
    <x v="3"/>
    <x v="0"/>
    <x v="0"/>
  </r>
  <r>
    <n v="1387"/>
    <s v="Bryan"/>
    <s v="Pacheco"/>
    <s v="bryan.pacheco.1387@gslingacademy.com"/>
    <x v="0"/>
    <x v="0"/>
    <x v="0"/>
    <x v="0"/>
    <n v="14"/>
    <x v="5"/>
    <n v="90"/>
    <n v="95"/>
    <n v="68"/>
    <n v="75"/>
    <n v="71"/>
    <n v="68"/>
    <n v="95"/>
    <n v="562"/>
    <n v="80.285714285714292"/>
    <x v="2"/>
    <x v="0"/>
    <x v="0"/>
  </r>
  <r>
    <n v="1388"/>
    <s v="Steven"/>
    <s v="Richardson"/>
    <s v="steven.richardson.1388@gslingacademy.com"/>
    <x v="0"/>
    <x v="0"/>
    <x v="1"/>
    <x v="0"/>
    <n v="20"/>
    <x v="9"/>
    <n v="94"/>
    <n v="88"/>
    <n v="78"/>
    <n v="99"/>
    <n v="65"/>
    <n v="76"/>
    <n v="68"/>
    <n v="568"/>
    <n v="81.142857142857139"/>
    <x v="2"/>
    <x v="0"/>
    <x v="0"/>
  </r>
  <r>
    <n v="1389"/>
    <s v="Deborah"/>
    <s v="Hood"/>
    <s v="deborah.hood.1389@gslingacademy.com"/>
    <x v="1"/>
    <x v="0"/>
    <x v="1"/>
    <x v="0"/>
    <n v="28"/>
    <x v="5"/>
    <n v="90"/>
    <n v="79"/>
    <n v="64"/>
    <n v="93"/>
    <n v="81"/>
    <n v="63"/>
    <n v="76"/>
    <n v="546"/>
    <n v="78"/>
    <x v="0"/>
    <x v="0"/>
    <x v="0"/>
  </r>
  <r>
    <n v="1390"/>
    <s v="Laura"/>
    <s v="Campbell"/>
    <s v="laura.campbell.1390@gslingacademy.com"/>
    <x v="1"/>
    <x v="1"/>
    <x v="1"/>
    <x v="0"/>
    <n v="13"/>
    <x v="9"/>
    <n v="78"/>
    <n v="89"/>
    <n v="83"/>
    <n v="80"/>
    <n v="67"/>
    <n v="90"/>
    <n v="93"/>
    <n v="580"/>
    <n v="82.857142857142861"/>
    <x v="2"/>
    <x v="0"/>
    <x v="0"/>
  </r>
  <r>
    <n v="1391"/>
    <s v="Bradley"/>
    <s v="Patel"/>
    <s v="bradley.patel.1391@gslingacademy.com"/>
    <x v="0"/>
    <x v="1"/>
    <x v="2"/>
    <x v="1"/>
    <n v="3"/>
    <x v="7"/>
    <n v="40"/>
    <n v="73"/>
    <n v="88"/>
    <n v="95"/>
    <n v="64"/>
    <n v="61"/>
    <n v="92"/>
    <n v="513"/>
    <n v="73.285714285714292"/>
    <x v="3"/>
    <x v="1"/>
    <x v="0"/>
  </r>
  <r>
    <n v="1392"/>
    <s v="Angela"/>
    <s v="Moran"/>
    <s v="angela.moran.1392@gslingacademy.com"/>
    <x v="1"/>
    <x v="0"/>
    <x v="3"/>
    <x v="0"/>
    <n v="26"/>
    <x v="9"/>
    <n v="97"/>
    <n v="84"/>
    <n v="70"/>
    <n v="90"/>
    <n v="97"/>
    <n v="95"/>
    <n v="87"/>
    <n v="620"/>
    <n v="88.571428571428569"/>
    <x v="0"/>
    <x v="2"/>
    <x v="1"/>
  </r>
  <r>
    <n v="1393"/>
    <s v="Samuel"/>
    <s v="Lee"/>
    <s v="samuel.lee.1393@gslingacademy.com"/>
    <x v="0"/>
    <x v="1"/>
    <x v="0"/>
    <x v="0"/>
    <n v="8"/>
    <x v="15"/>
    <n v="84"/>
    <n v="98"/>
    <n v="71"/>
    <n v="62"/>
    <n v="89"/>
    <n v="86"/>
    <n v="67"/>
    <n v="557"/>
    <n v="79.571428571428569"/>
    <x v="4"/>
    <x v="0"/>
    <x v="0"/>
  </r>
  <r>
    <n v="1394"/>
    <s v="Catherine"/>
    <s v="Miles"/>
    <s v="catherine.miles.1394@gslingacademy.com"/>
    <x v="1"/>
    <x v="0"/>
    <x v="0"/>
    <x v="0"/>
    <n v="4"/>
    <x v="7"/>
    <n v="64"/>
    <n v="66"/>
    <n v="56"/>
    <n v="59"/>
    <n v="68"/>
    <n v="68"/>
    <n v="84"/>
    <n v="465"/>
    <n v="66.428571428571431"/>
    <x v="3"/>
    <x v="0"/>
    <x v="0"/>
  </r>
  <r>
    <n v="1395"/>
    <s v="Joseph"/>
    <s v="Erickson"/>
    <s v="joseph.erickson.1395@gslingacademy.com"/>
    <x v="0"/>
    <x v="0"/>
    <x v="9"/>
    <x v="1"/>
    <n v="20"/>
    <x v="5"/>
    <n v="89"/>
    <n v="88"/>
    <n v="86"/>
    <n v="77"/>
    <n v="87"/>
    <n v="88"/>
    <n v="78"/>
    <n v="593"/>
    <n v="84.714285714285708"/>
    <x v="2"/>
    <x v="2"/>
    <x v="0"/>
  </r>
  <r>
    <n v="1396"/>
    <s v="Bradley"/>
    <s v="Cook"/>
    <s v="bradley.cook.1396@gslingacademy.com"/>
    <x v="0"/>
    <x v="0"/>
    <x v="0"/>
    <x v="0"/>
    <n v="34"/>
    <x v="13"/>
    <n v="99"/>
    <n v="93"/>
    <n v="98"/>
    <n v="74"/>
    <n v="87"/>
    <n v="88"/>
    <n v="78"/>
    <n v="617"/>
    <n v="88.142857142857139"/>
    <x v="1"/>
    <x v="0"/>
    <x v="1"/>
  </r>
  <r>
    <n v="1397"/>
    <s v="Tony"/>
    <s v="Montgomery"/>
    <s v="tony.montgomery.1397@gslingacademy.com"/>
    <x v="0"/>
    <x v="0"/>
    <x v="1"/>
    <x v="0"/>
    <n v="42"/>
    <x v="1"/>
    <n v="85"/>
    <n v="96"/>
    <n v="98"/>
    <n v="85"/>
    <n v="95"/>
    <n v="96"/>
    <n v="97"/>
    <n v="652"/>
    <n v="93.142857142857139"/>
    <x v="1"/>
    <x v="0"/>
    <x v="1"/>
  </r>
  <r>
    <n v="1398"/>
    <s v="Drew"/>
    <s v="Williams"/>
    <s v="drew.williams.1398@gslingacademy.com"/>
    <x v="0"/>
    <x v="0"/>
    <x v="4"/>
    <x v="0"/>
    <n v="4"/>
    <x v="14"/>
    <n v="89"/>
    <n v="78"/>
    <n v="89"/>
    <n v="91"/>
    <n v="76"/>
    <n v="96"/>
    <n v="81"/>
    <n v="600"/>
    <n v="85.714285714285708"/>
    <x v="3"/>
    <x v="2"/>
    <x v="0"/>
  </r>
  <r>
    <n v="1399"/>
    <s v="Gwendolyn"/>
    <s v="Martinez"/>
    <s v="gwendolyn.martinez.1399@gslingacademy.com"/>
    <x v="1"/>
    <x v="0"/>
    <x v="4"/>
    <x v="1"/>
    <n v="14"/>
    <x v="5"/>
    <n v="97"/>
    <n v="92"/>
    <n v="64"/>
    <n v="93"/>
    <n v="60"/>
    <n v="63"/>
    <n v="90"/>
    <n v="559"/>
    <n v="79.857142857142861"/>
    <x v="2"/>
    <x v="2"/>
    <x v="0"/>
  </r>
  <r>
    <n v="1400"/>
    <s v="Nathan"/>
    <s v="Calhoun"/>
    <s v="nathan.calhoun.1400@gslingacademy.com"/>
    <x v="0"/>
    <x v="0"/>
    <x v="5"/>
    <x v="0"/>
    <n v="29"/>
    <x v="13"/>
    <n v="86"/>
    <n v="100"/>
    <n v="86"/>
    <n v="96"/>
    <n v="73"/>
    <n v="60"/>
    <n v="77"/>
    <n v="578"/>
    <n v="82.571428571428569"/>
    <x v="0"/>
    <x v="0"/>
    <x v="0"/>
  </r>
  <r>
    <n v="1401"/>
    <s v="Krista"/>
    <s v="Myers"/>
    <s v="krista.myers.1401@gslingacademy.com"/>
    <x v="1"/>
    <x v="0"/>
    <x v="0"/>
    <x v="0"/>
    <n v="34"/>
    <x v="0"/>
    <n v="72"/>
    <n v="86"/>
    <n v="69"/>
    <n v="81"/>
    <n v="67"/>
    <n v="98"/>
    <n v="72"/>
    <n v="545"/>
    <n v="77.857142857142861"/>
    <x v="1"/>
    <x v="0"/>
    <x v="0"/>
  </r>
  <r>
    <n v="1402"/>
    <s v="Jeremy"/>
    <s v="Bailey"/>
    <s v="jeremy.bailey.1402@gslingacademy.com"/>
    <x v="0"/>
    <x v="0"/>
    <x v="0"/>
    <x v="0"/>
    <n v="1"/>
    <x v="3"/>
    <n v="63"/>
    <n v="78"/>
    <n v="97"/>
    <n v="67"/>
    <n v="72"/>
    <n v="64"/>
    <n v="67"/>
    <n v="508"/>
    <n v="72.571428571428569"/>
    <x v="3"/>
    <x v="0"/>
    <x v="0"/>
  </r>
  <r>
    <n v="1403"/>
    <s v="Nicholas"/>
    <s v="Lester"/>
    <s v="nicholas.lester.1403@gslingacademy.com"/>
    <x v="0"/>
    <x v="0"/>
    <x v="3"/>
    <x v="0"/>
    <n v="27"/>
    <x v="5"/>
    <n v="99"/>
    <n v="78"/>
    <n v="92"/>
    <n v="65"/>
    <n v="90"/>
    <n v="96"/>
    <n v="96"/>
    <n v="616"/>
    <n v="88"/>
    <x v="0"/>
    <x v="2"/>
    <x v="1"/>
  </r>
  <r>
    <n v="1404"/>
    <s v="Jennifer"/>
    <s v="Ford"/>
    <s v="jennifer.ford.1404@gslingacademy.com"/>
    <x v="1"/>
    <x v="0"/>
    <x v="9"/>
    <x v="0"/>
    <n v="30"/>
    <x v="9"/>
    <n v="81"/>
    <n v="85"/>
    <n v="64"/>
    <n v="61"/>
    <n v="86"/>
    <n v="80"/>
    <n v="83"/>
    <n v="540"/>
    <n v="77.142857142857139"/>
    <x v="0"/>
    <x v="2"/>
    <x v="0"/>
  </r>
  <r>
    <n v="1405"/>
    <s v="Connor"/>
    <s v="Mitchell"/>
    <s v="connor.mitchell.1405@gslingacademy.com"/>
    <x v="0"/>
    <x v="0"/>
    <x v="7"/>
    <x v="0"/>
    <n v="33"/>
    <x v="0"/>
    <n v="72"/>
    <n v="80"/>
    <n v="84"/>
    <n v="91"/>
    <n v="96"/>
    <n v="93"/>
    <n v="74"/>
    <n v="590"/>
    <n v="84.285714285714292"/>
    <x v="1"/>
    <x v="1"/>
    <x v="0"/>
  </r>
  <r>
    <n v="1406"/>
    <s v="Christine"/>
    <s v="Nelson"/>
    <s v="christine.nelson.1406@gslingacademy.com"/>
    <x v="1"/>
    <x v="0"/>
    <x v="5"/>
    <x v="0"/>
    <n v="15"/>
    <x v="6"/>
    <n v="94"/>
    <n v="98"/>
    <n v="65"/>
    <n v="98"/>
    <n v="78"/>
    <n v="96"/>
    <n v="86"/>
    <n v="615"/>
    <n v="87.857142857142861"/>
    <x v="2"/>
    <x v="0"/>
    <x v="1"/>
  </r>
  <r>
    <n v="1407"/>
    <s v="Rebecca"/>
    <s v="Spencer"/>
    <s v="rebecca.spencer.1407@gslingacademy.com"/>
    <x v="1"/>
    <x v="0"/>
    <x v="1"/>
    <x v="0"/>
    <n v="5"/>
    <x v="16"/>
    <n v="58"/>
    <n v="71"/>
    <n v="73"/>
    <n v="65"/>
    <n v="63"/>
    <n v="85"/>
    <n v="64"/>
    <n v="479"/>
    <n v="68.428571428571431"/>
    <x v="3"/>
    <x v="0"/>
    <x v="0"/>
  </r>
  <r>
    <n v="1408"/>
    <s v="Kyle"/>
    <s v="Rojas"/>
    <s v="kyle.rojas.1408@gslingacademy.com"/>
    <x v="0"/>
    <x v="0"/>
    <x v="0"/>
    <x v="0"/>
    <n v="29"/>
    <x v="4"/>
    <n v="61"/>
    <n v="86"/>
    <n v="78"/>
    <n v="80"/>
    <n v="94"/>
    <n v="60"/>
    <n v="88"/>
    <n v="547"/>
    <n v="78.142857142857139"/>
    <x v="0"/>
    <x v="0"/>
    <x v="0"/>
  </r>
  <r>
    <n v="1409"/>
    <s v="Stacy"/>
    <s v="Sanders"/>
    <s v="stacy.sanders.1409@gslingacademy.com"/>
    <x v="1"/>
    <x v="1"/>
    <x v="5"/>
    <x v="0"/>
    <n v="28"/>
    <x v="1"/>
    <n v="89"/>
    <n v="76"/>
    <n v="100"/>
    <n v="100"/>
    <n v="99"/>
    <n v="68"/>
    <n v="79"/>
    <n v="611"/>
    <n v="87.285714285714292"/>
    <x v="0"/>
    <x v="0"/>
    <x v="1"/>
  </r>
  <r>
    <n v="1410"/>
    <s v="Taylor"/>
    <s v="Waters"/>
    <s v="taylor.waters.1410@gslingacademy.com"/>
    <x v="1"/>
    <x v="1"/>
    <x v="2"/>
    <x v="0"/>
    <n v="1"/>
    <x v="7"/>
    <n v="96"/>
    <n v="58"/>
    <n v="65"/>
    <n v="62"/>
    <n v="76"/>
    <n v="93"/>
    <n v="77"/>
    <n v="527"/>
    <n v="75.285714285714292"/>
    <x v="3"/>
    <x v="1"/>
    <x v="0"/>
  </r>
  <r>
    <n v="1411"/>
    <s v="Julie"/>
    <s v="Nichols"/>
    <s v="julie.nichols.1411@gslingacademy.com"/>
    <x v="1"/>
    <x v="0"/>
    <x v="1"/>
    <x v="0"/>
    <n v="22"/>
    <x v="1"/>
    <n v="96"/>
    <n v="73"/>
    <n v="80"/>
    <n v="99"/>
    <n v="91"/>
    <n v="82"/>
    <n v="91"/>
    <n v="612"/>
    <n v="87.428571428571431"/>
    <x v="0"/>
    <x v="0"/>
    <x v="1"/>
  </r>
  <r>
    <n v="1412"/>
    <s v="John"/>
    <s v="Lin"/>
    <s v="john.lin.1412@gslingacademy.com"/>
    <x v="0"/>
    <x v="0"/>
    <x v="4"/>
    <x v="0"/>
    <n v="21"/>
    <x v="4"/>
    <n v="60"/>
    <n v="88"/>
    <n v="75"/>
    <n v="86"/>
    <n v="72"/>
    <n v="80"/>
    <n v="69"/>
    <n v="530"/>
    <n v="75.714285714285708"/>
    <x v="0"/>
    <x v="2"/>
    <x v="0"/>
  </r>
  <r>
    <n v="1413"/>
    <s v="William"/>
    <s v="Ryan"/>
    <s v="william.ryan.1413@gslingacademy.com"/>
    <x v="0"/>
    <x v="0"/>
    <x v="1"/>
    <x v="0"/>
    <n v="34"/>
    <x v="5"/>
    <n v="93"/>
    <n v="65"/>
    <n v="81"/>
    <n v="94"/>
    <n v="92"/>
    <n v="60"/>
    <n v="100"/>
    <n v="585"/>
    <n v="83.571428571428569"/>
    <x v="1"/>
    <x v="0"/>
    <x v="0"/>
  </r>
  <r>
    <n v="1414"/>
    <s v="Joseph"/>
    <s v="Phillips"/>
    <s v="joseph.phillips.1414@gslingacademy.com"/>
    <x v="0"/>
    <x v="0"/>
    <x v="0"/>
    <x v="0"/>
    <n v="33"/>
    <x v="15"/>
    <n v="93"/>
    <n v="63"/>
    <n v="69"/>
    <n v="97"/>
    <n v="64"/>
    <n v="82"/>
    <n v="83"/>
    <n v="551"/>
    <n v="78.714285714285708"/>
    <x v="1"/>
    <x v="0"/>
    <x v="0"/>
  </r>
  <r>
    <n v="1415"/>
    <s v="Christina"/>
    <s v="Ramirez"/>
    <s v="christina.ramirez.1415@gslingacademy.com"/>
    <x v="1"/>
    <x v="0"/>
    <x v="7"/>
    <x v="1"/>
    <n v="3"/>
    <x v="7"/>
    <n v="58"/>
    <n v="65"/>
    <n v="72"/>
    <n v="98"/>
    <n v="56"/>
    <n v="59"/>
    <n v="81"/>
    <n v="489"/>
    <n v="69.857142857142861"/>
    <x v="3"/>
    <x v="1"/>
    <x v="0"/>
  </r>
  <r>
    <n v="1416"/>
    <s v="Laura"/>
    <s v="Baxter"/>
    <s v="laura.baxter.1416@gslingacademy.com"/>
    <x v="1"/>
    <x v="1"/>
    <x v="5"/>
    <x v="0"/>
    <n v="0"/>
    <x v="7"/>
    <n v="73"/>
    <n v="85"/>
    <n v="84"/>
    <n v="88"/>
    <n v="78"/>
    <n v="87"/>
    <n v="76"/>
    <n v="571"/>
    <n v="81.571428571428569"/>
    <x v="3"/>
    <x v="0"/>
    <x v="0"/>
  </r>
  <r>
    <n v="1417"/>
    <s v="Kevin"/>
    <s v="Jackson"/>
    <s v="kevin.jackson.1417@gslingacademy.com"/>
    <x v="0"/>
    <x v="0"/>
    <x v="2"/>
    <x v="0"/>
    <n v="3"/>
    <x v="7"/>
    <n v="93"/>
    <n v="51"/>
    <n v="58"/>
    <n v="70"/>
    <n v="63"/>
    <n v="64"/>
    <n v="89"/>
    <n v="488"/>
    <n v="69.714285714285708"/>
    <x v="3"/>
    <x v="1"/>
    <x v="0"/>
  </r>
  <r>
    <n v="1418"/>
    <s v="Kayla"/>
    <s v="Schwartz"/>
    <s v="kayla.schwartz.1418@gslingacademy.com"/>
    <x v="1"/>
    <x v="0"/>
    <x v="10"/>
    <x v="0"/>
    <n v="20"/>
    <x v="11"/>
    <n v="92"/>
    <n v="66"/>
    <n v="77"/>
    <n v="96"/>
    <n v="92"/>
    <n v="62"/>
    <n v="90"/>
    <n v="575"/>
    <n v="82.142857142857139"/>
    <x v="2"/>
    <x v="3"/>
    <x v="0"/>
  </r>
  <r>
    <n v="1419"/>
    <s v="Jason"/>
    <s v="Myers"/>
    <s v="jason.myers.1419@gslingacademy.com"/>
    <x v="0"/>
    <x v="0"/>
    <x v="5"/>
    <x v="0"/>
    <n v="18"/>
    <x v="5"/>
    <n v="99"/>
    <n v="99"/>
    <n v="69"/>
    <n v="92"/>
    <n v="95"/>
    <n v="79"/>
    <n v="81"/>
    <n v="614"/>
    <n v="87.714285714285708"/>
    <x v="2"/>
    <x v="0"/>
    <x v="1"/>
  </r>
  <r>
    <n v="1420"/>
    <s v="Mary"/>
    <s v="Arnold"/>
    <s v="mary.arnold.1420@gslingacademy.com"/>
    <x v="1"/>
    <x v="0"/>
    <x v="5"/>
    <x v="0"/>
    <n v="35"/>
    <x v="12"/>
    <n v="99"/>
    <n v="96"/>
    <n v="99"/>
    <n v="91"/>
    <n v="94"/>
    <n v="92"/>
    <n v="99"/>
    <n v="670"/>
    <n v="95.714285714285708"/>
    <x v="1"/>
    <x v="0"/>
    <x v="1"/>
  </r>
  <r>
    <n v="1421"/>
    <s v="Suzanne"/>
    <s v="Owens"/>
    <s v="suzanne.owens.1421@gslingacademy.com"/>
    <x v="1"/>
    <x v="0"/>
    <x v="1"/>
    <x v="0"/>
    <n v="3"/>
    <x v="7"/>
    <n v="73"/>
    <n v="70"/>
    <n v="80"/>
    <n v="74"/>
    <n v="71"/>
    <n v="90"/>
    <n v="80"/>
    <n v="538"/>
    <n v="76.857142857142861"/>
    <x v="3"/>
    <x v="0"/>
    <x v="0"/>
  </r>
  <r>
    <n v="1422"/>
    <s v="Misty"/>
    <s v="Stewart"/>
    <s v="misty.stewart.1422@gslingacademy.com"/>
    <x v="1"/>
    <x v="0"/>
    <x v="5"/>
    <x v="0"/>
    <n v="27"/>
    <x v="4"/>
    <n v="87"/>
    <n v="91"/>
    <n v="92"/>
    <n v="66"/>
    <n v="62"/>
    <n v="89"/>
    <n v="76"/>
    <n v="563"/>
    <n v="80.428571428571431"/>
    <x v="0"/>
    <x v="0"/>
    <x v="0"/>
  </r>
  <r>
    <n v="1423"/>
    <s v="Paul"/>
    <s v="Johnson"/>
    <s v="paul.johnson.1423@gslingacademy.com"/>
    <x v="0"/>
    <x v="0"/>
    <x v="9"/>
    <x v="0"/>
    <n v="32"/>
    <x v="1"/>
    <n v="86"/>
    <n v="78"/>
    <n v="81"/>
    <n v="87"/>
    <n v="99"/>
    <n v="71"/>
    <n v="97"/>
    <n v="599"/>
    <n v="85.571428571428569"/>
    <x v="1"/>
    <x v="2"/>
    <x v="0"/>
  </r>
  <r>
    <n v="1424"/>
    <s v="Jordan"/>
    <s v="Rocha"/>
    <s v="jordan.rocha.1424@gslingacademy.com"/>
    <x v="0"/>
    <x v="0"/>
    <x v="5"/>
    <x v="0"/>
    <n v="30"/>
    <x v="5"/>
    <n v="89"/>
    <n v="93"/>
    <n v="71"/>
    <n v="84"/>
    <n v="63"/>
    <n v="61"/>
    <n v="76"/>
    <n v="537"/>
    <n v="76.714285714285708"/>
    <x v="0"/>
    <x v="0"/>
    <x v="0"/>
  </r>
  <r>
    <n v="1425"/>
    <s v="Roger"/>
    <s v="Dixon"/>
    <s v="roger.dixon.1425@gslingacademy.com"/>
    <x v="0"/>
    <x v="0"/>
    <x v="6"/>
    <x v="0"/>
    <n v="3"/>
    <x v="14"/>
    <n v="96"/>
    <n v="64"/>
    <n v="85"/>
    <n v="86"/>
    <n v="93"/>
    <n v="92"/>
    <n v="65"/>
    <n v="581"/>
    <n v="83"/>
    <x v="3"/>
    <x v="1"/>
    <x v="0"/>
  </r>
  <r>
    <n v="1426"/>
    <s v="Patricia"/>
    <s v="Garrison"/>
    <s v="patricia.garrison.1426@gslingacademy.com"/>
    <x v="1"/>
    <x v="0"/>
    <x v="1"/>
    <x v="1"/>
    <n v="19"/>
    <x v="5"/>
    <n v="90"/>
    <n v="73"/>
    <n v="71"/>
    <n v="68"/>
    <n v="74"/>
    <n v="87"/>
    <n v="66"/>
    <n v="529"/>
    <n v="75.571428571428569"/>
    <x v="2"/>
    <x v="0"/>
    <x v="0"/>
  </r>
  <r>
    <n v="1427"/>
    <s v="Amanda"/>
    <s v="Davis"/>
    <s v="amanda.davis.1427@gslingacademy.com"/>
    <x v="1"/>
    <x v="0"/>
    <x v="1"/>
    <x v="0"/>
    <n v="9"/>
    <x v="6"/>
    <n v="98"/>
    <n v="65"/>
    <n v="66"/>
    <n v="87"/>
    <n v="78"/>
    <n v="84"/>
    <n v="91"/>
    <n v="569"/>
    <n v="81.285714285714292"/>
    <x v="4"/>
    <x v="0"/>
    <x v="0"/>
  </r>
  <r>
    <n v="1428"/>
    <s v="Michael"/>
    <s v="Ferguson"/>
    <s v="michael.ferguson.1428@gslingacademy.com"/>
    <x v="0"/>
    <x v="0"/>
    <x v="0"/>
    <x v="0"/>
    <n v="26"/>
    <x v="0"/>
    <n v="85"/>
    <n v="87"/>
    <n v="85"/>
    <n v="69"/>
    <n v="80"/>
    <n v="99"/>
    <n v="93"/>
    <n v="598"/>
    <n v="85.428571428571431"/>
    <x v="0"/>
    <x v="0"/>
    <x v="0"/>
  </r>
  <r>
    <n v="1429"/>
    <s v="Melissa"/>
    <s v="Robinson"/>
    <s v="melissa.robinson.1429@gslingacademy.com"/>
    <x v="1"/>
    <x v="0"/>
    <x v="5"/>
    <x v="0"/>
    <n v="28"/>
    <x v="5"/>
    <n v="85"/>
    <n v="96"/>
    <n v="100"/>
    <n v="75"/>
    <n v="63"/>
    <n v="87"/>
    <n v="89"/>
    <n v="595"/>
    <n v="85"/>
    <x v="0"/>
    <x v="0"/>
    <x v="0"/>
  </r>
  <r>
    <n v="1430"/>
    <s v="Kathryn"/>
    <s v="Rivera"/>
    <s v="kathryn.rivera.1430@gslingacademy.com"/>
    <x v="1"/>
    <x v="1"/>
    <x v="5"/>
    <x v="0"/>
    <n v="35"/>
    <x v="9"/>
    <n v="89"/>
    <n v="94"/>
    <n v="92"/>
    <n v="98"/>
    <n v="92"/>
    <n v="92"/>
    <n v="99"/>
    <n v="656"/>
    <n v="93.714285714285708"/>
    <x v="1"/>
    <x v="0"/>
    <x v="1"/>
  </r>
  <r>
    <n v="1431"/>
    <s v="Javier"/>
    <s v="Macdonald"/>
    <s v="javier.macdonald.1431@gslingacademy.com"/>
    <x v="0"/>
    <x v="0"/>
    <x v="9"/>
    <x v="0"/>
    <n v="32"/>
    <x v="9"/>
    <n v="93"/>
    <n v="97"/>
    <n v="93"/>
    <n v="66"/>
    <n v="83"/>
    <n v="88"/>
    <n v="79"/>
    <n v="599"/>
    <n v="85.571428571428569"/>
    <x v="1"/>
    <x v="2"/>
    <x v="0"/>
  </r>
  <r>
    <n v="1432"/>
    <s v="Angela"/>
    <s v="Elliott"/>
    <s v="angela.elliott.1432@gslingacademy.com"/>
    <x v="1"/>
    <x v="1"/>
    <x v="1"/>
    <x v="0"/>
    <n v="35"/>
    <x v="5"/>
    <n v="96"/>
    <n v="91"/>
    <n v="95"/>
    <n v="88"/>
    <n v="89"/>
    <n v="85"/>
    <n v="92"/>
    <n v="636"/>
    <n v="90.857142857142861"/>
    <x v="1"/>
    <x v="0"/>
    <x v="1"/>
  </r>
  <r>
    <n v="1433"/>
    <s v="Christine"/>
    <s v="Collins"/>
    <s v="christine.collins.1433@gslingacademy.com"/>
    <x v="1"/>
    <x v="0"/>
    <x v="0"/>
    <x v="0"/>
    <n v="26"/>
    <x v="12"/>
    <n v="84"/>
    <n v="64"/>
    <n v="98"/>
    <n v="100"/>
    <n v="89"/>
    <n v="79"/>
    <n v="96"/>
    <n v="610"/>
    <n v="87.142857142857139"/>
    <x v="0"/>
    <x v="0"/>
    <x v="1"/>
  </r>
  <r>
    <n v="1434"/>
    <s v="Calvin"/>
    <s v="Taylor"/>
    <s v="calvin.taylor.1434@gslingacademy.com"/>
    <x v="0"/>
    <x v="0"/>
    <x v="0"/>
    <x v="0"/>
    <n v="14"/>
    <x v="9"/>
    <n v="76"/>
    <n v="97"/>
    <n v="99"/>
    <n v="83"/>
    <n v="74"/>
    <n v="94"/>
    <n v="99"/>
    <n v="622"/>
    <n v="88.857142857142861"/>
    <x v="2"/>
    <x v="0"/>
    <x v="1"/>
  </r>
  <r>
    <n v="1435"/>
    <s v="Jennifer"/>
    <s v="Contreras"/>
    <s v="jennifer.contreras.1435@gslingacademy.com"/>
    <x v="1"/>
    <x v="0"/>
    <x v="9"/>
    <x v="0"/>
    <n v="26"/>
    <x v="9"/>
    <n v="80"/>
    <n v="78"/>
    <n v="71"/>
    <n v="69"/>
    <n v="76"/>
    <n v="97"/>
    <n v="77"/>
    <n v="548"/>
    <n v="78.285714285714292"/>
    <x v="0"/>
    <x v="2"/>
    <x v="0"/>
  </r>
  <r>
    <n v="1436"/>
    <s v="Jennifer"/>
    <s v="Mccoy"/>
    <s v="jennifer.mccoy.1436@gslingacademy.com"/>
    <x v="1"/>
    <x v="0"/>
    <x v="3"/>
    <x v="1"/>
    <n v="3"/>
    <x v="16"/>
    <n v="63"/>
    <n v="77"/>
    <n v="89"/>
    <n v="79"/>
    <n v="79"/>
    <n v="60"/>
    <n v="81"/>
    <n v="528"/>
    <n v="75.428571428571431"/>
    <x v="3"/>
    <x v="2"/>
    <x v="0"/>
  </r>
  <r>
    <n v="1437"/>
    <s v="Daniel"/>
    <s v="Thomas"/>
    <s v="daniel.thomas.1437@gslingacademy.com"/>
    <x v="0"/>
    <x v="0"/>
    <x v="5"/>
    <x v="0"/>
    <n v="33"/>
    <x v="13"/>
    <n v="90"/>
    <n v="86"/>
    <n v="100"/>
    <n v="90"/>
    <n v="76"/>
    <n v="66"/>
    <n v="83"/>
    <n v="591"/>
    <n v="84.428571428571431"/>
    <x v="1"/>
    <x v="0"/>
    <x v="0"/>
  </r>
  <r>
    <n v="1438"/>
    <s v="Brian"/>
    <s v="Hess"/>
    <s v="brian.hess.1438@gslingacademy.com"/>
    <x v="0"/>
    <x v="0"/>
    <x v="5"/>
    <x v="0"/>
    <n v="35"/>
    <x v="9"/>
    <n v="85"/>
    <n v="93"/>
    <n v="85"/>
    <n v="91"/>
    <n v="86"/>
    <n v="94"/>
    <n v="89"/>
    <n v="623"/>
    <n v="89"/>
    <x v="1"/>
    <x v="0"/>
    <x v="1"/>
  </r>
  <r>
    <n v="1439"/>
    <s v="Jessica"/>
    <s v="Mathews"/>
    <s v="jessica.mathews.1439@gslingacademy.com"/>
    <x v="1"/>
    <x v="0"/>
    <x v="5"/>
    <x v="0"/>
    <n v="22"/>
    <x v="4"/>
    <n v="78"/>
    <n v="81"/>
    <n v="94"/>
    <n v="64"/>
    <n v="61"/>
    <n v="91"/>
    <n v="88"/>
    <n v="557"/>
    <n v="79.571428571428569"/>
    <x v="0"/>
    <x v="0"/>
    <x v="0"/>
  </r>
  <r>
    <n v="1440"/>
    <s v="Kathryn"/>
    <s v="Sanchez"/>
    <s v="kathryn.sanchez.1440@gslingacademy.com"/>
    <x v="1"/>
    <x v="0"/>
    <x v="1"/>
    <x v="0"/>
    <n v="23"/>
    <x v="12"/>
    <n v="74"/>
    <n v="90"/>
    <n v="90"/>
    <n v="80"/>
    <n v="91"/>
    <n v="92"/>
    <n v="100"/>
    <n v="617"/>
    <n v="88.142857142857139"/>
    <x v="0"/>
    <x v="0"/>
    <x v="1"/>
  </r>
  <r>
    <n v="1441"/>
    <s v="Jeremy"/>
    <s v="Cook"/>
    <s v="jeremy.cook.1441@gslingacademy.com"/>
    <x v="0"/>
    <x v="0"/>
    <x v="1"/>
    <x v="1"/>
    <n v="27"/>
    <x v="0"/>
    <n v="83"/>
    <n v="89"/>
    <n v="95"/>
    <n v="70"/>
    <n v="95"/>
    <n v="80"/>
    <n v="70"/>
    <n v="582"/>
    <n v="83.142857142857139"/>
    <x v="0"/>
    <x v="0"/>
    <x v="0"/>
  </r>
  <r>
    <n v="1442"/>
    <s v="Michael"/>
    <s v="Anderson"/>
    <s v="michael.anderson.1442@gslingacademy.com"/>
    <x v="0"/>
    <x v="0"/>
    <x v="4"/>
    <x v="0"/>
    <n v="31"/>
    <x v="5"/>
    <n v="87"/>
    <n v="96"/>
    <n v="79"/>
    <n v="79"/>
    <n v="74"/>
    <n v="86"/>
    <n v="85"/>
    <n v="586"/>
    <n v="83.714285714285708"/>
    <x v="1"/>
    <x v="2"/>
    <x v="0"/>
  </r>
  <r>
    <n v="1443"/>
    <s v="Olivia"/>
    <s v="Garza"/>
    <s v="olivia.garza.1443@gslingacademy.com"/>
    <x v="1"/>
    <x v="0"/>
    <x v="5"/>
    <x v="0"/>
    <n v="26"/>
    <x v="9"/>
    <n v="90"/>
    <n v="77"/>
    <n v="84"/>
    <n v="70"/>
    <n v="77"/>
    <n v="86"/>
    <n v="70"/>
    <n v="554"/>
    <n v="79.142857142857139"/>
    <x v="0"/>
    <x v="0"/>
    <x v="0"/>
  </r>
  <r>
    <n v="1444"/>
    <s v="Emily"/>
    <s v="Mason"/>
    <s v="emily.mason.1444@gslingacademy.com"/>
    <x v="1"/>
    <x v="0"/>
    <x v="9"/>
    <x v="0"/>
    <n v="1"/>
    <x v="16"/>
    <n v="73"/>
    <n v="71"/>
    <n v="95"/>
    <n v="63"/>
    <n v="62"/>
    <n v="85"/>
    <n v="99"/>
    <n v="548"/>
    <n v="78.285714285714292"/>
    <x v="3"/>
    <x v="2"/>
    <x v="0"/>
  </r>
  <r>
    <n v="1445"/>
    <s v="Jennifer"/>
    <s v="Gonzales"/>
    <s v="jennifer.gonzales.1445@gslingacademy.com"/>
    <x v="1"/>
    <x v="0"/>
    <x v="1"/>
    <x v="0"/>
    <n v="7"/>
    <x v="6"/>
    <n v="79"/>
    <n v="78"/>
    <n v="100"/>
    <n v="90"/>
    <n v="89"/>
    <n v="80"/>
    <n v="68"/>
    <n v="584"/>
    <n v="83.428571428571431"/>
    <x v="4"/>
    <x v="0"/>
    <x v="0"/>
  </r>
  <r>
    <n v="1446"/>
    <s v="Samantha"/>
    <s v="Rodriguez"/>
    <s v="samantha.rodriguez.1446@gslingacademy.com"/>
    <x v="1"/>
    <x v="0"/>
    <x v="5"/>
    <x v="1"/>
    <n v="4"/>
    <x v="16"/>
    <n v="62"/>
    <n v="84"/>
    <n v="74"/>
    <n v="74"/>
    <n v="66"/>
    <n v="61"/>
    <n v="90"/>
    <n v="511"/>
    <n v="73"/>
    <x v="3"/>
    <x v="0"/>
    <x v="0"/>
  </r>
  <r>
    <n v="1447"/>
    <s v="Anthony"/>
    <s v="Adams"/>
    <s v="anthony.adams.1447@gslingacademy.com"/>
    <x v="0"/>
    <x v="0"/>
    <x v="10"/>
    <x v="0"/>
    <n v="31"/>
    <x v="5"/>
    <n v="87"/>
    <n v="78"/>
    <n v="96"/>
    <n v="84"/>
    <n v="97"/>
    <n v="89"/>
    <n v="82"/>
    <n v="613"/>
    <n v="87.571428571428569"/>
    <x v="1"/>
    <x v="3"/>
    <x v="1"/>
  </r>
  <r>
    <n v="1448"/>
    <s v="Ronald"/>
    <s v="Diaz"/>
    <s v="ronald.diaz.1448@gslingacademy.com"/>
    <x v="0"/>
    <x v="0"/>
    <x v="6"/>
    <x v="1"/>
    <n v="23"/>
    <x v="11"/>
    <n v="81"/>
    <n v="83"/>
    <n v="79"/>
    <n v="94"/>
    <n v="37"/>
    <n v="84"/>
    <n v="71"/>
    <n v="529"/>
    <n v="75.571428571428569"/>
    <x v="0"/>
    <x v="1"/>
    <x v="0"/>
  </r>
  <r>
    <n v="1449"/>
    <s v="Dana"/>
    <s v="Lambert"/>
    <s v="dana.lambert.1449@gslingacademy.com"/>
    <x v="1"/>
    <x v="0"/>
    <x v="9"/>
    <x v="0"/>
    <n v="5"/>
    <x v="4"/>
    <n v="83"/>
    <n v="66"/>
    <n v="94"/>
    <n v="75"/>
    <n v="72"/>
    <n v="78"/>
    <n v="74"/>
    <n v="542"/>
    <n v="77.428571428571431"/>
    <x v="3"/>
    <x v="2"/>
    <x v="0"/>
  </r>
  <r>
    <n v="1450"/>
    <s v="Jonathan"/>
    <s v="Mckay"/>
    <s v="jonathan.mckay.1450@gslingacademy.com"/>
    <x v="0"/>
    <x v="0"/>
    <x v="7"/>
    <x v="0"/>
    <n v="1"/>
    <x v="7"/>
    <n v="90"/>
    <n v="50"/>
    <n v="84"/>
    <n v="90"/>
    <n v="83"/>
    <n v="62"/>
    <n v="100"/>
    <n v="559"/>
    <n v="79.857142857142861"/>
    <x v="3"/>
    <x v="1"/>
    <x v="0"/>
  </r>
  <r>
    <n v="1451"/>
    <s v="Thomas"/>
    <s v="Odom"/>
    <s v="thomas.odom.1451@gslingacademy.com"/>
    <x v="0"/>
    <x v="0"/>
    <x v="0"/>
    <x v="0"/>
    <n v="4"/>
    <x v="3"/>
    <n v="75"/>
    <n v="69"/>
    <n v="97"/>
    <n v="98"/>
    <n v="60"/>
    <n v="60"/>
    <n v="85"/>
    <n v="544"/>
    <n v="77.714285714285708"/>
    <x v="3"/>
    <x v="0"/>
    <x v="0"/>
  </r>
  <r>
    <n v="1452"/>
    <s v="John"/>
    <s v="Wells"/>
    <s v="john.wells.1452@gslingacademy.com"/>
    <x v="0"/>
    <x v="0"/>
    <x v="10"/>
    <x v="1"/>
    <n v="23"/>
    <x v="13"/>
    <n v="94"/>
    <n v="61"/>
    <n v="81"/>
    <n v="64"/>
    <n v="75"/>
    <n v="72"/>
    <n v="61"/>
    <n v="508"/>
    <n v="72.571428571428569"/>
    <x v="0"/>
    <x v="3"/>
    <x v="0"/>
  </r>
  <r>
    <n v="1453"/>
    <s v="Richard"/>
    <s v="Castillo"/>
    <s v="richard.castillo.1453@gslingacademy.com"/>
    <x v="0"/>
    <x v="0"/>
    <x v="0"/>
    <x v="0"/>
    <n v="15"/>
    <x v="2"/>
    <n v="91"/>
    <n v="68"/>
    <n v="62"/>
    <n v="82"/>
    <n v="70"/>
    <n v="92"/>
    <n v="73"/>
    <n v="538"/>
    <n v="76.857142857142861"/>
    <x v="2"/>
    <x v="0"/>
    <x v="0"/>
  </r>
  <r>
    <n v="1454"/>
    <s v="Peter"/>
    <s v="Peck"/>
    <s v="peter.peck.1454@gslingacademy.com"/>
    <x v="0"/>
    <x v="0"/>
    <x v="1"/>
    <x v="0"/>
    <n v="24"/>
    <x v="0"/>
    <n v="96"/>
    <n v="88"/>
    <n v="68"/>
    <n v="95"/>
    <n v="67"/>
    <n v="95"/>
    <n v="75"/>
    <n v="584"/>
    <n v="83.428571428571431"/>
    <x v="0"/>
    <x v="0"/>
    <x v="0"/>
  </r>
  <r>
    <n v="1455"/>
    <s v="Chris"/>
    <s v="Greene"/>
    <s v="chris.greene.1455@gslingacademy.com"/>
    <x v="0"/>
    <x v="0"/>
    <x v="1"/>
    <x v="0"/>
    <n v="31"/>
    <x v="5"/>
    <n v="85"/>
    <n v="76"/>
    <n v="82"/>
    <n v="85"/>
    <n v="73"/>
    <n v="60"/>
    <n v="90"/>
    <n v="551"/>
    <n v="78.714285714285708"/>
    <x v="1"/>
    <x v="0"/>
    <x v="0"/>
  </r>
  <r>
    <n v="1456"/>
    <s v="Michael"/>
    <s v="Vance"/>
    <s v="michael.vance.1456@gslingacademy.com"/>
    <x v="0"/>
    <x v="0"/>
    <x v="9"/>
    <x v="0"/>
    <n v="29"/>
    <x v="0"/>
    <n v="71"/>
    <n v="93"/>
    <n v="90"/>
    <n v="89"/>
    <n v="69"/>
    <n v="94"/>
    <n v="79"/>
    <n v="585"/>
    <n v="83.571428571428569"/>
    <x v="0"/>
    <x v="2"/>
    <x v="0"/>
  </r>
  <r>
    <n v="1457"/>
    <s v="Joanne"/>
    <s v="Howard"/>
    <s v="joanne.howard.1457@gslingacademy.com"/>
    <x v="1"/>
    <x v="0"/>
    <x v="0"/>
    <x v="0"/>
    <n v="49"/>
    <x v="1"/>
    <n v="98"/>
    <n v="90"/>
    <n v="87"/>
    <n v="92"/>
    <n v="92"/>
    <n v="99"/>
    <n v="98"/>
    <n v="656"/>
    <n v="93.714285714285708"/>
    <x v="1"/>
    <x v="0"/>
    <x v="1"/>
  </r>
  <r>
    <n v="1458"/>
    <s v="James"/>
    <s v="Clarke"/>
    <s v="james.clarke.1458@gslingacademy.com"/>
    <x v="0"/>
    <x v="0"/>
    <x v="9"/>
    <x v="0"/>
    <n v="6"/>
    <x v="4"/>
    <n v="66"/>
    <n v="97"/>
    <n v="82"/>
    <n v="70"/>
    <n v="93"/>
    <n v="68"/>
    <n v="98"/>
    <n v="574"/>
    <n v="82"/>
    <x v="4"/>
    <x v="2"/>
    <x v="0"/>
  </r>
  <r>
    <n v="1459"/>
    <s v="Michael"/>
    <s v="Smith"/>
    <s v="michael.smith.1459@gslingacademy.com"/>
    <x v="0"/>
    <x v="0"/>
    <x v="6"/>
    <x v="1"/>
    <n v="33"/>
    <x v="11"/>
    <n v="99"/>
    <n v="82"/>
    <n v="69"/>
    <n v="84"/>
    <n v="79"/>
    <n v="88"/>
    <n v="67"/>
    <n v="568"/>
    <n v="81.142857142857139"/>
    <x v="1"/>
    <x v="1"/>
    <x v="0"/>
  </r>
  <r>
    <n v="1460"/>
    <s v="Nicole"/>
    <s v="King"/>
    <s v="nicole.king.1460@gslingacademy.com"/>
    <x v="1"/>
    <x v="1"/>
    <x v="3"/>
    <x v="1"/>
    <n v="10"/>
    <x v="12"/>
    <n v="71"/>
    <n v="70"/>
    <n v="87"/>
    <n v="62"/>
    <n v="92"/>
    <n v="63"/>
    <n v="80"/>
    <n v="525"/>
    <n v="75"/>
    <x v="4"/>
    <x v="2"/>
    <x v="0"/>
  </r>
  <r>
    <n v="1461"/>
    <s v="Ruth"/>
    <s v="Miller"/>
    <s v="ruth.miller.1461@gslingacademy.com"/>
    <x v="1"/>
    <x v="0"/>
    <x v="5"/>
    <x v="0"/>
    <n v="13"/>
    <x v="2"/>
    <n v="74"/>
    <n v="76"/>
    <n v="81"/>
    <n v="69"/>
    <n v="98"/>
    <n v="96"/>
    <n v="65"/>
    <n v="559"/>
    <n v="79.857142857142861"/>
    <x v="2"/>
    <x v="0"/>
    <x v="0"/>
  </r>
  <r>
    <n v="1462"/>
    <s v="Katelyn"/>
    <s v="Roman"/>
    <s v="katelyn.roman.1462@gslingacademy.com"/>
    <x v="1"/>
    <x v="0"/>
    <x v="4"/>
    <x v="1"/>
    <n v="25"/>
    <x v="9"/>
    <n v="93"/>
    <n v="60"/>
    <n v="71"/>
    <n v="63"/>
    <n v="75"/>
    <n v="76"/>
    <n v="77"/>
    <n v="515"/>
    <n v="73.571428571428569"/>
    <x v="0"/>
    <x v="2"/>
    <x v="0"/>
  </r>
  <r>
    <n v="1463"/>
    <s v="Allison"/>
    <s v="Hendricks"/>
    <s v="allison.hendricks.1463@gslingacademy.com"/>
    <x v="1"/>
    <x v="0"/>
    <x v="1"/>
    <x v="0"/>
    <n v="35"/>
    <x v="0"/>
    <n v="89"/>
    <n v="90"/>
    <n v="99"/>
    <n v="91"/>
    <n v="94"/>
    <n v="96"/>
    <n v="85"/>
    <n v="644"/>
    <n v="92"/>
    <x v="1"/>
    <x v="0"/>
    <x v="1"/>
  </r>
  <r>
    <n v="1464"/>
    <s v="Zachary"/>
    <s v="Lucero"/>
    <s v="zachary.lucero.1464@gslingacademy.com"/>
    <x v="0"/>
    <x v="1"/>
    <x v="8"/>
    <x v="1"/>
    <n v="1"/>
    <x v="7"/>
    <n v="66"/>
    <n v="53"/>
    <n v="85"/>
    <n v="84"/>
    <n v="98"/>
    <n v="86"/>
    <n v="79"/>
    <n v="551"/>
    <n v="78.714285714285708"/>
    <x v="3"/>
    <x v="1"/>
    <x v="0"/>
  </r>
  <r>
    <n v="1465"/>
    <s v="Gregory"/>
    <s v="Ryan"/>
    <s v="gregory.ryan.1465@gslingacademy.com"/>
    <x v="0"/>
    <x v="0"/>
    <x v="5"/>
    <x v="0"/>
    <n v="29"/>
    <x v="15"/>
    <n v="80"/>
    <n v="96"/>
    <n v="79"/>
    <n v="95"/>
    <n v="74"/>
    <n v="95"/>
    <n v="61"/>
    <n v="580"/>
    <n v="82.857142857142861"/>
    <x v="0"/>
    <x v="0"/>
    <x v="0"/>
  </r>
  <r>
    <n v="1466"/>
    <s v="Jacob"/>
    <s v="Hall"/>
    <s v="jacob.hall.1466@gslingacademy.com"/>
    <x v="0"/>
    <x v="0"/>
    <x v="0"/>
    <x v="0"/>
    <n v="20"/>
    <x v="5"/>
    <n v="97"/>
    <n v="93"/>
    <n v="67"/>
    <n v="85"/>
    <n v="90"/>
    <n v="72"/>
    <n v="96"/>
    <n v="600"/>
    <n v="85.714285714285708"/>
    <x v="2"/>
    <x v="0"/>
    <x v="0"/>
  </r>
  <r>
    <n v="1467"/>
    <s v="Mark"/>
    <s v="Wright"/>
    <s v="mark.wright.1467@gslingacademy.com"/>
    <x v="0"/>
    <x v="1"/>
    <x v="0"/>
    <x v="0"/>
    <n v="49"/>
    <x v="1"/>
    <n v="87"/>
    <n v="86"/>
    <n v="87"/>
    <n v="91"/>
    <n v="86"/>
    <n v="96"/>
    <n v="92"/>
    <n v="625"/>
    <n v="89.285714285714292"/>
    <x v="1"/>
    <x v="0"/>
    <x v="1"/>
  </r>
  <r>
    <n v="1468"/>
    <s v="Jennifer"/>
    <s v="Wright"/>
    <s v="jennifer.wright.1468@gslingacademy.com"/>
    <x v="1"/>
    <x v="0"/>
    <x v="9"/>
    <x v="0"/>
    <n v="13"/>
    <x v="6"/>
    <n v="77"/>
    <n v="87"/>
    <n v="83"/>
    <n v="81"/>
    <n v="60"/>
    <n v="92"/>
    <n v="76"/>
    <n v="556"/>
    <n v="79.428571428571431"/>
    <x v="2"/>
    <x v="2"/>
    <x v="0"/>
  </r>
  <r>
    <n v="1469"/>
    <s v="Kimberly"/>
    <s v="Dyer"/>
    <s v="kimberly.dyer.1469@gslingacademy.com"/>
    <x v="1"/>
    <x v="0"/>
    <x v="1"/>
    <x v="0"/>
    <n v="20"/>
    <x v="4"/>
    <n v="99"/>
    <n v="93"/>
    <n v="90"/>
    <n v="79"/>
    <n v="93"/>
    <n v="71"/>
    <n v="84"/>
    <n v="609"/>
    <n v="87"/>
    <x v="2"/>
    <x v="0"/>
    <x v="1"/>
  </r>
  <r>
    <n v="1470"/>
    <s v="Nicole"/>
    <s v="Grant"/>
    <s v="nicole.grant.1470@gslingacademy.com"/>
    <x v="1"/>
    <x v="0"/>
    <x v="1"/>
    <x v="1"/>
    <n v="18"/>
    <x v="6"/>
    <n v="89"/>
    <n v="75"/>
    <n v="65"/>
    <n v="100"/>
    <n v="74"/>
    <n v="71"/>
    <n v="75"/>
    <n v="549"/>
    <n v="78.428571428571431"/>
    <x v="2"/>
    <x v="0"/>
    <x v="0"/>
  </r>
  <r>
    <n v="1471"/>
    <s v="Peter"/>
    <s v="Anderson"/>
    <s v="peter.anderson.1471@gslingacademy.com"/>
    <x v="0"/>
    <x v="0"/>
    <x v="5"/>
    <x v="0"/>
    <n v="23"/>
    <x v="5"/>
    <n v="86"/>
    <n v="79"/>
    <n v="69"/>
    <n v="60"/>
    <n v="76"/>
    <n v="76"/>
    <n v="92"/>
    <n v="538"/>
    <n v="76.857142857142861"/>
    <x v="0"/>
    <x v="0"/>
    <x v="0"/>
  </r>
  <r>
    <n v="1472"/>
    <s v="Christine"/>
    <s v="Hernandez"/>
    <s v="christine.hernandez.1472@gslingacademy.com"/>
    <x v="1"/>
    <x v="0"/>
    <x v="10"/>
    <x v="0"/>
    <n v="10"/>
    <x v="16"/>
    <n v="82"/>
    <n v="86"/>
    <n v="91"/>
    <n v="68"/>
    <n v="80"/>
    <n v="62"/>
    <n v="81"/>
    <n v="550"/>
    <n v="78.571428571428569"/>
    <x v="4"/>
    <x v="3"/>
    <x v="0"/>
  </r>
  <r>
    <n v="1473"/>
    <s v="Christine"/>
    <s v="Smith"/>
    <s v="christine.smith.1473@gslingacademy.com"/>
    <x v="1"/>
    <x v="0"/>
    <x v="9"/>
    <x v="1"/>
    <n v="4"/>
    <x v="3"/>
    <n v="79"/>
    <n v="100"/>
    <n v="75"/>
    <n v="85"/>
    <n v="100"/>
    <n v="81"/>
    <n v="64"/>
    <n v="584"/>
    <n v="83.428571428571431"/>
    <x v="3"/>
    <x v="2"/>
    <x v="0"/>
  </r>
  <r>
    <n v="1474"/>
    <s v="Mark"/>
    <s v="Robinson"/>
    <s v="mark.robinson.1474@gslingacademy.com"/>
    <x v="0"/>
    <x v="0"/>
    <x v="5"/>
    <x v="0"/>
    <n v="11"/>
    <x v="13"/>
    <n v="89"/>
    <n v="70"/>
    <n v="92"/>
    <n v="100"/>
    <n v="100"/>
    <n v="95"/>
    <n v="65"/>
    <n v="611"/>
    <n v="87.285714285714292"/>
    <x v="2"/>
    <x v="0"/>
    <x v="1"/>
  </r>
  <r>
    <n v="1475"/>
    <s v="Joan"/>
    <s v="Estrada"/>
    <s v="joan.estrada.1475@gslingacademy.com"/>
    <x v="1"/>
    <x v="0"/>
    <x v="0"/>
    <x v="0"/>
    <n v="15"/>
    <x v="6"/>
    <n v="77"/>
    <n v="73"/>
    <n v="67"/>
    <n v="67"/>
    <n v="88"/>
    <n v="89"/>
    <n v="99"/>
    <n v="560"/>
    <n v="80"/>
    <x v="2"/>
    <x v="0"/>
    <x v="0"/>
  </r>
  <r>
    <n v="1476"/>
    <s v="Shelby"/>
    <s v="Lewis"/>
    <s v="shelby.lewis.1476@gslingacademy.com"/>
    <x v="1"/>
    <x v="0"/>
    <x v="5"/>
    <x v="1"/>
    <n v="16"/>
    <x v="9"/>
    <n v="95"/>
    <n v="79"/>
    <n v="85"/>
    <n v="73"/>
    <n v="74"/>
    <n v="86"/>
    <n v="68"/>
    <n v="560"/>
    <n v="80"/>
    <x v="2"/>
    <x v="0"/>
    <x v="0"/>
  </r>
  <r>
    <n v="1477"/>
    <s v="Joshua"/>
    <s v="Williams"/>
    <s v="joshua.williams.1477@gslingacademy.com"/>
    <x v="0"/>
    <x v="0"/>
    <x v="7"/>
    <x v="1"/>
    <n v="5"/>
    <x v="7"/>
    <n v="63"/>
    <n v="54"/>
    <n v="57"/>
    <n v="51"/>
    <n v="63"/>
    <n v="88"/>
    <n v="83"/>
    <n v="459"/>
    <n v="65.571428571428569"/>
    <x v="3"/>
    <x v="1"/>
    <x v="0"/>
  </r>
  <r>
    <n v="1478"/>
    <s v="Cynthia"/>
    <s v="Martinez"/>
    <s v="cynthia.martinez.1478@gslingacademy.com"/>
    <x v="1"/>
    <x v="0"/>
    <x v="5"/>
    <x v="1"/>
    <n v="26"/>
    <x v="5"/>
    <n v="98"/>
    <n v="85"/>
    <n v="95"/>
    <n v="92"/>
    <n v="74"/>
    <n v="79"/>
    <n v="63"/>
    <n v="586"/>
    <n v="83.714285714285708"/>
    <x v="0"/>
    <x v="0"/>
    <x v="0"/>
  </r>
  <r>
    <n v="1479"/>
    <s v="Kevin"/>
    <s v="Holt"/>
    <s v="kevin.holt.1479@gslingacademy.com"/>
    <x v="0"/>
    <x v="0"/>
    <x v="1"/>
    <x v="0"/>
    <n v="29"/>
    <x v="4"/>
    <n v="76"/>
    <n v="81"/>
    <n v="69"/>
    <n v="87"/>
    <n v="60"/>
    <n v="93"/>
    <n v="62"/>
    <n v="528"/>
    <n v="75.428571428571431"/>
    <x v="0"/>
    <x v="0"/>
    <x v="0"/>
  </r>
  <r>
    <n v="1480"/>
    <s v="Jessica"/>
    <s v="Nolan"/>
    <s v="jessica.nolan.1480@gslingacademy.com"/>
    <x v="1"/>
    <x v="0"/>
    <x v="7"/>
    <x v="0"/>
    <n v="3"/>
    <x v="7"/>
    <n v="40"/>
    <n v="81"/>
    <n v="54"/>
    <n v="70"/>
    <n v="53"/>
    <n v="98"/>
    <n v="61"/>
    <n v="457"/>
    <n v="65.285714285714292"/>
    <x v="3"/>
    <x v="1"/>
    <x v="0"/>
  </r>
  <r>
    <n v="1481"/>
    <s v="Timothy"/>
    <s v="Fowler"/>
    <s v="timothy.fowler.1481@gslingacademy.com"/>
    <x v="0"/>
    <x v="0"/>
    <x v="9"/>
    <x v="1"/>
    <n v="32"/>
    <x v="5"/>
    <n v="89"/>
    <n v="84"/>
    <n v="84"/>
    <n v="100"/>
    <n v="77"/>
    <n v="62"/>
    <n v="69"/>
    <n v="565"/>
    <n v="80.714285714285708"/>
    <x v="1"/>
    <x v="2"/>
    <x v="0"/>
  </r>
  <r>
    <n v="1482"/>
    <s v="Samantha"/>
    <s v="Ibarra"/>
    <s v="samantha.ibarra.1482@gslingacademy.com"/>
    <x v="1"/>
    <x v="0"/>
    <x v="3"/>
    <x v="0"/>
    <n v="24"/>
    <x v="1"/>
    <n v="86"/>
    <n v="75"/>
    <n v="97"/>
    <n v="93"/>
    <n v="88"/>
    <n v="74"/>
    <n v="97"/>
    <n v="610"/>
    <n v="87.142857142857139"/>
    <x v="0"/>
    <x v="2"/>
    <x v="1"/>
  </r>
  <r>
    <n v="1483"/>
    <s v="Michelle"/>
    <s v="Guerrero"/>
    <s v="michelle.guerrero.1483@gslingacademy.com"/>
    <x v="1"/>
    <x v="0"/>
    <x v="0"/>
    <x v="1"/>
    <n v="20"/>
    <x v="5"/>
    <n v="99"/>
    <n v="77"/>
    <n v="60"/>
    <n v="99"/>
    <n v="100"/>
    <n v="83"/>
    <n v="72"/>
    <n v="590"/>
    <n v="84.285714285714292"/>
    <x v="2"/>
    <x v="0"/>
    <x v="0"/>
  </r>
  <r>
    <n v="1484"/>
    <s v="Stephanie"/>
    <s v="Pineda"/>
    <s v="stephanie.pineda.1484@gslingacademy.com"/>
    <x v="1"/>
    <x v="1"/>
    <x v="3"/>
    <x v="1"/>
    <n v="1"/>
    <x v="7"/>
    <n v="67"/>
    <n v="61"/>
    <n v="61"/>
    <n v="82"/>
    <n v="69"/>
    <n v="87"/>
    <n v="97"/>
    <n v="524"/>
    <n v="74.857142857142861"/>
    <x v="3"/>
    <x v="2"/>
    <x v="0"/>
  </r>
  <r>
    <n v="1485"/>
    <s v="Philip"/>
    <s v="Blair"/>
    <s v="philip.blair.1485@gslingacademy.com"/>
    <x v="0"/>
    <x v="0"/>
    <x v="2"/>
    <x v="0"/>
    <n v="0"/>
    <x v="7"/>
    <n v="43"/>
    <n v="87"/>
    <n v="81"/>
    <n v="61"/>
    <n v="65"/>
    <n v="53"/>
    <n v="84"/>
    <n v="474"/>
    <n v="67.714285714285708"/>
    <x v="3"/>
    <x v="1"/>
    <x v="0"/>
  </r>
  <r>
    <n v="1486"/>
    <s v="David"/>
    <s v="Jimenez"/>
    <s v="david.jimenez.1486@gslingacademy.com"/>
    <x v="0"/>
    <x v="0"/>
    <x v="8"/>
    <x v="1"/>
    <n v="5"/>
    <x v="7"/>
    <n v="40"/>
    <n v="97"/>
    <n v="92"/>
    <n v="93"/>
    <n v="92"/>
    <n v="65"/>
    <n v="82"/>
    <n v="561"/>
    <n v="80.142857142857139"/>
    <x v="3"/>
    <x v="1"/>
    <x v="0"/>
  </r>
  <r>
    <n v="1487"/>
    <s v="Megan"/>
    <s v="Bright"/>
    <s v="megan.bright.1487@gslingacademy.com"/>
    <x v="1"/>
    <x v="0"/>
    <x v="1"/>
    <x v="0"/>
    <n v="5"/>
    <x v="7"/>
    <n v="65"/>
    <n v="93"/>
    <n v="67"/>
    <n v="73"/>
    <n v="57"/>
    <n v="72"/>
    <n v="97"/>
    <n v="524"/>
    <n v="74.857142857142861"/>
    <x v="3"/>
    <x v="0"/>
    <x v="0"/>
  </r>
  <r>
    <n v="1488"/>
    <s v="Thomas"/>
    <s v="Montoya"/>
    <s v="thomas.montoya.1488@gslingacademy.com"/>
    <x v="0"/>
    <x v="0"/>
    <x v="4"/>
    <x v="0"/>
    <n v="1"/>
    <x v="7"/>
    <n v="96"/>
    <n v="92"/>
    <n v="64"/>
    <n v="54"/>
    <n v="87"/>
    <n v="60"/>
    <n v="88"/>
    <n v="541"/>
    <n v="77.285714285714292"/>
    <x v="3"/>
    <x v="2"/>
    <x v="0"/>
  </r>
  <r>
    <n v="1489"/>
    <s v="Brenda"/>
    <s v="Houston"/>
    <s v="brenda.houston.1489@gslingacademy.com"/>
    <x v="1"/>
    <x v="0"/>
    <x v="5"/>
    <x v="1"/>
    <n v="27"/>
    <x v="5"/>
    <n v="96"/>
    <n v="92"/>
    <n v="80"/>
    <n v="61"/>
    <n v="66"/>
    <n v="98"/>
    <n v="70"/>
    <n v="563"/>
    <n v="80.428571428571431"/>
    <x v="0"/>
    <x v="0"/>
    <x v="0"/>
  </r>
  <r>
    <n v="1490"/>
    <s v="Daniel"/>
    <s v="Lee"/>
    <s v="daniel.lee.1490@gslingacademy.com"/>
    <x v="0"/>
    <x v="1"/>
    <x v="5"/>
    <x v="0"/>
    <n v="29"/>
    <x v="0"/>
    <n v="90"/>
    <n v="84"/>
    <n v="90"/>
    <n v="81"/>
    <n v="92"/>
    <n v="83"/>
    <n v="69"/>
    <n v="589"/>
    <n v="84.142857142857139"/>
    <x v="0"/>
    <x v="0"/>
    <x v="0"/>
  </r>
  <r>
    <n v="1491"/>
    <s v="Stephanie"/>
    <s v="Jones"/>
    <s v="stephanie.jones.1491@gslingacademy.com"/>
    <x v="1"/>
    <x v="1"/>
    <x v="2"/>
    <x v="0"/>
    <n v="4"/>
    <x v="7"/>
    <n v="85"/>
    <n v="57"/>
    <n v="77"/>
    <n v="81"/>
    <n v="65"/>
    <n v="75"/>
    <n v="85"/>
    <n v="525"/>
    <n v="75"/>
    <x v="3"/>
    <x v="1"/>
    <x v="0"/>
  </r>
  <r>
    <n v="1492"/>
    <s v="Rachel"/>
    <s v="Salas"/>
    <s v="rachel.salas.1492@gslingacademy.com"/>
    <x v="1"/>
    <x v="1"/>
    <x v="8"/>
    <x v="1"/>
    <n v="4"/>
    <x v="7"/>
    <n v="92"/>
    <n v="96"/>
    <n v="80"/>
    <n v="98"/>
    <n v="61"/>
    <n v="84"/>
    <n v="74"/>
    <n v="585"/>
    <n v="83.571428571428569"/>
    <x v="3"/>
    <x v="1"/>
    <x v="0"/>
  </r>
  <r>
    <n v="1493"/>
    <s v="Oscar"/>
    <s v="Benjamin"/>
    <s v="oscar.benjamin.1493@gslingacademy.com"/>
    <x v="0"/>
    <x v="0"/>
    <x v="0"/>
    <x v="0"/>
    <n v="21"/>
    <x v="1"/>
    <n v="100"/>
    <n v="82"/>
    <n v="84"/>
    <n v="100"/>
    <n v="90"/>
    <n v="62"/>
    <n v="87"/>
    <n v="605"/>
    <n v="86.428571428571431"/>
    <x v="0"/>
    <x v="0"/>
    <x v="1"/>
  </r>
  <r>
    <n v="1494"/>
    <s v="Debra"/>
    <s v="Brown"/>
    <s v="debra.brown.1494@gslingacademy.com"/>
    <x v="1"/>
    <x v="0"/>
    <x v="0"/>
    <x v="0"/>
    <n v="31"/>
    <x v="15"/>
    <n v="94"/>
    <n v="63"/>
    <n v="98"/>
    <n v="73"/>
    <n v="63"/>
    <n v="98"/>
    <n v="100"/>
    <n v="589"/>
    <n v="84.142857142857139"/>
    <x v="1"/>
    <x v="0"/>
    <x v="0"/>
  </r>
  <r>
    <n v="1495"/>
    <s v="Jennifer"/>
    <s v="Martin"/>
    <s v="jennifer.martin.1495@gslingacademy.com"/>
    <x v="1"/>
    <x v="0"/>
    <x v="0"/>
    <x v="0"/>
    <n v="15"/>
    <x v="9"/>
    <n v="85"/>
    <n v="76"/>
    <n v="94"/>
    <n v="89"/>
    <n v="85"/>
    <n v="83"/>
    <n v="80"/>
    <n v="592"/>
    <n v="84.571428571428569"/>
    <x v="2"/>
    <x v="0"/>
    <x v="0"/>
  </r>
  <r>
    <n v="1496"/>
    <s v="Jeffrey"/>
    <s v="Conley"/>
    <s v="jeffrey.conley.1496@gslingacademy.com"/>
    <x v="0"/>
    <x v="0"/>
    <x v="10"/>
    <x v="0"/>
    <n v="30"/>
    <x v="0"/>
    <n v="80"/>
    <n v="84"/>
    <n v="82"/>
    <n v="69"/>
    <n v="91"/>
    <n v="80"/>
    <n v="96"/>
    <n v="582"/>
    <n v="83.142857142857139"/>
    <x v="0"/>
    <x v="3"/>
    <x v="0"/>
  </r>
  <r>
    <n v="1497"/>
    <s v="Cory"/>
    <s v="Cook"/>
    <s v="cory.cook.1497@gslingacademy.com"/>
    <x v="0"/>
    <x v="0"/>
    <x v="5"/>
    <x v="0"/>
    <n v="31"/>
    <x v="5"/>
    <n v="99"/>
    <n v="61"/>
    <n v="91"/>
    <n v="73"/>
    <n v="89"/>
    <n v="62"/>
    <n v="82"/>
    <n v="557"/>
    <n v="79.571428571428569"/>
    <x v="1"/>
    <x v="0"/>
    <x v="0"/>
  </r>
  <r>
    <n v="1498"/>
    <s v="David"/>
    <s v="Walters"/>
    <s v="david.walters.1498@gslingacademy.com"/>
    <x v="0"/>
    <x v="0"/>
    <x v="6"/>
    <x v="0"/>
    <n v="23"/>
    <x v="10"/>
    <n v="70"/>
    <n v="91"/>
    <n v="81"/>
    <n v="61"/>
    <n v="64"/>
    <n v="93"/>
    <n v="96"/>
    <n v="556"/>
    <n v="79.428571428571431"/>
    <x v="0"/>
    <x v="1"/>
    <x v="0"/>
  </r>
  <r>
    <n v="1499"/>
    <s v="Jeffrey"/>
    <s v="Moore"/>
    <s v="jeffrey.moore.1499@gslingacademy.com"/>
    <x v="0"/>
    <x v="0"/>
    <x v="5"/>
    <x v="0"/>
    <n v="23"/>
    <x v="12"/>
    <n v="62"/>
    <n v="72"/>
    <n v="78"/>
    <n v="96"/>
    <n v="70"/>
    <n v="74"/>
    <n v="72"/>
    <n v="524"/>
    <n v="74.857142857142861"/>
    <x v="0"/>
    <x v="0"/>
    <x v="0"/>
  </r>
  <r>
    <n v="1500"/>
    <s v="Stacey"/>
    <s v="Williams"/>
    <s v="stacey.williams.1500@gslingacademy.com"/>
    <x v="1"/>
    <x v="1"/>
    <x v="10"/>
    <x v="0"/>
    <n v="27"/>
    <x v="5"/>
    <n v="94"/>
    <n v="97"/>
    <n v="73"/>
    <n v="79"/>
    <n v="84"/>
    <n v="66"/>
    <n v="64"/>
    <n v="557"/>
    <n v="79.571428571428569"/>
    <x v="0"/>
    <x v="3"/>
    <x v="0"/>
  </r>
  <r>
    <n v="1501"/>
    <s v="Beth"/>
    <s v="Stephens"/>
    <s v="beth.stephens.1501@gslingacademy.com"/>
    <x v="1"/>
    <x v="0"/>
    <x v="0"/>
    <x v="1"/>
    <n v="5"/>
    <x v="16"/>
    <n v="79"/>
    <n v="93"/>
    <n v="100"/>
    <n v="83"/>
    <n v="78"/>
    <n v="80"/>
    <n v="87"/>
    <n v="600"/>
    <n v="85.714285714285708"/>
    <x v="3"/>
    <x v="0"/>
    <x v="0"/>
  </r>
  <r>
    <n v="1502"/>
    <s v="Lisa"/>
    <s v="Franco"/>
    <s v="lisa.franco.1502@gslingacademy.com"/>
    <x v="1"/>
    <x v="1"/>
    <x v="7"/>
    <x v="0"/>
    <n v="4"/>
    <x v="7"/>
    <n v="47"/>
    <n v="75"/>
    <n v="53"/>
    <n v="60"/>
    <n v="90"/>
    <n v="59"/>
    <n v="86"/>
    <n v="470"/>
    <n v="67.142857142857139"/>
    <x v="3"/>
    <x v="1"/>
    <x v="0"/>
  </r>
  <r>
    <n v="1503"/>
    <s v="Sarah"/>
    <s v="Snow"/>
    <s v="sarah.snow.1503@gslingacademy.com"/>
    <x v="1"/>
    <x v="0"/>
    <x v="2"/>
    <x v="0"/>
    <n v="21"/>
    <x v="9"/>
    <n v="100"/>
    <n v="73"/>
    <n v="70"/>
    <n v="71"/>
    <n v="73"/>
    <n v="96"/>
    <n v="67"/>
    <n v="550"/>
    <n v="78.571428571428569"/>
    <x v="0"/>
    <x v="1"/>
    <x v="0"/>
  </r>
  <r>
    <n v="1504"/>
    <s v="Frederick"/>
    <s v="Lopez"/>
    <s v="frederick.lopez.1504@gslingacademy.com"/>
    <x v="0"/>
    <x v="0"/>
    <x v="3"/>
    <x v="0"/>
    <n v="26"/>
    <x v="9"/>
    <n v="90"/>
    <n v="69"/>
    <n v="75"/>
    <n v="98"/>
    <n v="70"/>
    <n v="75"/>
    <n v="80"/>
    <n v="557"/>
    <n v="79.571428571428569"/>
    <x v="0"/>
    <x v="2"/>
    <x v="0"/>
  </r>
  <r>
    <n v="1505"/>
    <s v="Cynthia"/>
    <s v="White"/>
    <s v="cynthia.white.1505@gslingacademy.com"/>
    <x v="1"/>
    <x v="0"/>
    <x v="1"/>
    <x v="0"/>
    <n v="13"/>
    <x v="6"/>
    <n v="63"/>
    <n v="94"/>
    <n v="65"/>
    <n v="98"/>
    <n v="69"/>
    <n v="90"/>
    <n v="85"/>
    <n v="564"/>
    <n v="80.571428571428569"/>
    <x v="2"/>
    <x v="0"/>
    <x v="0"/>
  </r>
  <r>
    <n v="1506"/>
    <s v="Samantha"/>
    <s v="Hopkins"/>
    <s v="samantha.hopkins.1506@gslingacademy.com"/>
    <x v="1"/>
    <x v="0"/>
    <x v="6"/>
    <x v="0"/>
    <n v="10"/>
    <x v="4"/>
    <n v="78"/>
    <n v="76"/>
    <n v="93"/>
    <n v="88"/>
    <n v="83"/>
    <n v="99"/>
    <n v="98"/>
    <n v="615"/>
    <n v="87.857142857142861"/>
    <x v="4"/>
    <x v="1"/>
    <x v="1"/>
  </r>
  <r>
    <n v="1507"/>
    <s v="Destiny"/>
    <s v="Rhodes"/>
    <s v="destiny.rhodes.1507@gslingacademy.com"/>
    <x v="1"/>
    <x v="0"/>
    <x v="9"/>
    <x v="0"/>
    <n v="25"/>
    <x v="5"/>
    <n v="95"/>
    <n v="94"/>
    <n v="69"/>
    <n v="73"/>
    <n v="71"/>
    <n v="93"/>
    <n v="71"/>
    <n v="566"/>
    <n v="80.857142857142861"/>
    <x v="0"/>
    <x v="2"/>
    <x v="0"/>
  </r>
  <r>
    <n v="1508"/>
    <s v="Jessica"/>
    <s v="Jones"/>
    <s v="jessica.jones.1508@gslingacademy.com"/>
    <x v="1"/>
    <x v="0"/>
    <x v="9"/>
    <x v="0"/>
    <n v="13"/>
    <x v="4"/>
    <n v="88"/>
    <n v="92"/>
    <n v="66"/>
    <n v="100"/>
    <n v="98"/>
    <n v="99"/>
    <n v="70"/>
    <n v="613"/>
    <n v="87.571428571428569"/>
    <x v="2"/>
    <x v="2"/>
    <x v="1"/>
  </r>
  <r>
    <n v="1509"/>
    <s v="Mark"/>
    <s v="Smith"/>
    <s v="mark.smith.1509@gslingacademy.com"/>
    <x v="0"/>
    <x v="0"/>
    <x v="1"/>
    <x v="0"/>
    <n v="29"/>
    <x v="13"/>
    <n v="87"/>
    <n v="86"/>
    <n v="95"/>
    <n v="92"/>
    <n v="91"/>
    <n v="79"/>
    <n v="64"/>
    <n v="594"/>
    <n v="84.857142857142861"/>
    <x v="0"/>
    <x v="0"/>
    <x v="0"/>
  </r>
  <r>
    <n v="1510"/>
    <s v="Maureen"/>
    <s v="Cain"/>
    <s v="maureen.cain.1510@gslingacademy.com"/>
    <x v="1"/>
    <x v="0"/>
    <x v="9"/>
    <x v="0"/>
    <n v="1"/>
    <x v="16"/>
    <n v="89"/>
    <n v="100"/>
    <n v="81"/>
    <n v="62"/>
    <n v="75"/>
    <n v="68"/>
    <n v="71"/>
    <n v="546"/>
    <n v="78"/>
    <x v="3"/>
    <x v="2"/>
    <x v="0"/>
  </r>
  <r>
    <n v="1511"/>
    <s v="Jennifer"/>
    <s v="Fuentes"/>
    <s v="jennifer.fuentes.1511@gslingacademy.com"/>
    <x v="1"/>
    <x v="1"/>
    <x v="1"/>
    <x v="0"/>
    <n v="11"/>
    <x v="15"/>
    <n v="89"/>
    <n v="65"/>
    <n v="82"/>
    <n v="77"/>
    <n v="90"/>
    <n v="76"/>
    <n v="84"/>
    <n v="563"/>
    <n v="80.428571428571431"/>
    <x v="2"/>
    <x v="0"/>
    <x v="0"/>
  </r>
  <r>
    <n v="1512"/>
    <s v="Jennifer"/>
    <s v="Arnold"/>
    <s v="jennifer.arnold.1512@gslingacademy.com"/>
    <x v="1"/>
    <x v="0"/>
    <x v="5"/>
    <x v="0"/>
    <n v="26"/>
    <x v="0"/>
    <n v="90"/>
    <n v="100"/>
    <n v="89"/>
    <n v="69"/>
    <n v="100"/>
    <n v="95"/>
    <n v="94"/>
    <n v="637"/>
    <n v="91"/>
    <x v="0"/>
    <x v="0"/>
    <x v="1"/>
  </r>
  <r>
    <n v="1513"/>
    <s v="Laura"/>
    <s v="Smith"/>
    <s v="laura.smith.1513@gslingacademy.com"/>
    <x v="1"/>
    <x v="0"/>
    <x v="10"/>
    <x v="0"/>
    <n v="12"/>
    <x v="6"/>
    <n v="99"/>
    <n v="75"/>
    <n v="71"/>
    <n v="90"/>
    <n v="92"/>
    <n v="78"/>
    <n v="69"/>
    <n v="574"/>
    <n v="82"/>
    <x v="2"/>
    <x v="3"/>
    <x v="0"/>
  </r>
  <r>
    <n v="1514"/>
    <s v="David"/>
    <s v="Shaw"/>
    <s v="david.shaw.1514@gslingacademy.com"/>
    <x v="0"/>
    <x v="1"/>
    <x v="10"/>
    <x v="0"/>
    <n v="32"/>
    <x v="5"/>
    <n v="91"/>
    <n v="75"/>
    <n v="77"/>
    <n v="95"/>
    <n v="80"/>
    <n v="95"/>
    <n v="88"/>
    <n v="601"/>
    <n v="85.857142857142861"/>
    <x v="1"/>
    <x v="3"/>
    <x v="1"/>
  </r>
  <r>
    <n v="1515"/>
    <s v="Diana"/>
    <s v="Russo"/>
    <s v="diana.russo.1515@gslingacademy.com"/>
    <x v="1"/>
    <x v="0"/>
    <x v="3"/>
    <x v="0"/>
    <n v="28"/>
    <x v="11"/>
    <n v="75"/>
    <n v="99"/>
    <n v="60"/>
    <n v="90"/>
    <n v="51"/>
    <n v="77"/>
    <n v="84"/>
    <n v="536"/>
    <n v="76.571428571428569"/>
    <x v="0"/>
    <x v="2"/>
    <x v="0"/>
  </r>
  <r>
    <n v="1516"/>
    <s v="Hayley"/>
    <s v="Johnson"/>
    <s v="hayley.johnson.1516@gslingacademy.com"/>
    <x v="1"/>
    <x v="0"/>
    <x v="5"/>
    <x v="0"/>
    <n v="34"/>
    <x v="4"/>
    <n v="60"/>
    <n v="93"/>
    <n v="99"/>
    <n v="81"/>
    <n v="96"/>
    <n v="92"/>
    <n v="80"/>
    <n v="601"/>
    <n v="85.857142857142861"/>
    <x v="1"/>
    <x v="0"/>
    <x v="1"/>
  </r>
  <r>
    <n v="1517"/>
    <s v="Melissa"/>
    <s v="Jackson"/>
    <s v="melissa.jackson.1517@gslingacademy.com"/>
    <x v="1"/>
    <x v="0"/>
    <x v="4"/>
    <x v="0"/>
    <n v="17"/>
    <x v="5"/>
    <n v="90"/>
    <n v="64"/>
    <n v="79"/>
    <n v="66"/>
    <n v="96"/>
    <n v="61"/>
    <n v="81"/>
    <n v="537"/>
    <n v="76.714285714285708"/>
    <x v="2"/>
    <x v="2"/>
    <x v="0"/>
  </r>
  <r>
    <n v="1518"/>
    <s v="Kimberly"/>
    <s v="Miller"/>
    <s v="kimberly.miller.1518@gslingacademy.com"/>
    <x v="1"/>
    <x v="0"/>
    <x v="1"/>
    <x v="0"/>
    <n v="31"/>
    <x v="5"/>
    <n v="93"/>
    <n v="74"/>
    <n v="80"/>
    <n v="79"/>
    <n v="70"/>
    <n v="66"/>
    <n v="91"/>
    <n v="553"/>
    <n v="79"/>
    <x v="1"/>
    <x v="0"/>
    <x v="0"/>
  </r>
  <r>
    <n v="1519"/>
    <s v="Andrew"/>
    <s v="Stanley"/>
    <s v="andrew.stanley.1519@gslingacademy.com"/>
    <x v="0"/>
    <x v="0"/>
    <x v="1"/>
    <x v="1"/>
    <n v="25"/>
    <x v="11"/>
    <n v="93"/>
    <n v="74"/>
    <n v="96"/>
    <n v="69"/>
    <n v="71"/>
    <n v="82"/>
    <n v="76"/>
    <n v="561"/>
    <n v="80.142857142857139"/>
    <x v="0"/>
    <x v="0"/>
    <x v="0"/>
  </r>
  <r>
    <n v="1520"/>
    <s v="Mary"/>
    <s v="Taylor"/>
    <s v="mary.taylor.1520@gslingacademy.com"/>
    <x v="1"/>
    <x v="0"/>
    <x v="6"/>
    <x v="0"/>
    <n v="14"/>
    <x v="5"/>
    <n v="92"/>
    <n v="74"/>
    <n v="90"/>
    <n v="87"/>
    <n v="89"/>
    <n v="94"/>
    <n v="87"/>
    <n v="613"/>
    <n v="87.571428571428569"/>
    <x v="2"/>
    <x v="1"/>
    <x v="1"/>
  </r>
  <r>
    <n v="1521"/>
    <s v="Mindy"/>
    <s v="Jones"/>
    <s v="mindy.jones.1521@gslingacademy.com"/>
    <x v="1"/>
    <x v="0"/>
    <x v="1"/>
    <x v="0"/>
    <n v="2"/>
    <x v="14"/>
    <n v="86"/>
    <n v="60"/>
    <n v="91"/>
    <n v="82"/>
    <n v="73"/>
    <n v="77"/>
    <n v="64"/>
    <n v="533"/>
    <n v="76.142857142857139"/>
    <x v="3"/>
    <x v="0"/>
    <x v="0"/>
  </r>
  <r>
    <n v="1522"/>
    <s v="John"/>
    <s v="Powell"/>
    <s v="john.powell.1522@gslingacademy.com"/>
    <x v="0"/>
    <x v="1"/>
    <x v="7"/>
    <x v="0"/>
    <n v="5"/>
    <x v="7"/>
    <n v="64"/>
    <n v="69"/>
    <n v="85"/>
    <n v="99"/>
    <n v="76"/>
    <n v="98"/>
    <n v="60"/>
    <n v="551"/>
    <n v="78.714285714285708"/>
    <x v="3"/>
    <x v="1"/>
    <x v="0"/>
  </r>
  <r>
    <n v="1523"/>
    <s v="Amanda"/>
    <s v="Padilla"/>
    <s v="amanda.padilla.1523@gslingacademy.com"/>
    <x v="1"/>
    <x v="0"/>
    <x v="1"/>
    <x v="0"/>
    <n v="2"/>
    <x v="3"/>
    <n v="91"/>
    <n v="87"/>
    <n v="84"/>
    <n v="91"/>
    <n v="96"/>
    <n v="88"/>
    <n v="82"/>
    <n v="619"/>
    <n v="88.428571428571431"/>
    <x v="3"/>
    <x v="0"/>
    <x v="1"/>
  </r>
  <r>
    <n v="1524"/>
    <s v="Kevin"/>
    <s v="Koch"/>
    <s v="kevin.koch.1524@gslingacademy.com"/>
    <x v="0"/>
    <x v="0"/>
    <x v="0"/>
    <x v="0"/>
    <n v="33"/>
    <x v="8"/>
    <n v="76"/>
    <n v="66"/>
    <n v="96"/>
    <n v="86"/>
    <n v="85"/>
    <n v="62"/>
    <n v="68"/>
    <n v="539"/>
    <n v="77"/>
    <x v="1"/>
    <x v="0"/>
    <x v="0"/>
  </r>
  <r>
    <n v="1525"/>
    <s v="Chad"/>
    <s v="Moreno"/>
    <s v="chad.moreno.1525@gslingacademy.com"/>
    <x v="0"/>
    <x v="0"/>
    <x v="4"/>
    <x v="0"/>
    <n v="33"/>
    <x v="4"/>
    <n v="72"/>
    <n v="67"/>
    <n v="65"/>
    <n v="76"/>
    <n v="69"/>
    <n v="81"/>
    <n v="70"/>
    <n v="500"/>
    <n v="71.428571428571431"/>
    <x v="1"/>
    <x v="2"/>
    <x v="0"/>
  </r>
  <r>
    <n v="1526"/>
    <s v="Stephanie"/>
    <s v="Spencer"/>
    <s v="stephanie.spencer.1526@gslingacademy.com"/>
    <x v="1"/>
    <x v="0"/>
    <x v="5"/>
    <x v="0"/>
    <n v="5"/>
    <x v="3"/>
    <n v="63"/>
    <n v="86"/>
    <n v="72"/>
    <n v="72"/>
    <n v="90"/>
    <n v="75"/>
    <n v="92"/>
    <n v="550"/>
    <n v="78.571428571428569"/>
    <x v="3"/>
    <x v="0"/>
    <x v="0"/>
  </r>
  <r>
    <n v="1527"/>
    <s v="Peter"/>
    <s v="Vargas"/>
    <s v="peter.vargas.1527@gslingacademy.com"/>
    <x v="0"/>
    <x v="1"/>
    <x v="0"/>
    <x v="0"/>
    <n v="23"/>
    <x v="5"/>
    <n v="94"/>
    <n v="61"/>
    <n v="72"/>
    <n v="70"/>
    <n v="87"/>
    <n v="82"/>
    <n v="76"/>
    <n v="542"/>
    <n v="77.428571428571431"/>
    <x v="0"/>
    <x v="0"/>
    <x v="0"/>
  </r>
  <r>
    <n v="1528"/>
    <s v="Kayla"/>
    <s v="Bailey"/>
    <s v="kayla.bailey.1528@gslingacademy.com"/>
    <x v="1"/>
    <x v="0"/>
    <x v="7"/>
    <x v="0"/>
    <n v="2"/>
    <x v="7"/>
    <n v="70"/>
    <n v="75"/>
    <n v="59"/>
    <n v="91"/>
    <n v="53"/>
    <n v="97"/>
    <n v="95"/>
    <n v="540"/>
    <n v="77.142857142857139"/>
    <x v="3"/>
    <x v="1"/>
    <x v="0"/>
  </r>
  <r>
    <n v="1529"/>
    <s v="Stephanie"/>
    <s v="Jones"/>
    <s v="stephanie.jones.1529@gslingacademy.com"/>
    <x v="1"/>
    <x v="0"/>
    <x v="0"/>
    <x v="0"/>
    <n v="23"/>
    <x v="9"/>
    <n v="83"/>
    <n v="69"/>
    <n v="66"/>
    <n v="95"/>
    <n v="93"/>
    <n v="77"/>
    <n v="77"/>
    <n v="560"/>
    <n v="80"/>
    <x v="0"/>
    <x v="0"/>
    <x v="0"/>
  </r>
  <r>
    <n v="1530"/>
    <s v="Nancy"/>
    <s v="Hartman"/>
    <s v="nancy.hartman.1530@gslingacademy.com"/>
    <x v="1"/>
    <x v="0"/>
    <x v="4"/>
    <x v="0"/>
    <n v="3"/>
    <x v="7"/>
    <n v="50"/>
    <n v="61"/>
    <n v="50"/>
    <n v="96"/>
    <n v="70"/>
    <n v="58"/>
    <n v="86"/>
    <n v="471"/>
    <n v="67.285714285714292"/>
    <x v="3"/>
    <x v="2"/>
    <x v="0"/>
  </r>
  <r>
    <n v="1531"/>
    <s v="Eduardo"/>
    <s v="Brown"/>
    <s v="eduardo.brown.1531@gslingacademy.com"/>
    <x v="0"/>
    <x v="0"/>
    <x v="10"/>
    <x v="0"/>
    <n v="48"/>
    <x v="1"/>
    <n v="99"/>
    <n v="89"/>
    <n v="96"/>
    <n v="98"/>
    <n v="89"/>
    <n v="98"/>
    <n v="93"/>
    <n v="662"/>
    <n v="94.571428571428569"/>
    <x v="1"/>
    <x v="3"/>
    <x v="1"/>
  </r>
  <r>
    <n v="1532"/>
    <s v="Thomas"/>
    <s v="Stone"/>
    <s v="thomas.stone.1532@gslingacademy.com"/>
    <x v="0"/>
    <x v="0"/>
    <x v="0"/>
    <x v="0"/>
    <n v="32"/>
    <x v="9"/>
    <n v="76"/>
    <n v="85"/>
    <n v="62"/>
    <n v="65"/>
    <n v="79"/>
    <n v="81"/>
    <n v="61"/>
    <n v="509"/>
    <n v="72.714285714285708"/>
    <x v="1"/>
    <x v="0"/>
    <x v="0"/>
  </r>
  <r>
    <n v="1533"/>
    <s v="Craig"/>
    <s v="Carter"/>
    <s v="craig.carter.1533@gslingacademy.com"/>
    <x v="0"/>
    <x v="1"/>
    <x v="9"/>
    <x v="1"/>
    <n v="3"/>
    <x v="7"/>
    <n v="71"/>
    <n v="66"/>
    <n v="52"/>
    <n v="99"/>
    <n v="87"/>
    <n v="89"/>
    <n v="70"/>
    <n v="534"/>
    <n v="76.285714285714292"/>
    <x v="3"/>
    <x v="2"/>
    <x v="0"/>
  </r>
  <r>
    <n v="1534"/>
    <s v="Michael"/>
    <s v="Harrington"/>
    <s v="michael.harrington.1534@gslingacademy.com"/>
    <x v="0"/>
    <x v="0"/>
    <x v="5"/>
    <x v="0"/>
    <n v="24"/>
    <x v="4"/>
    <n v="60"/>
    <n v="78"/>
    <n v="96"/>
    <n v="93"/>
    <n v="62"/>
    <n v="60"/>
    <n v="83"/>
    <n v="532"/>
    <n v="76"/>
    <x v="0"/>
    <x v="0"/>
    <x v="0"/>
  </r>
  <r>
    <n v="1535"/>
    <s v="Valerie"/>
    <s v="Nichols"/>
    <s v="valerie.nichols.1535@gslingacademy.com"/>
    <x v="1"/>
    <x v="0"/>
    <x v="9"/>
    <x v="0"/>
    <n v="21"/>
    <x v="5"/>
    <n v="87"/>
    <n v="74"/>
    <n v="81"/>
    <n v="65"/>
    <n v="74"/>
    <n v="91"/>
    <n v="82"/>
    <n v="554"/>
    <n v="79.142857142857139"/>
    <x v="0"/>
    <x v="2"/>
    <x v="0"/>
  </r>
  <r>
    <n v="1536"/>
    <s v="Brian"/>
    <s v="Garcia"/>
    <s v="brian.garcia.1536@gslingacademy.com"/>
    <x v="0"/>
    <x v="0"/>
    <x v="7"/>
    <x v="0"/>
    <n v="0"/>
    <x v="7"/>
    <n v="93"/>
    <n v="84"/>
    <n v="65"/>
    <n v="56"/>
    <n v="67"/>
    <n v="92"/>
    <n v="81"/>
    <n v="538"/>
    <n v="76.857142857142861"/>
    <x v="3"/>
    <x v="1"/>
    <x v="0"/>
  </r>
  <r>
    <n v="1537"/>
    <s v="Renee"/>
    <s v="Smith"/>
    <s v="renee.smith.1537@gslingacademy.com"/>
    <x v="1"/>
    <x v="0"/>
    <x v="10"/>
    <x v="0"/>
    <n v="25"/>
    <x v="0"/>
    <n v="87"/>
    <n v="87"/>
    <n v="69"/>
    <n v="71"/>
    <n v="74"/>
    <n v="91"/>
    <n v="74"/>
    <n v="553"/>
    <n v="79"/>
    <x v="0"/>
    <x v="3"/>
    <x v="0"/>
  </r>
  <r>
    <n v="1538"/>
    <s v="Kaitlyn"/>
    <s v="Frazier"/>
    <s v="kaitlyn.frazier.1538@gslingacademy.com"/>
    <x v="1"/>
    <x v="0"/>
    <x v="0"/>
    <x v="0"/>
    <n v="10"/>
    <x v="2"/>
    <n v="93"/>
    <n v="68"/>
    <n v="61"/>
    <n v="78"/>
    <n v="80"/>
    <n v="65"/>
    <n v="77"/>
    <n v="522"/>
    <n v="74.571428571428569"/>
    <x v="4"/>
    <x v="0"/>
    <x v="0"/>
  </r>
  <r>
    <n v="1539"/>
    <s v="Jesse"/>
    <s v="Green"/>
    <s v="jesse.green.1539@gslingacademy.com"/>
    <x v="0"/>
    <x v="0"/>
    <x v="5"/>
    <x v="0"/>
    <n v="4"/>
    <x v="14"/>
    <n v="96"/>
    <n v="64"/>
    <n v="91"/>
    <n v="69"/>
    <n v="60"/>
    <n v="62"/>
    <n v="62"/>
    <n v="504"/>
    <n v="72"/>
    <x v="3"/>
    <x v="0"/>
    <x v="0"/>
  </r>
  <r>
    <n v="1540"/>
    <s v="Kimberly"/>
    <s v="Cooper"/>
    <s v="kimberly.cooper.1540@gslingacademy.com"/>
    <x v="1"/>
    <x v="0"/>
    <x v="1"/>
    <x v="0"/>
    <n v="7"/>
    <x v="4"/>
    <n v="62"/>
    <n v="73"/>
    <n v="74"/>
    <n v="72"/>
    <n v="83"/>
    <n v="63"/>
    <n v="79"/>
    <n v="506"/>
    <n v="72.285714285714292"/>
    <x v="4"/>
    <x v="0"/>
    <x v="0"/>
  </r>
  <r>
    <n v="1541"/>
    <s v="Matthew"/>
    <s v="Chambers"/>
    <s v="matthew.chambers.1541@gslingacademy.com"/>
    <x v="0"/>
    <x v="1"/>
    <x v="8"/>
    <x v="0"/>
    <n v="0"/>
    <x v="7"/>
    <n v="50"/>
    <n v="80"/>
    <n v="100"/>
    <n v="81"/>
    <n v="61"/>
    <n v="68"/>
    <n v="72"/>
    <n v="512"/>
    <n v="73.142857142857139"/>
    <x v="3"/>
    <x v="1"/>
    <x v="0"/>
  </r>
  <r>
    <n v="1542"/>
    <s v="Stephanie"/>
    <s v="Yu"/>
    <s v="stephanie.yu.1542@gslingacademy.com"/>
    <x v="1"/>
    <x v="0"/>
    <x v="9"/>
    <x v="0"/>
    <n v="2"/>
    <x v="4"/>
    <n v="71"/>
    <n v="68"/>
    <n v="77"/>
    <n v="73"/>
    <n v="68"/>
    <n v="73"/>
    <n v="64"/>
    <n v="494"/>
    <n v="70.571428571428569"/>
    <x v="3"/>
    <x v="2"/>
    <x v="0"/>
  </r>
  <r>
    <n v="1543"/>
    <s v="Jose"/>
    <s v="Hodge"/>
    <s v="jose.hodge.1543@gslingacademy.com"/>
    <x v="0"/>
    <x v="0"/>
    <x v="10"/>
    <x v="1"/>
    <n v="16"/>
    <x v="13"/>
    <n v="99"/>
    <n v="88"/>
    <n v="88"/>
    <n v="90"/>
    <n v="82"/>
    <n v="88"/>
    <n v="90"/>
    <n v="625"/>
    <n v="89.285714285714292"/>
    <x v="2"/>
    <x v="3"/>
    <x v="1"/>
  </r>
  <r>
    <n v="1544"/>
    <s v="Steve"/>
    <s v="Kelly"/>
    <s v="steve.kelly.1544@gslingacademy.com"/>
    <x v="0"/>
    <x v="0"/>
    <x v="9"/>
    <x v="0"/>
    <n v="12"/>
    <x v="15"/>
    <n v="100"/>
    <n v="67"/>
    <n v="100"/>
    <n v="60"/>
    <n v="94"/>
    <n v="72"/>
    <n v="70"/>
    <n v="563"/>
    <n v="80.428571428571431"/>
    <x v="2"/>
    <x v="2"/>
    <x v="0"/>
  </r>
  <r>
    <n v="1545"/>
    <s v="Justin"/>
    <s v="Morgan"/>
    <s v="justin.morgan.1545@gslingacademy.com"/>
    <x v="0"/>
    <x v="1"/>
    <x v="2"/>
    <x v="0"/>
    <n v="4"/>
    <x v="7"/>
    <n v="77"/>
    <n v="59"/>
    <n v="60"/>
    <n v="98"/>
    <n v="74"/>
    <n v="76"/>
    <n v="60"/>
    <n v="504"/>
    <n v="72"/>
    <x v="3"/>
    <x v="1"/>
    <x v="0"/>
  </r>
  <r>
    <n v="1546"/>
    <s v="Robert"/>
    <s v="Black"/>
    <s v="robert.black.1546@gslingacademy.com"/>
    <x v="0"/>
    <x v="0"/>
    <x v="0"/>
    <x v="1"/>
    <n v="23"/>
    <x v="5"/>
    <n v="88"/>
    <n v="73"/>
    <n v="86"/>
    <n v="75"/>
    <n v="65"/>
    <n v="62"/>
    <n v="83"/>
    <n v="532"/>
    <n v="76"/>
    <x v="0"/>
    <x v="0"/>
    <x v="0"/>
  </r>
  <r>
    <n v="1547"/>
    <s v="Gabriella"/>
    <s v="Pierce"/>
    <s v="gabriella.pierce.1547@gslingacademy.com"/>
    <x v="1"/>
    <x v="0"/>
    <x v="4"/>
    <x v="0"/>
    <n v="15"/>
    <x v="11"/>
    <n v="88"/>
    <n v="99"/>
    <n v="64"/>
    <n v="79"/>
    <n v="52"/>
    <n v="75"/>
    <n v="92"/>
    <n v="549"/>
    <n v="78.428571428571431"/>
    <x v="2"/>
    <x v="2"/>
    <x v="0"/>
  </r>
  <r>
    <n v="1548"/>
    <s v="William"/>
    <s v="Clay"/>
    <s v="william.clay.1548@gslingacademy.com"/>
    <x v="0"/>
    <x v="0"/>
    <x v="1"/>
    <x v="0"/>
    <n v="31"/>
    <x v="15"/>
    <n v="99"/>
    <n v="88"/>
    <n v="97"/>
    <n v="97"/>
    <n v="71"/>
    <n v="67"/>
    <n v="79"/>
    <n v="598"/>
    <n v="85.428571428571431"/>
    <x v="1"/>
    <x v="0"/>
    <x v="0"/>
  </r>
  <r>
    <n v="1549"/>
    <s v="Nicholas"/>
    <s v="Shea"/>
    <s v="nicholas.shea.1549@gslingacademy.com"/>
    <x v="0"/>
    <x v="1"/>
    <x v="8"/>
    <x v="0"/>
    <n v="3"/>
    <x v="7"/>
    <n v="50"/>
    <n v="88"/>
    <n v="58"/>
    <n v="78"/>
    <n v="83"/>
    <n v="97"/>
    <n v="88"/>
    <n v="542"/>
    <n v="77.428571428571431"/>
    <x v="3"/>
    <x v="1"/>
    <x v="0"/>
  </r>
  <r>
    <n v="1550"/>
    <s v="Heidi"/>
    <s v="Ellis"/>
    <s v="heidi.ellis.1550@gslingacademy.com"/>
    <x v="1"/>
    <x v="0"/>
    <x v="9"/>
    <x v="0"/>
    <n v="2"/>
    <x v="4"/>
    <n v="69"/>
    <n v="93"/>
    <n v="62"/>
    <n v="99"/>
    <n v="98"/>
    <n v="98"/>
    <n v="68"/>
    <n v="587"/>
    <n v="83.857142857142861"/>
    <x v="3"/>
    <x v="2"/>
    <x v="0"/>
  </r>
  <r>
    <n v="1551"/>
    <s v="Cassandra"/>
    <s v="Mills"/>
    <s v="cassandra.mills.1551@gslingacademy.com"/>
    <x v="1"/>
    <x v="0"/>
    <x v="3"/>
    <x v="0"/>
    <n v="35"/>
    <x v="9"/>
    <n v="89"/>
    <n v="86"/>
    <n v="96"/>
    <n v="92"/>
    <n v="97"/>
    <n v="89"/>
    <n v="95"/>
    <n v="644"/>
    <n v="92"/>
    <x v="1"/>
    <x v="2"/>
    <x v="1"/>
  </r>
  <r>
    <n v="1552"/>
    <s v="Robert"/>
    <s v="Hart"/>
    <s v="robert.hart.1552@gslingacademy.com"/>
    <x v="0"/>
    <x v="0"/>
    <x v="3"/>
    <x v="0"/>
    <n v="27"/>
    <x v="12"/>
    <n v="93"/>
    <n v="97"/>
    <n v="77"/>
    <n v="70"/>
    <n v="81"/>
    <n v="83"/>
    <n v="87"/>
    <n v="588"/>
    <n v="84"/>
    <x v="0"/>
    <x v="2"/>
    <x v="0"/>
  </r>
  <r>
    <n v="1553"/>
    <s v="Natalie"/>
    <s v="Garrison"/>
    <s v="natalie.garrison.1553@gslingacademy.com"/>
    <x v="1"/>
    <x v="0"/>
    <x v="3"/>
    <x v="0"/>
    <n v="32"/>
    <x v="5"/>
    <n v="96"/>
    <n v="83"/>
    <n v="67"/>
    <n v="86"/>
    <n v="81"/>
    <n v="92"/>
    <n v="73"/>
    <n v="578"/>
    <n v="82.571428571428569"/>
    <x v="1"/>
    <x v="2"/>
    <x v="0"/>
  </r>
  <r>
    <n v="1554"/>
    <s v="Melissa"/>
    <s v="Campbell"/>
    <s v="melissa.campbell.1554@gslingacademy.com"/>
    <x v="1"/>
    <x v="1"/>
    <x v="9"/>
    <x v="0"/>
    <n v="24"/>
    <x v="5"/>
    <n v="92"/>
    <n v="98"/>
    <n v="93"/>
    <n v="60"/>
    <n v="74"/>
    <n v="84"/>
    <n v="97"/>
    <n v="598"/>
    <n v="85.428571428571431"/>
    <x v="0"/>
    <x v="2"/>
    <x v="0"/>
  </r>
  <r>
    <n v="1555"/>
    <s v="Joshua"/>
    <s v="Cervantes"/>
    <s v="joshua.cervantes.1555@gslingacademy.com"/>
    <x v="0"/>
    <x v="0"/>
    <x v="0"/>
    <x v="1"/>
    <n v="29"/>
    <x v="5"/>
    <n v="99"/>
    <n v="72"/>
    <n v="65"/>
    <n v="66"/>
    <n v="71"/>
    <n v="85"/>
    <n v="83"/>
    <n v="541"/>
    <n v="77.285714285714292"/>
    <x v="0"/>
    <x v="0"/>
    <x v="0"/>
  </r>
  <r>
    <n v="1556"/>
    <s v="Carlos"/>
    <s v="Long"/>
    <s v="carlos.long.1556@gslingacademy.com"/>
    <x v="0"/>
    <x v="0"/>
    <x v="7"/>
    <x v="1"/>
    <n v="4"/>
    <x v="7"/>
    <n v="86"/>
    <n v="59"/>
    <n v="81"/>
    <n v="55"/>
    <n v="77"/>
    <n v="69"/>
    <n v="87"/>
    <n v="514"/>
    <n v="73.428571428571431"/>
    <x v="3"/>
    <x v="1"/>
    <x v="0"/>
  </r>
  <r>
    <n v="1557"/>
    <s v="Keith"/>
    <s v="Hunt"/>
    <s v="keith.hunt.1557@gslingacademy.com"/>
    <x v="0"/>
    <x v="0"/>
    <x v="9"/>
    <x v="0"/>
    <n v="17"/>
    <x v="5"/>
    <n v="91"/>
    <n v="92"/>
    <n v="95"/>
    <n v="90"/>
    <n v="73"/>
    <n v="75"/>
    <n v="95"/>
    <n v="611"/>
    <n v="87.285714285714292"/>
    <x v="2"/>
    <x v="2"/>
    <x v="1"/>
  </r>
  <r>
    <n v="1558"/>
    <s v="Kevin"/>
    <s v="Turner"/>
    <s v="kevin.turner.1558@gslingacademy.com"/>
    <x v="0"/>
    <x v="1"/>
    <x v="0"/>
    <x v="0"/>
    <n v="18"/>
    <x v="9"/>
    <n v="95"/>
    <n v="91"/>
    <n v="74"/>
    <n v="61"/>
    <n v="94"/>
    <n v="86"/>
    <n v="87"/>
    <n v="588"/>
    <n v="84"/>
    <x v="2"/>
    <x v="0"/>
    <x v="0"/>
  </r>
  <r>
    <n v="1559"/>
    <s v="Shane"/>
    <s v="Washington"/>
    <s v="shane.washington.1559@gslingacademy.com"/>
    <x v="0"/>
    <x v="0"/>
    <x v="3"/>
    <x v="0"/>
    <n v="15"/>
    <x v="2"/>
    <n v="61"/>
    <n v="94"/>
    <n v="87"/>
    <n v="74"/>
    <n v="92"/>
    <n v="79"/>
    <n v="97"/>
    <n v="584"/>
    <n v="83.428571428571431"/>
    <x v="2"/>
    <x v="2"/>
    <x v="0"/>
  </r>
  <r>
    <n v="1560"/>
    <s v="Mark"/>
    <s v="Duke"/>
    <s v="mark.duke.1560@gslingacademy.com"/>
    <x v="0"/>
    <x v="0"/>
    <x v="5"/>
    <x v="0"/>
    <n v="32"/>
    <x v="10"/>
    <n v="65"/>
    <n v="89"/>
    <n v="70"/>
    <n v="71"/>
    <n v="74"/>
    <n v="97"/>
    <n v="64"/>
    <n v="530"/>
    <n v="75.714285714285708"/>
    <x v="1"/>
    <x v="0"/>
    <x v="0"/>
  </r>
  <r>
    <n v="1561"/>
    <s v="Anna"/>
    <s v="Lane"/>
    <s v="anna.lane.1561@gslingacademy.com"/>
    <x v="1"/>
    <x v="0"/>
    <x v="6"/>
    <x v="0"/>
    <n v="3"/>
    <x v="14"/>
    <n v="94"/>
    <n v="97"/>
    <n v="97"/>
    <n v="75"/>
    <n v="79"/>
    <n v="68"/>
    <n v="92"/>
    <n v="602"/>
    <n v="86"/>
    <x v="3"/>
    <x v="1"/>
    <x v="1"/>
  </r>
  <r>
    <n v="1562"/>
    <s v="Catherine"/>
    <s v="Ibarra"/>
    <s v="catherine.ibarra.1562@gslingacademy.com"/>
    <x v="1"/>
    <x v="0"/>
    <x v="3"/>
    <x v="0"/>
    <n v="31"/>
    <x v="12"/>
    <n v="94"/>
    <n v="68"/>
    <n v="89"/>
    <n v="90"/>
    <n v="91"/>
    <n v="98"/>
    <n v="72"/>
    <n v="602"/>
    <n v="86"/>
    <x v="1"/>
    <x v="2"/>
    <x v="1"/>
  </r>
  <r>
    <n v="1563"/>
    <s v="Brian"/>
    <s v="Adams"/>
    <s v="brian.adams.1563@gslingacademy.com"/>
    <x v="0"/>
    <x v="0"/>
    <x v="3"/>
    <x v="1"/>
    <n v="3"/>
    <x v="7"/>
    <n v="56"/>
    <n v="67"/>
    <n v="87"/>
    <n v="97"/>
    <n v="88"/>
    <n v="57"/>
    <n v="86"/>
    <n v="538"/>
    <n v="76.857142857142861"/>
    <x v="3"/>
    <x v="2"/>
    <x v="0"/>
  </r>
  <r>
    <n v="1564"/>
    <s v="Michael"/>
    <s v="James"/>
    <s v="michael.james.1564@gslingacademy.com"/>
    <x v="0"/>
    <x v="0"/>
    <x v="6"/>
    <x v="0"/>
    <n v="25"/>
    <x v="5"/>
    <n v="89"/>
    <n v="63"/>
    <n v="88"/>
    <n v="73"/>
    <n v="78"/>
    <n v="84"/>
    <n v="74"/>
    <n v="549"/>
    <n v="78.428571428571431"/>
    <x v="0"/>
    <x v="1"/>
    <x v="0"/>
  </r>
  <r>
    <n v="1565"/>
    <s v="Robert"/>
    <s v="Hernandez"/>
    <s v="robert.hernandez.1565@gslingacademy.com"/>
    <x v="0"/>
    <x v="1"/>
    <x v="5"/>
    <x v="1"/>
    <n v="0"/>
    <x v="16"/>
    <n v="65"/>
    <n v="70"/>
    <n v="100"/>
    <n v="66"/>
    <n v="71"/>
    <n v="61"/>
    <n v="61"/>
    <n v="494"/>
    <n v="70.571428571428569"/>
    <x v="3"/>
    <x v="0"/>
    <x v="0"/>
  </r>
  <r>
    <n v="1566"/>
    <s v="Anthony"/>
    <s v="Walton"/>
    <s v="anthony.walton.1566@gslingacademy.com"/>
    <x v="0"/>
    <x v="1"/>
    <x v="5"/>
    <x v="0"/>
    <n v="29"/>
    <x v="15"/>
    <n v="91"/>
    <n v="96"/>
    <n v="63"/>
    <n v="81"/>
    <n v="97"/>
    <n v="74"/>
    <n v="66"/>
    <n v="568"/>
    <n v="81.142857142857139"/>
    <x v="0"/>
    <x v="0"/>
    <x v="0"/>
  </r>
  <r>
    <n v="1567"/>
    <s v="Meghan"/>
    <s v="Lewis"/>
    <s v="meghan.lewis.1567@gslingacademy.com"/>
    <x v="1"/>
    <x v="0"/>
    <x v="5"/>
    <x v="0"/>
    <n v="17"/>
    <x v="9"/>
    <n v="88"/>
    <n v="100"/>
    <n v="71"/>
    <n v="85"/>
    <n v="72"/>
    <n v="91"/>
    <n v="81"/>
    <n v="588"/>
    <n v="84"/>
    <x v="2"/>
    <x v="0"/>
    <x v="0"/>
  </r>
  <r>
    <n v="1568"/>
    <s v="Crystal"/>
    <s v="Holland"/>
    <s v="crystal.holland.1568@gslingacademy.com"/>
    <x v="1"/>
    <x v="1"/>
    <x v="9"/>
    <x v="0"/>
    <n v="0"/>
    <x v="7"/>
    <n v="49"/>
    <n v="51"/>
    <n v="57"/>
    <n v="80"/>
    <n v="89"/>
    <n v="53"/>
    <n v="76"/>
    <n v="455"/>
    <n v="65"/>
    <x v="3"/>
    <x v="2"/>
    <x v="0"/>
  </r>
  <r>
    <n v="1569"/>
    <s v="Brian"/>
    <s v="Gibson"/>
    <s v="brian.gibson.1569@gslingacademy.com"/>
    <x v="0"/>
    <x v="0"/>
    <x v="3"/>
    <x v="0"/>
    <n v="25"/>
    <x v="10"/>
    <n v="73"/>
    <n v="94"/>
    <n v="74"/>
    <n v="72"/>
    <n v="80"/>
    <n v="98"/>
    <n v="100"/>
    <n v="591"/>
    <n v="84.428571428571431"/>
    <x v="0"/>
    <x v="2"/>
    <x v="0"/>
  </r>
  <r>
    <n v="1570"/>
    <s v="Eric"/>
    <s v="Heath"/>
    <s v="eric.heath.1570@gslingacademy.com"/>
    <x v="0"/>
    <x v="0"/>
    <x v="1"/>
    <x v="0"/>
    <n v="23"/>
    <x v="5"/>
    <n v="94"/>
    <n v="94"/>
    <n v="74"/>
    <n v="66"/>
    <n v="73"/>
    <n v="92"/>
    <n v="80"/>
    <n v="573"/>
    <n v="81.857142857142861"/>
    <x v="0"/>
    <x v="0"/>
    <x v="0"/>
  </r>
  <r>
    <n v="1571"/>
    <s v="Holly"/>
    <s v="Dunn"/>
    <s v="holly.dunn.1571@gslingacademy.com"/>
    <x v="1"/>
    <x v="1"/>
    <x v="3"/>
    <x v="0"/>
    <n v="4"/>
    <x v="7"/>
    <n v="84"/>
    <n v="61"/>
    <n v="59"/>
    <n v="76"/>
    <n v="72"/>
    <n v="54"/>
    <n v="66"/>
    <n v="472"/>
    <n v="67.428571428571431"/>
    <x v="3"/>
    <x v="2"/>
    <x v="0"/>
  </r>
  <r>
    <n v="1572"/>
    <s v="Paul"/>
    <s v="Miller"/>
    <s v="paul.miller.1572@gslingacademy.com"/>
    <x v="0"/>
    <x v="0"/>
    <x v="6"/>
    <x v="1"/>
    <n v="11"/>
    <x v="13"/>
    <n v="97"/>
    <n v="91"/>
    <n v="91"/>
    <n v="61"/>
    <n v="68"/>
    <n v="77"/>
    <n v="97"/>
    <n v="582"/>
    <n v="83.142857142857139"/>
    <x v="2"/>
    <x v="1"/>
    <x v="0"/>
  </r>
  <r>
    <n v="1573"/>
    <s v="Katherine"/>
    <s v="Reyes"/>
    <s v="katherine.reyes.1573@gslingacademy.com"/>
    <x v="1"/>
    <x v="0"/>
    <x v="6"/>
    <x v="0"/>
    <n v="12"/>
    <x v="4"/>
    <n v="82"/>
    <n v="84"/>
    <n v="69"/>
    <n v="66"/>
    <n v="65"/>
    <n v="74"/>
    <n v="68"/>
    <n v="508"/>
    <n v="72.571428571428569"/>
    <x v="2"/>
    <x v="1"/>
    <x v="0"/>
  </r>
  <r>
    <n v="1574"/>
    <s v="Paula"/>
    <s v="Hernandez"/>
    <s v="paula.hernandez.1574@gslingacademy.com"/>
    <x v="1"/>
    <x v="1"/>
    <x v="1"/>
    <x v="0"/>
    <n v="48"/>
    <x v="1"/>
    <n v="96"/>
    <n v="97"/>
    <n v="98"/>
    <n v="98"/>
    <n v="97"/>
    <n v="96"/>
    <n v="89"/>
    <n v="671"/>
    <n v="95.857142857142861"/>
    <x v="1"/>
    <x v="0"/>
    <x v="1"/>
  </r>
  <r>
    <n v="1575"/>
    <s v="Aaron"/>
    <s v="Ortega"/>
    <s v="aaron.ortega.1575@gslingacademy.com"/>
    <x v="0"/>
    <x v="0"/>
    <x v="9"/>
    <x v="1"/>
    <n v="0"/>
    <x v="7"/>
    <n v="44"/>
    <n v="98"/>
    <n v="53"/>
    <n v="68"/>
    <n v="94"/>
    <n v="91"/>
    <n v="84"/>
    <n v="532"/>
    <n v="76"/>
    <x v="3"/>
    <x v="2"/>
    <x v="0"/>
  </r>
  <r>
    <n v="1576"/>
    <s v="Jonathan"/>
    <s v="Carter"/>
    <s v="jonathan.carter.1576@gslingacademy.com"/>
    <x v="0"/>
    <x v="0"/>
    <x v="6"/>
    <x v="1"/>
    <n v="12"/>
    <x v="9"/>
    <n v="97"/>
    <n v="64"/>
    <n v="90"/>
    <n v="69"/>
    <n v="88"/>
    <n v="83"/>
    <n v="77"/>
    <n v="568"/>
    <n v="81.142857142857139"/>
    <x v="2"/>
    <x v="1"/>
    <x v="0"/>
  </r>
  <r>
    <n v="1577"/>
    <s v="Christina"/>
    <s v="Nguyen"/>
    <s v="christina.nguyen.1577@gslingacademy.com"/>
    <x v="1"/>
    <x v="0"/>
    <x v="5"/>
    <x v="1"/>
    <n v="31"/>
    <x v="9"/>
    <n v="77"/>
    <n v="93"/>
    <n v="65"/>
    <n v="68"/>
    <n v="71"/>
    <n v="75"/>
    <n v="76"/>
    <n v="525"/>
    <n v="75"/>
    <x v="1"/>
    <x v="0"/>
    <x v="0"/>
  </r>
  <r>
    <n v="1578"/>
    <s v="Anita"/>
    <s v="Carter"/>
    <s v="anita.carter.1578@gslingacademy.com"/>
    <x v="1"/>
    <x v="1"/>
    <x v="2"/>
    <x v="0"/>
    <n v="19"/>
    <x v="11"/>
    <n v="89"/>
    <n v="99"/>
    <n v="96"/>
    <n v="72"/>
    <n v="84"/>
    <n v="62"/>
    <n v="98"/>
    <n v="600"/>
    <n v="85.714285714285708"/>
    <x v="2"/>
    <x v="1"/>
    <x v="0"/>
  </r>
  <r>
    <n v="1579"/>
    <s v="Madeline"/>
    <s v="Holmes"/>
    <s v="madeline.holmes.1579@gslingacademy.com"/>
    <x v="1"/>
    <x v="0"/>
    <x v="10"/>
    <x v="0"/>
    <n v="17"/>
    <x v="5"/>
    <n v="86"/>
    <n v="92"/>
    <n v="65"/>
    <n v="81"/>
    <n v="73"/>
    <n v="84"/>
    <n v="79"/>
    <n v="560"/>
    <n v="80"/>
    <x v="2"/>
    <x v="3"/>
    <x v="0"/>
  </r>
  <r>
    <n v="1580"/>
    <s v="Luis"/>
    <s v="Klein"/>
    <s v="luis.klein.1580@gslingacademy.com"/>
    <x v="0"/>
    <x v="0"/>
    <x v="4"/>
    <x v="1"/>
    <n v="24"/>
    <x v="4"/>
    <n v="73"/>
    <n v="71"/>
    <n v="84"/>
    <n v="96"/>
    <n v="92"/>
    <n v="94"/>
    <n v="75"/>
    <n v="585"/>
    <n v="83.571428571428569"/>
    <x v="0"/>
    <x v="2"/>
    <x v="0"/>
  </r>
  <r>
    <n v="1581"/>
    <s v="Laura"/>
    <s v="Thornton"/>
    <s v="laura.thornton.1581@gslingacademy.com"/>
    <x v="1"/>
    <x v="0"/>
    <x v="1"/>
    <x v="0"/>
    <n v="11"/>
    <x v="6"/>
    <n v="61"/>
    <n v="75"/>
    <n v="95"/>
    <n v="62"/>
    <n v="93"/>
    <n v="92"/>
    <n v="87"/>
    <n v="565"/>
    <n v="80.714285714285708"/>
    <x v="2"/>
    <x v="0"/>
    <x v="0"/>
  </r>
  <r>
    <n v="1582"/>
    <s v="William"/>
    <s v="Ball"/>
    <s v="william.ball.1582@gslingacademy.com"/>
    <x v="0"/>
    <x v="1"/>
    <x v="4"/>
    <x v="0"/>
    <n v="2"/>
    <x v="7"/>
    <n v="81"/>
    <n v="90"/>
    <n v="75"/>
    <n v="83"/>
    <n v="70"/>
    <n v="55"/>
    <n v="62"/>
    <n v="516"/>
    <n v="73.714285714285708"/>
    <x v="3"/>
    <x v="2"/>
    <x v="0"/>
  </r>
  <r>
    <n v="1583"/>
    <s v="Kristin"/>
    <s v="Gilbert"/>
    <s v="kristin.gilbert.1583@gslingacademy.com"/>
    <x v="1"/>
    <x v="1"/>
    <x v="1"/>
    <x v="1"/>
    <n v="32"/>
    <x v="1"/>
    <n v="90"/>
    <n v="99"/>
    <n v="94"/>
    <n v="91"/>
    <n v="92"/>
    <n v="85"/>
    <n v="64"/>
    <n v="615"/>
    <n v="87.857142857142861"/>
    <x v="1"/>
    <x v="0"/>
    <x v="1"/>
  </r>
  <r>
    <n v="1584"/>
    <s v="Aaron"/>
    <s v="Ware"/>
    <s v="aaron.ware.1584@gslingacademy.com"/>
    <x v="0"/>
    <x v="0"/>
    <x v="6"/>
    <x v="0"/>
    <n v="5"/>
    <x v="14"/>
    <n v="88"/>
    <n v="60"/>
    <n v="87"/>
    <n v="95"/>
    <n v="65"/>
    <n v="75"/>
    <n v="76"/>
    <n v="546"/>
    <n v="78"/>
    <x v="3"/>
    <x v="1"/>
    <x v="0"/>
  </r>
  <r>
    <n v="1585"/>
    <s v="Danny"/>
    <s v="Carlson"/>
    <s v="danny.carlson.1585@gslingacademy.com"/>
    <x v="0"/>
    <x v="0"/>
    <x v="3"/>
    <x v="1"/>
    <n v="23"/>
    <x v="1"/>
    <n v="86"/>
    <n v="92"/>
    <n v="84"/>
    <n v="82"/>
    <n v="88"/>
    <n v="84"/>
    <n v="65"/>
    <n v="581"/>
    <n v="83"/>
    <x v="0"/>
    <x v="2"/>
    <x v="0"/>
  </r>
  <r>
    <n v="1586"/>
    <s v="Julie"/>
    <s v="Adkins"/>
    <s v="julie.adkins.1586@gslingacademy.com"/>
    <x v="1"/>
    <x v="0"/>
    <x v="8"/>
    <x v="0"/>
    <n v="14"/>
    <x v="9"/>
    <n v="78"/>
    <n v="75"/>
    <n v="82"/>
    <n v="91"/>
    <n v="86"/>
    <n v="76"/>
    <n v="69"/>
    <n v="557"/>
    <n v="79.571428571428569"/>
    <x v="2"/>
    <x v="1"/>
    <x v="0"/>
  </r>
  <r>
    <n v="1587"/>
    <s v="Jerry"/>
    <s v="Aguirre"/>
    <s v="jerry.aguirre.1587@gslingacademy.com"/>
    <x v="0"/>
    <x v="1"/>
    <x v="4"/>
    <x v="0"/>
    <n v="1"/>
    <x v="7"/>
    <n v="73"/>
    <n v="90"/>
    <n v="70"/>
    <n v="80"/>
    <n v="64"/>
    <n v="53"/>
    <n v="79"/>
    <n v="509"/>
    <n v="72.714285714285708"/>
    <x v="3"/>
    <x v="2"/>
    <x v="0"/>
  </r>
  <r>
    <n v="1588"/>
    <s v="Jason"/>
    <s v="Thomas"/>
    <s v="jason.thomas.1588@gslingacademy.com"/>
    <x v="0"/>
    <x v="0"/>
    <x v="9"/>
    <x v="0"/>
    <n v="32"/>
    <x v="8"/>
    <n v="98"/>
    <n v="82"/>
    <n v="91"/>
    <n v="93"/>
    <n v="85"/>
    <n v="75"/>
    <n v="78"/>
    <n v="602"/>
    <n v="86"/>
    <x v="1"/>
    <x v="2"/>
    <x v="1"/>
  </r>
  <r>
    <n v="1589"/>
    <s v="Zachary"/>
    <s v="Houston"/>
    <s v="zachary.houston.1589@gslingacademy.com"/>
    <x v="0"/>
    <x v="0"/>
    <x v="5"/>
    <x v="0"/>
    <n v="34"/>
    <x v="8"/>
    <n v="81"/>
    <n v="79"/>
    <n v="100"/>
    <n v="88"/>
    <n v="81"/>
    <n v="64"/>
    <n v="95"/>
    <n v="588"/>
    <n v="84"/>
    <x v="1"/>
    <x v="0"/>
    <x v="0"/>
  </r>
  <r>
    <n v="1590"/>
    <s v="Donna"/>
    <s v="Hoffman"/>
    <s v="donna.hoffman.1590@gslingacademy.com"/>
    <x v="1"/>
    <x v="0"/>
    <x v="1"/>
    <x v="1"/>
    <n v="13"/>
    <x v="4"/>
    <n v="73"/>
    <n v="87"/>
    <n v="72"/>
    <n v="98"/>
    <n v="82"/>
    <n v="89"/>
    <n v="98"/>
    <n v="599"/>
    <n v="85.571428571428569"/>
    <x v="2"/>
    <x v="0"/>
    <x v="0"/>
  </r>
  <r>
    <n v="1591"/>
    <s v="Austin"/>
    <s v="Sanders"/>
    <s v="austin.sanders.1591@gslingacademy.com"/>
    <x v="0"/>
    <x v="0"/>
    <x v="5"/>
    <x v="0"/>
    <n v="24"/>
    <x v="0"/>
    <n v="84"/>
    <n v="95"/>
    <n v="87"/>
    <n v="100"/>
    <n v="96"/>
    <n v="92"/>
    <n v="76"/>
    <n v="630"/>
    <n v="90"/>
    <x v="0"/>
    <x v="0"/>
    <x v="1"/>
  </r>
  <r>
    <n v="1592"/>
    <s v="Leslie"/>
    <s v="Mercado"/>
    <s v="leslie.mercado.1592@gslingacademy.com"/>
    <x v="1"/>
    <x v="0"/>
    <x v="3"/>
    <x v="0"/>
    <n v="32"/>
    <x v="0"/>
    <n v="81"/>
    <n v="90"/>
    <n v="82"/>
    <n v="80"/>
    <n v="98"/>
    <n v="81"/>
    <n v="91"/>
    <n v="603"/>
    <n v="86.142857142857139"/>
    <x v="1"/>
    <x v="2"/>
    <x v="1"/>
  </r>
  <r>
    <n v="1593"/>
    <s v="Derrick"/>
    <s v="Tucker"/>
    <s v="derrick.tucker.1593@gslingacademy.com"/>
    <x v="0"/>
    <x v="0"/>
    <x v="1"/>
    <x v="0"/>
    <n v="21"/>
    <x v="9"/>
    <n v="100"/>
    <n v="77"/>
    <n v="90"/>
    <n v="83"/>
    <n v="88"/>
    <n v="91"/>
    <n v="80"/>
    <n v="609"/>
    <n v="87"/>
    <x v="0"/>
    <x v="0"/>
    <x v="1"/>
  </r>
  <r>
    <n v="1594"/>
    <s v="Kelsey"/>
    <s v="Alexander"/>
    <s v="kelsey.alexander.1594@gslingacademy.com"/>
    <x v="1"/>
    <x v="1"/>
    <x v="4"/>
    <x v="0"/>
    <n v="0"/>
    <x v="7"/>
    <n v="83"/>
    <n v="50"/>
    <n v="59"/>
    <n v="77"/>
    <n v="66"/>
    <n v="87"/>
    <n v="60"/>
    <n v="482"/>
    <n v="68.857142857142861"/>
    <x v="3"/>
    <x v="2"/>
    <x v="0"/>
  </r>
  <r>
    <n v="1595"/>
    <s v="Rhonda"/>
    <s v="Smith"/>
    <s v="rhonda.smith.1595@gslingacademy.com"/>
    <x v="1"/>
    <x v="0"/>
    <x v="4"/>
    <x v="0"/>
    <n v="34"/>
    <x v="11"/>
    <n v="87"/>
    <n v="75"/>
    <n v="90"/>
    <n v="82"/>
    <n v="99"/>
    <n v="66"/>
    <n v="92"/>
    <n v="591"/>
    <n v="84.428571428571431"/>
    <x v="1"/>
    <x v="2"/>
    <x v="0"/>
  </r>
  <r>
    <n v="1596"/>
    <s v="Isaac"/>
    <s v="Santos"/>
    <s v="isaac.santos.1596@gslingacademy.com"/>
    <x v="0"/>
    <x v="0"/>
    <x v="1"/>
    <x v="0"/>
    <n v="14"/>
    <x v="12"/>
    <n v="96"/>
    <n v="94"/>
    <n v="60"/>
    <n v="62"/>
    <n v="86"/>
    <n v="79"/>
    <n v="79"/>
    <n v="556"/>
    <n v="79.428571428571431"/>
    <x v="2"/>
    <x v="0"/>
    <x v="0"/>
  </r>
  <r>
    <n v="1597"/>
    <s v="David"/>
    <s v="Sloan"/>
    <s v="david.sloan.1597@gslingacademy.com"/>
    <x v="0"/>
    <x v="0"/>
    <x v="0"/>
    <x v="0"/>
    <n v="25"/>
    <x v="5"/>
    <n v="98"/>
    <n v="76"/>
    <n v="69"/>
    <n v="75"/>
    <n v="76"/>
    <n v="98"/>
    <n v="81"/>
    <n v="573"/>
    <n v="81.857142857142861"/>
    <x v="0"/>
    <x v="0"/>
    <x v="0"/>
  </r>
  <r>
    <n v="1598"/>
    <s v="Amanda"/>
    <s v="Peterson"/>
    <s v="amanda.peterson.1598@gslingacademy.com"/>
    <x v="1"/>
    <x v="0"/>
    <x v="0"/>
    <x v="0"/>
    <n v="5"/>
    <x v="14"/>
    <n v="83"/>
    <n v="66"/>
    <n v="97"/>
    <n v="95"/>
    <n v="91"/>
    <n v="76"/>
    <n v="80"/>
    <n v="588"/>
    <n v="84"/>
    <x v="3"/>
    <x v="0"/>
    <x v="0"/>
  </r>
  <r>
    <n v="1599"/>
    <s v="Cynthia"/>
    <s v="Weeks"/>
    <s v="cynthia.weeks.1599@gslingacademy.com"/>
    <x v="1"/>
    <x v="1"/>
    <x v="7"/>
    <x v="0"/>
    <n v="3"/>
    <x v="7"/>
    <n v="86"/>
    <n v="59"/>
    <n v="83"/>
    <n v="81"/>
    <n v="100"/>
    <n v="82"/>
    <n v="99"/>
    <n v="590"/>
    <n v="84.285714285714292"/>
    <x v="3"/>
    <x v="1"/>
    <x v="0"/>
  </r>
  <r>
    <n v="1600"/>
    <s v="Katherine"/>
    <s v="Turner"/>
    <s v="katherine.turner.1600@gslingacademy.com"/>
    <x v="1"/>
    <x v="0"/>
    <x v="6"/>
    <x v="0"/>
    <n v="20"/>
    <x v="12"/>
    <n v="82"/>
    <n v="67"/>
    <n v="88"/>
    <n v="62"/>
    <n v="73"/>
    <n v="64"/>
    <n v="79"/>
    <n v="515"/>
    <n v="73.571428571428569"/>
    <x v="2"/>
    <x v="1"/>
    <x v="0"/>
  </r>
  <r>
    <n v="1601"/>
    <s v="Joseph"/>
    <s v="Patterson"/>
    <s v="joseph.patterson.1601@gslingacademy.com"/>
    <x v="0"/>
    <x v="0"/>
    <x v="5"/>
    <x v="1"/>
    <n v="26"/>
    <x v="12"/>
    <n v="82"/>
    <n v="98"/>
    <n v="78"/>
    <n v="63"/>
    <n v="83"/>
    <n v="91"/>
    <n v="94"/>
    <n v="589"/>
    <n v="84.142857142857139"/>
    <x v="0"/>
    <x v="0"/>
    <x v="0"/>
  </r>
  <r>
    <n v="1602"/>
    <s v="Jill"/>
    <s v="Davis"/>
    <s v="jill.davis.1602@gslingacademy.com"/>
    <x v="1"/>
    <x v="0"/>
    <x v="2"/>
    <x v="0"/>
    <n v="2"/>
    <x v="7"/>
    <n v="100"/>
    <n v="71"/>
    <n v="70"/>
    <n v="86"/>
    <n v="80"/>
    <n v="91"/>
    <n v="62"/>
    <n v="560"/>
    <n v="80"/>
    <x v="3"/>
    <x v="1"/>
    <x v="0"/>
  </r>
  <r>
    <n v="1603"/>
    <s v="Amy"/>
    <s v="Moore"/>
    <s v="amy.moore.1603@gslingacademy.com"/>
    <x v="1"/>
    <x v="0"/>
    <x v="0"/>
    <x v="1"/>
    <n v="1"/>
    <x v="16"/>
    <n v="100"/>
    <n v="80"/>
    <n v="88"/>
    <n v="81"/>
    <n v="93"/>
    <n v="93"/>
    <n v="84"/>
    <n v="619"/>
    <n v="88.428571428571431"/>
    <x v="3"/>
    <x v="0"/>
    <x v="1"/>
  </r>
  <r>
    <n v="1604"/>
    <s v="Eric"/>
    <s v="Matthews"/>
    <s v="eric.matthews.1604@gslingacademy.com"/>
    <x v="0"/>
    <x v="0"/>
    <x v="7"/>
    <x v="0"/>
    <n v="1"/>
    <x v="7"/>
    <n v="83"/>
    <n v="93"/>
    <n v="75"/>
    <n v="55"/>
    <n v="82"/>
    <n v="51"/>
    <n v="91"/>
    <n v="530"/>
    <n v="75.714285714285708"/>
    <x v="3"/>
    <x v="1"/>
    <x v="0"/>
  </r>
  <r>
    <n v="1605"/>
    <s v="Tamara"/>
    <s v="Bennett"/>
    <s v="tamara.bennett.1605@gslingacademy.com"/>
    <x v="1"/>
    <x v="0"/>
    <x v="7"/>
    <x v="0"/>
    <n v="25"/>
    <x v="9"/>
    <n v="93"/>
    <n v="92"/>
    <n v="71"/>
    <n v="89"/>
    <n v="91"/>
    <n v="76"/>
    <n v="61"/>
    <n v="573"/>
    <n v="81.857142857142861"/>
    <x v="0"/>
    <x v="1"/>
    <x v="0"/>
  </r>
  <r>
    <n v="1606"/>
    <s v="Maria"/>
    <s v="Perkins"/>
    <s v="maria.perkins.1606@gslingacademy.com"/>
    <x v="1"/>
    <x v="0"/>
    <x v="3"/>
    <x v="0"/>
    <n v="35"/>
    <x v="0"/>
    <n v="86"/>
    <n v="86"/>
    <n v="100"/>
    <n v="86"/>
    <n v="94"/>
    <n v="87"/>
    <n v="85"/>
    <n v="624"/>
    <n v="89.142857142857139"/>
    <x v="1"/>
    <x v="2"/>
    <x v="1"/>
  </r>
  <r>
    <n v="1607"/>
    <s v="Jillian"/>
    <s v="Reed"/>
    <s v="jillian.reed.1607@gslingacademy.com"/>
    <x v="1"/>
    <x v="1"/>
    <x v="0"/>
    <x v="0"/>
    <n v="2"/>
    <x v="7"/>
    <n v="50"/>
    <n v="78"/>
    <n v="67"/>
    <n v="95"/>
    <n v="82"/>
    <n v="97"/>
    <n v="80"/>
    <n v="549"/>
    <n v="78.428571428571431"/>
    <x v="3"/>
    <x v="0"/>
    <x v="0"/>
  </r>
  <r>
    <n v="1608"/>
    <s v="Melissa"/>
    <s v="Mora"/>
    <s v="melissa.mora.1608@gslingacademy.com"/>
    <x v="1"/>
    <x v="0"/>
    <x v="6"/>
    <x v="0"/>
    <n v="5"/>
    <x v="7"/>
    <n v="78"/>
    <n v="68"/>
    <n v="56"/>
    <n v="50"/>
    <n v="76"/>
    <n v="67"/>
    <n v="97"/>
    <n v="492"/>
    <n v="70.285714285714292"/>
    <x v="3"/>
    <x v="1"/>
    <x v="0"/>
  </r>
  <r>
    <n v="1609"/>
    <s v="Tina"/>
    <s v="Smith"/>
    <s v="tina.smith.1609@gslingacademy.com"/>
    <x v="1"/>
    <x v="0"/>
    <x v="0"/>
    <x v="0"/>
    <n v="24"/>
    <x v="5"/>
    <n v="91"/>
    <n v="69"/>
    <n v="82"/>
    <n v="87"/>
    <n v="100"/>
    <n v="93"/>
    <n v="100"/>
    <n v="622"/>
    <n v="88.857142857142861"/>
    <x v="0"/>
    <x v="0"/>
    <x v="1"/>
  </r>
  <r>
    <n v="1610"/>
    <s v="Rhonda"/>
    <s v="Munoz"/>
    <s v="rhonda.munoz.1610@gslingacademy.com"/>
    <x v="1"/>
    <x v="0"/>
    <x v="10"/>
    <x v="0"/>
    <n v="5"/>
    <x v="3"/>
    <n v="73"/>
    <n v="100"/>
    <n v="78"/>
    <n v="77"/>
    <n v="71"/>
    <n v="61"/>
    <n v="66"/>
    <n v="526"/>
    <n v="75.142857142857139"/>
    <x v="3"/>
    <x v="3"/>
    <x v="0"/>
  </r>
  <r>
    <n v="1611"/>
    <s v="Heidi"/>
    <s v="Johnson"/>
    <s v="heidi.johnson.1611@gslingacademy.com"/>
    <x v="1"/>
    <x v="0"/>
    <x v="4"/>
    <x v="0"/>
    <n v="3"/>
    <x v="14"/>
    <n v="99"/>
    <n v="66"/>
    <n v="81"/>
    <n v="69"/>
    <n v="82"/>
    <n v="73"/>
    <n v="72"/>
    <n v="542"/>
    <n v="77.428571428571431"/>
    <x v="3"/>
    <x v="2"/>
    <x v="0"/>
  </r>
  <r>
    <n v="1612"/>
    <s v="Joshua"/>
    <s v="Davis"/>
    <s v="joshua.davis.1612@gslingacademy.com"/>
    <x v="0"/>
    <x v="0"/>
    <x v="4"/>
    <x v="0"/>
    <n v="5"/>
    <x v="14"/>
    <n v="88"/>
    <n v="82"/>
    <n v="99"/>
    <n v="65"/>
    <n v="83"/>
    <n v="65"/>
    <n v="98"/>
    <n v="580"/>
    <n v="82.857142857142861"/>
    <x v="3"/>
    <x v="2"/>
    <x v="0"/>
  </r>
  <r>
    <n v="1613"/>
    <s v="Laura"/>
    <s v="Sanders"/>
    <s v="laura.sanders.1613@gslingacademy.com"/>
    <x v="1"/>
    <x v="0"/>
    <x v="5"/>
    <x v="0"/>
    <n v="33"/>
    <x v="0"/>
    <n v="100"/>
    <n v="82"/>
    <n v="85"/>
    <n v="68"/>
    <n v="97"/>
    <n v="81"/>
    <n v="100"/>
    <n v="613"/>
    <n v="87.571428571428569"/>
    <x v="1"/>
    <x v="0"/>
    <x v="1"/>
  </r>
  <r>
    <n v="1614"/>
    <s v="Evan"/>
    <s v="Francis"/>
    <s v="evan.francis.1614@gslingacademy.com"/>
    <x v="0"/>
    <x v="0"/>
    <x v="1"/>
    <x v="0"/>
    <n v="15"/>
    <x v="4"/>
    <n v="100"/>
    <n v="62"/>
    <n v="84"/>
    <n v="66"/>
    <n v="88"/>
    <n v="90"/>
    <n v="71"/>
    <n v="561"/>
    <n v="80.142857142857139"/>
    <x v="2"/>
    <x v="0"/>
    <x v="0"/>
  </r>
  <r>
    <n v="1615"/>
    <s v="Cynthia"/>
    <s v="Miller"/>
    <s v="cynthia.miller.1615@gslingacademy.com"/>
    <x v="1"/>
    <x v="1"/>
    <x v="3"/>
    <x v="0"/>
    <n v="32"/>
    <x v="9"/>
    <n v="99"/>
    <n v="61"/>
    <n v="76"/>
    <n v="95"/>
    <n v="79"/>
    <n v="78"/>
    <n v="66"/>
    <n v="554"/>
    <n v="79.142857142857139"/>
    <x v="1"/>
    <x v="2"/>
    <x v="0"/>
  </r>
  <r>
    <n v="1616"/>
    <s v="Bobby"/>
    <s v="Miller"/>
    <s v="bobby.miller.1616@gslingacademy.com"/>
    <x v="0"/>
    <x v="0"/>
    <x v="10"/>
    <x v="1"/>
    <n v="14"/>
    <x v="9"/>
    <n v="81"/>
    <n v="99"/>
    <n v="85"/>
    <n v="72"/>
    <n v="67"/>
    <n v="78"/>
    <n v="69"/>
    <n v="551"/>
    <n v="78.714285714285708"/>
    <x v="2"/>
    <x v="3"/>
    <x v="0"/>
  </r>
  <r>
    <n v="1617"/>
    <s v="Justin"/>
    <s v="Brooks"/>
    <s v="justin.brooks.1617@gslingacademy.com"/>
    <x v="0"/>
    <x v="0"/>
    <x v="0"/>
    <x v="0"/>
    <n v="47"/>
    <x v="1"/>
    <n v="90"/>
    <n v="86"/>
    <n v="98"/>
    <n v="97"/>
    <n v="99"/>
    <n v="96"/>
    <n v="85"/>
    <n v="651"/>
    <n v="93"/>
    <x v="1"/>
    <x v="0"/>
    <x v="1"/>
  </r>
  <r>
    <n v="1618"/>
    <s v="Kayla"/>
    <s v="Krueger"/>
    <s v="kayla.krueger.1618@gslingacademy.com"/>
    <x v="1"/>
    <x v="0"/>
    <x v="9"/>
    <x v="0"/>
    <n v="6"/>
    <x v="4"/>
    <n v="67"/>
    <n v="88"/>
    <n v="89"/>
    <n v="90"/>
    <n v="78"/>
    <n v="84"/>
    <n v="73"/>
    <n v="569"/>
    <n v="81.285714285714292"/>
    <x v="4"/>
    <x v="2"/>
    <x v="0"/>
  </r>
  <r>
    <n v="1619"/>
    <s v="Justin"/>
    <s v="Kim"/>
    <s v="justin.kim.1619@gslingacademy.com"/>
    <x v="0"/>
    <x v="0"/>
    <x v="3"/>
    <x v="1"/>
    <n v="3"/>
    <x v="16"/>
    <n v="68"/>
    <n v="91"/>
    <n v="78"/>
    <n v="63"/>
    <n v="90"/>
    <n v="95"/>
    <n v="80"/>
    <n v="565"/>
    <n v="80.714285714285708"/>
    <x v="3"/>
    <x v="2"/>
    <x v="0"/>
  </r>
  <r>
    <n v="1620"/>
    <s v="Christian"/>
    <s v="Blankenship"/>
    <s v="christian.blankenship.1620@gslingacademy.com"/>
    <x v="0"/>
    <x v="0"/>
    <x v="5"/>
    <x v="1"/>
    <n v="42"/>
    <x v="1"/>
    <n v="93"/>
    <n v="90"/>
    <n v="93"/>
    <n v="89"/>
    <n v="92"/>
    <n v="93"/>
    <n v="100"/>
    <n v="650"/>
    <n v="92.857142857142861"/>
    <x v="1"/>
    <x v="0"/>
    <x v="1"/>
  </r>
  <r>
    <n v="1621"/>
    <s v="Todd"/>
    <s v="Williams"/>
    <s v="todd.williams.1621@gslingacademy.com"/>
    <x v="0"/>
    <x v="0"/>
    <x v="5"/>
    <x v="0"/>
    <n v="22"/>
    <x v="13"/>
    <n v="94"/>
    <n v="95"/>
    <n v="80"/>
    <n v="60"/>
    <n v="89"/>
    <n v="93"/>
    <n v="88"/>
    <n v="599"/>
    <n v="85.571428571428569"/>
    <x v="0"/>
    <x v="0"/>
    <x v="0"/>
  </r>
  <r>
    <n v="1622"/>
    <s v="Victoria"/>
    <s v="Perez"/>
    <s v="victoria.perez.1622@gslingacademy.com"/>
    <x v="1"/>
    <x v="0"/>
    <x v="6"/>
    <x v="0"/>
    <n v="1"/>
    <x v="7"/>
    <n v="88"/>
    <n v="96"/>
    <n v="74"/>
    <n v="90"/>
    <n v="82"/>
    <n v="70"/>
    <n v="83"/>
    <n v="583"/>
    <n v="83.285714285714292"/>
    <x v="3"/>
    <x v="1"/>
    <x v="0"/>
  </r>
  <r>
    <n v="1623"/>
    <s v="Madeline"/>
    <s v="Hart"/>
    <s v="madeline.hart.1623@gslingacademy.com"/>
    <x v="1"/>
    <x v="0"/>
    <x v="5"/>
    <x v="1"/>
    <n v="21"/>
    <x v="9"/>
    <n v="75"/>
    <n v="93"/>
    <n v="66"/>
    <n v="63"/>
    <n v="68"/>
    <n v="91"/>
    <n v="99"/>
    <n v="555"/>
    <n v="79.285714285714292"/>
    <x v="0"/>
    <x v="0"/>
    <x v="0"/>
  </r>
  <r>
    <n v="1624"/>
    <s v="Christopher"/>
    <s v="Meyer"/>
    <s v="christopher.meyer.1624@gslingacademy.com"/>
    <x v="0"/>
    <x v="0"/>
    <x v="9"/>
    <x v="0"/>
    <n v="50"/>
    <x v="1"/>
    <n v="99"/>
    <n v="89"/>
    <n v="87"/>
    <n v="90"/>
    <n v="87"/>
    <n v="90"/>
    <n v="95"/>
    <n v="637"/>
    <n v="91"/>
    <x v="1"/>
    <x v="2"/>
    <x v="1"/>
  </r>
  <r>
    <n v="1625"/>
    <s v="Christopher"/>
    <s v="Fleming"/>
    <s v="christopher.fleming.1625@gslingacademy.com"/>
    <x v="0"/>
    <x v="1"/>
    <x v="6"/>
    <x v="0"/>
    <n v="29"/>
    <x v="11"/>
    <n v="93"/>
    <n v="64"/>
    <n v="86"/>
    <n v="82"/>
    <n v="35"/>
    <n v="73"/>
    <n v="84"/>
    <n v="517"/>
    <n v="73.857142857142861"/>
    <x v="0"/>
    <x v="1"/>
    <x v="0"/>
  </r>
  <r>
    <n v="1626"/>
    <s v="Karen"/>
    <s v="Ramsey"/>
    <s v="karen.ramsey.1626@gslingacademy.com"/>
    <x v="1"/>
    <x v="0"/>
    <x v="9"/>
    <x v="0"/>
    <n v="31"/>
    <x v="0"/>
    <n v="73"/>
    <n v="95"/>
    <n v="78"/>
    <n v="79"/>
    <n v="84"/>
    <n v="89"/>
    <n v="96"/>
    <n v="594"/>
    <n v="84.857142857142861"/>
    <x v="1"/>
    <x v="2"/>
    <x v="0"/>
  </r>
  <r>
    <n v="1627"/>
    <s v="Monica"/>
    <s v="Dalton"/>
    <s v="monica.dalton.1627@gslingacademy.com"/>
    <x v="1"/>
    <x v="0"/>
    <x v="4"/>
    <x v="0"/>
    <n v="5"/>
    <x v="16"/>
    <n v="64"/>
    <n v="61"/>
    <n v="76"/>
    <n v="100"/>
    <n v="93"/>
    <n v="61"/>
    <n v="65"/>
    <n v="520"/>
    <n v="74.285714285714292"/>
    <x v="3"/>
    <x v="2"/>
    <x v="0"/>
  </r>
  <r>
    <n v="1628"/>
    <s v="Gary"/>
    <s v="Odonnell"/>
    <s v="gary.odonnell.1628@gslingacademy.com"/>
    <x v="0"/>
    <x v="0"/>
    <x v="5"/>
    <x v="1"/>
    <n v="25"/>
    <x v="0"/>
    <n v="76"/>
    <n v="87"/>
    <n v="98"/>
    <n v="88"/>
    <n v="94"/>
    <n v="86"/>
    <n v="64"/>
    <n v="593"/>
    <n v="84.714285714285708"/>
    <x v="0"/>
    <x v="0"/>
    <x v="0"/>
  </r>
  <r>
    <n v="1629"/>
    <s v="Ann"/>
    <s v="Scott"/>
    <s v="ann.scott.1629@gslingacademy.com"/>
    <x v="1"/>
    <x v="0"/>
    <x v="1"/>
    <x v="0"/>
    <n v="22"/>
    <x v="15"/>
    <n v="91"/>
    <n v="93"/>
    <n v="82"/>
    <n v="81"/>
    <n v="95"/>
    <n v="91"/>
    <n v="70"/>
    <n v="603"/>
    <n v="86.142857142857139"/>
    <x v="0"/>
    <x v="0"/>
    <x v="1"/>
  </r>
  <r>
    <n v="1630"/>
    <s v="Jessica"/>
    <s v="Jackson"/>
    <s v="jessica.jackson.1630@gslingacademy.com"/>
    <x v="1"/>
    <x v="0"/>
    <x v="8"/>
    <x v="1"/>
    <n v="1"/>
    <x v="7"/>
    <n v="70"/>
    <n v="98"/>
    <n v="51"/>
    <n v="51"/>
    <n v="96"/>
    <n v="96"/>
    <n v="70"/>
    <n v="532"/>
    <n v="76"/>
    <x v="3"/>
    <x v="1"/>
    <x v="0"/>
  </r>
  <r>
    <n v="1631"/>
    <s v="Lauren"/>
    <s v="Morrison"/>
    <s v="lauren.morrison.1631@gslingacademy.com"/>
    <x v="1"/>
    <x v="0"/>
    <x v="3"/>
    <x v="0"/>
    <n v="26"/>
    <x v="1"/>
    <n v="90"/>
    <n v="92"/>
    <n v="95"/>
    <n v="85"/>
    <n v="93"/>
    <n v="69"/>
    <n v="65"/>
    <n v="589"/>
    <n v="84.142857142857139"/>
    <x v="0"/>
    <x v="2"/>
    <x v="0"/>
  </r>
  <r>
    <n v="1632"/>
    <s v="Alexander"/>
    <s v="Brown"/>
    <s v="alexander.brown.1632@gslingacademy.com"/>
    <x v="0"/>
    <x v="0"/>
    <x v="2"/>
    <x v="0"/>
    <n v="3"/>
    <x v="7"/>
    <n v="93"/>
    <n v="83"/>
    <n v="61"/>
    <n v="95"/>
    <n v="70"/>
    <n v="93"/>
    <n v="65"/>
    <n v="560"/>
    <n v="80"/>
    <x v="3"/>
    <x v="1"/>
    <x v="0"/>
  </r>
  <r>
    <n v="1633"/>
    <s v="Thomas"/>
    <s v="Smith"/>
    <s v="thomas.smith.1633@gslingacademy.com"/>
    <x v="0"/>
    <x v="1"/>
    <x v="6"/>
    <x v="0"/>
    <n v="12"/>
    <x v="4"/>
    <n v="61"/>
    <n v="99"/>
    <n v="66"/>
    <n v="99"/>
    <n v="100"/>
    <n v="70"/>
    <n v="60"/>
    <n v="555"/>
    <n v="79.285714285714292"/>
    <x v="2"/>
    <x v="1"/>
    <x v="0"/>
  </r>
  <r>
    <n v="1634"/>
    <s v="Jonathan"/>
    <s v="Torres"/>
    <s v="jonathan.torres.1634@gslingacademy.com"/>
    <x v="0"/>
    <x v="0"/>
    <x v="5"/>
    <x v="0"/>
    <n v="1"/>
    <x v="7"/>
    <n v="51"/>
    <n v="69"/>
    <n v="85"/>
    <n v="61"/>
    <n v="59"/>
    <n v="81"/>
    <n v="63"/>
    <n v="469"/>
    <n v="67"/>
    <x v="3"/>
    <x v="0"/>
    <x v="0"/>
  </r>
  <r>
    <n v="1635"/>
    <s v="Robin"/>
    <s v="Daniel"/>
    <s v="robin.daniel.1635@gslingacademy.com"/>
    <x v="1"/>
    <x v="0"/>
    <x v="9"/>
    <x v="1"/>
    <n v="18"/>
    <x v="4"/>
    <n v="91"/>
    <n v="72"/>
    <n v="69"/>
    <n v="88"/>
    <n v="92"/>
    <n v="61"/>
    <n v="76"/>
    <n v="549"/>
    <n v="78.428571428571431"/>
    <x v="2"/>
    <x v="2"/>
    <x v="0"/>
  </r>
  <r>
    <n v="1636"/>
    <s v="Anthony"/>
    <s v="Peterson"/>
    <s v="anthony.peterson.1636@gslingacademy.com"/>
    <x v="0"/>
    <x v="0"/>
    <x v="0"/>
    <x v="0"/>
    <n v="27"/>
    <x v="11"/>
    <n v="96"/>
    <n v="64"/>
    <n v="76"/>
    <n v="97"/>
    <n v="81"/>
    <n v="87"/>
    <n v="99"/>
    <n v="600"/>
    <n v="85.714285714285708"/>
    <x v="0"/>
    <x v="0"/>
    <x v="0"/>
  </r>
  <r>
    <n v="1637"/>
    <s v="Ashley"/>
    <s v="Blankenship"/>
    <s v="ashley.blankenship.1637@gslingacademy.com"/>
    <x v="1"/>
    <x v="0"/>
    <x v="3"/>
    <x v="0"/>
    <n v="24"/>
    <x v="5"/>
    <n v="93"/>
    <n v="75"/>
    <n v="84"/>
    <n v="66"/>
    <n v="74"/>
    <n v="99"/>
    <n v="66"/>
    <n v="557"/>
    <n v="79.571428571428569"/>
    <x v="0"/>
    <x v="2"/>
    <x v="0"/>
  </r>
  <r>
    <n v="1638"/>
    <s v="Jennifer"/>
    <s v="Stewart"/>
    <s v="jennifer.stewart.1638@gslingacademy.com"/>
    <x v="1"/>
    <x v="0"/>
    <x v="5"/>
    <x v="1"/>
    <n v="19"/>
    <x v="4"/>
    <n v="70"/>
    <n v="96"/>
    <n v="60"/>
    <n v="87"/>
    <n v="92"/>
    <n v="63"/>
    <n v="95"/>
    <n v="563"/>
    <n v="80.428571428571431"/>
    <x v="2"/>
    <x v="0"/>
    <x v="0"/>
  </r>
  <r>
    <n v="1639"/>
    <s v="James"/>
    <s v="Compton"/>
    <s v="james.compton.1639@gslingacademy.com"/>
    <x v="0"/>
    <x v="0"/>
    <x v="1"/>
    <x v="0"/>
    <n v="47"/>
    <x v="1"/>
    <n v="90"/>
    <n v="90"/>
    <n v="93"/>
    <n v="87"/>
    <n v="93"/>
    <n v="99"/>
    <n v="100"/>
    <n v="652"/>
    <n v="93.142857142857139"/>
    <x v="1"/>
    <x v="0"/>
    <x v="1"/>
  </r>
  <r>
    <n v="1640"/>
    <s v="David"/>
    <s v="Bates"/>
    <s v="david.bates.1640@gslingacademy.com"/>
    <x v="0"/>
    <x v="0"/>
    <x v="5"/>
    <x v="0"/>
    <n v="11"/>
    <x v="4"/>
    <n v="69"/>
    <n v="78"/>
    <n v="80"/>
    <n v="60"/>
    <n v="76"/>
    <n v="86"/>
    <n v="96"/>
    <n v="545"/>
    <n v="77.857142857142861"/>
    <x v="2"/>
    <x v="0"/>
    <x v="0"/>
  </r>
  <r>
    <n v="1641"/>
    <s v="Stephanie"/>
    <s v="Green"/>
    <s v="stephanie.green.1641@gslingacademy.com"/>
    <x v="1"/>
    <x v="0"/>
    <x v="1"/>
    <x v="0"/>
    <n v="29"/>
    <x v="5"/>
    <n v="89"/>
    <n v="90"/>
    <n v="72"/>
    <n v="98"/>
    <n v="96"/>
    <n v="84"/>
    <n v="87"/>
    <n v="616"/>
    <n v="88"/>
    <x v="0"/>
    <x v="0"/>
    <x v="1"/>
  </r>
  <r>
    <n v="1642"/>
    <s v="Garrett"/>
    <s v="Nichols"/>
    <s v="garrett.nichols.1642@gslingacademy.com"/>
    <x v="0"/>
    <x v="0"/>
    <x v="1"/>
    <x v="1"/>
    <n v="14"/>
    <x v="5"/>
    <n v="86"/>
    <n v="99"/>
    <n v="90"/>
    <n v="61"/>
    <n v="66"/>
    <n v="96"/>
    <n v="87"/>
    <n v="585"/>
    <n v="83.571428571428569"/>
    <x v="2"/>
    <x v="0"/>
    <x v="0"/>
  </r>
  <r>
    <n v="1643"/>
    <s v="Erica"/>
    <s v="Lopez"/>
    <s v="erica.lopez.1643@gslingacademy.com"/>
    <x v="1"/>
    <x v="0"/>
    <x v="3"/>
    <x v="0"/>
    <n v="4"/>
    <x v="3"/>
    <n v="80"/>
    <n v="61"/>
    <n v="89"/>
    <n v="98"/>
    <n v="73"/>
    <n v="90"/>
    <n v="88"/>
    <n v="579"/>
    <n v="82.714285714285708"/>
    <x v="3"/>
    <x v="2"/>
    <x v="0"/>
  </r>
  <r>
    <n v="1644"/>
    <s v="Lisa"/>
    <s v="Benitez"/>
    <s v="lisa.benitez.1644@gslingacademy.com"/>
    <x v="1"/>
    <x v="0"/>
    <x v="9"/>
    <x v="0"/>
    <n v="15"/>
    <x v="5"/>
    <n v="93"/>
    <n v="77"/>
    <n v="85"/>
    <n v="95"/>
    <n v="60"/>
    <n v="99"/>
    <n v="67"/>
    <n v="576"/>
    <n v="82.285714285714292"/>
    <x v="2"/>
    <x v="2"/>
    <x v="0"/>
  </r>
  <r>
    <n v="1645"/>
    <s v="Cheryl"/>
    <s v="Gutierrez"/>
    <s v="cheryl.gutierrez.1645@gslingacademy.com"/>
    <x v="1"/>
    <x v="0"/>
    <x v="3"/>
    <x v="0"/>
    <n v="32"/>
    <x v="5"/>
    <n v="87"/>
    <n v="91"/>
    <n v="86"/>
    <n v="96"/>
    <n v="65"/>
    <n v="77"/>
    <n v="83"/>
    <n v="585"/>
    <n v="83.571428571428569"/>
    <x v="1"/>
    <x v="2"/>
    <x v="0"/>
  </r>
  <r>
    <n v="1646"/>
    <s v="Stephen"/>
    <s v="Hawkins"/>
    <s v="stephen.hawkins.1646@gslingacademy.com"/>
    <x v="0"/>
    <x v="0"/>
    <x v="6"/>
    <x v="0"/>
    <n v="33"/>
    <x v="15"/>
    <n v="86"/>
    <n v="88"/>
    <n v="96"/>
    <n v="86"/>
    <n v="87"/>
    <n v="99"/>
    <n v="80"/>
    <n v="622"/>
    <n v="88.857142857142861"/>
    <x v="1"/>
    <x v="1"/>
    <x v="1"/>
  </r>
  <r>
    <n v="1647"/>
    <s v="Natalie"/>
    <s v="Williams"/>
    <s v="natalie.williams.1647@gslingacademy.com"/>
    <x v="1"/>
    <x v="0"/>
    <x v="9"/>
    <x v="1"/>
    <n v="29"/>
    <x v="5"/>
    <n v="87"/>
    <n v="80"/>
    <n v="97"/>
    <n v="98"/>
    <n v="91"/>
    <n v="64"/>
    <n v="97"/>
    <n v="614"/>
    <n v="87.714285714285708"/>
    <x v="0"/>
    <x v="2"/>
    <x v="1"/>
  </r>
  <r>
    <n v="1648"/>
    <s v="Anthony"/>
    <s v="Arnold"/>
    <s v="anthony.arnold.1648@gslingacademy.com"/>
    <x v="0"/>
    <x v="0"/>
    <x v="1"/>
    <x v="0"/>
    <n v="31"/>
    <x v="0"/>
    <n v="96"/>
    <n v="83"/>
    <n v="97"/>
    <n v="100"/>
    <n v="85"/>
    <n v="92"/>
    <n v="69"/>
    <n v="622"/>
    <n v="88.857142857142861"/>
    <x v="1"/>
    <x v="0"/>
    <x v="1"/>
  </r>
  <r>
    <n v="1649"/>
    <s v="Deanna"/>
    <s v="Coleman"/>
    <s v="deanna.coleman.1649@gslingacademy.com"/>
    <x v="1"/>
    <x v="0"/>
    <x v="3"/>
    <x v="0"/>
    <n v="29"/>
    <x v="0"/>
    <n v="90"/>
    <n v="89"/>
    <n v="70"/>
    <n v="90"/>
    <n v="83"/>
    <n v="82"/>
    <n v="87"/>
    <n v="591"/>
    <n v="84.428571428571431"/>
    <x v="0"/>
    <x v="2"/>
    <x v="0"/>
  </r>
  <r>
    <n v="1650"/>
    <s v="Lisa"/>
    <s v="Barber"/>
    <s v="lisa.barber.1650@gslingacademy.com"/>
    <x v="1"/>
    <x v="1"/>
    <x v="3"/>
    <x v="0"/>
    <n v="0"/>
    <x v="7"/>
    <n v="89"/>
    <n v="65"/>
    <n v="65"/>
    <n v="91"/>
    <n v="76"/>
    <n v="91"/>
    <n v="92"/>
    <n v="569"/>
    <n v="81.285714285714292"/>
    <x v="3"/>
    <x v="2"/>
    <x v="0"/>
  </r>
  <r>
    <n v="1651"/>
    <s v="Stephanie"/>
    <s v="Miller"/>
    <s v="stephanie.miller.1651@gslingacademy.com"/>
    <x v="1"/>
    <x v="1"/>
    <x v="4"/>
    <x v="0"/>
    <n v="1"/>
    <x v="7"/>
    <n v="98"/>
    <n v="62"/>
    <n v="75"/>
    <n v="72"/>
    <n v="81"/>
    <n v="73"/>
    <n v="93"/>
    <n v="554"/>
    <n v="79.142857142857139"/>
    <x v="3"/>
    <x v="2"/>
    <x v="0"/>
  </r>
  <r>
    <n v="1652"/>
    <s v="Amy"/>
    <s v="White"/>
    <s v="amy.white.1652@gslingacademy.com"/>
    <x v="1"/>
    <x v="0"/>
    <x v="0"/>
    <x v="0"/>
    <n v="42"/>
    <x v="1"/>
    <n v="99"/>
    <n v="100"/>
    <n v="87"/>
    <n v="96"/>
    <n v="93"/>
    <n v="92"/>
    <n v="88"/>
    <n v="655"/>
    <n v="93.571428571428569"/>
    <x v="1"/>
    <x v="0"/>
    <x v="1"/>
  </r>
  <r>
    <n v="1653"/>
    <s v="Beverly"/>
    <s v="Chavez"/>
    <s v="beverly.chavez.1653@gslingacademy.com"/>
    <x v="1"/>
    <x v="1"/>
    <x v="2"/>
    <x v="1"/>
    <n v="2"/>
    <x v="7"/>
    <n v="99"/>
    <n v="65"/>
    <n v="100"/>
    <n v="93"/>
    <n v="91"/>
    <n v="60"/>
    <n v="83"/>
    <n v="591"/>
    <n v="84.428571428571431"/>
    <x v="3"/>
    <x v="1"/>
    <x v="0"/>
  </r>
  <r>
    <n v="1654"/>
    <s v="Richard"/>
    <s v="Cortez"/>
    <s v="richard.cortez.1654@gslingacademy.com"/>
    <x v="0"/>
    <x v="0"/>
    <x v="0"/>
    <x v="0"/>
    <n v="1"/>
    <x v="16"/>
    <n v="55"/>
    <n v="81"/>
    <n v="72"/>
    <n v="100"/>
    <n v="87"/>
    <n v="85"/>
    <n v="94"/>
    <n v="574"/>
    <n v="82"/>
    <x v="3"/>
    <x v="0"/>
    <x v="0"/>
  </r>
  <r>
    <n v="1655"/>
    <s v="Kevin"/>
    <s v="Morgan"/>
    <s v="kevin.morgan.1655@gslingacademy.com"/>
    <x v="0"/>
    <x v="0"/>
    <x v="5"/>
    <x v="0"/>
    <n v="11"/>
    <x v="2"/>
    <n v="86"/>
    <n v="87"/>
    <n v="64"/>
    <n v="74"/>
    <n v="60"/>
    <n v="89"/>
    <n v="84"/>
    <n v="544"/>
    <n v="77.714285714285708"/>
    <x v="2"/>
    <x v="0"/>
    <x v="0"/>
  </r>
  <r>
    <n v="1656"/>
    <s v="Emily"/>
    <s v="Hebert"/>
    <s v="emily.hebert.1656@gslingacademy.com"/>
    <x v="1"/>
    <x v="1"/>
    <x v="9"/>
    <x v="0"/>
    <n v="18"/>
    <x v="5"/>
    <n v="89"/>
    <n v="65"/>
    <n v="60"/>
    <n v="70"/>
    <n v="86"/>
    <n v="62"/>
    <n v="74"/>
    <n v="506"/>
    <n v="72.285714285714292"/>
    <x v="2"/>
    <x v="2"/>
    <x v="0"/>
  </r>
  <r>
    <n v="1657"/>
    <s v="Lori"/>
    <s v="Roberts"/>
    <s v="lori.roberts.1657@gslingacademy.com"/>
    <x v="1"/>
    <x v="0"/>
    <x v="1"/>
    <x v="1"/>
    <n v="35"/>
    <x v="5"/>
    <n v="94"/>
    <n v="97"/>
    <n v="90"/>
    <n v="93"/>
    <n v="85"/>
    <n v="95"/>
    <n v="92"/>
    <n v="646"/>
    <n v="92.285714285714292"/>
    <x v="1"/>
    <x v="0"/>
    <x v="1"/>
  </r>
  <r>
    <n v="1658"/>
    <s v="Robert"/>
    <s v="Kirby"/>
    <s v="robert.kirby.1658@gslingacademy.com"/>
    <x v="0"/>
    <x v="0"/>
    <x v="5"/>
    <x v="0"/>
    <n v="1"/>
    <x v="14"/>
    <n v="85"/>
    <n v="61"/>
    <n v="100"/>
    <n v="75"/>
    <n v="70"/>
    <n v="89"/>
    <n v="80"/>
    <n v="560"/>
    <n v="80"/>
    <x v="3"/>
    <x v="0"/>
    <x v="0"/>
  </r>
  <r>
    <n v="1659"/>
    <s v="Eric"/>
    <s v="Ross"/>
    <s v="eric.ross.1659@gslingacademy.com"/>
    <x v="0"/>
    <x v="1"/>
    <x v="10"/>
    <x v="0"/>
    <n v="12"/>
    <x v="4"/>
    <n v="78"/>
    <n v="70"/>
    <n v="90"/>
    <n v="68"/>
    <n v="90"/>
    <n v="87"/>
    <n v="77"/>
    <n v="560"/>
    <n v="80"/>
    <x v="2"/>
    <x v="3"/>
    <x v="0"/>
  </r>
  <r>
    <n v="1660"/>
    <s v="Rachael"/>
    <s v="Perry"/>
    <s v="rachael.perry.1660@gslingacademy.com"/>
    <x v="1"/>
    <x v="0"/>
    <x v="1"/>
    <x v="0"/>
    <n v="21"/>
    <x v="9"/>
    <n v="75"/>
    <n v="67"/>
    <n v="64"/>
    <n v="80"/>
    <n v="79"/>
    <n v="77"/>
    <n v="80"/>
    <n v="522"/>
    <n v="74.571428571428569"/>
    <x v="0"/>
    <x v="0"/>
    <x v="0"/>
  </r>
  <r>
    <n v="1661"/>
    <s v="Kenneth"/>
    <s v="Gallagher"/>
    <s v="kenneth.gallagher.1661@gslingacademy.com"/>
    <x v="0"/>
    <x v="0"/>
    <x v="1"/>
    <x v="1"/>
    <n v="18"/>
    <x v="13"/>
    <n v="82"/>
    <n v="61"/>
    <n v="89"/>
    <n v="88"/>
    <n v="74"/>
    <n v="78"/>
    <n v="72"/>
    <n v="544"/>
    <n v="77.714285714285708"/>
    <x v="2"/>
    <x v="0"/>
    <x v="0"/>
  </r>
  <r>
    <n v="1662"/>
    <s v="Thomas"/>
    <s v="Scott"/>
    <s v="thomas.scott.1662@gslingacademy.com"/>
    <x v="0"/>
    <x v="1"/>
    <x v="4"/>
    <x v="0"/>
    <n v="5"/>
    <x v="7"/>
    <n v="41"/>
    <n v="53"/>
    <n v="64"/>
    <n v="62"/>
    <n v="79"/>
    <n v="50"/>
    <n v="65"/>
    <n v="414"/>
    <n v="59.142857142857146"/>
    <x v="3"/>
    <x v="2"/>
    <x v="0"/>
  </r>
  <r>
    <n v="1663"/>
    <s v="Elizabeth"/>
    <s v="Jones"/>
    <s v="elizabeth.jones.1663@gslingacademy.com"/>
    <x v="1"/>
    <x v="0"/>
    <x v="3"/>
    <x v="0"/>
    <n v="2"/>
    <x v="7"/>
    <n v="44"/>
    <n v="79"/>
    <n v="83"/>
    <n v="50"/>
    <n v="52"/>
    <n v="79"/>
    <n v="96"/>
    <n v="483"/>
    <n v="69"/>
    <x v="3"/>
    <x v="2"/>
    <x v="0"/>
  </r>
  <r>
    <n v="1664"/>
    <s v="Matthew"/>
    <s v="Bartlett"/>
    <s v="matthew.bartlett.1664@gslingacademy.com"/>
    <x v="0"/>
    <x v="0"/>
    <x v="3"/>
    <x v="1"/>
    <n v="27"/>
    <x v="0"/>
    <n v="81"/>
    <n v="94"/>
    <n v="61"/>
    <n v="86"/>
    <n v="72"/>
    <n v="97"/>
    <n v="82"/>
    <n v="573"/>
    <n v="81.857142857142861"/>
    <x v="0"/>
    <x v="2"/>
    <x v="0"/>
  </r>
  <r>
    <n v="1665"/>
    <s v="Kendra"/>
    <s v="Perez"/>
    <s v="kendra.perez.1665@gslingacademy.com"/>
    <x v="1"/>
    <x v="1"/>
    <x v="4"/>
    <x v="0"/>
    <n v="18"/>
    <x v="9"/>
    <n v="77"/>
    <n v="90"/>
    <n v="74"/>
    <n v="65"/>
    <n v="100"/>
    <n v="76"/>
    <n v="80"/>
    <n v="562"/>
    <n v="80.285714285714292"/>
    <x v="2"/>
    <x v="2"/>
    <x v="0"/>
  </r>
  <r>
    <n v="1666"/>
    <s v="Daniel"/>
    <s v="Brewer"/>
    <s v="daniel.brewer.1666@gslingacademy.com"/>
    <x v="0"/>
    <x v="0"/>
    <x v="1"/>
    <x v="0"/>
    <n v="28"/>
    <x v="5"/>
    <n v="97"/>
    <n v="97"/>
    <n v="70"/>
    <n v="94"/>
    <n v="66"/>
    <n v="83"/>
    <n v="66"/>
    <n v="573"/>
    <n v="81.857142857142861"/>
    <x v="0"/>
    <x v="0"/>
    <x v="0"/>
  </r>
  <r>
    <n v="1667"/>
    <s v="Cody"/>
    <s v="Tyler"/>
    <s v="cody.tyler.1667@gslingacademy.com"/>
    <x v="0"/>
    <x v="0"/>
    <x v="3"/>
    <x v="0"/>
    <n v="1"/>
    <x v="7"/>
    <n v="66"/>
    <n v="83"/>
    <n v="79"/>
    <n v="65"/>
    <n v="57"/>
    <n v="61"/>
    <n v="86"/>
    <n v="497"/>
    <n v="71"/>
    <x v="3"/>
    <x v="2"/>
    <x v="0"/>
  </r>
  <r>
    <n v="1668"/>
    <s v="Nicholas"/>
    <s v="Conrad"/>
    <s v="nicholas.conrad.1668@gslingacademy.com"/>
    <x v="0"/>
    <x v="0"/>
    <x v="6"/>
    <x v="0"/>
    <n v="42"/>
    <x v="1"/>
    <n v="91"/>
    <n v="96"/>
    <n v="96"/>
    <n v="90"/>
    <n v="97"/>
    <n v="85"/>
    <n v="98"/>
    <n v="653"/>
    <n v="93.285714285714292"/>
    <x v="1"/>
    <x v="1"/>
    <x v="1"/>
  </r>
  <r>
    <n v="1669"/>
    <s v="Emma"/>
    <s v="Morris"/>
    <s v="emma.morris.1669@gslingacademy.com"/>
    <x v="1"/>
    <x v="0"/>
    <x v="8"/>
    <x v="0"/>
    <n v="21"/>
    <x v="11"/>
    <n v="76"/>
    <n v="84"/>
    <n v="95"/>
    <n v="66"/>
    <n v="84"/>
    <n v="74"/>
    <n v="64"/>
    <n v="543"/>
    <n v="77.571428571428569"/>
    <x v="0"/>
    <x v="1"/>
    <x v="0"/>
  </r>
  <r>
    <n v="1670"/>
    <s v="David"/>
    <s v="Brown"/>
    <s v="david.brown.1670@gslingacademy.com"/>
    <x v="0"/>
    <x v="0"/>
    <x v="9"/>
    <x v="0"/>
    <n v="31"/>
    <x v="5"/>
    <n v="97"/>
    <n v="93"/>
    <n v="60"/>
    <n v="90"/>
    <n v="85"/>
    <n v="72"/>
    <n v="83"/>
    <n v="580"/>
    <n v="82.857142857142861"/>
    <x v="1"/>
    <x v="2"/>
    <x v="0"/>
  </r>
  <r>
    <n v="1671"/>
    <s v="Charlotte"/>
    <s v="Zuniga"/>
    <s v="charlotte.zuniga.1671@gslingacademy.com"/>
    <x v="1"/>
    <x v="0"/>
    <x v="8"/>
    <x v="0"/>
    <n v="34"/>
    <x v="0"/>
    <n v="83"/>
    <n v="94"/>
    <n v="93"/>
    <n v="62"/>
    <n v="92"/>
    <n v="98"/>
    <n v="94"/>
    <n v="616"/>
    <n v="88"/>
    <x v="1"/>
    <x v="1"/>
    <x v="1"/>
  </r>
  <r>
    <n v="1672"/>
    <s v="Luis"/>
    <s v="Knight"/>
    <s v="luis.knight.1672@gslingacademy.com"/>
    <x v="0"/>
    <x v="0"/>
    <x v="5"/>
    <x v="1"/>
    <n v="5"/>
    <x v="16"/>
    <n v="98"/>
    <n v="83"/>
    <n v="93"/>
    <n v="73"/>
    <n v="100"/>
    <n v="82"/>
    <n v="81"/>
    <n v="610"/>
    <n v="87.142857142857139"/>
    <x v="3"/>
    <x v="0"/>
    <x v="1"/>
  </r>
  <r>
    <n v="1673"/>
    <s v="Matthew"/>
    <s v="Moore"/>
    <s v="matthew.moore.1673@gslingacademy.com"/>
    <x v="0"/>
    <x v="0"/>
    <x v="0"/>
    <x v="0"/>
    <n v="46"/>
    <x v="1"/>
    <n v="91"/>
    <n v="88"/>
    <n v="88"/>
    <n v="91"/>
    <n v="85"/>
    <n v="95"/>
    <n v="88"/>
    <n v="626"/>
    <n v="89.428571428571431"/>
    <x v="1"/>
    <x v="0"/>
    <x v="1"/>
  </r>
  <r>
    <n v="1674"/>
    <s v="Jennifer"/>
    <s v="Chan"/>
    <s v="jennifer.chan.1674@gslingacademy.com"/>
    <x v="1"/>
    <x v="0"/>
    <x v="0"/>
    <x v="0"/>
    <n v="9"/>
    <x v="2"/>
    <n v="82"/>
    <n v="84"/>
    <n v="93"/>
    <n v="89"/>
    <n v="88"/>
    <n v="76"/>
    <n v="98"/>
    <n v="610"/>
    <n v="87.142857142857139"/>
    <x v="4"/>
    <x v="0"/>
    <x v="1"/>
  </r>
  <r>
    <n v="1675"/>
    <s v="Christopher"/>
    <s v="Evans"/>
    <s v="christopher.evans.1675@gslingacademy.com"/>
    <x v="0"/>
    <x v="0"/>
    <x v="3"/>
    <x v="0"/>
    <n v="26"/>
    <x v="0"/>
    <n v="77"/>
    <n v="86"/>
    <n v="62"/>
    <n v="85"/>
    <n v="72"/>
    <n v="98"/>
    <n v="90"/>
    <n v="570"/>
    <n v="81.428571428571431"/>
    <x v="0"/>
    <x v="2"/>
    <x v="0"/>
  </r>
  <r>
    <n v="1676"/>
    <s v="Tara"/>
    <s v="Haynes"/>
    <s v="tara.haynes.1676@gslingacademy.com"/>
    <x v="1"/>
    <x v="0"/>
    <x v="0"/>
    <x v="0"/>
    <n v="31"/>
    <x v="5"/>
    <n v="95"/>
    <n v="98"/>
    <n v="76"/>
    <n v="61"/>
    <n v="87"/>
    <n v="72"/>
    <n v="100"/>
    <n v="589"/>
    <n v="84.142857142857139"/>
    <x v="1"/>
    <x v="0"/>
    <x v="0"/>
  </r>
  <r>
    <n v="1677"/>
    <s v="Jason"/>
    <s v="Flores"/>
    <s v="jason.flores.1677@gslingacademy.com"/>
    <x v="0"/>
    <x v="0"/>
    <x v="9"/>
    <x v="0"/>
    <n v="27"/>
    <x v="10"/>
    <n v="80"/>
    <n v="76"/>
    <n v="71"/>
    <n v="62"/>
    <n v="92"/>
    <n v="99"/>
    <n v="77"/>
    <n v="557"/>
    <n v="79.571428571428569"/>
    <x v="0"/>
    <x v="2"/>
    <x v="0"/>
  </r>
  <r>
    <n v="1678"/>
    <s v="David"/>
    <s v="Flores"/>
    <s v="david.flores.1678@gslingacademy.com"/>
    <x v="0"/>
    <x v="1"/>
    <x v="6"/>
    <x v="0"/>
    <n v="28"/>
    <x v="5"/>
    <n v="89"/>
    <n v="79"/>
    <n v="97"/>
    <n v="61"/>
    <n v="64"/>
    <n v="79"/>
    <n v="72"/>
    <n v="541"/>
    <n v="77.285714285714292"/>
    <x v="0"/>
    <x v="1"/>
    <x v="0"/>
  </r>
  <r>
    <n v="1679"/>
    <s v="Patricia"/>
    <s v="Rivera"/>
    <s v="patricia.rivera.1679@gslingacademy.com"/>
    <x v="1"/>
    <x v="0"/>
    <x v="0"/>
    <x v="1"/>
    <n v="5"/>
    <x v="2"/>
    <n v="69"/>
    <n v="87"/>
    <n v="91"/>
    <n v="82"/>
    <n v="86"/>
    <n v="77"/>
    <n v="80"/>
    <n v="572"/>
    <n v="81.714285714285708"/>
    <x v="3"/>
    <x v="0"/>
    <x v="0"/>
  </r>
  <r>
    <n v="1680"/>
    <s v="Alexis"/>
    <s v="Freeman"/>
    <s v="alexis.freeman.1680@gslingacademy.com"/>
    <x v="1"/>
    <x v="0"/>
    <x v="1"/>
    <x v="0"/>
    <n v="4"/>
    <x v="7"/>
    <n v="76"/>
    <n v="72"/>
    <n v="58"/>
    <n v="66"/>
    <n v="66"/>
    <n v="62"/>
    <n v="60"/>
    <n v="460"/>
    <n v="65.714285714285708"/>
    <x v="3"/>
    <x v="0"/>
    <x v="0"/>
  </r>
  <r>
    <n v="1681"/>
    <s v="Scott"/>
    <s v="Baxter"/>
    <s v="scott.baxter.1681@gslingacademy.com"/>
    <x v="0"/>
    <x v="0"/>
    <x v="5"/>
    <x v="0"/>
    <n v="33"/>
    <x v="1"/>
    <n v="85"/>
    <n v="97"/>
    <n v="95"/>
    <n v="97"/>
    <n v="98"/>
    <n v="84"/>
    <n v="94"/>
    <n v="650"/>
    <n v="92.857142857142861"/>
    <x v="1"/>
    <x v="0"/>
    <x v="1"/>
  </r>
  <r>
    <n v="1682"/>
    <s v="Kyle"/>
    <s v="Rubio"/>
    <s v="kyle.rubio.1682@gslingacademy.com"/>
    <x v="0"/>
    <x v="0"/>
    <x v="0"/>
    <x v="0"/>
    <n v="16"/>
    <x v="9"/>
    <n v="79"/>
    <n v="100"/>
    <n v="72"/>
    <n v="89"/>
    <n v="68"/>
    <n v="99"/>
    <n v="76"/>
    <n v="583"/>
    <n v="83.285714285714292"/>
    <x v="2"/>
    <x v="0"/>
    <x v="0"/>
  </r>
  <r>
    <n v="1683"/>
    <s v="Nancy"/>
    <s v="Montes"/>
    <s v="nancy.montes.1683@gslingacademy.com"/>
    <x v="1"/>
    <x v="0"/>
    <x v="5"/>
    <x v="0"/>
    <n v="15"/>
    <x v="6"/>
    <n v="85"/>
    <n v="76"/>
    <n v="63"/>
    <n v="62"/>
    <n v="74"/>
    <n v="82"/>
    <n v="96"/>
    <n v="538"/>
    <n v="76.857142857142861"/>
    <x v="2"/>
    <x v="0"/>
    <x v="0"/>
  </r>
  <r>
    <n v="1684"/>
    <s v="Andre"/>
    <s v="Graham"/>
    <s v="andre.graham.1684@gslingacademy.com"/>
    <x v="0"/>
    <x v="0"/>
    <x v="6"/>
    <x v="0"/>
    <n v="10"/>
    <x v="2"/>
    <n v="78"/>
    <n v="69"/>
    <n v="87"/>
    <n v="93"/>
    <n v="83"/>
    <n v="94"/>
    <n v="75"/>
    <n v="579"/>
    <n v="82.714285714285708"/>
    <x v="4"/>
    <x v="1"/>
    <x v="0"/>
  </r>
  <r>
    <n v="1685"/>
    <s v="Christine"/>
    <s v="Rivera"/>
    <s v="christine.rivera.1685@gslingacademy.com"/>
    <x v="1"/>
    <x v="0"/>
    <x v="10"/>
    <x v="1"/>
    <n v="18"/>
    <x v="4"/>
    <n v="62"/>
    <n v="91"/>
    <n v="86"/>
    <n v="88"/>
    <n v="80"/>
    <n v="62"/>
    <n v="75"/>
    <n v="544"/>
    <n v="77.714285714285708"/>
    <x v="2"/>
    <x v="3"/>
    <x v="0"/>
  </r>
  <r>
    <n v="1686"/>
    <s v="William"/>
    <s v="Holt"/>
    <s v="william.holt.1686@gslingacademy.com"/>
    <x v="0"/>
    <x v="0"/>
    <x v="5"/>
    <x v="0"/>
    <n v="12"/>
    <x v="15"/>
    <n v="93"/>
    <n v="86"/>
    <n v="61"/>
    <n v="71"/>
    <n v="98"/>
    <n v="79"/>
    <n v="87"/>
    <n v="575"/>
    <n v="82.142857142857139"/>
    <x v="2"/>
    <x v="0"/>
    <x v="0"/>
  </r>
  <r>
    <n v="1687"/>
    <s v="Tammy"/>
    <s v="Morris"/>
    <s v="tammy.morris.1687@gslingacademy.com"/>
    <x v="1"/>
    <x v="0"/>
    <x v="0"/>
    <x v="0"/>
    <n v="25"/>
    <x v="9"/>
    <n v="94"/>
    <n v="76"/>
    <n v="100"/>
    <n v="60"/>
    <n v="80"/>
    <n v="94"/>
    <n v="61"/>
    <n v="565"/>
    <n v="80.714285714285708"/>
    <x v="0"/>
    <x v="0"/>
    <x v="0"/>
  </r>
  <r>
    <n v="1688"/>
    <s v="Kimberly"/>
    <s v="Bates"/>
    <s v="kimberly.bates.1688@gslingacademy.com"/>
    <x v="1"/>
    <x v="0"/>
    <x v="0"/>
    <x v="0"/>
    <n v="23"/>
    <x v="9"/>
    <n v="95"/>
    <n v="83"/>
    <n v="94"/>
    <n v="83"/>
    <n v="75"/>
    <n v="99"/>
    <n v="75"/>
    <n v="604"/>
    <n v="86.285714285714292"/>
    <x v="0"/>
    <x v="0"/>
    <x v="1"/>
  </r>
  <r>
    <n v="1689"/>
    <s v="Sheena"/>
    <s v="Murphy"/>
    <s v="sheena.murphy.1689@gslingacademy.com"/>
    <x v="1"/>
    <x v="0"/>
    <x v="4"/>
    <x v="0"/>
    <n v="8"/>
    <x v="16"/>
    <n v="81"/>
    <n v="67"/>
    <n v="93"/>
    <n v="65"/>
    <n v="87"/>
    <n v="84"/>
    <n v="79"/>
    <n v="556"/>
    <n v="79.428571428571431"/>
    <x v="4"/>
    <x v="2"/>
    <x v="0"/>
  </r>
  <r>
    <n v="1690"/>
    <s v="Robert"/>
    <s v="Mccall"/>
    <s v="robert.mccall.1690@gslingacademy.com"/>
    <x v="0"/>
    <x v="0"/>
    <x v="9"/>
    <x v="0"/>
    <n v="32"/>
    <x v="11"/>
    <n v="87"/>
    <n v="100"/>
    <n v="60"/>
    <n v="99"/>
    <n v="45"/>
    <n v="73"/>
    <n v="86"/>
    <n v="550"/>
    <n v="78.571428571428569"/>
    <x v="1"/>
    <x v="2"/>
    <x v="0"/>
  </r>
  <r>
    <n v="1691"/>
    <s v="Julie"/>
    <s v="Floyd"/>
    <s v="julie.floyd.1691@gslingacademy.com"/>
    <x v="1"/>
    <x v="1"/>
    <x v="7"/>
    <x v="0"/>
    <n v="0"/>
    <x v="7"/>
    <n v="55"/>
    <n v="86"/>
    <n v="54"/>
    <n v="78"/>
    <n v="55"/>
    <n v="60"/>
    <n v="88"/>
    <n v="476"/>
    <n v="68"/>
    <x v="3"/>
    <x v="1"/>
    <x v="0"/>
  </r>
  <r>
    <n v="1692"/>
    <s v="Barry"/>
    <s v="Taylor"/>
    <s v="barry.taylor.1692@gslingacademy.com"/>
    <x v="0"/>
    <x v="0"/>
    <x v="8"/>
    <x v="0"/>
    <n v="0"/>
    <x v="7"/>
    <n v="77"/>
    <n v="71"/>
    <n v="68"/>
    <n v="53"/>
    <n v="70"/>
    <n v="72"/>
    <n v="69"/>
    <n v="480"/>
    <n v="68.571428571428569"/>
    <x v="3"/>
    <x v="1"/>
    <x v="0"/>
  </r>
  <r>
    <n v="1693"/>
    <s v="Dennis"/>
    <s v="Gonzalez"/>
    <s v="dennis.gonzalez.1693@gslingacademy.com"/>
    <x v="0"/>
    <x v="0"/>
    <x v="5"/>
    <x v="0"/>
    <n v="6"/>
    <x v="15"/>
    <n v="82"/>
    <n v="79"/>
    <n v="60"/>
    <n v="80"/>
    <n v="65"/>
    <n v="64"/>
    <n v="71"/>
    <n v="501"/>
    <n v="71.571428571428569"/>
    <x v="4"/>
    <x v="0"/>
    <x v="0"/>
  </r>
  <r>
    <n v="1694"/>
    <s v="Angel"/>
    <s v="Williams"/>
    <s v="angel.williams.1694@gslingacademy.com"/>
    <x v="0"/>
    <x v="0"/>
    <x v="4"/>
    <x v="0"/>
    <n v="5"/>
    <x v="3"/>
    <n v="81"/>
    <n v="97"/>
    <n v="88"/>
    <n v="81"/>
    <n v="63"/>
    <n v="88"/>
    <n v="67"/>
    <n v="565"/>
    <n v="80.714285714285708"/>
    <x v="3"/>
    <x v="2"/>
    <x v="0"/>
  </r>
  <r>
    <n v="1695"/>
    <s v="Ronald"/>
    <s v="Palmer"/>
    <s v="ronald.palmer.1695@gslingacademy.com"/>
    <x v="0"/>
    <x v="0"/>
    <x v="10"/>
    <x v="0"/>
    <n v="16"/>
    <x v="5"/>
    <n v="99"/>
    <n v="70"/>
    <n v="86"/>
    <n v="61"/>
    <n v="70"/>
    <n v="90"/>
    <n v="66"/>
    <n v="542"/>
    <n v="77.428571428571431"/>
    <x v="2"/>
    <x v="3"/>
    <x v="0"/>
  </r>
  <r>
    <n v="1696"/>
    <s v="Dustin"/>
    <s v="Stanley"/>
    <s v="dustin.stanley.1696@gslingacademy.com"/>
    <x v="0"/>
    <x v="0"/>
    <x v="3"/>
    <x v="1"/>
    <n v="4"/>
    <x v="16"/>
    <n v="87"/>
    <n v="77"/>
    <n v="64"/>
    <n v="84"/>
    <n v="84"/>
    <n v="94"/>
    <n v="80"/>
    <n v="570"/>
    <n v="81.428571428571431"/>
    <x v="3"/>
    <x v="2"/>
    <x v="0"/>
  </r>
  <r>
    <n v="1697"/>
    <s v="Jennifer"/>
    <s v="Lewis"/>
    <s v="jennifer.lewis.1697@gslingacademy.com"/>
    <x v="1"/>
    <x v="1"/>
    <x v="8"/>
    <x v="0"/>
    <n v="2"/>
    <x v="7"/>
    <n v="94"/>
    <n v="62"/>
    <n v="100"/>
    <n v="87"/>
    <n v="91"/>
    <n v="89"/>
    <n v="93"/>
    <n v="616"/>
    <n v="88"/>
    <x v="3"/>
    <x v="1"/>
    <x v="1"/>
  </r>
  <r>
    <n v="1698"/>
    <s v="Mark"/>
    <s v="Gardner"/>
    <s v="mark.gardner.1698@gslingacademy.com"/>
    <x v="0"/>
    <x v="0"/>
    <x v="1"/>
    <x v="0"/>
    <n v="35"/>
    <x v="4"/>
    <n v="98"/>
    <n v="92"/>
    <n v="91"/>
    <n v="89"/>
    <n v="95"/>
    <n v="92"/>
    <n v="90"/>
    <n v="647"/>
    <n v="92.428571428571431"/>
    <x v="1"/>
    <x v="0"/>
    <x v="1"/>
  </r>
  <r>
    <n v="1699"/>
    <s v="Laura"/>
    <s v="Barber"/>
    <s v="laura.barber.1699@gslingacademy.com"/>
    <x v="1"/>
    <x v="0"/>
    <x v="1"/>
    <x v="1"/>
    <n v="34"/>
    <x v="0"/>
    <n v="97"/>
    <n v="89"/>
    <n v="76"/>
    <n v="61"/>
    <n v="91"/>
    <n v="91"/>
    <n v="70"/>
    <n v="575"/>
    <n v="82.142857142857139"/>
    <x v="1"/>
    <x v="0"/>
    <x v="0"/>
  </r>
  <r>
    <n v="1700"/>
    <s v="Nicole"/>
    <s v="Weeks"/>
    <s v="nicole.weeks.1700@gslingacademy.com"/>
    <x v="1"/>
    <x v="0"/>
    <x v="5"/>
    <x v="0"/>
    <n v="7"/>
    <x v="12"/>
    <n v="83"/>
    <n v="81"/>
    <n v="70"/>
    <n v="90"/>
    <n v="73"/>
    <n v="89"/>
    <n v="87"/>
    <n v="573"/>
    <n v="81.857142857142861"/>
    <x v="4"/>
    <x v="0"/>
    <x v="0"/>
  </r>
  <r>
    <n v="1701"/>
    <s v="Ricky"/>
    <s v="Walker"/>
    <s v="ricky.walker.1701@gslingacademy.com"/>
    <x v="0"/>
    <x v="0"/>
    <x v="10"/>
    <x v="0"/>
    <n v="14"/>
    <x v="13"/>
    <n v="92"/>
    <n v="92"/>
    <n v="92"/>
    <n v="66"/>
    <n v="90"/>
    <n v="68"/>
    <n v="66"/>
    <n v="566"/>
    <n v="80.857142857142861"/>
    <x v="2"/>
    <x v="3"/>
    <x v="0"/>
  </r>
  <r>
    <n v="1702"/>
    <s v="Whitney"/>
    <s v="Walls"/>
    <s v="whitney.walls.1702@gslingacademy.com"/>
    <x v="1"/>
    <x v="0"/>
    <x v="5"/>
    <x v="0"/>
    <n v="24"/>
    <x v="1"/>
    <n v="100"/>
    <n v="74"/>
    <n v="80"/>
    <n v="84"/>
    <n v="85"/>
    <n v="82"/>
    <n v="74"/>
    <n v="579"/>
    <n v="82.714285714285708"/>
    <x v="0"/>
    <x v="0"/>
    <x v="0"/>
  </r>
  <r>
    <n v="1703"/>
    <s v="Catherine"/>
    <s v="May"/>
    <s v="catherine.may.1703@gslingacademy.com"/>
    <x v="1"/>
    <x v="0"/>
    <x v="9"/>
    <x v="0"/>
    <n v="25"/>
    <x v="5"/>
    <n v="86"/>
    <n v="69"/>
    <n v="79"/>
    <n v="85"/>
    <n v="63"/>
    <n v="82"/>
    <n v="77"/>
    <n v="541"/>
    <n v="77.285714285714292"/>
    <x v="0"/>
    <x v="2"/>
    <x v="0"/>
  </r>
  <r>
    <n v="1704"/>
    <s v="Joel"/>
    <s v="Williams"/>
    <s v="joel.williams.1704@gslingacademy.com"/>
    <x v="0"/>
    <x v="0"/>
    <x v="8"/>
    <x v="0"/>
    <n v="3"/>
    <x v="7"/>
    <n v="48"/>
    <n v="80"/>
    <n v="73"/>
    <n v="67"/>
    <n v="84"/>
    <n v="99"/>
    <n v="83"/>
    <n v="534"/>
    <n v="76.285714285714292"/>
    <x v="3"/>
    <x v="1"/>
    <x v="0"/>
  </r>
  <r>
    <n v="1705"/>
    <s v="Daisy"/>
    <s v="Ellis"/>
    <s v="daisy.ellis.1705@gslingacademy.com"/>
    <x v="1"/>
    <x v="1"/>
    <x v="6"/>
    <x v="1"/>
    <n v="0"/>
    <x v="7"/>
    <n v="69"/>
    <n v="56"/>
    <n v="71"/>
    <n v="84"/>
    <n v="52"/>
    <n v="71"/>
    <n v="88"/>
    <n v="491"/>
    <n v="70.142857142857139"/>
    <x v="3"/>
    <x v="1"/>
    <x v="0"/>
  </r>
  <r>
    <n v="1706"/>
    <s v="Deborah"/>
    <s v="Miller"/>
    <s v="deborah.miller.1706@gslingacademy.com"/>
    <x v="1"/>
    <x v="0"/>
    <x v="1"/>
    <x v="0"/>
    <n v="33"/>
    <x v="4"/>
    <n v="73"/>
    <n v="84"/>
    <n v="97"/>
    <n v="64"/>
    <n v="87"/>
    <n v="82"/>
    <n v="70"/>
    <n v="557"/>
    <n v="79.571428571428569"/>
    <x v="1"/>
    <x v="0"/>
    <x v="0"/>
  </r>
  <r>
    <n v="1707"/>
    <s v="David"/>
    <s v="Hoffman"/>
    <s v="david.hoffman.1707@gslingacademy.com"/>
    <x v="0"/>
    <x v="0"/>
    <x v="0"/>
    <x v="0"/>
    <n v="12"/>
    <x v="4"/>
    <n v="82"/>
    <n v="81"/>
    <n v="78"/>
    <n v="95"/>
    <n v="60"/>
    <n v="88"/>
    <n v="72"/>
    <n v="556"/>
    <n v="79.428571428571431"/>
    <x v="2"/>
    <x v="0"/>
    <x v="0"/>
  </r>
  <r>
    <n v="1708"/>
    <s v="Rebecca"/>
    <s v="Pearson"/>
    <s v="rebecca.pearson.1708@gslingacademy.com"/>
    <x v="1"/>
    <x v="0"/>
    <x v="0"/>
    <x v="1"/>
    <n v="1"/>
    <x v="3"/>
    <n v="90"/>
    <n v="96"/>
    <n v="89"/>
    <n v="88"/>
    <n v="94"/>
    <n v="73"/>
    <n v="77"/>
    <n v="607"/>
    <n v="86.714285714285708"/>
    <x v="3"/>
    <x v="0"/>
    <x v="1"/>
  </r>
  <r>
    <n v="1709"/>
    <s v="Mitchell"/>
    <s v="Walker"/>
    <s v="mitchell.walker.1709@gslingacademy.com"/>
    <x v="0"/>
    <x v="0"/>
    <x v="3"/>
    <x v="1"/>
    <n v="19"/>
    <x v="15"/>
    <n v="85"/>
    <n v="66"/>
    <n v="61"/>
    <n v="85"/>
    <n v="75"/>
    <n v="94"/>
    <n v="76"/>
    <n v="542"/>
    <n v="77.428571428571431"/>
    <x v="2"/>
    <x v="2"/>
    <x v="0"/>
  </r>
  <r>
    <n v="1710"/>
    <s v="James"/>
    <s v="Sherman"/>
    <s v="james.sherman.1710@gslingacademy.com"/>
    <x v="0"/>
    <x v="0"/>
    <x v="1"/>
    <x v="0"/>
    <n v="2"/>
    <x v="12"/>
    <n v="82"/>
    <n v="73"/>
    <n v="64"/>
    <n v="95"/>
    <n v="87"/>
    <n v="73"/>
    <n v="99"/>
    <n v="573"/>
    <n v="81.857142857142861"/>
    <x v="3"/>
    <x v="0"/>
    <x v="0"/>
  </r>
  <r>
    <n v="1711"/>
    <s v="Justin"/>
    <s v="Johnson"/>
    <s v="justin.johnson.1711@gslingacademy.com"/>
    <x v="0"/>
    <x v="0"/>
    <x v="9"/>
    <x v="0"/>
    <n v="3"/>
    <x v="14"/>
    <n v="80"/>
    <n v="61"/>
    <n v="96"/>
    <n v="89"/>
    <n v="96"/>
    <n v="61"/>
    <n v="80"/>
    <n v="563"/>
    <n v="80.428571428571431"/>
    <x v="3"/>
    <x v="2"/>
    <x v="0"/>
  </r>
  <r>
    <n v="1712"/>
    <s v="Brenda"/>
    <s v="Morales"/>
    <s v="brenda.morales.1712@gslingacademy.com"/>
    <x v="1"/>
    <x v="0"/>
    <x v="7"/>
    <x v="1"/>
    <n v="1"/>
    <x v="7"/>
    <n v="41"/>
    <n v="53"/>
    <n v="98"/>
    <n v="67"/>
    <n v="61"/>
    <n v="83"/>
    <n v="97"/>
    <n v="500"/>
    <n v="71.428571428571431"/>
    <x v="3"/>
    <x v="1"/>
    <x v="0"/>
  </r>
  <r>
    <n v="1713"/>
    <s v="Jesse"/>
    <s v="Melton"/>
    <s v="jesse.melton.1713@gslingacademy.com"/>
    <x v="0"/>
    <x v="0"/>
    <x v="5"/>
    <x v="0"/>
    <n v="48"/>
    <x v="1"/>
    <n v="99"/>
    <n v="93"/>
    <n v="88"/>
    <n v="92"/>
    <n v="99"/>
    <n v="94"/>
    <n v="95"/>
    <n v="660"/>
    <n v="94.285714285714292"/>
    <x v="1"/>
    <x v="0"/>
    <x v="1"/>
  </r>
  <r>
    <n v="1714"/>
    <s v="Jon"/>
    <s v="Mendoza"/>
    <s v="jon.mendoza.1714@gslingacademy.com"/>
    <x v="0"/>
    <x v="0"/>
    <x v="1"/>
    <x v="0"/>
    <n v="32"/>
    <x v="0"/>
    <n v="95"/>
    <n v="95"/>
    <n v="92"/>
    <n v="61"/>
    <n v="63"/>
    <n v="81"/>
    <n v="100"/>
    <n v="587"/>
    <n v="83.857142857142861"/>
    <x v="1"/>
    <x v="0"/>
    <x v="0"/>
  </r>
  <r>
    <n v="1715"/>
    <s v="Samantha"/>
    <s v="Anderson"/>
    <s v="samantha.anderson.1715@gslingacademy.com"/>
    <x v="1"/>
    <x v="0"/>
    <x v="4"/>
    <x v="0"/>
    <n v="1"/>
    <x v="4"/>
    <n v="76"/>
    <n v="69"/>
    <n v="100"/>
    <n v="88"/>
    <n v="65"/>
    <n v="96"/>
    <n v="70"/>
    <n v="564"/>
    <n v="80.571428571428569"/>
    <x v="3"/>
    <x v="2"/>
    <x v="0"/>
  </r>
  <r>
    <n v="1716"/>
    <s v="Lindsay"/>
    <s v="Love"/>
    <s v="lindsay.love.1716@gslingacademy.com"/>
    <x v="1"/>
    <x v="0"/>
    <x v="5"/>
    <x v="0"/>
    <n v="22"/>
    <x v="1"/>
    <n v="91"/>
    <n v="92"/>
    <n v="81"/>
    <n v="98"/>
    <n v="88"/>
    <n v="76"/>
    <n v="99"/>
    <n v="625"/>
    <n v="89.285714285714292"/>
    <x v="0"/>
    <x v="0"/>
    <x v="1"/>
  </r>
  <r>
    <n v="1717"/>
    <s v="John"/>
    <s v="Benson"/>
    <s v="john.benson.1717@gslingacademy.com"/>
    <x v="0"/>
    <x v="0"/>
    <x v="3"/>
    <x v="0"/>
    <n v="16"/>
    <x v="9"/>
    <n v="98"/>
    <n v="75"/>
    <n v="69"/>
    <n v="65"/>
    <n v="67"/>
    <n v="79"/>
    <n v="72"/>
    <n v="525"/>
    <n v="75"/>
    <x v="2"/>
    <x v="2"/>
    <x v="0"/>
  </r>
  <r>
    <n v="1718"/>
    <s v="Isaiah"/>
    <s v="Cruz"/>
    <s v="isaiah.cruz.1718@gslingacademy.com"/>
    <x v="0"/>
    <x v="1"/>
    <x v="4"/>
    <x v="0"/>
    <n v="15"/>
    <x v="13"/>
    <n v="90"/>
    <n v="71"/>
    <n v="93"/>
    <n v="73"/>
    <n v="80"/>
    <n v="78"/>
    <n v="69"/>
    <n v="554"/>
    <n v="79.142857142857139"/>
    <x v="2"/>
    <x v="2"/>
    <x v="0"/>
  </r>
  <r>
    <n v="1719"/>
    <s v="Brian"/>
    <s v="Baker"/>
    <s v="brian.baker.1719@gslingacademy.com"/>
    <x v="0"/>
    <x v="0"/>
    <x v="0"/>
    <x v="1"/>
    <n v="26"/>
    <x v="5"/>
    <n v="85"/>
    <n v="68"/>
    <n v="73"/>
    <n v="94"/>
    <n v="88"/>
    <n v="86"/>
    <n v="77"/>
    <n v="571"/>
    <n v="81.571428571428569"/>
    <x v="0"/>
    <x v="0"/>
    <x v="0"/>
  </r>
  <r>
    <n v="1720"/>
    <s v="Joshua"/>
    <s v="Dillon"/>
    <s v="joshua.dillon.1720@gslingacademy.com"/>
    <x v="0"/>
    <x v="0"/>
    <x v="3"/>
    <x v="0"/>
    <n v="46"/>
    <x v="1"/>
    <n v="100"/>
    <n v="97"/>
    <n v="94"/>
    <n v="87"/>
    <n v="89"/>
    <n v="91"/>
    <n v="100"/>
    <n v="658"/>
    <n v="94"/>
    <x v="1"/>
    <x v="2"/>
    <x v="1"/>
  </r>
  <r>
    <n v="1721"/>
    <s v="Christopher"/>
    <s v="Stephens"/>
    <s v="christopher.stephens.1721@gslingacademy.com"/>
    <x v="0"/>
    <x v="1"/>
    <x v="9"/>
    <x v="0"/>
    <n v="31"/>
    <x v="8"/>
    <n v="77"/>
    <n v="81"/>
    <n v="80"/>
    <n v="95"/>
    <n v="80"/>
    <n v="74"/>
    <n v="80"/>
    <n v="567"/>
    <n v="81"/>
    <x v="1"/>
    <x v="2"/>
    <x v="0"/>
  </r>
  <r>
    <n v="1722"/>
    <s v="Kimberly"/>
    <s v="Shaw"/>
    <s v="kimberly.shaw.1722@gslingacademy.com"/>
    <x v="1"/>
    <x v="0"/>
    <x v="7"/>
    <x v="0"/>
    <n v="4"/>
    <x v="7"/>
    <n v="92"/>
    <n v="98"/>
    <n v="60"/>
    <n v="74"/>
    <n v="63"/>
    <n v="89"/>
    <n v="80"/>
    <n v="556"/>
    <n v="79.428571428571431"/>
    <x v="3"/>
    <x v="1"/>
    <x v="0"/>
  </r>
  <r>
    <n v="1723"/>
    <s v="Colleen"/>
    <s v="Vargas"/>
    <s v="colleen.vargas.1723@gslingacademy.com"/>
    <x v="1"/>
    <x v="0"/>
    <x v="2"/>
    <x v="0"/>
    <n v="5"/>
    <x v="7"/>
    <n v="53"/>
    <n v="87"/>
    <n v="60"/>
    <n v="94"/>
    <n v="93"/>
    <n v="65"/>
    <n v="88"/>
    <n v="540"/>
    <n v="77.142857142857139"/>
    <x v="3"/>
    <x v="1"/>
    <x v="0"/>
  </r>
  <r>
    <n v="1724"/>
    <s v="Mark"/>
    <s v="Mathews"/>
    <s v="mark.mathews.1724@gslingacademy.com"/>
    <x v="0"/>
    <x v="0"/>
    <x v="4"/>
    <x v="0"/>
    <n v="21"/>
    <x v="11"/>
    <n v="79"/>
    <n v="74"/>
    <n v="78"/>
    <n v="97"/>
    <n v="87"/>
    <n v="85"/>
    <n v="79"/>
    <n v="579"/>
    <n v="82.714285714285708"/>
    <x v="0"/>
    <x v="2"/>
    <x v="0"/>
  </r>
  <r>
    <n v="1725"/>
    <s v="Teresa"/>
    <s v="Lopez"/>
    <s v="teresa.lopez.1725@gslingacademy.com"/>
    <x v="1"/>
    <x v="0"/>
    <x v="1"/>
    <x v="0"/>
    <n v="26"/>
    <x v="12"/>
    <n v="85"/>
    <n v="89"/>
    <n v="72"/>
    <n v="80"/>
    <n v="99"/>
    <n v="94"/>
    <n v="90"/>
    <n v="609"/>
    <n v="87"/>
    <x v="0"/>
    <x v="0"/>
    <x v="1"/>
  </r>
  <r>
    <n v="1726"/>
    <s v="Laura"/>
    <s v="Allen"/>
    <s v="laura.allen.1726@gslingacademy.com"/>
    <x v="1"/>
    <x v="0"/>
    <x v="5"/>
    <x v="0"/>
    <n v="3"/>
    <x v="3"/>
    <n v="99"/>
    <n v="85"/>
    <n v="60"/>
    <n v="81"/>
    <n v="75"/>
    <n v="78"/>
    <n v="78"/>
    <n v="556"/>
    <n v="79.428571428571431"/>
    <x v="3"/>
    <x v="0"/>
    <x v="0"/>
  </r>
  <r>
    <n v="1727"/>
    <s v="Lisa"/>
    <s v="Sosa"/>
    <s v="lisa.sosa.1727@gslingacademy.com"/>
    <x v="1"/>
    <x v="0"/>
    <x v="5"/>
    <x v="1"/>
    <n v="11"/>
    <x v="9"/>
    <n v="99"/>
    <n v="91"/>
    <n v="73"/>
    <n v="77"/>
    <n v="81"/>
    <n v="75"/>
    <n v="90"/>
    <n v="586"/>
    <n v="83.714285714285708"/>
    <x v="2"/>
    <x v="0"/>
    <x v="0"/>
  </r>
  <r>
    <n v="1728"/>
    <s v="Drew"/>
    <s v="Nelson"/>
    <s v="drew.nelson.1728@gslingacademy.com"/>
    <x v="0"/>
    <x v="0"/>
    <x v="4"/>
    <x v="0"/>
    <n v="5"/>
    <x v="7"/>
    <n v="65"/>
    <n v="68"/>
    <n v="74"/>
    <n v="50"/>
    <n v="98"/>
    <n v="60"/>
    <n v="83"/>
    <n v="498"/>
    <n v="71.142857142857139"/>
    <x v="3"/>
    <x v="2"/>
    <x v="0"/>
  </r>
  <r>
    <n v="1729"/>
    <s v="Kimberly"/>
    <s v="Brooks"/>
    <s v="kimberly.brooks.1729@gslingacademy.com"/>
    <x v="1"/>
    <x v="0"/>
    <x v="8"/>
    <x v="1"/>
    <n v="19"/>
    <x v="5"/>
    <n v="94"/>
    <n v="83"/>
    <n v="72"/>
    <n v="63"/>
    <n v="65"/>
    <n v="63"/>
    <n v="74"/>
    <n v="514"/>
    <n v="73.428571428571431"/>
    <x v="2"/>
    <x v="1"/>
    <x v="0"/>
  </r>
  <r>
    <n v="1730"/>
    <s v="Carla"/>
    <s v="Lopez"/>
    <s v="carla.lopez.1730@gslingacademy.com"/>
    <x v="1"/>
    <x v="1"/>
    <x v="6"/>
    <x v="0"/>
    <n v="3"/>
    <x v="7"/>
    <n v="73"/>
    <n v="52"/>
    <n v="89"/>
    <n v="85"/>
    <n v="74"/>
    <n v="66"/>
    <n v="79"/>
    <n v="518"/>
    <n v="74"/>
    <x v="3"/>
    <x v="1"/>
    <x v="0"/>
  </r>
  <r>
    <n v="1731"/>
    <s v="Keith"/>
    <s v="Smith"/>
    <s v="keith.smith.1731@gslingacademy.com"/>
    <x v="0"/>
    <x v="1"/>
    <x v="3"/>
    <x v="0"/>
    <n v="15"/>
    <x v="5"/>
    <n v="85"/>
    <n v="76"/>
    <n v="61"/>
    <n v="93"/>
    <n v="98"/>
    <n v="87"/>
    <n v="67"/>
    <n v="567"/>
    <n v="81"/>
    <x v="2"/>
    <x v="2"/>
    <x v="0"/>
  </r>
  <r>
    <n v="1732"/>
    <s v="Eric"/>
    <s v="Erickson"/>
    <s v="eric.erickson.1732@gslingacademy.com"/>
    <x v="0"/>
    <x v="0"/>
    <x v="9"/>
    <x v="0"/>
    <n v="32"/>
    <x v="0"/>
    <n v="87"/>
    <n v="82"/>
    <n v="74"/>
    <n v="77"/>
    <n v="100"/>
    <n v="93"/>
    <n v="65"/>
    <n v="578"/>
    <n v="82.571428571428569"/>
    <x v="1"/>
    <x v="2"/>
    <x v="0"/>
  </r>
  <r>
    <n v="1733"/>
    <s v="Juan"/>
    <s v="Baker"/>
    <s v="juan.baker.1733@gslingacademy.com"/>
    <x v="0"/>
    <x v="1"/>
    <x v="3"/>
    <x v="0"/>
    <n v="4"/>
    <x v="7"/>
    <n v="77"/>
    <n v="58"/>
    <n v="90"/>
    <n v="72"/>
    <n v="75"/>
    <n v="88"/>
    <n v="90"/>
    <n v="550"/>
    <n v="78.571428571428569"/>
    <x v="3"/>
    <x v="2"/>
    <x v="0"/>
  </r>
  <r>
    <n v="1734"/>
    <s v="Kyle"/>
    <s v="Harrison"/>
    <s v="kyle.harrison.1734@gslingacademy.com"/>
    <x v="0"/>
    <x v="0"/>
    <x v="5"/>
    <x v="0"/>
    <n v="31"/>
    <x v="8"/>
    <n v="85"/>
    <n v="60"/>
    <n v="92"/>
    <n v="92"/>
    <n v="85"/>
    <n v="62"/>
    <n v="84"/>
    <n v="560"/>
    <n v="80"/>
    <x v="1"/>
    <x v="0"/>
    <x v="0"/>
  </r>
  <r>
    <n v="1735"/>
    <s v="Duane"/>
    <s v="Meyers"/>
    <s v="duane.meyers.1735@gslingacademy.com"/>
    <x v="0"/>
    <x v="0"/>
    <x v="1"/>
    <x v="0"/>
    <n v="19"/>
    <x v="5"/>
    <n v="91"/>
    <n v="69"/>
    <n v="90"/>
    <n v="76"/>
    <n v="79"/>
    <n v="80"/>
    <n v="82"/>
    <n v="567"/>
    <n v="81"/>
    <x v="2"/>
    <x v="0"/>
    <x v="0"/>
  </r>
  <r>
    <n v="1736"/>
    <s v="Marissa"/>
    <s v="May"/>
    <s v="marissa.may.1736@gslingacademy.com"/>
    <x v="1"/>
    <x v="0"/>
    <x v="5"/>
    <x v="0"/>
    <n v="16"/>
    <x v="5"/>
    <n v="86"/>
    <n v="96"/>
    <n v="83"/>
    <n v="78"/>
    <n v="71"/>
    <n v="78"/>
    <n v="75"/>
    <n v="567"/>
    <n v="81"/>
    <x v="2"/>
    <x v="0"/>
    <x v="0"/>
  </r>
  <r>
    <n v="1737"/>
    <s v="Shane"/>
    <s v="Lopez"/>
    <s v="shane.lopez.1737@gslingacademy.com"/>
    <x v="0"/>
    <x v="0"/>
    <x v="5"/>
    <x v="0"/>
    <n v="29"/>
    <x v="0"/>
    <n v="78"/>
    <n v="80"/>
    <n v="72"/>
    <n v="65"/>
    <n v="90"/>
    <n v="99"/>
    <n v="95"/>
    <n v="579"/>
    <n v="82.714285714285708"/>
    <x v="0"/>
    <x v="0"/>
    <x v="0"/>
  </r>
  <r>
    <n v="1738"/>
    <s v="Eric"/>
    <s v="Obrien"/>
    <s v="eric.obrien.1738@gslingacademy.com"/>
    <x v="0"/>
    <x v="0"/>
    <x v="0"/>
    <x v="0"/>
    <n v="26"/>
    <x v="0"/>
    <n v="71"/>
    <n v="92"/>
    <n v="92"/>
    <n v="96"/>
    <n v="81"/>
    <n v="81"/>
    <n v="85"/>
    <n v="598"/>
    <n v="85.428571428571431"/>
    <x v="0"/>
    <x v="0"/>
    <x v="0"/>
  </r>
  <r>
    <n v="1739"/>
    <s v="Kevin"/>
    <s v="Joyce"/>
    <s v="kevin.joyce.1739@gslingacademy.com"/>
    <x v="0"/>
    <x v="1"/>
    <x v="9"/>
    <x v="0"/>
    <n v="27"/>
    <x v="0"/>
    <n v="72"/>
    <n v="85"/>
    <n v="92"/>
    <n v="83"/>
    <n v="84"/>
    <n v="96"/>
    <n v="81"/>
    <n v="593"/>
    <n v="84.714285714285708"/>
    <x v="0"/>
    <x v="2"/>
    <x v="0"/>
  </r>
  <r>
    <n v="1740"/>
    <s v="Thomas"/>
    <s v="Ward"/>
    <s v="thomas.ward.1740@gslingacademy.com"/>
    <x v="0"/>
    <x v="0"/>
    <x v="0"/>
    <x v="0"/>
    <n v="35"/>
    <x v="5"/>
    <n v="88"/>
    <n v="92"/>
    <n v="88"/>
    <n v="100"/>
    <n v="89"/>
    <n v="94"/>
    <n v="87"/>
    <n v="638"/>
    <n v="91.142857142857139"/>
    <x v="1"/>
    <x v="0"/>
    <x v="1"/>
  </r>
  <r>
    <n v="1741"/>
    <s v="Toni"/>
    <s v="Smith"/>
    <s v="toni.smith.1741@gslingacademy.com"/>
    <x v="1"/>
    <x v="0"/>
    <x v="3"/>
    <x v="0"/>
    <n v="26"/>
    <x v="4"/>
    <n v="68"/>
    <n v="100"/>
    <n v="94"/>
    <n v="69"/>
    <n v="93"/>
    <n v="64"/>
    <n v="93"/>
    <n v="581"/>
    <n v="83"/>
    <x v="0"/>
    <x v="2"/>
    <x v="0"/>
  </r>
  <r>
    <n v="1742"/>
    <s v="Caitlin"/>
    <s v="Moody"/>
    <s v="caitlin.moody.1742@gslingacademy.com"/>
    <x v="1"/>
    <x v="1"/>
    <x v="1"/>
    <x v="0"/>
    <n v="28"/>
    <x v="1"/>
    <n v="81"/>
    <n v="75"/>
    <n v="94"/>
    <n v="93"/>
    <n v="87"/>
    <n v="77"/>
    <n v="67"/>
    <n v="574"/>
    <n v="82"/>
    <x v="0"/>
    <x v="0"/>
    <x v="0"/>
  </r>
  <r>
    <n v="1743"/>
    <s v="Justin"/>
    <s v="Ryan"/>
    <s v="justin.ryan.1743@gslingacademy.com"/>
    <x v="0"/>
    <x v="1"/>
    <x v="5"/>
    <x v="0"/>
    <n v="32"/>
    <x v="9"/>
    <n v="92"/>
    <n v="69"/>
    <n v="92"/>
    <n v="91"/>
    <n v="82"/>
    <n v="89"/>
    <n v="69"/>
    <n v="584"/>
    <n v="83.428571428571431"/>
    <x v="1"/>
    <x v="0"/>
    <x v="0"/>
  </r>
  <r>
    <n v="1744"/>
    <s v="Joseph"/>
    <s v="Griffin"/>
    <s v="joseph.griffin.1744@gslingacademy.com"/>
    <x v="0"/>
    <x v="0"/>
    <x v="10"/>
    <x v="0"/>
    <n v="33"/>
    <x v="11"/>
    <n v="84"/>
    <n v="64"/>
    <n v="82"/>
    <n v="81"/>
    <n v="85"/>
    <n v="84"/>
    <n v="89"/>
    <n v="569"/>
    <n v="81.285714285714292"/>
    <x v="1"/>
    <x v="3"/>
    <x v="0"/>
  </r>
  <r>
    <n v="1745"/>
    <s v="Dawn"/>
    <s v="Fox"/>
    <s v="dawn.fox.1745@gslingacademy.com"/>
    <x v="1"/>
    <x v="0"/>
    <x v="1"/>
    <x v="1"/>
    <n v="18"/>
    <x v="15"/>
    <n v="89"/>
    <n v="60"/>
    <n v="82"/>
    <n v="90"/>
    <n v="96"/>
    <n v="67"/>
    <n v="68"/>
    <n v="552"/>
    <n v="78.857142857142861"/>
    <x v="2"/>
    <x v="0"/>
    <x v="0"/>
  </r>
  <r>
    <n v="1746"/>
    <s v="David"/>
    <s v="Ochoa"/>
    <s v="david.ochoa.1746@gslingacademy.com"/>
    <x v="0"/>
    <x v="0"/>
    <x v="5"/>
    <x v="0"/>
    <n v="18"/>
    <x v="5"/>
    <n v="94"/>
    <n v="66"/>
    <n v="84"/>
    <n v="92"/>
    <n v="71"/>
    <n v="81"/>
    <n v="99"/>
    <n v="587"/>
    <n v="83.857142857142861"/>
    <x v="2"/>
    <x v="0"/>
    <x v="0"/>
  </r>
  <r>
    <n v="1747"/>
    <s v="Bonnie"/>
    <s v="Brown"/>
    <s v="bonnie.brown.1747@gslingacademy.com"/>
    <x v="1"/>
    <x v="0"/>
    <x v="5"/>
    <x v="1"/>
    <n v="9"/>
    <x v="4"/>
    <n v="64"/>
    <n v="89"/>
    <n v="91"/>
    <n v="99"/>
    <n v="60"/>
    <n v="98"/>
    <n v="93"/>
    <n v="594"/>
    <n v="84.857142857142861"/>
    <x v="4"/>
    <x v="0"/>
    <x v="0"/>
  </r>
  <r>
    <n v="1748"/>
    <s v="Michael"/>
    <s v="Evans"/>
    <s v="michael.evans.1748@gslingacademy.com"/>
    <x v="0"/>
    <x v="1"/>
    <x v="3"/>
    <x v="0"/>
    <n v="25"/>
    <x v="15"/>
    <n v="81"/>
    <n v="88"/>
    <n v="85"/>
    <n v="90"/>
    <n v="93"/>
    <n v="62"/>
    <n v="96"/>
    <n v="595"/>
    <n v="85"/>
    <x v="0"/>
    <x v="2"/>
    <x v="0"/>
  </r>
  <r>
    <n v="1749"/>
    <s v="Molly"/>
    <s v="Meadows"/>
    <s v="molly.meadows.1749@gslingacademy.com"/>
    <x v="1"/>
    <x v="0"/>
    <x v="5"/>
    <x v="1"/>
    <n v="18"/>
    <x v="6"/>
    <n v="80"/>
    <n v="93"/>
    <n v="89"/>
    <n v="79"/>
    <n v="89"/>
    <n v="93"/>
    <n v="100"/>
    <n v="623"/>
    <n v="89"/>
    <x v="2"/>
    <x v="0"/>
    <x v="1"/>
  </r>
  <r>
    <n v="1750"/>
    <s v="Dana"/>
    <s v="Peters"/>
    <s v="dana.peters.1750@gslingacademy.com"/>
    <x v="1"/>
    <x v="0"/>
    <x v="9"/>
    <x v="0"/>
    <n v="3"/>
    <x v="4"/>
    <n v="75"/>
    <n v="65"/>
    <n v="66"/>
    <n v="79"/>
    <n v="91"/>
    <n v="82"/>
    <n v="72"/>
    <n v="530"/>
    <n v="75.714285714285708"/>
    <x v="3"/>
    <x v="2"/>
    <x v="0"/>
  </r>
  <r>
    <n v="1751"/>
    <s v="Patricia"/>
    <s v="Phelps"/>
    <s v="patricia.phelps.1751@gslingacademy.com"/>
    <x v="1"/>
    <x v="0"/>
    <x v="9"/>
    <x v="1"/>
    <n v="34"/>
    <x v="0"/>
    <n v="87"/>
    <n v="90"/>
    <n v="98"/>
    <n v="90"/>
    <n v="83"/>
    <n v="94"/>
    <n v="84"/>
    <n v="626"/>
    <n v="89.428571428571431"/>
    <x v="1"/>
    <x v="2"/>
    <x v="1"/>
  </r>
  <r>
    <n v="1752"/>
    <s v="Maria"/>
    <s v="Jones"/>
    <s v="maria.jones.1752@gslingacademy.com"/>
    <x v="1"/>
    <x v="0"/>
    <x v="6"/>
    <x v="0"/>
    <n v="4"/>
    <x v="7"/>
    <n v="58"/>
    <n v="50"/>
    <n v="73"/>
    <n v="54"/>
    <n v="94"/>
    <n v="51"/>
    <n v="74"/>
    <n v="454"/>
    <n v="64.857142857142861"/>
    <x v="3"/>
    <x v="1"/>
    <x v="0"/>
  </r>
  <r>
    <n v="1753"/>
    <s v="Anthony"/>
    <s v="Johns"/>
    <s v="anthony.johns.1753@gslingacademy.com"/>
    <x v="0"/>
    <x v="0"/>
    <x v="0"/>
    <x v="0"/>
    <n v="14"/>
    <x v="2"/>
    <n v="60"/>
    <n v="90"/>
    <n v="87"/>
    <n v="91"/>
    <n v="78"/>
    <n v="77"/>
    <n v="82"/>
    <n v="565"/>
    <n v="80.714285714285708"/>
    <x v="2"/>
    <x v="0"/>
    <x v="0"/>
  </r>
  <r>
    <n v="1754"/>
    <s v="David"/>
    <s v="Schmidt"/>
    <s v="david.schmidt.1754@gslingacademy.com"/>
    <x v="0"/>
    <x v="1"/>
    <x v="3"/>
    <x v="0"/>
    <n v="8"/>
    <x v="16"/>
    <n v="91"/>
    <n v="70"/>
    <n v="88"/>
    <n v="68"/>
    <n v="88"/>
    <n v="63"/>
    <n v="68"/>
    <n v="536"/>
    <n v="76.571428571428569"/>
    <x v="4"/>
    <x v="2"/>
    <x v="0"/>
  </r>
  <r>
    <n v="1755"/>
    <s v="Amanda"/>
    <s v="Cox"/>
    <s v="amanda.cox.1755@gslingacademy.com"/>
    <x v="1"/>
    <x v="0"/>
    <x v="0"/>
    <x v="0"/>
    <n v="35"/>
    <x v="8"/>
    <n v="95"/>
    <n v="97"/>
    <n v="89"/>
    <n v="97"/>
    <n v="99"/>
    <n v="85"/>
    <n v="92"/>
    <n v="654"/>
    <n v="93.428571428571431"/>
    <x v="1"/>
    <x v="0"/>
    <x v="1"/>
  </r>
  <r>
    <n v="1756"/>
    <s v="William"/>
    <s v="Patterson"/>
    <s v="william.patterson.1756@gslingacademy.com"/>
    <x v="0"/>
    <x v="0"/>
    <x v="0"/>
    <x v="0"/>
    <n v="2"/>
    <x v="3"/>
    <n v="70"/>
    <n v="100"/>
    <n v="92"/>
    <n v="73"/>
    <n v="67"/>
    <n v="68"/>
    <n v="76"/>
    <n v="546"/>
    <n v="78"/>
    <x v="3"/>
    <x v="0"/>
    <x v="0"/>
  </r>
  <r>
    <n v="1757"/>
    <s v="Sydney"/>
    <s v="Wood"/>
    <s v="sydney.wood.1757@gslingacademy.com"/>
    <x v="1"/>
    <x v="0"/>
    <x v="1"/>
    <x v="0"/>
    <n v="27"/>
    <x v="0"/>
    <n v="76"/>
    <n v="100"/>
    <n v="94"/>
    <n v="81"/>
    <n v="60"/>
    <n v="85"/>
    <n v="73"/>
    <n v="569"/>
    <n v="81.285714285714292"/>
    <x v="0"/>
    <x v="0"/>
    <x v="0"/>
  </r>
  <r>
    <n v="1758"/>
    <s v="Donald"/>
    <s v="Fischer"/>
    <s v="donald.fischer.1758@gslingacademy.com"/>
    <x v="0"/>
    <x v="0"/>
    <x v="3"/>
    <x v="0"/>
    <n v="20"/>
    <x v="11"/>
    <n v="79"/>
    <n v="65"/>
    <n v="78"/>
    <n v="65"/>
    <n v="57"/>
    <n v="99"/>
    <n v="92"/>
    <n v="535"/>
    <n v="76.428571428571431"/>
    <x v="2"/>
    <x v="2"/>
    <x v="0"/>
  </r>
  <r>
    <n v="1759"/>
    <s v="Anthony"/>
    <s v="Palmer"/>
    <s v="anthony.palmer.1759@gslingacademy.com"/>
    <x v="0"/>
    <x v="0"/>
    <x v="9"/>
    <x v="0"/>
    <n v="21"/>
    <x v="5"/>
    <n v="92"/>
    <n v="96"/>
    <n v="92"/>
    <n v="63"/>
    <n v="73"/>
    <n v="60"/>
    <n v="81"/>
    <n v="557"/>
    <n v="79.571428571428569"/>
    <x v="0"/>
    <x v="2"/>
    <x v="0"/>
  </r>
  <r>
    <n v="1760"/>
    <s v="Christina"/>
    <s v="Garcia"/>
    <s v="christina.garcia.1760@gslingacademy.com"/>
    <x v="1"/>
    <x v="0"/>
    <x v="3"/>
    <x v="0"/>
    <n v="6"/>
    <x v="2"/>
    <n v="89"/>
    <n v="73"/>
    <n v="71"/>
    <n v="97"/>
    <n v="78"/>
    <n v="99"/>
    <n v="60"/>
    <n v="567"/>
    <n v="81"/>
    <x v="4"/>
    <x v="2"/>
    <x v="0"/>
  </r>
  <r>
    <n v="1761"/>
    <s v="Misty"/>
    <s v="Anderson"/>
    <s v="misty.anderson.1761@gslingacademy.com"/>
    <x v="1"/>
    <x v="0"/>
    <x v="0"/>
    <x v="0"/>
    <n v="18"/>
    <x v="9"/>
    <n v="85"/>
    <n v="95"/>
    <n v="77"/>
    <n v="71"/>
    <n v="75"/>
    <n v="95"/>
    <n v="94"/>
    <n v="592"/>
    <n v="84.571428571428569"/>
    <x v="2"/>
    <x v="0"/>
    <x v="0"/>
  </r>
  <r>
    <n v="1762"/>
    <s v="Shannon"/>
    <s v="Weber"/>
    <s v="shannon.weber.1762@gslingacademy.com"/>
    <x v="1"/>
    <x v="0"/>
    <x v="1"/>
    <x v="0"/>
    <n v="7"/>
    <x v="16"/>
    <n v="92"/>
    <n v="66"/>
    <n v="88"/>
    <n v="91"/>
    <n v="61"/>
    <n v="84"/>
    <n v="69"/>
    <n v="551"/>
    <n v="78.714285714285708"/>
    <x v="4"/>
    <x v="0"/>
    <x v="0"/>
  </r>
  <r>
    <n v="1763"/>
    <s v="Jennifer"/>
    <s v="Palmer"/>
    <s v="jennifer.palmer.1763@gslingacademy.com"/>
    <x v="1"/>
    <x v="0"/>
    <x v="1"/>
    <x v="0"/>
    <n v="24"/>
    <x v="5"/>
    <n v="87"/>
    <n v="63"/>
    <n v="79"/>
    <n v="81"/>
    <n v="95"/>
    <n v="75"/>
    <n v="64"/>
    <n v="544"/>
    <n v="77.714285714285708"/>
    <x v="0"/>
    <x v="0"/>
    <x v="0"/>
  </r>
  <r>
    <n v="1764"/>
    <s v="Michael"/>
    <s v="Arnold"/>
    <s v="michael.arnold.1764@gslingacademy.com"/>
    <x v="0"/>
    <x v="0"/>
    <x v="3"/>
    <x v="0"/>
    <n v="21"/>
    <x v="11"/>
    <n v="77"/>
    <n v="77"/>
    <n v="97"/>
    <n v="66"/>
    <n v="87"/>
    <n v="73"/>
    <n v="75"/>
    <n v="552"/>
    <n v="78.857142857142861"/>
    <x v="0"/>
    <x v="2"/>
    <x v="0"/>
  </r>
  <r>
    <n v="1765"/>
    <s v="James"/>
    <s v="Hernandez"/>
    <s v="james.hernandez.1765@gslingacademy.com"/>
    <x v="0"/>
    <x v="0"/>
    <x v="7"/>
    <x v="0"/>
    <n v="2"/>
    <x v="7"/>
    <n v="73"/>
    <n v="56"/>
    <n v="59"/>
    <n v="62"/>
    <n v="58"/>
    <n v="83"/>
    <n v="80"/>
    <n v="471"/>
    <n v="67.285714285714292"/>
    <x v="3"/>
    <x v="1"/>
    <x v="0"/>
  </r>
  <r>
    <n v="1766"/>
    <s v="Erin"/>
    <s v="Cannon"/>
    <s v="erin.cannon.1766@gslingacademy.com"/>
    <x v="1"/>
    <x v="1"/>
    <x v="10"/>
    <x v="0"/>
    <n v="34"/>
    <x v="0"/>
    <n v="91"/>
    <n v="85"/>
    <n v="81"/>
    <n v="93"/>
    <n v="100"/>
    <n v="87"/>
    <n v="77"/>
    <n v="614"/>
    <n v="87.714285714285708"/>
    <x v="1"/>
    <x v="3"/>
    <x v="1"/>
  </r>
  <r>
    <n v="1767"/>
    <s v="Nicole"/>
    <s v="Lee"/>
    <s v="nicole.lee.1767@gslingacademy.com"/>
    <x v="1"/>
    <x v="0"/>
    <x v="6"/>
    <x v="1"/>
    <n v="0"/>
    <x v="7"/>
    <n v="76"/>
    <n v="96"/>
    <n v="89"/>
    <n v="83"/>
    <n v="78"/>
    <n v="54"/>
    <n v="61"/>
    <n v="537"/>
    <n v="76.714285714285708"/>
    <x v="3"/>
    <x v="1"/>
    <x v="0"/>
  </r>
  <r>
    <n v="1768"/>
    <s v="Jacob"/>
    <s v="Ross"/>
    <s v="jacob.ross.1768@gslingacademy.com"/>
    <x v="0"/>
    <x v="0"/>
    <x v="9"/>
    <x v="0"/>
    <n v="17"/>
    <x v="5"/>
    <n v="86"/>
    <n v="70"/>
    <n v="94"/>
    <n v="96"/>
    <n v="74"/>
    <n v="67"/>
    <n v="60"/>
    <n v="547"/>
    <n v="78.142857142857139"/>
    <x v="2"/>
    <x v="2"/>
    <x v="0"/>
  </r>
  <r>
    <n v="1769"/>
    <s v="Morgan"/>
    <s v="Cisneros"/>
    <s v="morgan.cisneros.1769@gslingacademy.com"/>
    <x v="1"/>
    <x v="0"/>
    <x v="3"/>
    <x v="0"/>
    <n v="10"/>
    <x v="9"/>
    <n v="81"/>
    <n v="77"/>
    <n v="88"/>
    <n v="92"/>
    <n v="65"/>
    <n v="92"/>
    <n v="87"/>
    <n v="582"/>
    <n v="83.142857142857139"/>
    <x v="4"/>
    <x v="2"/>
    <x v="0"/>
  </r>
  <r>
    <n v="1770"/>
    <s v="Amber"/>
    <s v="Stuart"/>
    <s v="amber.stuart.1770@gslingacademy.com"/>
    <x v="1"/>
    <x v="0"/>
    <x v="9"/>
    <x v="1"/>
    <n v="35"/>
    <x v="0"/>
    <n v="98"/>
    <n v="88"/>
    <n v="88"/>
    <n v="89"/>
    <n v="90"/>
    <n v="90"/>
    <n v="90"/>
    <n v="633"/>
    <n v="90.428571428571431"/>
    <x v="1"/>
    <x v="2"/>
    <x v="1"/>
  </r>
  <r>
    <n v="1771"/>
    <s v="Tyler"/>
    <s v="Griffin"/>
    <s v="tyler.griffin.1771@gslingacademy.com"/>
    <x v="0"/>
    <x v="0"/>
    <x v="0"/>
    <x v="0"/>
    <n v="27"/>
    <x v="5"/>
    <n v="88"/>
    <n v="67"/>
    <n v="96"/>
    <n v="70"/>
    <n v="66"/>
    <n v="76"/>
    <n v="71"/>
    <n v="534"/>
    <n v="76.285714285714292"/>
    <x v="0"/>
    <x v="0"/>
    <x v="0"/>
  </r>
  <r>
    <n v="1772"/>
    <s v="Daniel"/>
    <s v="Gonzalez"/>
    <s v="daniel.gonzalez.1772@gslingacademy.com"/>
    <x v="0"/>
    <x v="0"/>
    <x v="1"/>
    <x v="1"/>
    <n v="30"/>
    <x v="8"/>
    <n v="85"/>
    <n v="83"/>
    <n v="94"/>
    <n v="100"/>
    <n v="89"/>
    <n v="68"/>
    <n v="89"/>
    <n v="608"/>
    <n v="86.857142857142861"/>
    <x v="0"/>
    <x v="0"/>
    <x v="1"/>
  </r>
  <r>
    <n v="1773"/>
    <s v="Joseph"/>
    <s v="Jones"/>
    <s v="joseph.jones.1773@gslingacademy.com"/>
    <x v="0"/>
    <x v="0"/>
    <x v="1"/>
    <x v="0"/>
    <n v="35"/>
    <x v="0"/>
    <n v="90"/>
    <n v="89"/>
    <n v="96"/>
    <n v="94"/>
    <n v="100"/>
    <n v="88"/>
    <n v="85"/>
    <n v="642"/>
    <n v="91.714285714285708"/>
    <x v="1"/>
    <x v="0"/>
    <x v="1"/>
  </r>
  <r>
    <n v="1774"/>
    <s v="Jessica"/>
    <s v="Hampton"/>
    <s v="jessica.hampton.1774@gslingacademy.com"/>
    <x v="1"/>
    <x v="1"/>
    <x v="3"/>
    <x v="0"/>
    <n v="5"/>
    <x v="14"/>
    <n v="97"/>
    <n v="83"/>
    <n v="93"/>
    <n v="67"/>
    <n v="85"/>
    <n v="63"/>
    <n v="66"/>
    <n v="554"/>
    <n v="79.142857142857139"/>
    <x v="3"/>
    <x v="2"/>
    <x v="0"/>
  </r>
  <r>
    <n v="1775"/>
    <s v="Deborah"/>
    <s v="Butler"/>
    <s v="deborah.butler.1775@gslingacademy.com"/>
    <x v="1"/>
    <x v="0"/>
    <x v="4"/>
    <x v="1"/>
    <n v="10"/>
    <x v="2"/>
    <n v="78"/>
    <n v="84"/>
    <n v="71"/>
    <n v="93"/>
    <n v="78"/>
    <n v="78"/>
    <n v="87"/>
    <n v="569"/>
    <n v="81.285714285714292"/>
    <x v="4"/>
    <x v="2"/>
    <x v="0"/>
  </r>
  <r>
    <n v="1776"/>
    <s v="Julie"/>
    <s v="Black"/>
    <s v="julie.black.1776@gslingacademy.com"/>
    <x v="1"/>
    <x v="1"/>
    <x v="8"/>
    <x v="0"/>
    <n v="1"/>
    <x v="7"/>
    <n v="53"/>
    <n v="98"/>
    <n v="90"/>
    <n v="81"/>
    <n v="61"/>
    <n v="65"/>
    <n v="93"/>
    <n v="541"/>
    <n v="77.285714285714292"/>
    <x v="3"/>
    <x v="1"/>
    <x v="0"/>
  </r>
  <r>
    <n v="1777"/>
    <s v="Bryan"/>
    <s v="Dorsey"/>
    <s v="bryan.dorsey.1777@gslingacademy.com"/>
    <x v="0"/>
    <x v="1"/>
    <x v="7"/>
    <x v="0"/>
    <n v="0"/>
    <x v="7"/>
    <n v="77"/>
    <n v="53"/>
    <n v="92"/>
    <n v="98"/>
    <n v="56"/>
    <n v="53"/>
    <n v="93"/>
    <n v="522"/>
    <n v="74.571428571428569"/>
    <x v="3"/>
    <x v="1"/>
    <x v="0"/>
  </r>
  <r>
    <n v="1778"/>
    <s v="Chad"/>
    <s v="Gomez"/>
    <s v="chad.gomez.1778@gslingacademy.com"/>
    <x v="0"/>
    <x v="1"/>
    <x v="0"/>
    <x v="0"/>
    <n v="30"/>
    <x v="0"/>
    <n v="97"/>
    <n v="88"/>
    <n v="94"/>
    <n v="75"/>
    <n v="66"/>
    <n v="91"/>
    <n v="64"/>
    <n v="575"/>
    <n v="82.142857142857139"/>
    <x v="0"/>
    <x v="0"/>
    <x v="0"/>
  </r>
  <r>
    <n v="1779"/>
    <s v="Andrew"/>
    <s v="Clark"/>
    <s v="andrew.clark.1779@gslingacademy.com"/>
    <x v="0"/>
    <x v="0"/>
    <x v="9"/>
    <x v="0"/>
    <n v="3"/>
    <x v="7"/>
    <n v="88"/>
    <n v="100"/>
    <n v="58"/>
    <n v="59"/>
    <n v="96"/>
    <n v="64"/>
    <n v="87"/>
    <n v="552"/>
    <n v="78.857142857142861"/>
    <x v="3"/>
    <x v="2"/>
    <x v="0"/>
  </r>
  <r>
    <n v="1780"/>
    <s v="Brian"/>
    <s v="Wright"/>
    <s v="brian.wright.1780@gslingacademy.com"/>
    <x v="0"/>
    <x v="0"/>
    <x v="0"/>
    <x v="1"/>
    <n v="18"/>
    <x v="13"/>
    <n v="98"/>
    <n v="67"/>
    <n v="80"/>
    <n v="68"/>
    <n v="80"/>
    <n v="88"/>
    <n v="85"/>
    <n v="566"/>
    <n v="80.857142857142861"/>
    <x v="2"/>
    <x v="0"/>
    <x v="0"/>
  </r>
  <r>
    <n v="1781"/>
    <s v="Jessica"/>
    <s v="Smith"/>
    <s v="jessica.smith.1781@gslingacademy.com"/>
    <x v="1"/>
    <x v="1"/>
    <x v="8"/>
    <x v="1"/>
    <n v="0"/>
    <x v="7"/>
    <n v="92"/>
    <n v="78"/>
    <n v="78"/>
    <n v="85"/>
    <n v="94"/>
    <n v="94"/>
    <n v="73"/>
    <n v="594"/>
    <n v="84.857142857142861"/>
    <x v="3"/>
    <x v="1"/>
    <x v="0"/>
  </r>
  <r>
    <n v="1782"/>
    <s v="Thomas"/>
    <s v="Brooks"/>
    <s v="thomas.brooks.1782@gslingacademy.com"/>
    <x v="0"/>
    <x v="1"/>
    <x v="3"/>
    <x v="0"/>
    <n v="15"/>
    <x v="5"/>
    <n v="92"/>
    <n v="92"/>
    <n v="74"/>
    <n v="96"/>
    <n v="95"/>
    <n v="77"/>
    <n v="76"/>
    <n v="602"/>
    <n v="86"/>
    <x v="2"/>
    <x v="2"/>
    <x v="1"/>
  </r>
  <r>
    <n v="1783"/>
    <s v="Kimberly"/>
    <s v="Knox"/>
    <s v="kimberly.knox.1783@gslingacademy.com"/>
    <x v="1"/>
    <x v="1"/>
    <x v="0"/>
    <x v="0"/>
    <n v="43"/>
    <x v="1"/>
    <n v="86"/>
    <n v="99"/>
    <n v="87"/>
    <n v="88"/>
    <n v="99"/>
    <n v="89"/>
    <n v="86"/>
    <n v="634"/>
    <n v="90.571428571428569"/>
    <x v="1"/>
    <x v="0"/>
    <x v="1"/>
  </r>
  <r>
    <n v="1784"/>
    <s v="Jamie"/>
    <s v="Mccarthy"/>
    <s v="jamie.mccarthy.1784@gslingacademy.com"/>
    <x v="0"/>
    <x v="0"/>
    <x v="3"/>
    <x v="0"/>
    <n v="16"/>
    <x v="12"/>
    <n v="91"/>
    <n v="69"/>
    <n v="97"/>
    <n v="76"/>
    <n v="97"/>
    <n v="81"/>
    <n v="86"/>
    <n v="597"/>
    <n v="85.285714285714292"/>
    <x v="2"/>
    <x v="2"/>
    <x v="0"/>
  </r>
  <r>
    <n v="1785"/>
    <s v="Kristen"/>
    <s v="Werner"/>
    <s v="kristen.werner.1785@gslingacademy.com"/>
    <x v="1"/>
    <x v="0"/>
    <x v="0"/>
    <x v="0"/>
    <n v="23"/>
    <x v="11"/>
    <n v="92"/>
    <n v="75"/>
    <n v="100"/>
    <n v="78"/>
    <n v="32"/>
    <n v="84"/>
    <n v="69"/>
    <n v="530"/>
    <n v="75.714285714285708"/>
    <x v="0"/>
    <x v="0"/>
    <x v="0"/>
  </r>
  <r>
    <n v="1786"/>
    <s v="Jonathan"/>
    <s v="Weiss"/>
    <s v="jonathan.weiss.1786@gslingacademy.com"/>
    <x v="0"/>
    <x v="0"/>
    <x v="1"/>
    <x v="0"/>
    <n v="2"/>
    <x v="14"/>
    <n v="82"/>
    <n v="75"/>
    <n v="93"/>
    <n v="67"/>
    <n v="69"/>
    <n v="65"/>
    <n v="74"/>
    <n v="525"/>
    <n v="75"/>
    <x v="3"/>
    <x v="0"/>
    <x v="0"/>
  </r>
  <r>
    <n v="1787"/>
    <s v="Renee"/>
    <s v="Smith"/>
    <s v="renee.smith.1787@gslingacademy.com"/>
    <x v="1"/>
    <x v="0"/>
    <x v="5"/>
    <x v="0"/>
    <n v="34"/>
    <x v="0"/>
    <n v="99"/>
    <n v="81"/>
    <n v="92"/>
    <n v="86"/>
    <n v="65"/>
    <n v="99"/>
    <n v="79"/>
    <n v="601"/>
    <n v="85.857142857142861"/>
    <x v="1"/>
    <x v="0"/>
    <x v="1"/>
  </r>
  <r>
    <n v="1788"/>
    <s v="Tony"/>
    <s v="Hopkins"/>
    <s v="tony.hopkins.1788@gslingacademy.com"/>
    <x v="0"/>
    <x v="1"/>
    <x v="1"/>
    <x v="0"/>
    <n v="34"/>
    <x v="5"/>
    <n v="95"/>
    <n v="90"/>
    <n v="65"/>
    <n v="84"/>
    <n v="86"/>
    <n v="88"/>
    <n v="94"/>
    <n v="602"/>
    <n v="86"/>
    <x v="1"/>
    <x v="0"/>
    <x v="1"/>
  </r>
  <r>
    <n v="1789"/>
    <s v="Thomas"/>
    <s v="Buckley"/>
    <s v="thomas.buckley.1789@gslingacademy.com"/>
    <x v="0"/>
    <x v="0"/>
    <x v="0"/>
    <x v="0"/>
    <n v="18"/>
    <x v="5"/>
    <n v="100"/>
    <n v="93"/>
    <n v="99"/>
    <n v="65"/>
    <n v="72"/>
    <n v="79"/>
    <n v="88"/>
    <n v="596"/>
    <n v="85.142857142857139"/>
    <x v="2"/>
    <x v="0"/>
    <x v="0"/>
  </r>
  <r>
    <n v="1790"/>
    <s v="Debra"/>
    <s v="Evans"/>
    <s v="debra.evans.1790@gslingacademy.com"/>
    <x v="1"/>
    <x v="0"/>
    <x v="3"/>
    <x v="1"/>
    <n v="21"/>
    <x v="4"/>
    <n v="79"/>
    <n v="86"/>
    <n v="84"/>
    <n v="84"/>
    <n v="63"/>
    <n v="82"/>
    <n v="94"/>
    <n v="572"/>
    <n v="81.714285714285708"/>
    <x v="0"/>
    <x v="2"/>
    <x v="0"/>
  </r>
  <r>
    <n v="1791"/>
    <s v="Richard"/>
    <s v="Bell"/>
    <s v="richard.bell.1791@gslingacademy.com"/>
    <x v="0"/>
    <x v="1"/>
    <x v="0"/>
    <x v="1"/>
    <n v="3"/>
    <x v="7"/>
    <n v="80"/>
    <n v="95"/>
    <n v="96"/>
    <n v="96"/>
    <n v="94"/>
    <n v="84"/>
    <n v="93"/>
    <n v="638"/>
    <n v="91.142857142857139"/>
    <x v="3"/>
    <x v="0"/>
    <x v="1"/>
  </r>
  <r>
    <n v="1792"/>
    <s v="Katelyn"/>
    <s v="Watkins"/>
    <s v="katelyn.watkins.1792@gslingacademy.com"/>
    <x v="1"/>
    <x v="0"/>
    <x v="9"/>
    <x v="0"/>
    <n v="31"/>
    <x v="1"/>
    <n v="93"/>
    <n v="81"/>
    <n v="88"/>
    <n v="90"/>
    <n v="89"/>
    <n v="95"/>
    <n v="81"/>
    <n v="617"/>
    <n v="88.142857142857139"/>
    <x v="1"/>
    <x v="2"/>
    <x v="1"/>
  </r>
  <r>
    <n v="1793"/>
    <s v="Michele"/>
    <s v="Stout"/>
    <s v="michele.stout.1793@gslingacademy.com"/>
    <x v="1"/>
    <x v="0"/>
    <x v="3"/>
    <x v="1"/>
    <n v="17"/>
    <x v="5"/>
    <n v="95"/>
    <n v="75"/>
    <n v="79"/>
    <n v="79"/>
    <n v="93"/>
    <n v="85"/>
    <n v="71"/>
    <n v="577"/>
    <n v="82.428571428571431"/>
    <x v="2"/>
    <x v="2"/>
    <x v="0"/>
  </r>
  <r>
    <n v="1794"/>
    <s v="Lisa"/>
    <s v="Estes"/>
    <s v="lisa.estes.1794@gslingacademy.com"/>
    <x v="1"/>
    <x v="0"/>
    <x v="10"/>
    <x v="0"/>
    <n v="10"/>
    <x v="9"/>
    <n v="81"/>
    <n v="92"/>
    <n v="76"/>
    <n v="81"/>
    <n v="73"/>
    <n v="92"/>
    <n v="63"/>
    <n v="558"/>
    <n v="79.714285714285708"/>
    <x v="4"/>
    <x v="3"/>
    <x v="0"/>
  </r>
  <r>
    <n v="1795"/>
    <s v="Casey"/>
    <s v="Hall"/>
    <s v="casey.hall.1795@gslingacademy.com"/>
    <x v="1"/>
    <x v="0"/>
    <x v="5"/>
    <x v="0"/>
    <n v="5"/>
    <x v="12"/>
    <n v="75"/>
    <n v="88"/>
    <n v="63"/>
    <n v="64"/>
    <n v="84"/>
    <n v="74"/>
    <n v="72"/>
    <n v="520"/>
    <n v="74.285714285714292"/>
    <x v="3"/>
    <x v="0"/>
    <x v="0"/>
  </r>
  <r>
    <n v="1796"/>
    <s v="Joshua"/>
    <s v="Cole"/>
    <s v="joshua.cole.1796@gslingacademy.com"/>
    <x v="0"/>
    <x v="0"/>
    <x v="9"/>
    <x v="0"/>
    <n v="8"/>
    <x v="15"/>
    <n v="80"/>
    <n v="69"/>
    <n v="70"/>
    <n v="60"/>
    <n v="71"/>
    <n v="60"/>
    <n v="89"/>
    <n v="499"/>
    <n v="71.285714285714292"/>
    <x v="4"/>
    <x v="2"/>
    <x v="0"/>
  </r>
  <r>
    <n v="1797"/>
    <s v="Andrew"/>
    <s v="Jackson"/>
    <s v="andrew.jackson.1797@gslingacademy.com"/>
    <x v="0"/>
    <x v="0"/>
    <x v="9"/>
    <x v="0"/>
    <n v="3"/>
    <x v="7"/>
    <n v="52"/>
    <n v="81"/>
    <n v="62"/>
    <n v="77"/>
    <n v="74"/>
    <n v="91"/>
    <n v="92"/>
    <n v="529"/>
    <n v="75.571428571428569"/>
    <x v="3"/>
    <x v="2"/>
    <x v="0"/>
  </r>
  <r>
    <n v="1798"/>
    <s v="Karen"/>
    <s v="Rodriguez"/>
    <s v="karen.rodriguez.1798@gslingacademy.com"/>
    <x v="1"/>
    <x v="0"/>
    <x v="0"/>
    <x v="0"/>
    <n v="30"/>
    <x v="1"/>
    <n v="95"/>
    <n v="94"/>
    <n v="82"/>
    <n v="87"/>
    <n v="93"/>
    <n v="93"/>
    <n v="90"/>
    <n v="634"/>
    <n v="90.571428571428569"/>
    <x v="0"/>
    <x v="0"/>
    <x v="1"/>
  </r>
  <r>
    <n v="1799"/>
    <s v="Sara"/>
    <s v="Johnson"/>
    <s v="sara.johnson.1799@gslingacademy.com"/>
    <x v="1"/>
    <x v="0"/>
    <x v="1"/>
    <x v="0"/>
    <n v="20"/>
    <x v="11"/>
    <n v="99"/>
    <n v="70"/>
    <n v="97"/>
    <n v="93"/>
    <n v="87"/>
    <n v="90"/>
    <n v="88"/>
    <n v="624"/>
    <n v="89.142857142857139"/>
    <x v="2"/>
    <x v="0"/>
    <x v="1"/>
  </r>
  <r>
    <n v="1800"/>
    <s v="Alyssa"/>
    <s v="Costa"/>
    <s v="alyssa.costa.1800@gslingacademy.com"/>
    <x v="1"/>
    <x v="1"/>
    <x v="3"/>
    <x v="0"/>
    <n v="25"/>
    <x v="5"/>
    <n v="85"/>
    <n v="87"/>
    <n v="68"/>
    <n v="74"/>
    <n v="74"/>
    <n v="85"/>
    <n v="68"/>
    <n v="541"/>
    <n v="77.285714285714292"/>
    <x v="0"/>
    <x v="2"/>
    <x v="0"/>
  </r>
  <r>
    <n v="1801"/>
    <s v="Daniel"/>
    <s v="Poole"/>
    <s v="daniel.poole.1801@gslingacademy.com"/>
    <x v="0"/>
    <x v="0"/>
    <x v="9"/>
    <x v="1"/>
    <n v="23"/>
    <x v="13"/>
    <n v="96"/>
    <n v="89"/>
    <n v="86"/>
    <n v="84"/>
    <n v="64"/>
    <n v="60"/>
    <n v="66"/>
    <n v="545"/>
    <n v="77.857142857142861"/>
    <x v="0"/>
    <x v="2"/>
    <x v="0"/>
  </r>
  <r>
    <n v="1802"/>
    <s v="Ricardo"/>
    <s v="Juarez"/>
    <s v="ricardo.juarez.1802@gslingacademy.com"/>
    <x v="0"/>
    <x v="0"/>
    <x v="6"/>
    <x v="0"/>
    <n v="3"/>
    <x v="14"/>
    <n v="91"/>
    <n v="63"/>
    <n v="86"/>
    <n v="81"/>
    <n v="90"/>
    <n v="98"/>
    <n v="63"/>
    <n v="572"/>
    <n v="81.714285714285708"/>
    <x v="3"/>
    <x v="1"/>
    <x v="0"/>
  </r>
  <r>
    <n v="1803"/>
    <s v="Tony"/>
    <s v="Castillo"/>
    <s v="tony.castillo.1803@gslingacademy.com"/>
    <x v="0"/>
    <x v="1"/>
    <x v="5"/>
    <x v="0"/>
    <n v="24"/>
    <x v="5"/>
    <n v="89"/>
    <n v="82"/>
    <n v="76"/>
    <n v="92"/>
    <n v="97"/>
    <n v="66"/>
    <n v="60"/>
    <n v="562"/>
    <n v="80.285714285714292"/>
    <x v="0"/>
    <x v="0"/>
    <x v="0"/>
  </r>
  <r>
    <n v="1804"/>
    <s v="Brian"/>
    <s v="Kelly"/>
    <s v="brian.kelly.1804@gslingacademy.com"/>
    <x v="0"/>
    <x v="0"/>
    <x v="5"/>
    <x v="0"/>
    <n v="37"/>
    <x v="1"/>
    <n v="98"/>
    <n v="87"/>
    <n v="96"/>
    <n v="89"/>
    <n v="100"/>
    <n v="85"/>
    <n v="91"/>
    <n v="646"/>
    <n v="92.285714285714292"/>
    <x v="1"/>
    <x v="0"/>
    <x v="1"/>
  </r>
  <r>
    <n v="1805"/>
    <s v="Tyler"/>
    <s v="Moore"/>
    <s v="tyler.moore.1805@gslingacademy.com"/>
    <x v="0"/>
    <x v="0"/>
    <x v="1"/>
    <x v="0"/>
    <n v="28"/>
    <x v="4"/>
    <n v="100"/>
    <n v="82"/>
    <n v="72"/>
    <n v="97"/>
    <n v="74"/>
    <n v="75"/>
    <n v="81"/>
    <n v="581"/>
    <n v="83"/>
    <x v="0"/>
    <x v="0"/>
    <x v="0"/>
  </r>
  <r>
    <n v="1806"/>
    <s v="Sharon"/>
    <s v="Martinez"/>
    <s v="sharon.martinez.1806@gslingacademy.com"/>
    <x v="1"/>
    <x v="0"/>
    <x v="1"/>
    <x v="0"/>
    <n v="5"/>
    <x v="7"/>
    <n v="75"/>
    <n v="71"/>
    <n v="68"/>
    <n v="91"/>
    <n v="79"/>
    <n v="62"/>
    <n v="94"/>
    <n v="540"/>
    <n v="77.142857142857139"/>
    <x v="3"/>
    <x v="0"/>
    <x v="0"/>
  </r>
  <r>
    <n v="1807"/>
    <s v="Mary"/>
    <s v="Malone"/>
    <s v="mary.malone.1807@gslingacademy.com"/>
    <x v="1"/>
    <x v="0"/>
    <x v="0"/>
    <x v="0"/>
    <n v="6"/>
    <x v="16"/>
    <n v="74"/>
    <n v="63"/>
    <n v="74"/>
    <n v="63"/>
    <n v="78"/>
    <n v="90"/>
    <n v="83"/>
    <n v="525"/>
    <n v="75"/>
    <x v="4"/>
    <x v="0"/>
    <x v="0"/>
  </r>
  <r>
    <n v="1808"/>
    <s v="Rebecca"/>
    <s v="Huang"/>
    <s v="rebecca.huang.1808@gslingacademy.com"/>
    <x v="1"/>
    <x v="0"/>
    <x v="6"/>
    <x v="0"/>
    <n v="40"/>
    <x v="1"/>
    <n v="85"/>
    <n v="99"/>
    <n v="87"/>
    <n v="85"/>
    <n v="91"/>
    <n v="88"/>
    <n v="90"/>
    <n v="625"/>
    <n v="89.285714285714292"/>
    <x v="1"/>
    <x v="1"/>
    <x v="1"/>
  </r>
  <r>
    <n v="1809"/>
    <s v="Alan"/>
    <s v="Santos"/>
    <s v="alan.santos.1809@gslingacademy.com"/>
    <x v="0"/>
    <x v="0"/>
    <x v="0"/>
    <x v="1"/>
    <n v="35"/>
    <x v="4"/>
    <n v="86"/>
    <n v="87"/>
    <n v="97"/>
    <n v="92"/>
    <n v="85"/>
    <n v="99"/>
    <n v="86"/>
    <n v="632"/>
    <n v="90.285714285714292"/>
    <x v="1"/>
    <x v="0"/>
    <x v="1"/>
  </r>
  <r>
    <n v="1810"/>
    <s v="Martin"/>
    <s v="Duran"/>
    <s v="martin.duran.1810@gslingacademy.com"/>
    <x v="0"/>
    <x v="0"/>
    <x v="9"/>
    <x v="1"/>
    <n v="34"/>
    <x v="1"/>
    <n v="91"/>
    <n v="71"/>
    <n v="99"/>
    <n v="96"/>
    <n v="85"/>
    <n v="79"/>
    <n v="74"/>
    <n v="595"/>
    <n v="85"/>
    <x v="1"/>
    <x v="2"/>
    <x v="0"/>
  </r>
  <r>
    <n v="1811"/>
    <s v="Christopher"/>
    <s v="Gutierrez"/>
    <s v="christopher.gutierrez.1811@gslingacademy.com"/>
    <x v="0"/>
    <x v="0"/>
    <x v="1"/>
    <x v="0"/>
    <n v="24"/>
    <x v="5"/>
    <n v="90"/>
    <n v="76"/>
    <n v="100"/>
    <n v="73"/>
    <n v="90"/>
    <n v="64"/>
    <n v="86"/>
    <n v="579"/>
    <n v="82.714285714285708"/>
    <x v="0"/>
    <x v="0"/>
    <x v="0"/>
  </r>
  <r>
    <n v="1812"/>
    <s v="Brandy"/>
    <s v="Maldonado"/>
    <s v="brandy.maldonado.1812@gslingacademy.com"/>
    <x v="1"/>
    <x v="0"/>
    <x v="4"/>
    <x v="0"/>
    <n v="35"/>
    <x v="8"/>
    <n v="91"/>
    <n v="91"/>
    <n v="92"/>
    <n v="95"/>
    <n v="98"/>
    <n v="91"/>
    <n v="85"/>
    <n v="643"/>
    <n v="91.857142857142861"/>
    <x v="1"/>
    <x v="2"/>
    <x v="1"/>
  </r>
  <r>
    <n v="1813"/>
    <s v="Brenda"/>
    <s v="Sanders"/>
    <s v="brenda.sanders.1813@gslingacademy.com"/>
    <x v="1"/>
    <x v="1"/>
    <x v="4"/>
    <x v="0"/>
    <n v="0"/>
    <x v="7"/>
    <n v="80"/>
    <n v="83"/>
    <n v="93"/>
    <n v="81"/>
    <n v="95"/>
    <n v="87"/>
    <n v="61"/>
    <n v="580"/>
    <n v="82.857142857142861"/>
    <x v="3"/>
    <x v="2"/>
    <x v="0"/>
  </r>
  <r>
    <n v="1814"/>
    <s v="Drew"/>
    <s v="Mccann"/>
    <s v="drew.mccann.1814@gslingacademy.com"/>
    <x v="0"/>
    <x v="0"/>
    <x v="5"/>
    <x v="0"/>
    <n v="35"/>
    <x v="1"/>
    <n v="95"/>
    <n v="89"/>
    <n v="92"/>
    <n v="87"/>
    <n v="95"/>
    <n v="86"/>
    <n v="93"/>
    <n v="637"/>
    <n v="91"/>
    <x v="1"/>
    <x v="0"/>
    <x v="1"/>
  </r>
  <r>
    <n v="1815"/>
    <s v="Joshua"/>
    <s v="Ayala"/>
    <s v="joshua.ayala.1815@gslingacademy.com"/>
    <x v="0"/>
    <x v="0"/>
    <x v="3"/>
    <x v="1"/>
    <n v="18"/>
    <x v="4"/>
    <n v="94"/>
    <n v="97"/>
    <n v="69"/>
    <n v="81"/>
    <n v="100"/>
    <n v="68"/>
    <n v="68"/>
    <n v="577"/>
    <n v="82.428571428571431"/>
    <x v="2"/>
    <x v="2"/>
    <x v="0"/>
  </r>
  <r>
    <n v="1816"/>
    <s v="Tina"/>
    <s v="Rose"/>
    <s v="tina.rose.1816@gslingacademy.com"/>
    <x v="1"/>
    <x v="1"/>
    <x v="5"/>
    <x v="1"/>
    <n v="1"/>
    <x v="7"/>
    <n v="54"/>
    <n v="55"/>
    <n v="50"/>
    <n v="100"/>
    <n v="77"/>
    <n v="61"/>
    <n v="78"/>
    <n v="475"/>
    <n v="67.857142857142861"/>
    <x v="3"/>
    <x v="0"/>
    <x v="0"/>
  </r>
  <r>
    <n v="1817"/>
    <s v="William"/>
    <s v="Khan"/>
    <s v="william.khan.1817@gslingacademy.com"/>
    <x v="0"/>
    <x v="0"/>
    <x v="1"/>
    <x v="0"/>
    <n v="16"/>
    <x v="13"/>
    <n v="87"/>
    <n v="80"/>
    <n v="85"/>
    <n v="60"/>
    <n v="96"/>
    <n v="81"/>
    <n v="83"/>
    <n v="572"/>
    <n v="81.714285714285708"/>
    <x v="2"/>
    <x v="0"/>
    <x v="0"/>
  </r>
  <r>
    <n v="1818"/>
    <s v="William"/>
    <s v="Avery"/>
    <s v="william.avery.1818@gslingacademy.com"/>
    <x v="0"/>
    <x v="0"/>
    <x v="3"/>
    <x v="0"/>
    <n v="28"/>
    <x v="5"/>
    <n v="100"/>
    <n v="75"/>
    <n v="72"/>
    <n v="79"/>
    <n v="61"/>
    <n v="94"/>
    <n v="82"/>
    <n v="563"/>
    <n v="80.428571428571431"/>
    <x v="0"/>
    <x v="2"/>
    <x v="0"/>
  </r>
  <r>
    <n v="1819"/>
    <s v="John"/>
    <s v="Fuller"/>
    <s v="john.fuller.1819@gslingacademy.com"/>
    <x v="0"/>
    <x v="0"/>
    <x v="0"/>
    <x v="0"/>
    <n v="14"/>
    <x v="2"/>
    <n v="93"/>
    <n v="99"/>
    <n v="72"/>
    <n v="79"/>
    <n v="83"/>
    <n v="87"/>
    <n v="73"/>
    <n v="586"/>
    <n v="83.714285714285708"/>
    <x v="2"/>
    <x v="0"/>
    <x v="0"/>
  </r>
  <r>
    <n v="1820"/>
    <s v="Jeremy"/>
    <s v="Coleman"/>
    <s v="jeremy.coleman.1820@gslingacademy.com"/>
    <x v="0"/>
    <x v="0"/>
    <x v="0"/>
    <x v="0"/>
    <n v="25"/>
    <x v="1"/>
    <n v="99"/>
    <n v="70"/>
    <n v="89"/>
    <n v="86"/>
    <n v="92"/>
    <n v="65"/>
    <n v="64"/>
    <n v="565"/>
    <n v="80.714285714285708"/>
    <x v="0"/>
    <x v="0"/>
    <x v="0"/>
  </r>
  <r>
    <n v="1821"/>
    <s v="Laura"/>
    <s v="Wright"/>
    <s v="laura.wright.1821@gslingacademy.com"/>
    <x v="1"/>
    <x v="0"/>
    <x v="1"/>
    <x v="0"/>
    <n v="16"/>
    <x v="9"/>
    <n v="99"/>
    <n v="99"/>
    <n v="90"/>
    <n v="63"/>
    <n v="63"/>
    <n v="77"/>
    <n v="60"/>
    <n v="551"/>
    <n v="78.714285714285708"/>
    <x v="2"/>
    <x v="0"/>
    <x v="0"/>
  </r>
  <r>
    <n v="1822"/>
    <s v="David"/>
    <s v="Luna"/>
    <s v="david.luna.1822@gslingacademy.com"/>
    <x v="0"/>
    <x v="0"/>
    <x v="9"/>
    <x v="0"/>
    <n v="28"/>
    <x v="15"/>
    <n v="76"/>
    <n v="80"/>
    <n v="89"/>
    <n v="74"/>
    <n v="61"/>
    <n v="86"/>
    <n v="93"/>
    <n v="559"/>
    <n v="79.857142857142861"/>
    <x v="0"/>
    <x v="2"/>
    <x v="0"/>
  </r>
  <r>
    <n v="1823"/>
    <s v="Christopher"/>
    <s v="Jensen"/>
    <s v="christopher.jensen.1823@gslingacademy.com"/>
    <x v="0"/>
    <x v="0"/>
    <x v="10"/>
    <x v="0"/>
    <n v="15"/>
    <x v="5"/>
    <n v="92"/>
    <n v="100"/>
    <n v="83"/>
    <n v="74"/>
    <n v="73"/>
    <n v="66"/>
    <n v="83"/>
    <n v="571"/>
    <n v="81.571428571428569"/>
    <x v="2"/>
    <x v="3"/>
    <x v="0"/>
  </r>
  <r>
    <n v="1824"/>
    <s v="Luis"/>
    <s v="Little"/>
    <s v="luis.little.1824@gslingacademy.com"/>
    <x v="0"/>
    <x v="0"/>
    <x v="7"/>
    <x v="0"/>
    <n v="46"/>
    <x v="1"/>
    <n v="100"/>
    <n v="93"/>
    <n v="88"/>
    <n v="98"/>
    <n v="99"/>
    <n v="89"/>
    <n v="95"/>
    <n v="662"/>
    <n v="94.571428571428569"/>
    <x v="1"/>
    <x v="1"/>
    <x v="1"/>
  </r>
  <r>
    <n v="1825"/>
    <s v="Joseph"/>
    <s v="Garcia"/>
    <s v="joseph.garcia.1825@gslingacademy.com"/>
    <x v="0"/>
    <x v="0"/>
    <x v="1"/>
    <x v="0"/>
    <n v="34"/>
    <x v="0"/>
    <n v="89"/>
    <n v="97"/>
    <n v="77"/>
    <n v="90"/>
    <n v="93"/>
    <n v="87"/>
    <n v="90"/>
    <n v="623"/>
    <n v="89"/>
    <x v="1"/>
    <x v="0"/>
    <x v="1"/>
  </r>
  <r>
    <n v="1826"/>
    <s v="Michael"/>
    <s v="York"/>
    <s v="michael.york.1826@gslingacademy.com"/>
    <x v="0"/>
    <x v="0"/>
    <x v="1"/>
    <x v="0"/>
    <n v="27"/>
    <x v="0"/>
    <n v="97"/>
    <n v="81"/>
    <n v="71"/>
    <n v="77"/>
    <n v="90"/>
    <n v="86"/>
    <n v="80"/>
    <n v="582"/>
    <n v="83.142857142857139"/>
    <x v="0"/>
    <x v="0"/>
    <x v="0"/>
  </r>
  <r>
    <n v="1827"/>
    <s v="Debbie"/>
    <s v="Landry"/>
    <s v="debbie.landry.1827@gslingacademy.com"/>
    <x v="1"/>
    <x v="1"/>
    <x v="9"/>
    <x v="0"/>
    <n v="28"/>
    <x v="1"/>
    <n v="99"/>
    <n v="63"/>
    <n v="97"/>
    <n v="90"/>
    <n v="99"/>
    <n v="99"/>
    <n v="100"/>
    <n v="647"/>
    <n v="92.428571428571431"/>
    <x v="0"/>
    <x v="2"/>
    <x v="1"/>
  </r>
  <r>
    <n v="1828"/>
    <s v="Michael"/>
    <s v="Gordon"/>
    <s v="michael.gordon.1828@gslingacademy.com"/>
    <x v="0"/>
    <x v="0"/>
    <x v="0"/>
    <x v="0"/>
    <n v="33"/>
    <x v="8"/>
    <n v="100"/>
    <n v="63"/>
    <n v="96"/>
    <n v="95"/>
    <n v="92"/>
    <n v="76"/>
    <n v="88"/>
    <n v="610"/>
    <n v="87.142857142857139"/>
    <x v="1"/>
    <x v="0"/>
    <x v="1"/>
  </r>
  <r>
    <n v="1829"/>
    <s v="Melissa"/>
    <s v="Harris"/>
    <s v="melissa.harris.1829@gslingacademy.com"/>
    <x v="1"/>
    <x v="0"/>
    <x v="3"/>
    <x v="0"/>
    <n v="12"/>
    <x v="9"/>
    <n v="86"/>
    <n v="87"/>
    <n v="72"/>
    <n v="66"/>
    <n v="94"/>
    <n v="78"/>
    <n v="94"/>
    <n v="577"/>
    <n v="82.428571428571431"/>
    <x v="2"/>
    <x v="2"/>
    <x v="0"/>
  </r>
  <r>
    <n v="1830"/>
    <s v="Jonathon"/>
    <s v="Wilson"/>
    <s v="jonathon.wilson.1830@gslingacademy.com"/>
    <x v="0"/>
    <x v="0"/>
    <x v="10"/>
    <x v="0"/>
    <n v="27"/>
    <x v="0"/>
    <n v="77"/>
    <n v="99"/>
    <n v="94"/>
    <n v="81"/>
    <n v="80"/>
    <n v="87"/>
    <n v="98"/>
    <n v="616"/>
    <n v="88"/>
    <x v="0"/>
    <x v="3"/>
    <x v="1"/>
  </r>
  <r>
    <n v="1831"/>
    <s v="Margaret"/>
    <s v="Santos"/>
    <s v="margaret.santos.1831@gslingacademy.com"/>
    <x v="1"/>
    <x v="0"/>
    <x v="5"/>
    <x v="0"/>
    <n v="15"/>
    <x v="2"/>
    <n v="86"/>
    <n v="96"/>
    <n v="67"/>
    <n v="76"/>
    <n v="74"/>
    <n v="66"/>
    <n v="69"/>
    <n v="534"/>
    <n v="76.285714285714292"/>
    <x v="2"/>
    <x v="0"/>
    <x v="0"/>
  </r>
  <r>
    <n v="1832"/>
    <s v="Hailey"/>
    <s v="Arroyo"/>
    <s v="hailey.arroyo.1832@gslingacademy.com"/>
    <x v="1"/>
    <x v="0"/>
    <x v="5"/>
    <x v="1"/>
    <n v="3"/>
    <x v="16"/>
    <n v="75"/>
    <n v="64"/>
    <n v="98"/>
    <n v="65"/>
    <n v="88"/>
    <n v="65"/>
    <n v="71"/>
    <n v="526"/>
    <n v="75.142857142857139"/>
    <x v="3"/>
    <x v="0"/>
    <x v="0"/>
  </r>
  <r>
    <n v="1833"/>
    <s v="Steven"/>
    <s v="Webster"/>
    <s v="steven.webster.1833@gslingacademy.com"/>
    <x v="0"/>
    <x v="0"/>
    <x v="1"/>
    <x v="0"/>
    <n v="26"/>
    <x v="0"/>
    <n v="94"/>
    <n v="93"/>
    <n v="92"/>
    <n v="67"/>
    <n v="61"/>
    <n v="85"/>
    <n v="94"/>
    <n v="586"/>
    <n v="83.714285714285708"/>
    <x v="0"/>
    <x v="0"/>
    <x v="0"/>
  </r>
  <r>
    <n v="1834"/>
    <s v="Tina"/>
    <s v="Harrison"/>
    <s v="tina.harrison.1834@gslingacademy.com"/>
    <x v="1"/>
    <x v="0"/>
    <x v="5"/>
    <x v="0"/>
    <n v="35"/>
    <x v="12"/>
    <n v="94"/>
    <n v="88"/>
    <n v="87"/>
    <n v="97"/>
    <n v="93"/>
    <n v="86"/>
    <n v="94"/>
    <n v="639"/>
    <n v="91.285714285714292"/>
    <x v="1"/>
    <x v="0"/>
    <x v="1"/>
  </r>
  <r>
    <n v="1835"/>
    <s v="Andrew"/>
    <s v="Nunez"/>
    <s v="andrew.nunez.1835@gslingacademy.com"/>
    <x v="0"/>
    <x v="0"/>
    <x v="5"/>
    <x v="0"/>
    <n v="20"/>
    <x v="9"/>
    <n v="89"/>
    <n v="92"/>
    <n v="75"/>
    <n v="85"/>
    <n v="65"/>
    <n v="81"/>
    <n v="69"/>
    <n v="556"/>
    <n v="79.428571428571431"/>
    <x v="2"/>
    <x v="0"/>
    <x v="0"/>
  </r>
  <r>
    <n v="1836"/>
    <s v="Renee"/>
    <s v="Cruz"/>
    <s v="renee.cruz.1836@gslingacademy.com"/>
    <x v="1"/>
    <x v="0"/>
    <x v="0"/>
    <x v="0"/>
    <n v="14"/>
    <x v="10"/>
    <n v="89"/>
    <n v="73"/>
    <n v="96"/>
    <n v="84"/>
    <n v="96"/>
    <n v="98"/>
    <n v="77"/>
    <n v="613"/>
    <n v="87.571428571428569"/>
    <x v="2"/>
    <x v="0"/>
    <x v="1"/>
  </r>
  <r>
    <n v="1837"/>
    <s v="Victoria"/>
    <s v="Taylor"/>
    <s v="victoria.taylor.1837@gslingacademy.com"/>
    <x v="1"/>
    <x v="0"/>
    <x v="1"/>
    <x v="1"/>
    <n v="24"/>
    <x v="5"/>
    <n v="89"/>
    <n v="82"/>
    <n v="83"/>
    <n v="62"/>
    <n v="66"/>
    <n v="86"/>
    <n v="90"/>
    <n v="558"/>
    <n v="79.714285714285708"/>
    <x v="0"/>
    <x v="0"/>
    <x v="0"/>
  </r>
  <r>
    <n v="1838"/>
    <s v="Joseph"/>
    <s v="Dixon"/>
    <s v="joseph.dixon.1838@gslingacademy.com"/>
    <x v="0"/>
    <x v="0"/>
    <x v="1"/>
    <x v="0"/>
    <n v="8"/>
    <x v="2"/>
    <n v="81"/>
    <n v="78"/>
    <n v="82"/>
    <n v="83"/>
    <n v="63"/>
    <n v="85"/>
    <n v="75"/>
    <n v="547"/>
    <n v="78.142857142857139"/>
    <x v="4"/>
    <x v="0"/>
    <x v="0"/>
  </r>
  <r>
    <n v="1839"/>
    <s v="Heather"/>
    <s v="Gutierrez"/>
    <s v="heather.gutierrez.1839@gslingacademy.com"/>
    <x v="1"/>
    <x v="0"/>
    <x v="0"/>
    <x v="0"/>
    <n v="19"/>
    <x v="4"/>
    <n v="93"/>
    <n v="73"/>
    <n v="67"/>
    <n v="100"/>
    <n v="63"/>
    <n v="92"/>
    <n v="86"/>
    <n v="574"/>
    <n v="82"/>
    <x v="2"/>
    <x v="0"/>
    <x v="0"/>
  </r>
  <r>
    <n v="1840"/>
    <s v="Cynthia"/>
    <s v="Hodges"/>
    <s v="cynthia.hodges.1840@gslingacademy.com"/>
    <x v="1"/>
    <x v="0"/>
    <x v="7"/>
    <x v="1"/>
    <n v="2"/>
    <x v="7"/>
    <n v="79"/>
    <n v="95"/>
    <n v="70"/>
    <n v="92"/>
    <n v="63"/>
    <n v="57"/>
    <n v="67"/>
    <n v="523"/>
    <n v="74.714285714285708"/>
    <x v="3"/>
    <x v="1"/>
    <x v="0"/>
  </r>
  <r>
    <n v="1841"/>
    <s v="Danielle"/>
    <s v="Kelley"/>
    <s v="danielle.kelley.1841@gslingacademy.com"/>
    <x v="1"/>
    <x v="0"/>
    <x v="1"/>
    <x v="0"/>
    <n v="29"/>
    <x v="4"/>
    <n v="97"/>
    <n v="86"/>
    <n v="72"/>
    <n v="81"/>
    <n v="85"/>
    <n v="70"/>
    <n v="72"/>
    <n v="563"/>
    <n v="80.428571428571431"/>
    <x v="0"/>
    <x v="0"/>
    <x v="0"/>
  </r>
  <r>
    <n v="1842"/>
    <s v="Michael"/>
    <s v="Mccall"/>
    <s v="michael.mccall.1842@gslingacademy.com"/>
    <x v="0"/>
    <x v="0"/>
    <x v="5"/>
    <x v="0"/>
    <n v="14"/>
    <x v="9"/>
    <n v="78"/>
    <n v="66"/>
    <n v="92"/>
    <n v="61"/>
    <n v="98"/>
    <n v="76"/>
    <n v="99"/>
    <n v="570"/>
    <n v="81.428571428571431"/>
    <x v="2"/>
    <x v="0"/>
    <x v="0"/>
  </r>
  <r>
    <n v="1843"/>
    <s v="Dylan"/>
    <s v="Edwards"/>
    <s v="dylan.edwards.1843@gslingacademy.com"/>
    <x v="0"/>
    <x v="0"/>
    <x v="9"/>
    <x v="0"/>
    <n v="19"/>
    <x v="11"/>
    <n v="83"/>
    <n v="60"/>
    <n v="95"/>
    <n v="68"/>
    <n v="33"/>
    <n v="62"/>
    <n v="73"/>
    <n v="474"/>
    <n v="67.714285714285708"/>
    <x v="2"/>
    <x v="2"/>
    <x v="0"/>
  </r>
  <r>
    <n v="1844"/>
    <s v="Franklin"/>
    <s v="Riley"/>
    <s v="franklin.riley.1844@gslingacademy.com"/>
    <x v="0"/>
    <x v="0"/>
    <x v="10"/>
    <x v="0"/>
    <n v="29"/>
    <x v="15"/>
    <n v="86"/>
    <n v="95"/>
    <n v="61"/>
    <n v="96"/>
    <n v="89"/>
    <n v="99"/>
    <n v="84"/>
    <n v="610"/>
    <n v="87.142857142857139"/>
    <x v="0"/>
    <x v="3"/>
    <x v="1"/>
  </r>
  <r>
    <n v="1845"/>
    <s v="Caitlin"/>
    <s v="Duncan"/>
    <s v="caitlin.duncan.1845@gslingacademy.com"/>
    <x v="1"/>
    <x v="0"/>
    <x v="5"/>
    <x v="0"/>
    <n v="2"/>
    <x v="3"/>
    <n v="87"/>
    <n v="78"/>
    <n v="74"/>
    <n v="75"/>
    <n v="95"/>
    <n v="69"/>
    <n v="99"/>
    <n v="577"/>
    <n v="82.428571428571431"/>
    <x v="3"/>
    <x v="0"/>
    <x v="0"/>
  </r>
  <r>
    <n v="1846"/>
    <s v="Robin"/>
    <s v="Reeves"/>
    <s v="robin.reeves.1846@gslingacademy.com"/>
    <x v="1"/>
    <x v="0"/>
    <x v="4"/>
    <x v="0"/>
    <n v="25"/>
    <x v="0"/>
    <n v="81"/>
    <n v="82"/>
    <n v="69"/>
    <n v="94"/>
    <n v="88"/>
    <n v="95"/>
    <n v="84"/>
    <n v="593"/>
    <n v="84.714285714285708"/>
    <x v="0"/>
    <x v="2"/>
    <x v="0"/>
  </r>
  <r>
    <n v="1847"/>
    <s v="Rebecca"/>
    <s v="Gibbs"/>
    <s v="rebecca.gibbs.1847@gslingacademy.com"/>
    <x v="1"/>
    <x v="0"/>
    <x v="10"/>
    <x v="0"/>
    <n v="6"/>
    <x v="2"/>
    <n v="83"/>
    <n v="73"/>
    <n v="83"/>
    <n v="66"/>
    <n v="93"/>
    <n v="68"/>
    <n v="89"/>
    <n v="555"/>
    <n v="79.285714285714292"/>
    <x v="4"/>
    <x v="3"/>
    <x v="0"/>
  </r>
  <r>
    <n v="1848"/>
    <s v="Peter"/>
    <s v="Santos"/>
    <s v="peter.santos.1848@gslingacademy.com"/>
    <x v="0"/>
    <x v="0"/>
    <x v="1"/>
    <x v="1"/>
    <n v="11"/>
    <x v="9"/>
    <n v="81"/>
    <n v="85"/>
    <n v="91"/>
    <n v="94"/>
    <n v="97"/>
    <n v="93"/>
    <n v="65"/>
    <n v="606"/>
    <n v="86.571428571428569"/>
    <x v="2"/>
    <x v="0"/>
    <x v="1"/>
  </r>
  <r>
    <n v="1849"/>
    <s v="Daryl"/>
    <s v="Arnold"/>
    <s v="daryl.arnold.1849@gslingacademy.com"/>
    <x v="0"/>
    <x v="0"/>
    <x v="5"/>
    <x v="1"/>
    <n v="4"/>
    <x v="12"/>
    <n v="65"/>
    <n v="95"/>
    <n v="89"/>
    <n v="96"/>
    <n v="78"/>
    <n v="85"/>
    <n v="80"/>
    <n v="588"/>
    <n v="84"/>
    <x v="3"/>
    <x v="0"/>
    <x v="0"/>
  </r>
  <r>
    <n v="1850"/>
    <s v="Michael"/>
    <s v="Davis"/>
    <s v="michael.davis.1850@gslingacademy.com"/>
    <x v="0"/>
    <x v="0"/>
    <x v="1"/>
    <x v="0"/>
    <n v="33"/>
    <x v="0"/>
    <n v="83"/>
    <n v="91"/>
    <n v="76"/>
    <n v="71"/>
    <n v="82"/>
    <n v="82"/>
    <n v="79"/>
    <n v="564"/>
    <n v="80.571428571428569"/>
    <x v="1"/>
    <x v="0"/>
    <x v="0"/>
  </r>
  <r>
    <n v="1851"/>
    <s v="Leslie"/>
    <s v="Cox"/>
    <s v="leslie.cox.1851@gslingacademy.com"/>
    <x v="1"/>
    <x v="0"/>
    <x v="0"/>
    <x v="1"/>
    <n v="22"/>
    <x v="1"/>
    <n v="98"/>
    <n v="79"/>
    <n v="87"/>
    <n v="86"/>
    <n v="98"/>
    <n v="85"/>
    <n v="85"/>
    <n v="618"/>
    <n v="88.285714285714292"/>
    <x v="0"/>
    <x v="0"/>
    <x v="1"/>
  </r>
  <r>
    <n v="1852"/>
    <s v="Jamie"/>
    <s v="Carter"/>
    <s v="jamie.carter.1852@gslingacademy.com"/>
    <x v="1"/>
    <x v="0"/>
    <x v="10"/>
    <x v="0"/>
    <n v="34"/>
    <x v="1"/>
    <n v="83"/>
    <n v="84"/>
    <n v="91"/>
    <n v="84"/>
    <n v="85"/>
    <n v="91"/>
    <n v="92"/>
    <n v="610"/>
    <n v="87.142857142857139"/>
    <x v="1"/>
    <x v="3"/>
    <x v="1"/>
  </r>
  <r>
    <n v="1853"/>
    <s v="Shane"/>
    <s v="Payne"/>
    <s v="shane.payne.1853@gslingacademy.com"/>
    <x v="0"/>
    <x v="0"/>
    <x v="5"/>
    <x v="0"/>
    <n v="22"/>
    <x v="5"/>
    <n v="85"/>
    <n v="60"/>
    <n v="85"/>
    <n v="76"/>
    <n v="90"/>
    <n v="75"/>
    <n v="93"/>
    <n v="564"/>
    <n v="80.571428571428569"/>
    <x v="0"/>
    <x v="0"/>
    <x v="0"/>
  </r>
  <r>
    <n v="1854"/>
    <s v="Kimberly"/>
    <s v="Haley"/>
    <s v="kimberly.haley.1854@gslingacademy.com"/>
    <x v="1"/>
    <x v="0"/>
    <x v="7"/>
    <x v="0"/>
    <n v="5"/>
    <x v="7"/>
    <n v="68"/>
    <n v="66"/>
    <n v="82"/>
    <n v="63"/>
    <n v="91"/>
    <n v="67"/>
    <n v="89"/>
    <n v="526"/>
    <n v="75.142857142857139"/>
    <x v="3"/>
    <x v="1"/>
    <x v="0"/>
  </r>
  <r>
    <n v="1855"/>
    <s v="George"/>
    <s v="Duran"/>
    <s v="george.duran.1855@gslingacademy.com"/>
    <x v="0"/>
    <x v="0"/>
    <x v="5"/>
    <x v="0"/>
    <n v="11"/>
    <x v="2"/>
    <n v="86"/>
    <n v="82"/>
    <n v="60"/>
    <n v="65"/>
    <n v="83"/>
    <n v="69"/>
    <n v="78"/>
    <n v="523"/>
    <n v="74.714285714285708"/>
    <x v="2"/>
    <x v="0"/>
    <x v="0"/>
  </r>
  <r>
    <n v="1856"/>
    <s v="Donald"/>
    <s v="Carney"/>
    <s v="donald.carney.1856@gslingacademy.com"/>
    <x v="0"/>
    <x v="0"/>
    <x v="5"/>
    <x v="0"/>
    <n v="12"/>
    <x v="2"/>
    <n v="83"/>
    <n v="87"/>
    <n v="87"/>
    <n v="80"/>
    <n v="81"/>
    <n v="79"/>
    <n v="98"/>
    <n v="595"/>
    <n v="85"/>
    <x v="2"/>
    <x v="0"/>
    <x v="0"/>
  </r>
  <r>
    <n v="1857"/>
    <s v="Michelle"/>
    <s v="Brown"/>
    <s v="michelle.brown.1857@gslingacademy.com"/>
    <x v="1"/>
    <x v="0"/>
    <x v="1"/>
    <x v="0"/>
    <n v="35"/>
    <x v="4"/>
    <n v="92"/>
    <n v="92"/>
    <n v="99"/>
    <n v="87"/>
    <n v="100"/>
    <n v="88"/>
    <n v="97"/>
    <n v="655"/>
    <n v="93.571428571428569"/>
    <x v="1"/>
    <x v="0"/>
    <x v="1"/>
  </r>
  <r>
    <n v="1858"/>
    <s v="Elizabeth"/>
    <s v="Hawkins"/>
    <s v="elizabeth.hawkins.1858@gslingacademy.com"/>
    <x v="1"/>
    <x v="0"/>
    <x v="10"/>
    <x v="0"/>
    <n v="6"/>
    <x v="16"/>
    <n v="91"/>
    <n v="66"/>
    <n v="91"/>
    <n v="62"/>
    <n v="70"/>
    <n v="87"/>
    <n v="90"/>
    <n v="557"/>
    <n v="79.571428571428569"/>
    <x v="4"/>
    <x v="3"/>
    <x v="0"/>
  </r>
  <r>
    <n v="1859"/>
    <s v="Johnny"/>
    <s v="Gomez"/>
    <s v="johnny.gomez.1859@gslingacademy.com"/>
    <x v="0"/>
    <x v="0"/>
    <x v="2"/>
    <x v="1"/>
    <n v="0"/>
    <x v="7"/>
    <n v="53"/>
    <n v="95"/>
    <n v="87"/>
    <n v="60"/>
    <n v="68"/>
    <n v="74"/>
    <n v="68"/>
    <n v="505"/>
    <n v="72.142857142857139"/>
    <x v="3"/>
    <x v="1"/>
    <x v="0"/>
  </r>
  <r>
    <n v="1860"/>
    <s v="Christopher"/>
    <s v="Mcconnell"/>
    <s v="christopher.mcconnell.1860@gslingacademy.com"/>
    <x v="0"/>
    <x v="0"/>
    <x v="1"/>
    <x v="1"/>
    <n v="26"/>
    <x v="0"/>
    <n v="73"/>
    <n v="85"/>
    <n v="80"/>
    <n v="64"/>
    <n v="69"/>
    <n v="95"/>
    <n v="64"/>
    <n v="530"/>
    <n v="75.714285714285708"/>
    <x v="0"/>
    <x v="0"/>
    <x v="0"/>
  </r>
  <r>
    <n v="1861"/>
    <s v="Kyle"/>
    <s v="Rodriguez"/>
    <s v="kyle.rodriguez.1861@gslingacademy.com"/>
    <x v="0"/>
    <x v="0"/>
    <x v="10"/>
    <x v="0"/>
    <n v="19"/>
    <x v="9"/>
    <n v="97"/>
    <n v="95"/>
    <n v="91"/>
    <n v="97"/>
    <n v="96"/>
    <n v="90"/>
    <n v="67"/>
    <n v="633"/>
    <n v="90.428571428571431"/>
    <x v="2"/>
    <x v="3"/>
    <x v="1"/>
  </r>
  <r>
    <n v="1862"/>
    <s v="Rhonda"/>
    <s v="Cook"/>
    <s v="rhonda.cook.1862@gslingacademy.com"/>
    <x v="1"/>
    <x v="0"/>
    <x v="10"/>
    <x v="0"/>
    <n v="3"/>
    <x v="2"/>
    <n v="91"/>
    <n v="97"/>
    <n v="72"/>
    <n v="62"/>
    <n v="86"/>
    <n v="78"/>
    <n v="72"/>
    <n v="558"/>
    <n v="79.714285714285708"/>
    <x v="3"/>
    <x v="3"/>
    <x v="0"/>
  </r>
  <r>
    <n v="1863"/>
    <s v="Nathan"/>
    <s v="Fitzpatrick"/>
    <s v="nathan.fitzpatrick.1863@gslingacademy.com"/>
    <x v="0"/>
    <x v="0"/>
    <x v="5"/>
    <x v="0"/>
    <n v="14"/>
    <x v="9"/>
    <n v="91"/>
    <n v="65"/>
    <n v="75"/>
    <n v="60"/>
    <n v="93"/>
    <n v="79"/>
    <n v="82"/>
    <n v="545"/>
    <n v="77.857142857142861"/>
    <x v="2"/>
    <x v="0"/>
    <x v="0"/>
  </r>
  <r>
    <n v="1864"/>
    <s v="John"/>
    <s v="Mitchell"/>
    <s v="john.mitchell.1864@gslingacademy.com"/>
    <x v="0"/>
    <x v="0"/>
    <x v="2"/>
    <x v="0"/>
    <n v="12"/>
    <x v="10"/>
    <n v="81"/>
    <n v="72"/>
    <n v="87"/>
    <n v="84"/>
    <n v="97"/>
    <n v="94"/>
    <n v="89"/>
    <n v="604"/>
    <n v="86.285714285714292"/>
    <x v="2"/>
    <x v="1"/>
    <x v="1"/>
  </r>
  <r>
    <n v="1865"/>
    <s v="Billy"/>
    <s v="Compton"/>
    <s v="billy.compton.1865@gslingacademy.com"/>
    <x v="0"/>
    <x v="0"/>
    <x v="5"/>
    <x v="0"/>
    <n v="18"/>
    <x v="5"/>
    <n v="92"/>
    <n v="99"/>
    <n v="100"/>
    <n v="64"/>
    <n v="100"/>
    <n v="65"/>
    <n v="99"/>
    <n v="619"/>
    <n v="88.428571428571431"/>
    <x v="2"/>
    <x v="0"/>
    <x v="1"/>
  </r>
  <r>
    <n v="1866"/>
    <s v="Richard"/>
    <s v="Chavez"/>
    <s v="richard.chavez.1866@gslingacademy.com"/>
    <x v="0"/>
    <x v="0"/>
    <x v="3"/>
    <x v="0"/>
    <n v="4"/>
    <x v="7"/>
    <n v="85"/>
    <n v="53"/>
    <n v="95"/>
    <n v="76"/>
    <n v="61"/>
    <n v="88"/>
    <n v="82"/>
    <n v="540"/>
    <n v="77.142857142857139"/>
    <x v="3"/>
    <x v="2"/>
    <x v="0"/>
  </r>
  <r>
    <n v="1867"/>
    <s v="Victor"/>
    <s v="Andrade"/>
    <s v="victor.andrade.1867@gslingacademy.com"/>
    <x v="0"/>
    <x v="0"/>
    <x v="5"/>
    <x v="0"/>
    <n v="34"/>
    <x v="13"/>
    <n v="83"/>
    <n v="60"/>
    <n v="80"/>
    <n v="92"/>
    <n v="84"/>
    <n v="60"/>
    <n v="70"/>
    <n v="529"/>
    <n v="75.571428571428569"/>
    <x v="1"/>
    <x v="0"/>
    <x v="0"/>
  </r>
  <r>
    <n v="1868"/>
    <s v="Gregory"/>
    <s v="Lee"/>
    <s v="gregory.lee.1868@gslingacademy.com"/>
    <x v="0"/>
    <x v="0"/>
    <x v="1"/>
    <x v="0"/>
    <n v="21"/>
    <x v="4"/>
    <n v="92"/>
    <n v="85"/>
    <n v="78"/>
    <n v="87"/>
    <n v="64"/>
    <n v="79"/>
    <n v="74"/>
    <n v="559"/>
    <n v="79.857142857142861"/>
    <x v="0"/>
    <x v="0"/>
    <x v="0"/>
  </r>
  <r>
    <n v="1869"/>
    <s v="Alexandra"/>
    <s v="Blackburn"/>
    <s v="alexandra.blackburn.1869@gslingacademy.com"/>
    <x v="1"/>
    <x v="0"/>
    <x v="0"/>
    <x v="1"/>
    <n v="5"/>
    <x v="16"/>
    <n v="80"/>
    <n v="88"/>
    <n v="94"/>
    <n v="60"/>
    <n v="65"/>
    <n v="63"/>
    <n v="91"/>
    <n v="541"/>
    <n v="77.285714285714292"/>
    <x v="3"/>
    <x v="0"/>
    <x v="0"/>
  </r>
  <r>
    <n v="1870"/>
    <s v="Kristopher"/>
    <s v="Murray"/>
    <s v="kristopher.murray.1870@gslingacademy.com"/>
    <x v="0"/>
    <x v="0"/>
    <x v="5"/>
    <x v="1"/>
    <n v="16"/>
    <x v="11"/>
    <n v="87"/>
    <n v="81"/>
    <n v="69"/>
    <n v="82"/>
    <n v="70"/>
    <n v="62"/>
    <n v="66"/>
    <n v="517"/>
    <n v="73.857142857142861"/>
    <x v="2"/>
    <x v="0"/>
    <x v="0"/>
  </r>
  <r>
    <n v="1871"/>
    <s v="Wanda"/>
    <s v="Pearson"/>
    <s v="wanda.pearson.1871@gslingacademy.com"/>
    <x v="1"/>
    <x v="0"/>
    <x v="10"/>
    <x v="0"/>
    <n v="31"/>
    <x v="8"/>
    <n v="88"/>
    <n v="61"/>
    <n v="95"/>
    <n v="91"/>
    <n v="99"/>
    <n v="64"/>
    <n v="90"/>
    <n v="588"/>
    <n v="84"/>
    <x v="1"/>
    <x v="3"/>
    <x v="0"/>
  </r>
  <r>
    <n v="1872"/>
    <s v="Denise"/>
    <s v="Rose"/>
    <s v="denise.rose.1872@gslingacademy.com"/>
    <x v="1"/>
    <x v="1"/>
    <x v="4"/>
    <x v="0"/>
    <n v="1"/>
    <x v="7"/>
    <n v="41"/>
    <n v="83"/>
    <n v="54"/>
    <n v="87"/>
    <n v="97"/>
    <n v="65"/>
    <n v="69"/>
    <n v="496"/>
    <n v="70.857142857142861"/>
    <x v="3"/>
    <x v="2"/>
    <x v="0"/>
  </r>
  <r>
    <n v="1873"/>
    <s v="Andrew"/>
    <s v="Reed"/>
    <s v="andrew.reed.1873@gslingacademy.com"/>
    <x v="0"/>
    <x v="0"/>
    <x v="0"/>
    <x v="0"/>
    <n v="35"/>
    <x v="9"/>
    <n v="87"/>
    <n v="93"/>
    <n v="88"/>
    <n v="97"/>
    <n v="91"/>
    <n v="88"/>
    <n v="88"/>
    <n v="632"/>
    <n v="90.285714285714292"/>
    <x v="1"/>
    <x v="0"/>
    <x v="1"/>
  </r>
  <r>
    <n v="1874"/>
    <s v="David"/>
    <s v="Castro"/>
    <s v="david.castro.1874@gslingacademy.com"/>
    <x v="0"/>
    <x v="0"/>
    <x v="5"/>
    <x v="1"/>
    <n v="41"/>
    <x v="1"/>
    <n v="89"/>
    <n v="95"/>
    <n v="97"/>
    <n v="99"/>
    <n v="87"/>
    <n v="90"/>
    <n v="91"/>
    <n v="648"/>
    <n v="92.571428571428569"/>
    <x v="1"/>
    <x v="0"/>
    <x v="1"/>
  </r>
  <r>
    <n v="1875"/>
    <s v="Tim"/>
    <s v="Duncan"/>
    <s v="tim.duncan.1875@gslingacademy.com"/>
    <x v="0"/>
    <x v="1"/>
    <x v="3"/>
    <x v="1"/>
    <n v="1"/>
    <x v="7"/>
    <n v="89"/>
    <n v="53"/>
    <n v="77"/>
    <n v="96"/>
    <n v="76"/>
    <n v="63"/>
    <n v="90"/>
    <n v="544"/>
    <n v="77.714285714285708"/>
    <x v="3"/>
    <x v="2"/>
    <x v="0"/>
  </r>
  <r>
    <n v="1876"/>
    <s v="Joshua"/>
    <s v="Walker"/>
    <s v="joshua.walker.1876@gslingacademy.com"/>
    <x v="0"/>
    <x v="0"/>
    <x v="1"/>
    <x v="0"/>
    <n v="6"/>
    <x v="16"/>
    <n v="53"/>
    <n v="97"/>
    <n v="81"/>
    <n v="86"/>
    <n v="71"/>
    <n v="87"/>
    <n v="78"/>
    <n v="553"/>
    <n v="79"/>
    <x v="4"/>
    <x v="0"/>
    <x v="0"/>
  </r>
  <r>
    <n v="1877"/>
    <s v="Julie"/>
    <s v="Rogers"/>
    <s v="julie.rogers.1877@gslingacademy.com"/>
    <x v="1"/>
    <x v="0"/>
    <x v="0"/>
    <x v="0"/>
    <n v="30"/>
    <x v="8"/>
    <n v="92"/>
    <n v="88"/>
    <n v="99"/>
    <n v="92"/>
    <n v="89"/>
    <n v="66"/>
    <n v="76"/>
    <n v="602"/>
    <n v="86"/>
    <x v="0"/>
    <x v="0"/>
    <x v="1"/>
  </r>
  <r>
    <n v="1878"/>
    <s v="Gina"/>
    <s v="Gilbert"/>
    <s v="gina.gilbert.1878@gslingacademy.com"/>
    <x v="1"/>
    <x v="0"/>
    <x v="0"/>
    <x v="0"/>
    <n v="32"/>
    <x v="9"/>
    <n v="85"/>
    <n v="84"/>
    <n v="66"/>
    <n v="66"/>
    <n v="78"/>
    <n v="98"/>
    <n v="69"/>
    <n v="546"/>
    <n v="78"/>
    <x v="1"/>
    <x v="0"/>
    <x v="0"/>
  </r>
  <r>
    <n v="1879"/>
    <s v="Miguel"/>
    <s v="Nicholson"/>
    <s v="miguel.nicholson.1879@gslingacademy.com"/>
    <x v="0"/>
    <x v="0"/>
    <x v="1"/>
    <x v="0"/>
    <n v="18"/>
    <x v="5"/>
    <n v="89"/>
    <n v="67"/>
    <n v="93"/>
    <n v="83"/>
    <n v="65"/>
    <n v="94"/>
    <n v="67"/>
    <n v="558"/>
    <n v="79.714285714285708"/>
    <x v="2"/>
    <x v="0"/>
    <x v="0"/>
  </r>
  <r>
    <n v="1880"/>
    <s v="Daniel"/>
    <s v="Murray"/>
    <s v="daniel.murray.1880@gslingacademy.com"/>
    <x v="0"/>
    <x v="0"/>
    <x v="5"/>
    <x v="0"/>
    <n v="2"/>
    <x v="7"/>
    <n v="98"/>
    <n v="92"/>
    <n v="82"/>
    <n v="56"/>
    <n v="71"/>
    <n v="79"/>
    <n v="89"/>
    <n v="567"/>
    <n v="81"/>
    <x v="3"/>
    <x v="0"/>
    <x v="0"/>
  </r>
  <r>
    <n v="1881"/>
    <s v="Lauren"/>
    <s v="Ellis"/>
    <s v="lauren.ellis.1881@gslingacademy.com"/>
    <x v="1"/>
    <x v="0"/>
    <x v="3"/>
    <x v="0"/>
    <n v="5"/>
    <x v="7"/>
    <n v="66"/>
    <n v="52"/>
    <n v="71"/>
    <n v="76"/>
    <n v="67"/>
    <n v="72"/>
    <n v="60"/>
    <n v="464"/>
    <n v="66.285714285714292"/>
    <x v="3"/>
    <x v="2"/>
    <x v="0"/>
  </r>
  <r>
    <n v="1882"/>
    <s v="Bridget"/>
    <s v="Martin"/>
    <s v="bridget.martin.1882@gslingacademy.com"/>
    <x v="1"/>
    <x v="0"/>
    <x v="1"/>
    <x v="0"/>
    <n v="32"/>
    <x v="0"/>
    <n v="90"/>
    <n v="96"/>
    <n v="95"/>
    <n v="80"/>
    <n v="93"/>
    <n v="95"/>
    <n v="67"/>
    <n v="616"/>
    <n v="88"/>
    <x v="1"/>
    <x v="0"/>
    <x v="1"/>
  </r>
  <r>
    <n v="1883"/>
    <s v="Maureen"/>
    <s v="Hart"/>
    <s v="maureen.hart.1883@gslingacademy.com"/>
    <x v="1"/>
    <x v="1"/>
    <x v="1"/>
    <x v="0"/>
    <n v="18"/>
    <x v="6"/>
    <n v="84"/>
    <n v="93"/>
    <n v="74"/>
    <n v="76"/>
    <n v="95"/>
    <n v="90"/>
    <n v="64"/>
    <n v="576"/>
    <n v="82.285714285714292"/>
    <x v="2"/>
    <x v="0"/>
    <x v="0"/>
  </r>
  <r>
    <n v="1884"/>
    <s v="Sabrina"/>
    <s v="Davis"/>
    <s v="sabrina.davis.1884@gslingacademy.com"/>
    <x v="1"/>
    <x v="0"/>
    <x v="6"/>
    <x v="0"/>
    <n v="27"/>
    <x v="0"/>
    <n v="88"/>
    <n v="81"/>
    <n v="73"/>
    <n v="70"/>
    <n v="60"/>
    <n v="95"/>
    <n v="68"/>
    <n v="535"/>
    <n v="76.428571428571431"/>
    <x v="0"/>
    <x v="1"/>
    <x v="0"/>
  </r>
  <r>
    <n v="1885"/>
    <s v="Richard"/>
    <s v="Davis"/>
    <s v="richard.davis.1885@gslingacademy.com"/>
    <x v="0"/>
    <x v="0"/>
    <x v="0"/>
    <x v="0"/>
    <n v="9"/>
    <x v="4"/>
    <n v="66"/>
    <n v="61"/>
    <n v="97"/>
    <n v="61"/>
    <n v="60"/>
    <n v="61"/>
    <n v="98"/>
    <n v="504"/>
    <n v="72"/>
    <x v="4"/>
    <x v="0"/>
    <x v="0"/>
  </r>
  <r>
    <n v="1886"/>
    <s v="Angela"/>
    <s v="Koch"/>
    <s v="angela.koch.1886@gslingacademy.com"/>
    <x v="1"/>
    <x v="0"/>
    <x v="1"/>
    <x v="0"/>
    <n v="15"/>
    <x v="6"/>
    <n v="86"/>
    <n v="63"/>
    <n v="82"/>
    <n v="61"/>
    <n v="96"/>
    <n v="98"/>
    <n v="83"/>
    <n v="569"/>
    <n v="81.285714285714292"/>
    <x v="2"/>
    <x v="0"/>
    <x v="0"/>
  </r>
  <r>
    <n v="1887"/>
    <s v="William"/>
    <s v="Smith"/>
    <s v="william.smith.1887@gslingacademy.com"/>
    <x v="0"/>
    <x v="0"/>
    <x v="2"/>
    <x v="0"/>
    <n v="1"/>
    <x v="7"/>
    <n v="60"/>
    <n v="72"/>
    <n v="66"/>
    <n v="95"/>
    <n v="67"/>
    <n v="78"/>
    <n v="94"/>
    <n v="532"/>
    <n v="76"/>
    <x v="3"/>
    <x v="1"/>
    <x v="0"/>
  </r>
  <r>
    <n v="1888"/>
    <s v="Catherine"/>
    <s v="Coffey"/>
    <s v="catherine.coffey.1888@gslingacademy.com"/>
    <x v="1"/>
    <x v="0"/>
    <x v="7"/>
    <x v="0"/>
    <n v="2"/>
    <x v="7"/>
    <n v="41"/>
    <n v="59"/>
    <n v="69"/>
    <n v="70"/>
    <n v="100"/>
    <n v="65"/>
    <n v="72"/>
    <n v="476"/>
    <n v="68"/>
    <x v="3"/>
    <x v="1"/>
    <x v="0"/>
  </r>
  <r>
    <n v="1889"/>
    <s v="Christopher"/>
    <s v="Pace"/>
    <s v="christopher.pace.1889@gslingacademy.com"/>
    <x v="0"/>
    <x v="0"/>
    <x v="1"/>
    <x v="0"/>
    <n v="31"/>
    <x v="5"/>
    <n v="94"/>
    <n v="62"/>
    <n v="66"/>
    <n v="95"/>
    <n v="66"/>
    <n v="64"/>
    <n v="62"/>
    <n v="509"/>
    <n v="72.714285714285708"/>
    <x v="1"/>
    <x v="0"/>
    <x v="0"/>
  </r>
  <r>
    <n v="1890"/>
    <s v="Rachel"/>
    <s v="Reeves"/>
    <s v="rachel.reeves.1890@gslingacademy.com"/>
    <x v="1"/>
    <x v="0"/>
    <x v="0"/>
    <x v="0"/>
    <n v="2"/>
    <x v="3"/>
    <n v="64"/>
    <n v="69"/>
    <n v="79"/>
    <n v="89"/>
    <n v="72"/>
    <n v="64"/>
    <n v="82"/>
    <n v="519"/>
    <n v="74.142857142857139"/>
    <x v="3"/>
    <x v="0"/>
    <x v="0"/>
  </r>
  <r>
    <n v="1891"/>
    <s v="Jillian"/>
    <s v="Arroyo"/>
    <s v="jillian.arroyo.1891@gslingacademy.com"/>
    <x v="1"/>
    <x v="1"/>
    <x v="9"/>
    <x v="0"/>
    <n v="2"/>
    <x v="14"/>
    <n v="99"/>
    <n v="97"/>
    <n v="87"/>
    <n v="93"/>
    <n v="79"/>
    <n v="83"/>
    <n v="94"/>
    <n v="632"/>
    <n v="90.285714285714292"/>
    <x v="3"/>
    <x v="2"/>
    <x v="1"/>
  </r>
  <r>
    <n v="1892"/>
    <s v="Patricia"/>
    <s v="Douglas"/>
    <s v="patricia.douglas.1892@gslingacademy.com"/>
    <x v="1"/>
    <x v="1"/>
    <x v="4"/>
    <x v="0"/>
    <n v="5"/>
    <x v="7"/>
    <n v="46"/>
    <n v="53"/>
    <n v="92"/>
    <n v="71"/>
    <n v="90"/>
    <n v="76"/>
    <n v="81"/>
    <n v="509"/>
    <n v="72.714285714285708"/>
    <x v="3"/>
    <x v="2"/>
    <x v="0"/>
  </r>
  <r>
    <n v="1893"/>
    <s v="Brandon"/>
    <s v="Butler"/>
    <s v="brandon.butler.1893@gslingacademy.com"/>
    <x v="0"/>
    <x v="0"/>
    <x v="5"/>
    <x v="0"/>
    <n v="21"/>
    <x v="5"/>
    <n v="89"/>
    <n v="87"/>
    <n v="81"/>
    <n v="67"/>
    <n v="93"/>
    <n v="98"/>
    <n v="68"/>
    <n v="583"/>
    <n v="83.285714285714292"/>
    <x v="0"/>
    <x v="0"/>
    <x v="0"/>
  </r>
  <r>
    <n v="1894"/>
    <s v="Erica"/>
    <s v="Valdez"/>
    <s v="erica.valdez.1894@gslingacademy.com"/>
    <x v="1"/>
    <x v="0"/>
    <x v="4"/>
    <x v="0"/>
    <n v="12"/>
    <x v="12"/>
    <n v="83"/>
    <n v="79"/>
    <n v="87"/>
    <n v="66"/>
    <n v="78"/>
    <n v="93"/>
    <n v="82"/>
    <n v="568"/>
    <n v="81.142857142857139"/>
    <x v="2"/>
    <x v="2"/>
    <x v="0"/>
  </r>
  <r>
    <n v="1895"/>
    <s v="Alexis"/>
    <s v="Byrd"/>
    <s v="alexis.byrd.1895@gslingacademy.com"/>
    <x v="1"/>
    <x v="1"/>
    <x v="3"/>
    <x v="0"/>
    <n v="0"/>
    <x v="7"/>
    <n v="51"/>
    <n v="55"/>
    <n v="87"/>
    <n v="51"/>
    <n v="77"/>
    <n v="87"/>
    <n v="65"/>
    <n v="473"/>
    <n v="67.571428571428569"/>
    <x v="3"/>
    <x v="2"/>
    <x v="0"/>
  </r>
  <r>
    <n v="1896"/>
    <s v="James"/>
    <s v="Simpson"/>
    <s v="james.simpson.1896@gslingacademy.com"/>
    <x v="0"/>
    <x v="0"/>
    <x v="3"/>
    <x v="0"/>
    <n v="26"/>
    <x v="11"/>
    <n v="79"/>
    <n v="90"/>
    <n v="82"/>
    <n v="92"/>
    <n v="70"/>
    <n v="60"/>
    <n v="80"/>
    <n v="553"/>
    <n v="79"/>
    <x v="0"/>
    <x v="2"/>
    <x v="0"/>
  </r>
  <r>
    <n v="1897"/>
    <s v="Robert"/>
    <s v="Campbell"/>
    <s v="robert.campbell.1897@gslingacademy.com"/>
    <x v="0"/>
    <x v="0"/>
    <x v="0"/>
    <x v="0"/>
    <n v="15"/>
    <x v="11"/>
    <n v="97"/>
    <n v="73"/>
    <n v="64"/>
    <n v="95"/>
    <n v="71"/>
    <n v="68"/>
    <n v="78"/>
    <n v="546"/>
    <n v="78"/>
    <x v="2"/>
    <x v="0"/>
    <x v="0"/>
  </r>
  <r>
    <n v="1898"/>
    <s v="Nicole"/>
    <s v="Smith"/>
    <s v="nicole.smith.1898@gslingacademy.com"/>
    <x v="1"/>
    <x v="1"/>
    <x v="5"/>
    <x v="0"/>
    <n v="14"/>
    <x v="11"/>
    <n v="100"/>
    <n v="68"/>
    <n v="85"/>
    <n v="85"/>
    <n v="62"/>
    <n v="63"/>
    <n v="92"/>
    <n v="555"/>
    <n v="79.285714285714292"/>
    <x v="2"/>
    <x v="0"/>
    <x v="0"/>
  </r>
  <r>
    <n v="1899"/>
    <s v="Patricia"/>
    <s v="Porter"/>
    <s v="patricia.porter.1899@gslingacademy.com"/>
    <x v="1"/>
    <x v="0"/>
    <x v="4"/>
    <x v="0"/>
    <n v="9"/>
    <x v="6"/>
    <n v="70"/>
    <n v="99"/>
    <n v="60"/>
    <n v="79"/>
    <n v="71"/>
    <n v="79"/>
    <n v="75"/>
    <n v="533"/>
    <n v="76.142857142857139"/>
    <x v="4"/>
    <x v="2"/>
    <x v="0"/>
  </r>
  <r>
    <n v="1900"/>
    <s v="Brian"/>
    <s v="Chan"/>
    <s v="brian.chan.1900@gslingacademy.com"/>
    <x v="0"/>
    <x v="0"/>
    <x v="1"/>
    <x v="0"/>
    <n v="19"/>
    <x v="4"/>
    <n v="70"/>
    <n v="66"/>
    <n v="90"/>
    <n v="74"/>
    <n v="100"/>
    <n v="96"/>
    <n v="81"/>
    <n v="577"/>
    <n v="82.428571428571431"/>
    <x v="2"/>
    <x v="0"/>
    <x v="0"/>
  </r>
  <r>
    <n v="1901"/>
    <s v="Katherine"/>
    <s v="Norman"/>
    <s v="katherine.norman.1901@gslingacademy.com"/>
    <x v="1"/>
    <x v="0"/>
    <x v="6"/>
    <x v="0"/>
    <n v="17"/>
    <x v="6"/>
    <n v="67"/>
    <n v="80"/>
    <n v="86"/>
    <n v="98"/>
    <n v="83"/>
    <n v="82"/>
    <n v="76"/>
    <n v="572"/>
    <n v="81.714285714285708"/>
    <x v="2"/>
    <x v="1"/>
    <x v="0"/>
  </r>
  <r>
    <n v="1902"/>
    <s v="Pamela"/>
    <s v="Gomez"/>
    <s v="pamela.gomez.1902@gslingacademy.com"/>
    <x v="1"/>
    <x v="0"/>
    <x v="0"/>
    <x v="1"/>
    <n v="9"/>
    <x v="16"/>
    <n v="71"/>
    <n v="95"/>
    <n v="72"/>
    <n v="88"/>
    <n v="89"/>
    <n v="78"/>
    <n v="67"/>
    <n v="560"/>
    <n v="80"/>
    <x v="4"/>
    <x v="0"/>
    <x v="0"/>
  </r>
  <r>
    <n v="1903"/>
    <s v="Amy"/>
    <s v="Morrow"/>
    <s v="amy.morrow.1903@gslingacademy.com"/>
    <x v="1"/>
    <x v="0"/>
    <x v="3"/>
    <x v="1"/>
    <n v="14"/>
    <x v="9"/>
    <n v="87"/>
    <n v="64"/>
    <n v="68"/>
    <n v="60"/>
    <n v="81"/>
    <n v="75"/>
    <n v="67"/>
    <n v="502"/>
    <n v="71.714285714285708"/>
    <x v="2"/>
    <x v="2"/>
    <x v="0"/>
  </r>
  <r>
    <n v="1904"/>
    <s v="Luke"/>
    <s v="Hernandez"/>
    <s v="luke.hernandez.1904@gslingacademy.com"/>
    <x v="0"/>
    <x v="0"/>
    <x v="5"/>
    <x v="1"/>
    <n v="3"/>
    <x v="14"/>
    <n v="80"/>
    <n v="79"/>
    <n v="94"/>
    <n v="74"/>
    <n v="83"/>
    <n v="83"/>
    <n v="61"/>
    <n v="554"/>
    <n v="79.142857142857139"/>
    <x v="3"/>
    <x v="0"/>
    <x v="0"/>
  </r>
  <r>
    <n v="1905"/>
    <s v="Roberto"/>
    <s v="Rodriguez"/>
    <s v="roberto.rodriguez.1905@gslingacademy.com"/>
    <x v="0"/>
    <x v="1"/>
    <x v="2"/>
    <x v="1"/>
    <n v="22"/>
    <x v="5"/>
    <n v="94"/>
    <n v="80"/>
    <n v="72"/>
    <n v="90"/>
    <n v="60"/>
    <n v="78"/>
    <n v="94"/>
    <n v="568"/>
    <n v="81.142857142857139"/>
    <x v="0"/>
    <x v="1"/>
    <x v="0"/>
  </r>
  <r>
    <n v="1906"/>
    <s v="Carla"/>
    <s v="Jackson"/>
    <s v="carla.jackson.1906@gslingacademy.com"/>
    <x v="1"/>
    <x v="0"/>
    <x v="0"/>
    <x v="0"/>
    <n v="10"/>
    <x v="16"/>
    <n v="83"/>
    <n v="91"/>
    <n v="82"/>
    <n v="93"/>
    <n v="71"/>
    <n v="80"/>
    <n v="85"/>
    <n v="585"/>
    <n v="83.571428571428569"/>
    <x v="4"/>
    <x v="0"/>
    <x v="0"/>
  </r>
  <r>
    <n v="1907"/>
    <s v="Aaron"/>
    <s v="Allen"/>
    <s v="aaron.allen.1907@gslingacademy.com"/>
    <x v="0"/>
    <x v="1"/>
    <x v="5"/>
    <x v="0"/>
    <n v="1"/>
    <x v="7"/>
    <n v="63"/>
    <n v="69"/>
    <n v="57"/>
    <n v="60"/>
    <n v="80"/>
    <n v="92"/>
    <n v="62"/>
    <n v="483"/>
    <n v="69"/>
    <x v="3"/>
    <x v="0"/>
    <x v="0"/>
  </r>
  <r>
    <n v="1908"/>
    <s v="Wendy"/>
    <s v="Burch"/>
    <s v="wendy.burch.1908@gslingacademy.com"/>
    <x v="1"/>
    <x v="0"/>
    <x v="10"/>
    <x v="0"/>
    <n v="10"/>
    <x v="4"/>
    <n v="93"/>
    <n v="78"/>
    <n v="72"/>
    <n v="66"/>
    <n v="73"/>
    <n v="76"/>
    <n v="68"/>
    <n v="526"/>
    <n v="75.142857142857139"/>
    <x v="4"/>
    <x v="3"/>
    <x v="0"/>
  </r>
  <r>
    <n v="1909"/>
    <s v="Sarah"/>
    <s v="Hansen"/>
    <s v="sarah.hansen.1909@gslingacademy.com"/>
    <x v="1"/>
    <x v="0"/>
    <x v="1"/>
    <x v="0"/>
    <n v="36"/>
    <x v="1"/>
    <n v="94"/>
    <n v="100"/>
    <n v="95"/>
    <n v="92"/>
    <n v="95"/>
    <n v="88"/>
    <n v="88"/>
    <n v="652"/>
    <n v="93.142857142857139"/>
    <x v="1"/>
    <x v="0"/>
    <x v="1"/>
  </r>
  <r>
    <n v="1910"/>
    <s v="Amy"/>
    <s v="Dominguez"/>
    <s v="amy.dominguez.1910@gslingacademy.com"/>
    <x v="1"/>
    <x v="0"/>
    <x v="0"/>
    <x v="0"/>
    <n v="34"/>
    <x v="5"/>
    <n v="99"/>
    <n v="75"/>
    <n v="87"/>
    <n v="76"/>
    <n v="95"/>
    <n v="99"/>
    <n v="67"/>
    <n v="598"/>
    <n v="85.428571428571431"/>
    <x v="1"/>
    <x v="0"/>
    <x v="0"/>
  </r>
  <r>
    <n v="1911"/>
    <s v="Mark"/>
    <s v="Jacobs"/>
    <s v="mark.jacobs.1911@gslingacademy.com"/>
    <x v="0"/>
    <x v="0"/>
    <x v="0"/>
    <x v="0"/>
    <n v="32"/>
    <x v="1"/>
    <n v="82"/>
    <n v="98"/>
    <n v="100"/>
    <n v="100"/>
    <n v="100"/>
    <n v="64"/>
    <n v="87"/>
    <n v="631"/>
    <n v="90.142857142857139"/>
    <x v="1"/>
    <x v="0"/>
    <x v="1"/>
  </r>
  <r>
    <n v="1912"/>
    <s v="Melissa"/>
    <s v="Mendoza"/>
    <s v="melissa.mendoza.1912@gslingacademy.com"/>
    <x v="1"/>
    <x v="0"/>
    <x v="1"/>
    <x v="0"/>
    <n v="28"/>
    <x v="5"/>
    <n v="95"/>
    <n v="82"/>
    <n v="100"/>
    <n v="60"/>
    <n v="77"/>
    <n v="95"/>
    <n v="80"/>
    <n v="589"/>
    <n v="84.142857142857139"/>
    <x v="0"/>
    <x v="0"/>
    <x v="0"/>
  </r>
  <r>
    <n v="1913"/>
    <s v="Bethany"/>
    <s v="Thomas"/>
    <s v="bethany.thomas.1913@gslingacademy.com"/>
    <x v="1"/>
    <x v="1"/>
    <x v="7"/>
    <x v="0"/>
    <n v="3"/>
    <x v="7"/>
    <n v="55"/>
    <n v="92"/>
    <n v="59"/>
    <n v="78"/>
    <n v="61"/>
    <n v="83"/>
    <n v="60"/>
    <n v="488"/>
    <n v="69.714285714285708"/>
    <x v="3"/>
    <x v="1"/>
    <x v="0"/>
  </r>
  <r>
    <n v="1914"/>
    <s v="Michael"/>
    <s v="Webb"/>
    <s v="michael.webb.1914@gslingacademy.com"/>
    <x v="0"/>
    <x v="0"/>
    <x v="1"/>
    <x v="0"/>
    <n v="32"/>
    <x v="5"/>
    <n v="90"/>
    <n v="90"/>
    <n v="82"/>
    <n v="64"/>
    <n v="75"/>
    <n v="82"/>
    <n v="93"/>
    <n v="576"/>
    <n v="82.285714285714292"/>
    <x v="1"/>
    <x v="0"/>
    <x v="0"/>
  </r>
  <r>
    <n v="1915"/>
    <s v="Gregory"/>
    <s v="Cole"/>
    <s v="gregory.cole.1915@gslingacademy.com"/>
    <x v="0"/>
    <x v="0"/>
    <x v="1"/>
    <x v="0"/>
    <n v="4"/>
    <x v="7"/>
    <n v="46"/>
    <n v="77"/>
    <n v="90"/>
    <n v="78"/>
    <n v="66"/>
    <n v="76"/>
    <n v="86"/>
    <n v="519"/>
    <n v="74.142857142857139"/>
    <x v="3"/>
    <x v="0"/>
    <x v="0"/>
  </r>
  <r>
    <n v="1916"/>
    <s v="Jeffrey"/>
    <s v="Miller"/>
    <s v="jeffrey.miller.1916@gslingacademy.com"/>
    <x v="0"/>
    <x v="0"/>
    <x v="1"/>
    <x v="0"/>
    <n v="21"/>
    <x v="11"/>
    <n v="91"/>
    <n v="100"/>
    <n v="98"/>
    <n v="96"/>
    <n v="66"/>
    <n v="87"/>
    <n v="65"/>
    <n v="603"/>
    <n v="86.142857142857139"/>
    <x v="0"/>
    <x v="0"/>
    <x v="1"/>
  </r>
  <r>
    <n v="1917"/>
    <s v="Rebecca"/>
    <s v="Castillo"/>
    <s v="rebecca.castillo.1917@gslingacademy.com"/>
    <x v="1"/>
    <x v="0"/>
    <x v="5"/>
    <x v="1"/>
    <n v="22"/>
    <x v="10"/>
    <n v="72"/>
    <n v="100"/>
    <n v="78"/>
    <n v="100"/>
    <n v="98"/>
    <n v="92"/>
    <n v="97"/>
    <n v="637"/>
    <n v="91"/>
    <x v="0"/>
    <x v="0"/>
    <x v="1"/>
  </r>
  <r>
    <n v="1918"/>
    <s v="Amanda"/>
    <s v="Green"/>
    <s v="amanda.green.1918@gslingacademy.com"/>
    <x v="1"/>
    <x v="0"/>
    <x v="9"/>
    <x v="0"/>
    <n v="28"/>
    <x v="9"/>
    <n v="79"/>
    <n v="87"/>
    <n v="98"/>
    <n v="87"/>
    <n v="99"/>
    <n v="94"/>
    <n v="88"/>
    <n v="632"/>
    <n v="90.285714285714292"/>
    <x v="0"/>
    <x v="2"/>
    <x v="1"/>
  </r>
  <r>
    <n v="1919"/>
    <s v="Joseph"/>
    <s v="Hess"/>
    <s v="joseph.hess.1919@gslingacademy.com"/>
    <x v="0"/>
    <x v="0"/>
    <x v="0"/>
    <x v="0"/>
    <n v="35"/>
    <x v="13"/>
    <n v="85"/>
    <n v="90"/>
    <n v="96"/>
    <n v="95"/>
    <n v="95"/>
    <n v="88"/>
    <n v="90"/>
    <n v="639"/>
    <n v="91.285714285714292"/>
    <x v="1"/>
    <x v="0"/>
    <x v="1"/>
  </r>
  <r>
    <n v="1920"/>
    <s v="Kyle"/>
    <s v="Novak"/>
    <s v="kyle.novak.1920@gslingacademy.com"/>
    <x v="0"/>
    <x v="0"/>
    <x v="5"/>
    <x v="0"/>
    <n v="35"/>
    <x v="0"/>
    <n v="100"/>
    <n v="87"/>
    <n v="85"/>
    <n v="90"/>
    <n v="92"/>
    <n v="99"/>
    <n v="94"/>
    <n v="647"/>
    <n v="92.428571428571431"/>
    <x v="1"/>
    <x v="0"/>
    <x v="1"/>
  </r>
  <r>
    <n v="1921"/>
    <s v="Kara"/>
    <s v="Coleman"/>
    <s v="kara.coleman.1921@gslingacademy.com"/>
    <x v="1"/>
    <x v="0"/>
    <x v="9"/>
    <x v="1"/>
    <n v="16"/>
    <x v="9"/>
    <n v="96"/>
    <n v="70"/>
    <n v="65"/>
    <n v="63"/>
    <n v="97"/>
    <n v="97"/>
    <n v="98"/>
    <n v="586"/>
    <n v="83.714285714285708"/>
    <x v="2"/>
    <x v="2"/>
    <x v="0"/>
  </r>
  <r>
    <n v="1922"/>
    <s v="Daniel"/>
    <s v="Martin"/>
    <s v="daniel.martin.1922@gslingacademy.com"/>
    <x v="0"/>
    <x v="0"/>
    <x v="5"/>
    <x v="1"/>
    <n v="20"/>
    <x v="9"/>
    <n v="85"/>
    <n v="96"/>
    <n v="71"/>
    <n v="67"/>
    <n v="98"/>
    <n v="92"/>
    <n v="91"/>
    <n v="600"/>
    <n v="85.714285714285708"/>
    <x v="2"/>
    <x v="0"/>
    <x v="0"/>
  </r>
  <r>
    <n v="1923"/>
    <s v="Andrea"/>
    <s v="Richards"/>
    <s v="andrea.richards.1923@gslingacademy.com"/>
    <x v="1"/>
    <x v="0"/>
    <x v="9"/>
    <x v="0"/>
    <n v="27"/>
    <x v="5"/>
    <n v="90"/>
    <n v="82"/>
    <n v="98"/>
    <n v="61"/>
    <n v="92"/>
    <n v="67"/>
    <n v="80"/>
    <n v="570"/>
    <n v="81.428571428571431"/>
    <x v="0"/>
    <x v="2"/>
    <x v="0"/>
  </r>
  <r>
    <n v="1924"/>
    <s v="Sydney"/>
    <s v="Clay"/>
    <s v="sydney.clay.1924@gslingacademy.com"/>
    <x v="1"/>
    <x v="0"/>
    <x v="4"/>
    <x v="0"/>
    <n v="14"/>
    <x v="9"/>
    <n v="94"/>
    <n v="96"/>
    <n v="94"/>
    <n v="99"/>
    <n v="67"/>
    <n v="98"/>
    <n v="67"/>
    <n v="615"/>
    <n v="87.857142857142861"/>
    <x v="2"/>
    <x v="2"/>
    <x v="1"/>
  </r>
  <r>
    <n v="1925"/>
    <s v="Jeremy"/>
    <s v="Tran"/>
    <s v="jeremy.tran.1925@gslingacademy.com"/>
    <x v="0"/>
    <x v="0"/>
    <x v="5"/>
    <x v="0"/>
    <n v="35"/>
    <x v="13"/>
    <n v="98"/>
    <n v="85"/>
    <n v="100"/>
    <n v="94"/>
    <n v="93"/>
    <n v="92"/>
    <n v="94"/>
    <n v="656"/>
    <n v="93.714285714285708"/>
    <x v="1"/>
    <x v="0"/>
    <x v="1"/>
  </r>
  <r>
    <n v="1926"/>
    <s v="Michael"/>
    <s v="Hayden"/>
    <s v="michael.hayden.1926@gslingacademy.com"/>
    <x v="0"/>
    <x v="1"/>
    <x v="4"/>
    <x v="0"/>
    <n v="2"/>
    <x v="7"/>
    <n v="62"/>
    <n v="54"/>
    <n v="77"/>
    <n v="60"/>
    <n v="74"/>
    <n v="62"/>
    <n v="76"/>
    <n v="465"/>
    <n v="66.428571428571431"/>
    <x v="3"/>
    <x v="2"/>
    <x v="0"/>
  </r>
  <r>
    <n v="1927"/>
    <s v="Antonio"/>
    <s v="Beasley"/>
    <s v="antonio.beasley.1927@gslingacademy.com"/>
    <x v="0"/>
    <x v="0"/>
    <x v="9"/>
    <x v="0"/>
    <n v="3"/>
    <x v="3"/>
    <n v="63"/>
    <n v="97"/>
    <n v="80"/>
    <n v="84"/>
    <n v="90"/>
    <n v="63"/>
    <n v="64"/>
    <n v="541"/>
    <n v="77.285714285714292"/>
    <x v="3"/>
    <x v="2"/>
    <x v="0"/>
  </r>
  <r>
    <n v="1928"/>
    <s v="Michelle"/>
    <s v="Lopez"/>
    <s v="michelle.lopez.1928@gslingacademy.com"/>
    <x v="1"/>
    <x v="0"/>
    <x v="1"/>
    <x v="0"/>
    <n v="32"/>
    <x v="0"/>
    <n v="72"/>
    <n v="95"/>
    <n v="71"/>
    <n v="74"/>
    <n v="84"/>
    <n v="97"/>
    <n v="66"/>
    <n v="559"/>
    <n v="79.857142857142861"/>
    <x v="1"/>
    <x v="0"/>
    <x v="0"/>
  </r>
  <r>
    <n v="1929"/>
    <s v="Catherine"/>
    <s v="Brooks"/>
    <s v="catherine.brooks.1929@gslingacademy.com"/>
    <x v="1"/>
    <x v="1"/>
    <x v="4"/>
    <x v="1"/>
    <n v="33"/>
    <x v="5"/>
    <n v="94"/>
    <n v="90"/>
    <n v="79"/>
    <n v="69"/>
    <n v="100"/>
    <n v="72"/>
    <n v="98"/>
    <n v="602"/>
    <n v="86"/>
    <x v="1"/>
    <x v="2"/>
    <x v="1"/>
  </r>
  <r>
    <n v="1930"/>
    <s v="Anita"/>
    <s v="Gonzalez"/>
    <s v="anita.gonzalez.1930@gslingacademy.com"/>
    <x v="1"/>
    <x v="0"/>
    <x v="1"/>
    <x v="1"/>
    <n v="24"/>
    <x v="9"/>
    <n v="99"/>
    <n v="84"/>
    <n v="94"/>
    <n v="76"/>
    <n v="62"/>
    <n v="79"/>
    <n v="67"/>
    <n v="561"/>
    <n v="80.142857142857139"/>
    <x v="0"/>
    <x v="0"/>
    <x v="0"/>
  </r>
  <r>
    <n v="1931"/>
    <s v="James"/>
    <s v="Hudson"/>
    <s v="james.hudson.1931@gslingacademy.com"/>
    <x v="0"/>
    <x v="0"/>
    <x v="1"/>
    <x v="0"/>
    <n v="5"/>
    <x v="4"/>
    <n v="81"/>
    <n v="91"/>
    <n v="85"/>
    <n v="64"/>
    <n v="82"/>
    <n v="90"/>
    <n v="94"/>
    <n v="587"/>
    <n v="83.857142857142861"/>
    <x v="3"/>
    <x v="0"/>
    <x v="0"/>
  </r>
  <r>
    <n v="1932"/>
    <s v="Alicia"/>
    <s v="Rodriguez"/>
    <s v="alicia.rodriguez.1932@gslingacademy.com"/>
    <x v="1"/>
    <x v="0"/>
    <x v="3"/>
    <x v="0"/>
    <n v="8"/>
    <x v="6"/>
    <n v="61"/>
    <n v="100"/>
    <n v="85"/>
    <n v="99"/>
    <n v="65"/>
    <n v="79"/>
    <n v="86"/>
    <n v="575"/>
    <n v="82.142857142857139"/>
    <x v="4"/>
    <x v="2"/>
    <x v="0"/>
  </r>
  <r>
    <n v="1933"/>
    <s v="Tracy"/>
    <s v="Martinez"/>
    <s v="tracy.martinez.1933@gslingacademy.com"/>
    <x v="1"/>
    <x v="0"/>
    <x v="1"/>
    <x v="1"/>
    <n v="8"/>
    <x v="6"/>
    <n v="68"/>
    <n v="95"/>
    <n v="76"/>
    <n v="97"/>
    <n v="91"/>
    <n v="78"/>
    <n v="71"/>
    <n v="576"/>
    <n v="82.285714285714292"/>
    <x v="4"/>
    <x v="0"/>
    <x v="0"/>
  </r>
  <r>
    <n v="1934"/>
    <s v="Christopher"/>
    <s v="Montgomery"/>
    <s v="christopher.montgomery.1934@gslingacademy.com"/>
    <x v="0"/>
    <x v="0"/>
    <x v="10"/>
    <x v="0"/>
    <n v="21"/>
    <x v="4"/>
    <n v="64"/>
    <n v="74"/>
    <n v="79"/>
    <n v="72"/>
    <n v="74"/>
    <n v="65"/>
    <n v="95"/>
    <n v="523"/>
    <n v="74.714285714285708"/>
    <x v="0"/>
    <x v="3"/>
    <x v="0"/>
  </r>
  <r>
    <n v="1935"/>
    <s v="Sherri"/>
    <s v="Cruz"/>
    <s v="sherri.cruz.1935@gslingacademy.com"/>
    <x v="1"/>
    <x v="0"/>
    <x v="5"/>
    <x v="1"/>
    <n v="6"/>
    <x v="2"/>
    <n v="66"/>
    <n v="94"/>
    <n v="67"/>
    <n v="79"/>
    <n v="64"/>
    <n v="89"/>
    <n v="75"/>
    <n v="534"/>
    <n v="76.285714285714292"/>
    <x v="4"/>
    <x v="0"/>
    <x v="0"/>
  </r>
  <r>
    <n v="1936"/>
    <s v="Elizabeth"/>
    <s v="Adams"/>
    <s v="elizabeth.adams.1936@gslingacademy.com"/>
    <x v="1"/>
    <x v="1"/>
    <x v="10"/>
    <x v="0"/>
    <n v="15"/>
    <x v="5"/>
    <n v="100"/>
    <n v="95"/>
    <n v="72"/>
    <n v="77"/>
    <n v="66"/>
    <n v="68"/>
    <n v="76"/>
    <n v="554"/>
    <n v="79.142857142857139"/>
    <x v="2"/>
    <x v="3"/>
    <x v="0"/>
  </r>
  <r>
    <n v="1937"/>
    <s v="Melissa"/>
    <s v="Simmons"/>
    <s v="melissa.simmons.1937@gslingacademy.com"/>
    <x v="1"/>
    <x v="1"/>
    <x v="5"/>
    <x v="0"/>
    <n v="12"/>
    <x v="2"/>
    <n v="74"/>
    <n v="86"/>
    <n v="70"/>
    <n v="94"/>
    <n v="71"/>
    <n v="70"/>
    <n v="63"/>
    <n v="528"/>
    <n v="75.428571428571431"/>
    <x v="2"/>
    <x v="0"/>
    <x v="0"/>
  </r>
  <r>
    <n v="1938"/>
    <s v="Carol"/>
    <s v="Ramos"/>
    <s v="carol.ramos.1938@gslingacademy.com"/>
    <x v="1"/>
    <x v="0"/>
    <x v="4"/>
    <x v="0"/>
    <n v="1"/>
    <x v="3"/>
    <n v="96"/>
    <n v="66"/>
    <n v="76"/>
    <n v="71"/>
    <n v="94"/>
    <n v="72"/>
    <n v="86"/>
    <n v="561"/>
    <n v="80.142857142857139"/>
    <x v="3"/>
    <x v="2"/>
    <x v="0"/>
  </r>
  <r>
    <n v="1939"/>
    <s v="Michael"/>
    <s v="Adams"/>
    <s v="michael.adams.1939@gslingacademy.com"/>
    <x v="0"/>
    <x v="0"/>
    <x v="1"/>
    <x v="0"/>
    <n v="14"/>
    <x v="5"/>
    <n v="90"/>
    <n v="92"/>
    <n v="95"/>
    <n v="88"/>
    <n v="88"/>
    <n v="85"/>
    <n v="92"/>
    <n v="630"/>
    <n v="90"/>
    <x v="2"/>
    <x v="0"/>
    <x v="1"/>
  </r>
  <r>
    <n v="1940"/>
    <s v="Michael"/>
    <s v="Wilson"/>
    <s v="michael.wilson.1940@gslingacademy.com"/>
    <x v="0"/>
    <x v="0"/>
    <x v="0"/>
    <x v="0"/>
    <n v="26"/>
    <x v="11"/>
    <n v="92"/>
    <n v="86"/>
    <n v="61"/>
    <n v="78"/>
    <n v="56"/>
    <n v="68"/>
    <n v="85"/>
    <n v="526"/>
    <n v="75.142857142857139"/>
    <x v="0"/>
    <x v="0"/>
    <x v="0"/>
  </r>
  <r>
    <n v="1941"/>
    <s v="Matthew"/>
    <s v="Gonzalez"/>
    <s v="matthew.gonzalez.1941@gslingacademy.com"/>
    <x v="0"/>
    <x v="1"/>
    <x v="5"/>
    <x v="0"/>
    <n v="31"/>
    <x v="1"/>
    <n v="99"/>
    <n v="78"/>
    <n v="99"/>
    <n v="88"/>
    <n v="96"/>
    <n v="96"/>
    <n v="90"/>
    <n v="646"/>
    <n v="92.285714285714292"/>
    <x v="1"/>
    <x v="0"/>
    <x v="1"/>
  </r>
  <r>
    <n v="1942"/>
    <s v="Lisa"/>
    <s v="Palmer"/>
    <s v="lisa.palmer.1942@gslingacademy.com"/>
    <x v="1"/>
    <x v="0"/>
    <x v="9"/>
    <x v="0"/>
    <n v="5"/>
    <x v="4"/>
    <n v="63"/>
    <n v="68"/>
    <n v="91"/>
    <n v="82"/>
    <n v="90"/>
    <n v="86"/>
    <n v="75"/>
    <n v="555"/>
    <n v="79.285714285714292"/>
    <x v="3"/>
    <x v="2"/>
    <x v="0"/>
  </r>
  <r>
    <n v="1943"/>
    <s v="Andrew"/>
    <s v="Olson"/>
    <s v="andrew.olson.1943@gslingacademy.com"/>
    <x v="0"/>
    <x v="0"/>
    <x v="1"/>
    <x v="0"/>
    <n v="28"/>
    <x v="11"/>
    <n v="98"/>
    <n v="88"/>
    <n v="81"/>
    <n v="65"/>
    <n v="59"/>
    <n v="84"/>
    <n v="87"/>
    <n v="562"/>
    <n v="80.285714285714292"/>
    <x v="0"/>
    <x v="0"/>
    <x v="0"/>
  </r>
  <r>
    <n v="1944"/>
    <s v="Jennifer"/>
    <s v="Johnson"/>
    <s v="jennifer.johnson.1944@gslingacademy.com"/>
    <x v="1"/>
    <x v="0"/>
    <x v="5"/>
    <x v="1"/>
    <n v="11"/>
    <x v="4"/>
    <n v="87"/>
    <n v="61"/>
    <n v="62"/>
    <n v="66"/>
    <n v="67"/>
    <n v="81"/>
    <n v="65"/>
    <n v="489"/>
    <n v="69.857142857142861"/>
    <x v="2"/>
    <x v="0"/>
    <x v="0"/>
  </r>
  <r>
    <n v="1945"/>
    <s v="Benjamin"/>
    <s v="Marks"/>
    <s v="benjamin.marks.1945@gslingacademy.com"/>
    <x v="0"/>
    <x v="0"/>
    <x v="5"/>
    <x v="1"/>
    <n v="19"/>
    <x v="5"/>
    <n v="96"/>
    <n v="96"/>
    <n v="80"/>
    <n v="93"/>
    <n v="82"/>
    <n v="65"/>
    <n v="70"/>
    <n v="582"/>
    <n v="83.142857142857139"/>
    <x v="2"/>
    <x v="0"/>
    <x v="0"/>
  </r>
  <r>
    <n v="1946"/>
    <s v="Christopher"/>
    <s v="Gonzales"/>
    <s v="christopher.gonzales.1946@gslingacademy.com"/>
    <x v="0"/>
    <x v="0"/>
    <x v="0"/>
    <x v="0"/>
    <n v="17"/>
    <x v="15"/>
    <n v="80"/>
    <n v="98"/>
    <n v="99"/>
    <n v="90"/>
    <n v="64"/>
    <n v="86"/>
    <n v="93"/>
    <n v="610"/>
    <n v="87.142857142857139"/>
    <x v="2"/>
    <x v="0"/>
    <x v="1"/>
  </r>
  <r>
    <n v="1947"/>
    <s v="Melissa"/>
    <s v="Finley"/>
    <s v="melissa.finley.1947@gslingacademy.com"/>
    <x v="1"/>
    <x v="0"/>
    <x v="10"/>
    <x v="1"/>
    <n v="30"/>
    <x v="4"/>
    <n v="80"/>
    <n v="77"/>
    <n v="96"/>
    <n v="64"/>
    <n v="93"/>
    <n v="62"/>
    <n v="86"/>
    <n v="558"/>
    <n v="79.714285714285708"/>
    <x v="0"/>
    <x v="3"/>
    <x v="0"/>
  </r>
  <r>
    <n v="1948"/>
    <s v="Tracy"/>
    <s v="Hendricks"/>
    <s v="tracy.hendricks.1948@gslingacademy.com"/>
    <x v="0"/>
    <x v="0"/>
    <x v="1"/>
    <x v="0"/>
    <n v="23"/>
    <x v="5"/>
    <n v="91"/>
    <n v="79"/>
    <n v="70"/>
    <n v="94"/>
    <n v="77"/>
    <n v="83"/>
    <n v="81"/>
    <n v="575"/>
    <n v="82.142857142857139"/>
    <x v="0"/>
    <x v="0"/>
    <x v="0"/>
  </r>
  <r>
    <n v="1949"/>
    <s v="Steven"/>
    <s v="Ramsey"/>
    <s v="steven.ramsey.1949@gslingacademy.com"/>
    <x v="0"/>
    <x v="0"/>
    <x v="4"/>
    <x v="0"/>
    <n v="0"/>
    <x v="7"/>
    <n v="91"/>
    <n v="96"/>
    <n v="78"/>
    <n v="70"/>
    <n v="50"/>
    <n v="50"/>
    <n v="69"/>
    <n v="504"/>
    <n v="72"/>
    <x v="3"/>
    <x v="2"/>
    <x v="0"/>
  </r>
  <r>
    <n v="1950"/>
    <s v="Pamela"/>
    <s v="Smith"/>
    <s v="pamela.smith.1950@gslingacademy.com"/>
    <x v="1"/>
    <x v="0"/>
    <x v="10"/>
    <x v="1"/>
    <n v="19"/>
    <x v="9"/>
    <n v="83"/>
    <n v="70"/>
    <n v="72"/>
    <n v="65"/>
    <n v="63"/>
    <n v="88"/>
    <n v="94"/>
    <n v="535"/>
    <n v="76.428571428571431"/>
    <x v="2"/>
    <x v="3"/>
    <x v="0"/>
  </r>
  <r>
    <n v="1951"/>
    <s v="Vicki"/>
    <s v="Jackson"/>
    <s v="vicki.jackson.1951@gslingacademy.com"/>
    <x v="1"/>
    <x v="0"/>
    <x v="1"/>
    <x v="1"/>
    <n v="33"/>
    <x v="0"/>
    <n v="89"/>
    <n v="89"/>
    <n v="69"/>
    <n v="87"/>
    <n v="69"/>
    <n v="97"/>
    <n v="79"/>
    <n v="579"/>
    <n v="82.714285714285708"/>
    <x v="1"/>
    <x v="0"/>
    <x v="0"/>
  </r>
  <r>
    <n v="1952"/>
    <s v="Anne"/>
    <s v="Malone"/>
    <s v="anne.malone.1952@gslingacademy.com"/>
    <x v="1"/>
    <x v="1"/>
    <x v="1"/>
    <x v="1"/>
    <n v="1"/>
    <x v="14"/>
    <n v="81"/>
    <n v="73"/>
    <n v="99"/>
    <n v="72"/>
    <n v="100"/>
    <n v="90"/>
    <n v="64"/>
    <n v="579"/>
    <n v="82.714285714285708"/>
    <x v="3"/>
    <x v="0"/>
    <x v="0"/>
  </r>
  <r>
    <n v="1953"/>
    <s v="Danielle"/>
    <s v="Johnson"/>
    <s v="danielle.johnson.1953@gslingacademy.com"/>
    <x v="1"/>
    <x v="0"/>
    <x v="1"/>
    <x v="0"/>
    <n v="35"/>
    <x v="10"/>
    <n v="97"/>
    <n v="85"/>
    <n v="86"/>
    <n v="99"/>
    <n v="96"/>
    <n v="90"/>
    <n v="88"/>
    <n v="641"/>
    <n v="91.571428571428569"/>
    <x v="1"/>
    <x v="0"/>
    <x v="1"/>
  </r>
  <r>
    <n v="1954"/>
    <s v="Willie"/>
    <s v="Miller"/>
    <s v="willie.miller.1954@gslingacademy.com"/>
    <x v="0"/>
    <x v="0"/>
    <x v="5"/>
    <x v="0"/>
    <n v="3"/>
    <x v="16"/>
    <n v="93"/>
    <n v="91"/>
    <n v="61"/>
    <n v="68"/>
    <n v="83"/>
    <n v="82"/>
    <n v="63"/>
    <n v="541"/>
    <n v="77.285714285714292"/>
    <x v="3"/>
    <x v="0"/>
    <x v="0"/>
  </r>
  <r>
    <n v="1955"/>
    <s v="Andrea"/>
    <s v="Delgado"/>
    <s v="andrea.delgado.1955@gslingacademy.com"/>
    <x v="1"/>
    <x v="0"/>
    <x v="1"/>
    <x v="0"/>
    <n v="2"/>
    <x v="14"/>
    <n v="99"/>
    <n v="86"/>
    <n v="83"/>
    <n v="80"/>
    <n v="69"/>
    <n v="96"/>
    <n v="88"/>
    <n v="601"/>
    <n v="85.857142857142861"/>
    <x v="3"/>
    <x v="0"/>
    <x v="1"/>
  </r>
  <r>
    <n v="1956"/>
    <s v="Melanie"/>
    <s v="Clark"/>
    <s v="melanie.clark.1956@gslingacademy.com"/>
    <x v="1"/>
    <x v="0"/>
    <x v="3"/>
    <x v="1"/>
    <n v="16"/>
    <x v="5"/>
    <n v="95"/>
    <n v="97"/>
    <n v="68"/>
    <n v="79"/>
    <n v="63"/>
    <n v="88"/>
    <n v="63"/>
    <n v="553"/>
    <n v="79"/>
    <x v="2"/>
    <x v="2"/>
    <x v="0"/>
  </r>
  <r>
    <n v="1957"/>
    <s v="Jessica"/>
    <s v="Beasley"/>
    <s v="jessica.beasley.1957@gslingacademy.com"/>
    <x v="1"/>
    <x v="0"/>
    <x v="0"/>
    <x v="0"/>
    <n v="38"/>
    <x v="1"/>
    <n v="100"/>
    <n v="92"/>
    <n v="87"/>
    <n v="94"/>
    <n v="85"/>
    <n v="97"/>
    <n v="100"/>
    <n v="655"/>
    <n v="93.571428571428569"/>
    <x v="1"/>
    <x v="0"/>
    <x v="1"/>
  </r>
  <r>
    <n v="1958"/>
    <s v="Cindy"/>
    <s v="Bradley"/>
    <s v="cindy.bradley.1958@gslingacademy.com"/>
    <x v="1"/>
    <x v="0"/>
    <x v="1"/>
    <x v="0"/>
    <n v="3"/>
    <x v="3"/>
    <n v="62"/>
    <n v="67"/>
    <n v="85"/>
    <n v="97"/>
    <n v="98"/>
    <n v="62"/>
    <n v="73"/>
    <n v="544"/>
    <n v="77.714285714285708"/>
    <x v="3"/>
    <x v="0"/>
    <x v="0"/>
  </r>
  <r>
    <n v="1959"/>
    <s v="Dennis"/>
    <s v="Richardson"/>
    <s v="dennis.richardson.1959@gslingacademy.com"/>
    <x v="0"/>
    <x v="1"/>
    <x v="7"/>
    <x v="1"/>
    <n v="3"/>
    <x v="14"/>
    <n v="88"/>
    <n v="71"/>
    <n v="99"/>
    <n v="74"/>
    <n v="76"/>
    <n v="97"/>
    <n v="87"/>
    <n v="592"/>
    <n v="84.571428571428569"/>
    <x v="3"/>
    <x v="1"/>
    <x v="0"/>
  </r>
  <r>
    <n v="1960"/>
    <s v="Peggy"/>
    <s v="Hoover"/>
    <s v="peggy.hoover.1960@gslingacademy.com"/>
    <x v="1"/>
    <x v="1"/>
    <x v="3"/>
    <x v="0"/>
    <n v="11"/>
    <x v="6"/>
    <n v="75"/>
    <n v="100"/>
    <n v="100"/>
    <n v="82"/>
    <n v="63"/>
    <n v="84"/>
    <n v="82"/>
    <n v="586"/>
    <n v="83.714285714285708"/>
    <x v="2"/>
    <x v="2"/>
    <x v="0"/>
  </r>
  <r>
    <n v="1961"/>
    <s v="Peter"/>
    <s v="Rice"/>
    <s v="peter.rice.1961@gslingacademy.com"/>
    <x v="0"/>
    <x v="0"/>
    <x v="5"/>
    <x v="0"/>
    <n v="1"/>
    <x v="14"/>
    <n v="87"/>
    <n v="91"/>
    <n v="97"/>
    <n v="82"/>
    <n v="79"/>
    <n v="69"/>
    <n v="62"/>
    <n v="567"/>
    <n v="81"/>
    <x v="3"/>
    <x v="0"/>
    <x v="0"/>
  </r>
  <r>
    <n v="1962"/>
    <s v="Sabrina"/>
    <s v="Perez"/>
    <s v="sabrina.perez.1962@gslingacademy.com"/>
    <x v="1"/>
    <x v="0"/>
    <x v="9"/>
    <x v="0"/>
    <n v="4"/>
    <x v="4"/>
    <n v="85"/>
    <n v="60"/>
    <n v="61"/>
    <n v="75"/>
    <n v="83"/>
    <n v="87"/>
    <n v="65"/>
    <n v="516"/>
    <n v="73.714285714285708"/>
    <x v="3"/>
    <x v="2"/>
    <x v="0"/>
  </r>
  <r>
    <n v="1963"/>
    <s v="Michael"/>
    <s v="Parker"/>
    <s v="michael.parker.1963@gslingacademy.com"/>
    <x v="0"/>
    <x v="0"/>
    <x v="0"/>
    <x v="0"/>
    <n v="43"/>
    <x v="1"/>
    <n v="88"/>
    <n v="98"/>
    <n v="94"/>
    <n v="96"/>
    <n v="96"/>
    <n v="89"/>
    <n v="92"/>
    <n v="653"/>
    <n v="93.285714285714292"/>
    <x v="1"/>
    <x v="0"/>
    <x v="1"/>
  </r>
  <r>
    <n v="1964"/>
    <s v="David"/>
    <s v="Calderon"/>
    <s v="david.calderon.1964@gslingacademy.com"/>
    <x v="0"/>
    <x v="0"/>
    <x v="5"/>
    <x v="0"/>
    <n v="47"/>
    <x v="1"/>
    <n v="86"/>
    <n v="93"/>
    <n v="91"/>
    <n v="94"/>
    <n v="93"/>
    <n v="88"/>
    <n v="86"/>
    <n v="631"/>
    <n v="90.142857142857139"/>
    <x v="1"/>
    <x v="0"/>
    <x v="1"/>
  </r>
  <r>
    <n v="1965"/>
    <s v="James"/>
    <s v="Gordon"/>
    <s v="james.gordon.1965@gslingacademy.com"/>
    <x v="0"/>
    <x v="0"/>
    <x v="5"/>
    <x v="0"/>
    <n v="9"/>
    <x v="2"/>
    <n v="68"/>
    <n v="65"/>
    <n v="95"/>
    <n v="88"/>
    <n v="62"/>
    <n v="87"/>
    <n v="62"/>
    <n v="527"/>
    <n v="75.285714285714292"/>
    <x v="4"/>
    <x v="0"/>
    <x v="0"/>
  </r>
  <r>
    <n v="1966"/>
    <s v="Jennifer"/>
    <s v="Leblanc"/>
    <s v="jennifer.leblanc.1966@gslingacademy.com"/>
    <x v="1"/>
    <x v="0"/>
    <x v="4"/>
    <x v="0"/>
    <n v="2"/>
    <x v="7"/>
    <n v="67"/>
    <n v="54"/>
    <n v="71"/>
    <n v="50"/>
    <n v="55"/>
    <n v="51"/>
    <n v="66"/>
    <n v="414"/>
    <n v="59.142857142857146"/>
    <x v="3"/>
    <x v="2"/>
    <x v="0"/>
  </r>
  <r>
    <n v="1967"/>
    <s v="Paul"/>
    <s v="Bailey"/>
    <s v="paul.bailey.1967@gslingacademy.com"/>
    <x v="0"/>
    <x v="1"/>
    <x v="9"/>
    <x v="0"/>
    <n v="5"/>
    <x v="7"/>
    <n v="82"/>
    <n v="69"/>
    <n v="92"/>
    <n v="85"/>
    <n v="59"/>
    <n v="87"/>
    <n v="83"/>
    <n v="557"/>
    <n v="79.571428571428569"/>
    <x v="3"/>
    <x v="2"/>
    <x v="0"/>
  </r>
  <r>
    <n v="1968"/>
    <s v="Tiffany"/>
    <s v="Smith"/>
    <s v="tiffany.smith.1968@gslingacademy.com"/>
    <x v="1"/>
    <x v="0"/>
    <x v="1"/>
    <x v="0"/>
    <n v="26"/>
    <x v="4"/>
    <n v="86"/>
    <n v="88"/>
    <n v="71"/>
    <n v="65"/>
    <n v="86"/>
    <n v="69"/>
    <n v="84"/>
    <n v="549"/>
    <n v="78.428571428571431"/>
    <x v="0"/>
    <x v="0"/>
    <x v="0"/>
  </r>
  <r>
    <n v="1969"/>
    <s v="Victoria"/>
    <s v="Alvarez"/>
    <s v="victoria.alvarez.1969@gslingacademy.com"/>
    <x v="1"/>
    <x v="1"/>
    <x v="0"/>
    <x v="0"/>
    <n v="25"/>
    <x v="5"/>
    <n v="95"/>
    <n v="91"/>
    <n v="64"/>
    <n v="65"/>
    <n v="60"/>
    <n v="84"/>
    <n v="99"/>
    <n v="558"/>
    <n v="79.714285714285708"/>
    <x v="0"/>
    <x v="0"/>
    <x v="0"/>
  </r>
  <r>
    <n v="1970"/>
    <s v="Willie"/>
    <s v="Elliott"/>
    <s v="willie.elliott.1970@gslingacademy.com"/>
    <x v="0"/>
    <x v="0"/>
    <x v="3"/>
    <x v="0"/>
    <n v="9"/>
    <x v="16"/>
    <n v="72"/>
    <n v="82"/>
    <n v="76"/>
    <n v="69"/>
    <n v="67"/>
    <n v="92"/>
    <n v="87"/>
    <n v="545"/>
    <n v="77.857142857142861"/>
    <x v="4"/>
    <x v="2"/>
    <x v="0"/>
  </r>
  <r>
    <n v="1971"/>
    <s v="James"/>
    <s v="Bryant"/>
    <s v="james.bryant.1971@gslingacademy.com"/>
    <x v="0"/>
    <x v="0"/>
    <x v="5"/>
    <x v="0"/>
    <n v="27"/>
    <x v="11"/>
    <n v="99"/>
    <n v="87"/>
    <n v="67"/>
    <n v="91"/>
    <n v="36"/>
    <n v="76"/>
    <n v="64"/>
    <n v="520"/>
    <n v="74.285714285714292"/>
    <x v="0"/>
    <x v="0"/>
    <x v="0"/>
  </r>
  <r>
    <n v="1972"/>
    <s v="Kimberly"/>
    <s v="Swanson"/>
    <s v="kimberly.swanson.1972@gslingacademy.com"/>
    <x v="1"/>
    <x v="0"/>
    <x v="1"/>
    <x v="1"/>
    <n v="19"/>
    <x v="9"/>
    <n v="75"/>
    <n v="88"/>
    <n v="71"/>
    <n v="80"/>
    <n v="65"/>
    <n v="85"/>
    <n v="60"/>
    <n v="524"/>
    <n v="74.857142857142861"/>
    <x v="2"/>
    <x v="0"/>
    <x v="0"/>
  </r>
  <r>
    <n v="1973"/>
    <s v="Beverly"/>
    <s v="Dawson"/>
    <s v="beverly.dawson.1973@gslingacademy.com"/>
    <x v="1"/>
    <x v="1"/>
    <x v="5"/>
    <x v="0"/>
    <n v="31"/>
    <x v="8"/>
    <n v="77"/>
    <n v="80"/>
    <n v="86"/>
    <n v="87"/>
    <n v="98"/>
    <n v="98"/>
    <n v="88"/>
    <n v="614"/>
    <n v="87.714285714285708"/>
    <x v="1"/>
    <x v="0"/>
    <x v="1"/>
  </r>
  <r>
    <n v="1974"/>
    <s v="Lisa"/>
    <s v="Stewart"/>
    <s v="lisa.stewart.1974@gslingacademy.com"/>
    <x v="1"/>
    <x v="0"/>
    <x v="9"/>
    <x v="1"/>
    <n v="26"/>
    <x v="5"/>
    <n v="95"/>
    <n v="97"/>
    <n v="84"/>
    <n v="97"/>
    <n v="75"/>
    <n v="92"/>
    <n v="92"/>
    <n v="632"/>
    <n v="90.285714285714292"/>
    <x v="0"/>
    <x v="2"/>
    <x v="1"/>
  </r>
  <r>
    <n v="1975"/>
    <s v="Dwayne"/>
    <s v="Sims"/>
    <s v="dwayne.sims.1975@gslingacademy.com"/>
    <x v="0"/>
    <x v="0"/>
    <x v="4"/>
    <x v="1"/>
    <n v="11"/>
    <x v="9"/>
    <n v="77"/>
    <n v="97"/>
    <n v="88"/>
    <n v="89"/>
    <n v="74"/>
    <n v="95"/>
    <n v="64"/>
    <n v="584"/>
    <n v="83.428571428571431"/>
    <x v="2"/>
    <x v="2"/>
    <x v="0"/>
  </r>
  <r>
    <n v="1976"/>
    <s v="Ashley"/>
    <s v="Fleming"/>
    <s v="ashley.fleming.1976@gslingacademy.com"/>
    <x v="1"/>
    <x v="1"/>
    <x v="4"/>
    <x v="0"/>
    <n v="6"/>
    <x v="12"/>
    <n v="90"/>
    <n v="74"/>
    <n v="92"/>
    <n v="67"/>
    <n v="83"/>
    <n v="73"/>
    <n v="89"/>
    <n v="568"/>
    <n v="81.142857142857139"/>
    <x v="4"/>
    <x v="2"/>
    <x v="0"/>
  </r>
  <r>
    <n v="1977"/>
    <s v="Lisa"/>
    <s v="Stafford"/>
    <s v="lisa.stafford.1977@gslingacademy.com"/>
    <x v="1"/>
    <x v="0"/>
    <x v="8"/>
    <x v="0"/>
    <n v="2"/>
    <x v="7"/>
    <n v="74"/>
    <n v="59"/>
    <n v="82"/>
    <n v="51"/>
    <n v="91"/>
    <n v="96"/>
    <n v="94"/>
    <n v="547"/>
    <n v="78.142857142857139"/>
    <x v="3"/>
    <x v="1"/>
    <x v="0"/>
  </r>
  <r>
    <n v="1978"/>
    <s v="Kristin"/>
    <s v="Garcia"/>
    <s v="kristin.garcia.1978@gslingacademy.com"/>
    <x v="1"/>
    <x v="0"/>
    <x v="7"/>
    <x v="1"/>
    <n v="5"/>
    <x v="7"/>
    <n v="56"/>
    <n v="66"/>
    <n v="87"/>
    <n v="64"/>
    <n v="95"/>
    <n v="89"/>
    <n v="76"/>
    <n v="533"/>
    <n v="76.142857142857139"/>
    <x v="3"/>
    <x v="1"/>
    <x v="0"/>
  </r>
  <r>
    <n v="1979"/>
    <s v="Eric"/>
    <s v="Adkins"/>
    <s v="eric.adkins.1979@gslingacademy.com"/>
    <x v="0"/>
    <x v="0"/>
    <x v="6"/>
    <x v="0"/>
    <n v="5"/>
    <x v="7"/>
    <n v="72"/>
    <n v="69"/>
    <n v="91"/>
    <n v="69"/>
    <n v="53"/>
    <n v="73"/>
    <n v="95"/>
    <n v="522"/>
    <n v="74.571428571428569"/>
    <x v="3"/>
    <x v="1"/>
    <x v="0"/>
  </r>
  <r>
    <n v="1980"/>
    <s v="Allison"/>
    <s v="Henderson"/>
    <s v="allison.henderson.1980@gslingacademy.com"/>
    <x v="1"/>
    <x v="0"/>
    <x v="0"/>
    <x v="0"/>
    <n v="27"/>
    <x v="0"/>
    <n v="87"/>
    <n v="86"/>
    <n v="83"/>
    <n v="80"/>
    <n v="90"/>
    <n v="90"/>
    <n v="61"/>
    <n v="577"/>
    <n v="82.428571428571431"/>
    <x v="0"/>
    <x v="0"/>
    <x v="0"/>
  </r>
  <r>
    <n v="1981"/>
    <s v="Alison"/>
    <s v="Palmer"/>
    <s v="alison.palmer.1981@gslingacademy.com"/>
    <x v="1"/>
    <x v="0"/>
    <x v="1"/>
    <x v="0"/>
    <n v="30"/>
    <x v="0"/>
    <n v="80"/>
    <n v="81"/>
    <n v="96"/>
    <n v="92"/>
    <n v="100"/>
    <n v="91"/>
    <n v="87"/>
    <n v="627"/>
    <n v="89.571428571428569"/>
    <x v="0"/>
    <x v="0"/>
    <x v="1"/>
  </r>
  <r>
    <n v="1982"/>
    <s v="Shane"/>
    <s v="Parker"/>
    <s v="shane.parker.1982@gslingacademy.com"/>
    <x v="0"/>
    <x v="0"/>
    <x v="3"/>
    <x v="0"/>
    <n v="21"/>
    <x v="5"/>
    <n v="98"/>
    <n v="72"/>
    <n v="64"/>
    <n v="68"/>
    <n v="76"/>
    <n v="84"/>
    <n v="72"/>
    <n v="534"/>
    <n v="76.285714285714292"/>
    <x v="0"/>
    <x v="2"/>
    <x v="0"/>
  </r>
  <r>
    <n v="1983"/>
    <s v="Debra"/>
    <s v="Gilbert"/>
    <s v="debra.gilbert.1983@gslingacademy.com"/>
    <x v="1"/>
    <x v="0"/>
    <x v="10"/>
    <x v="0"/>
    <n v="8"/>
    <x v="6"/>
    <n v="83"/>
    <n v="91"/>
    <n v="69"/>
    <n v="74"/>
    <n v="98"/>
    <n v="86"/>
    <n v="76"/>
    <n v="577"/>
    <n v="82.428571428571431"/>
    <x v="4"/>
    <x v="3"/>
    <x v="0"/>
  </r>
  <r>
    <n v="1984"/>
    <s v="Mary"/>
    <s v="Jackson"/>
    <s v="mary.jackson.1984@gslingacademy.com"/>
    <x v="1"/>
    <x v="0"/>
    <x v="1"/>
    <x v="0"/>
    <n v="21"/>
    <x v="9"/>
    <n v="92"/>
    <n v="77"/>
    <n v="91"/>
    <n v="79"/>
    <n v="98"/>
    <n v="77"/>
    <n v="87"/>
    <n v="601"/>
    <n v="85.857142857142861"/>
    <x v="0"/>
    <x v="0"/>
    <x v="1"/>
  </r>
  <r>
    <n v="1985"/>
    <s v="Joshua"/>
    <s v="Stuart"/>
    <s v="joshua.stuart.1985@gslingacademy.com"/>
    <x v="0"/>
    <x v="1"/>
    <x v="0"/>
    <x v="0"/>
    <n v="18"/>
    <x v="9"/>
    <n v="79"/>
    <n v="68"/>
    <n v="64"/>
    <n v="68"/>
    <n v="97"/>
    <n v="78"/>
    <n v="84"/>
    <n v="538"/>
    <n v="76.857142857142861"/>
    <x v="2"/>
    <x v="0"/>
    <x v="0"/>
  </r>
  <r>
    <n v="1986"/>
    <s v="Benjamin"/>
    <s v="Williams"/>
    <s v="benjamin.williams.1986@gslingacademy.com"/>
    <x v="0"/>
    <x v="0"/>
    <x v="9"/>
    <x v="0"/>
    <n v="3"/>
    <x v="2"/>
    <n v="72"/>
    <n v="81"/>
    <n v="89"/>
    <n v="92"/>
    <n v="88"/>
    <n v="87"/>
    <n v="82"/>
    <n v="591"/>
    <n v="84.428571428571431"/>
    <x v="3"/>
    <x v="2"/>
    <x v="0"/>
  </r>
  <r>
    <n v="1987"/>
    <s v="David"/>
    <s v="Frank"/>
    <s v="david.frank.1987@gslingacademy.com"/>
    <x v="0"/>
    <x v="0"/>
    <x v="5"/>
    <x v="0"/>
    <n v="32"/>
    <x v="1"/>
    <n v="89"/>
    <n v="74"/>
    <n v="94"/>
    <n v="87"/>
    <n v="92"/>
    <n v="82"/>
    <n v="79"/>
    <n v="597"/>
    <n v="85.285714285714292"/>
    <x v="1"/>
    <x v="0"/>
    <x v="0"/>
  </r>
  <r>
    <n v="1988"/>
    <s v="Holly"/>
    <s v="Erickson"/>
    <s v="holly.erickson.1988@gslingacademy.com"/>
    <x v="1"/>
    <x v="0"/>
    <x v="4"/>
    <x v="0"/>
    <n v="8"/>
    <x v="12"/>
    <n v="97"/>
    <n v="91"/>
    <n v="61"/>
    <n v="75"/>
    <n v="95"/>
    <n v="61"/>
    <n v="89"/>
    <n v="569"/>
    <n v="81.285714285714292"/>
    <x v="4"/>
    <x v="2"/>
    <x v="0"/>
  </r>
  <r>
    <n v="1989"/>
    <s v="Charles"/>
    <s v="Miller"/>
    <s v="charles.miller.1989@gslingacademy.com"/>
    <x v="0"/>
    <x v="0"/>
    <x v="1"/>
    <x v="0"/>
    <n v="3"/>
    <x v="4"/>
    <n v="66"/>
    <n v="63"/>
    <n v="95"/>
    <n v="76"/>
    <n v="71"/>
    <n v="99"/>
    <n v="73"/>
    <n v="543"/>
    <n v="77.571428571428569"/>
    <x v="3"/>
    <x v="0"/>
    <x v="0"/>
  </r>
  <r>
    <n v="1990"/>
    <s v="Samuel"/>
    <s v="Baker"/>
    <s v="samuel.baker.1990@gslingacademy.com"/>
    <x v="0"/>
    <x v="0"/>
    <x v="1"/>
    <x v="0"/>
    <n v="17"/>
    <x v="15"/>
    <n v="77"/>
    <n v="86"/>
    <n v="97"/>
    <n v="85"/>
    <n v="77"/>
    <n v="88"/>
    <n v="93"/>
    <n v="603"/>
    <n v="86.142857142857139"/>
    <x v="2"/>
    <x v="0"/>
    <x v="1"/>
  </r>
  <r>
    <n v="1991"/>
    <s v="Anthony"/>
    <s v="Moore"/>
    <s v="anthony.moore.1991@gslingacademy.com"/>
    <x v="0"/>
    <x v="0"/>
    <x v="10"/>
    <x v="0"/>
    <n v="17"/>
    <x v="5"/>
    <n v="98"/>
    <n v="63"/>
    <n v="64"/>
    <n v="82"/>
    <n v="64"/>
    <n v="96"/>
    <n v="79"/>
    <n v="546"/>
    <n v="78"/>
    <x v="2"/>
    <x v="3"/>
    <x v="0"/>
  </r>
  <r>
    <n v="1992"/>
    <s v="Charlotte"/>
    <s v="Rowe"/>
    <s v="charlotte.rowe.1992@gslingacademy.com"/>
    <x v="1"/>
    <x v="0"/>
    <x v="9"/>
    <x v="0"/>
    <n v="27"/>
    <x v="0"/>
    <n v="88"/>
    <n v="96"/>
    <n v="79"/>
    <n v="70"/>
    <n v="95"/>
    <n v="90"/>
    <n v="99"/>
    <n v="617"/>
    <n v="88.142857142857139"/>
    <x v="0"/>
    <x v="2"/>
    <x v="1"/>
  </r>
  <r>
    <n v="1993"/>
    <s v="John"/>
    <s v="Peterson"/>
    <s v="john.peterson.1993@gslingacademy.com"/>
    <x v="0"/>
    <x v="0"/>
    <x v="1"/>
    <x v="1"/>
    <n v="12"/>
    <x v="9"/>
    <n v="79"/>
    <n v="83"/>
    <n v="76"/>
    <n v="99"/>
    <n v="100"/>
    <n v="84"/>
    <n v="71"/>
    <n v="592"/>
    <n v="84.571428571428569"/>
    <x v="2"/>
    <x v="0"/>
    <x v="0"/>
  </r>
  <r>
    <n v="1994"/>
    <s v="Shawn"/>
    <s v="Ochoa"/>
    <s v="shawn.ochoa.1994@gslingacademy.com"/>
    <x v="0"/>
    <x v="0"/>
    <x v="0"/>
    <x v="0"/>
    <n v="46"/>
    <x v="1"/>
    <n v="92"/>
    <n v="92"/>
    <n v="91"/>
    <n v="95"/>
    <n v="88"/>
    <n v="94"/>
    <n v="93"/>
    <n v="645"/>
    <n v="92.142857142857139"/>
    <x v="1"/>
    <x v="0"/>
    <x v="1"/>
  </r>
  <r>
    <n v="1995"/>
    <s v="Steven"/>
    <s v="Lewis"/>
    <s v="steven.lewis.1995@gslingacademy.com"/>
    <x v="0"/>
    <x v="0"/>
    <x v="5"/>
    <x v="0"/>
    <n v="19"/>
    <x v="11"/>
    <n v="76"/>
    <n v="62"/>
    <n v="90"/>
    <n v="82"/>
    <n v="93"/>
    <n v="71"/>
    <n v="61"/>
    <n v="535"/>
    <n v="76.428571428571431"/>
    <x v="2"/>
    <x v="0"/>
    <x v="0"/>
  </r>
  <r>
    <n v="1996"/>
    <s v="Alan"/>
    <s v="Reynolds"/>
    <s v="alan.reynolds.1996@gslingacademy.com"/>
    <x v="0"/>
    <x v="0"/>
    <x v="1"/>
    <x v="0"/>
    <n v="30"/>
    <x v="13"/>
    <n v="83"/>
    <n v="77"/>
    <n v="84"/>
    <n v="73"/>
    <n v="75"/>
    <n v="84"/>
    <n v="82"/>
    <n v="558"/>
    <n v="79.714285714285708"/>
    <x v="0"/>
    <x v="0"/>
    <x v="0"/>
  </r>
  <r>
    <n v="1997"/>
    <s v="Thomas"/>
    <s v="Gilbert"/>
    <s v="thomas.gilbert.1997@gslingacademy.com"/>
    <x v="0"/>
    <x v="0"/>
    <x v="1"/>
    <x v="0"/>
    <n v="20"/>
    <x v="5"/>
    <n v="89"/>
    <n v="65"/>
    <n v="73"/>
    <n v="80"/>
    <n v="87"/>
    <n v="67"/>
    <n v="73"/>
    <n v="534"/>
    <n v="76.285714285714292"/>
    <x v="2"/>
    <x v="0"/>
    <x v="0"/>
  </r>
  <r>
    <n v="1998"/>
    <s v="Madison"/>
    <s v="Cross"/>
    <s v="madison.cross.1998@gslingacademy.com"/>
    <x v="1"/>
    <x v="0"/>
    <x v="3"/>
    <x v="0"/>
    <n v="14"/>
    <x v="5"/>
    <n v="97"/>
    <n v="85"/>
    <n v="63"/>
    <n v="93"/>
    <n v="68"/>
    <n v="94"/>
    <n v="78"/>
    <n v="578"/>
    <n v="82.571428571428569"/>
    <x v="2"/>
    <x v="2"/>
    <x v="0"/>
  </r>
  <r>
    <n v="1999"/>
    <s v="Brittany"/>
    <s v="Compton"/>
    <s v="brittany.compton.1999@gslingacademy.com"/>
    <x v="1"/>
    <x v="1"/>
    <x v="7"/>
    <x v="1"/>
    <n v="5"/>
    <x v="7"/>
    <n v="51"/>
    <n v="96"/>
    <n v="72"/>
    <n v="89"/>
    <n v="95"/>
    <n v="88"/>
    <n v="75"/>
    <n v="566"/>
    <n v="80.857142857142861"/>
    <x v="3"/>
    <x v="1"/>
    <x v="0"/>
  </r>
  <r>
    <n v="2000"/>
    <s v="Natalie"/>
    <s v="Smith"/>
    <s v="natalie.smith.2000@gslingacademy.com"/>
    <x v="1"/>
    <x v="0"/>
    <x v="3"/>
    <x v="0"/>
    <n v="27"/>
    <x v="11"/>
    <n v="82"/>
    <n v="99"/>
    <n v="91"/>
    <n v="69"/>
    <n v="83"/>
    <n v="93"/>
    <n v="100"/>
    <n v="617"/>
    <n v="88.142857142857139"/>
    <x v="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C46FB9-39FF-4925-B737-A7557B8383E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2:E53" firstHeaderRow="0" firstDataRow="1" firstDataCol="0"/>
  <pivotFields count="22">
    <pivotField dataField="1" showAll="0"/>
    <pivotField showAll="0"/>
    <pivotField showAll="0"/>
    <pivotField showAll="0"/>
    <pivotField showAll="0">
      <items count="3">
        <item x="1"/>
        <item x="0"/>
        <item t="default"/>
      </items>
    </pivotField>
    <pivotField showAll="0">
      <items count="3">
        <item x="0"/>
        <item x="1"/>
        <item t="default"/>
      </items>
    </pivotField>
    <pivotField dataField="1" showAll="0"/>
    <pivotField showAll="0">
      <items count="3">
        <item x="0"/>
        <item x="1"/>
        <item t="default"/>
      </items>
    </pivotField>
    <pivotField dataField="1" showAll="0"/>
    <pivotField showAll="0">
      <items count="18">
        <item x="11"/>
        <item x="3"/>
        <item x="9"/>
        <item x="7"/>
        <item x="13"/>
        <item x="12"/>
        <item x="1"/>
        <item x="14"/>
        <item x="2"/>
        <item x="0"/>
        <item x="16"/>
        <item x="8"/>
        <item x="5"/>
        <item x="15"/>
        <item x="6"/>
        <item x="4"/>
        <item x="10"/>
        <item t="default"/>
      </items>
    </pivotField>
    <pivotField showAll="0"/>
    <pivotField showAll="0"/>
    <pivotField showAll="0"/>
    <pivotField showAll="0"/>
    <pivotField showAll="0"/>
    <pivotField showAll="0"/>
    <pivotField showAll="0"/>
    <pivotField showAll="0"/>
    <pivotField dataField="1" numFmtId="2" showAll="0"/>
    <pivotField showAll="0"/>
    <pivotField showAll="0"/>
    <pivotField showAll="0"/>
  </pivotFields>
  <rowItems count="1">
    <i/>
  </rowItems>
  <colFields count="1">
    <field x="-2"/>
  </colFields>
  <colItems count="4">
    <i>
      <x/>
    </i>
    <i i="1">
      <x v="1"/>
    </i>
    <i i="2">
      <x v="2"/>
    </i>
    <i i="3">
      <x v="3"/>
    </i>
  </colItems>
  <dataFields count="4">
    <dataField name="Total Students" fld="0" subtotal="count" baseField="0" baseItem="0"/>
    <dataField name="Overall Average Score" fld="18" subtotal="average" baseField="0" baseItem="1" numFmtId="2"/>
    <dataField name="Average Weekly Study Hours" fld="8" subtotal="average" baseField="0" baseItem="1"/>
    <dataField name="Average Absence Days" fld="6" subtotal="average" baseField="0" baseItem="2"/>
  </dataFields>
  <formats count="2">
    <format dxfId="70">
      <pivotArea field="9" type="button" dataOnly="0" labelOnly="1" outline="0"/>
    </format>
    <format dxfId="6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2F0F3C-F5B0-49F5-B81B-8D8DE62A0FE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30:J33" firstHeaderRow="0" firstDataRow="1" firstDataCol="1" rowPageCount="1" colPageCount="1"/>
  <pivotFields count="22">
    <pivotField dataField="1" showAll="0"/>
    <pivotField showAll="0"/>
    <pivotField showAll="0"/>
    <pivotField showAll="0"/>
    <pivotField axis="axisRow" showAll="0">
      <items count="3">
        <item x="1"/>
        <item x="0"/>
        <item t="default"/>
      </items>
    </pivotField>
    <pivotField showAll="0">
      <items count="3">
        <item x="0"/>
        <item x="1"/>
        <item t="default"/>
      </items>
    </pivotField>
    <pivotField showAll="0"/>
    <pivotField showAll="0">
      <items count="3">
        <item x="0"/>
        <item x="1"/>
        <item t="default"/>
      </items>
    </pivotField>
    <pivotField dataField="1" showAll="0"/>
    <pivotField showAll="0" sortType="descending">
      <items count="18">
        <item x="10"/>
        <item x="4"/>
        <item x="6"/>
        <item x="15"/>
        <item x="5"/>
        <item x="8"/>
        <item x="16"/>
        <item x="0"/>
        <item x="2"/>
        <item x="14"/>
        <item x="1"/>
        <item x="12"/>
        <item x="13"/>
        <item x="7"/>
        <item x="9"/>
        <item x="3"/>
        <item x="11"/>
        <item t="default"/>
      </items>
    </pivotField>
    <pivotField showAll="0"/>
    <pivotField showAll="0"/>
    <pivotField showAll="0"/>
    <pivotField showAll="0"/>
    <pivotField showAll="0"/>
    <pivotField showAll="0"/>
    <pivotField showAll="0"/>
    <pivotField showAll="0"/>
    <pivotField numFmtId="2" showAll="0"/>
    <pivotField showAll="0"/>
    <pivotField showAll="0"/>
    <pivotField axis="axisPage" showAll="0">
      <items count="3">
        <item x="0"/>
        <item x="1"/>
        <item t="default"/>
      </items>
    </pivotField>
  </pivotFields>
  <rowFields count="1">
    <field x="4"/>
  </rowFields>
  <rowItems count="3">
    <i>
      <x/>
    </i>
    <i>
      <x v="1"/>
    </i>
    <i t="grand">
      <x/>
    </i>
  </rowItems>
  <colFields count="1">
    <field x="-2"/>
  </colFields>
  <colItems count="2">
    <i>
      <x/>
    </i>
    <i i="1">
      <x v="1"/>
    </i>
  </colItems>
  <pageFields count="1">
    <pageField fld="21" item="1" hier="-1"/>
  </pageFields>
  <dataFields count="2">
    <dataField name="High Performer" fld="0" subtotal="count" baseField="4" baseItem="0"/>
    <dataField name="Avg Study Hours" fld="8" subtotal="average" baseField="4" baseItem="0"/>
  </dataFields>
  <formats count="2">
    <format dxfId="72">
      <pivotArea field="9" type="button" dataOnly="0" labelOnly="1" outline="0"/>
    </format>
    <format dxfId="71">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6DDEE5-F5E9-4B9E-ADF1-5351FEAA4B65}" name="PivotTable2" cacheId="0"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17">
  <location ref="F2:M5" firstHeaderRow="0" firstDataRow="1" firstDataCol="1"/>
  <pivotFields count="22">
    <pivotField showAll="0"/>
    <pivotField showAll="0"/>
    <pivotField showAll="0"/>
    <pivotField showAll="0"/>
    <pivotField axis="axisRow"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items count="18">
        <item x="11"/>
        <item x="3"/>
        <item x="9"/>
        <item x="7"/>
        <item x="13"/>
        <item x="12"/>
        <item x="1"/>
        <item x="14"/>
        <item x="2"/>
        <item x="0"/>
        <item x="16"/>
        <item x="8"/>
        <item x="5"/>
        <item x="15"/>
        <item x="6"/>
        <item x="4"/>
        <item x="10"/>
        <item t="default"/>
      </items>
    </pivotField>
    <pivotField dataField="1" showAll="0"/>
    <pivotField dataField="1" showAll="0"/>
    <pivotField dataField="1" showAll="0"/>
    <pivotField dataField="1" showAll="0"/>
    <pivotField dataField="1" showAll="0"/>
    <pivotField dataField="1" showAll="0"/>
    <pivotField dataField="1" showAll="0"/>
    <pivotField showAll="0"/>
    <pivotField numFmtId="2" showAll="0"/>
    <pivotField showAll="0"/>
    <pivotField showAll="0"/>
    <pivotField showAll="0"/>
  </pivotFields>
  <rowFields count="1">
    <field x="4"/>
  </rowFields>
  <rowItems count="3">
    <i>
      <x/>
    </i>
    <i>
      <x v="1"/>
    </i>
    <i t="grand">
      <x/>
    </i>
  </rowItems>
  <colFields count="1">
    <field x="-2"/>
  </colFields>
  <colItems count="7">
    <i>
      <x/>
    </i>
    <i i="1">
      <x v="1"/>
    </i>
    <i i="2">
      <x v="2"/>
    </i>
    <i i="3">
      <x v="3"/>
    </i>
    <i i="4">
      <x v="4"/>
    </i>
    <i i="5">
      <x v="5"/>
    </i>
    <i i="6">
      <x v="6"/>
    </i>
  </colItems>
  <dataFields count="7">
    <dataField name="Average of math_score" fld="10" subtotal="average" baseField="4" baseItem="0"/>
    <dataField name="Average of history_score" fld="11" subtotal="average" baseField="4" baseItem="0"/>
    <dataField name="Average of physics_score" fld="12" subtotal="average" baseField="4" baseItem="0"/>
    <dataField name="Average of chemistry_score" fld="13" subtotal="average" baseField="4" baseItem="0"/>
    <dataField name="Average of biology_score" fld="14" subtotal="average" baseField="4" baseItem="0"/>
    <dataField name="Average of english_score" fld="15" subtotal="average" baseField="4" baseItem="0"/>
    <dataField name="Average of geography_score" fld="16" subtotal="average" baseField="4" baseItem="0"/>
  </dataFields>
  <formats count="2">
    <format dxfId="74">
      <pivotArea field="4" type="button" dataOnly="0" labelOnly="1" outline="0" axis="axisRow" fieldPosition="0"/>
    </format>
    <format dxfId="73">
      <pivotArea dataOnly="0" labelOnly="1" outline="0" fieldPosition="0">
        <references count="1">
          <reference field="4294967294" count="7">
            <x v="0"/>
            <x v="1"/>
            <x v="2"/>
            <x v="3"/>
            <x v="4"/>
            <x v="5"/>
            <x v="6"/>
          </reference>
        </references>
      </pivotArea>
    </format>
  </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3" format="14"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series="1">
      <pivotArea type="data" outline="0" fieldPosition="0">
        <references count="1">
          <reference field="4294967294" count="1" selected="0">
            <x v="3"/>
          </reference>
        </references>
      </pivotArea>
    </chartFormat>
    <chartFormat chart="3" format="18" series="1">
      <pivotArea type="data" outline="0" fieldPosition="0">
        <references count="1">
          <reference field="4294967294" count="1" selected="0">
            <x v="4"/>
          </reference>
        </references>
      </pivotArea>
    </chartFormat>
    <chartFormat chart="3" format="19" series="1">
      <pivotArea type="data" outline="0" fieldPosition="0">
        <references count="1">
          <reference field="4294967294" count="1" selected="0">
            <x v="5"/>
          </reference>
        </references>
      </pivotArea>
    </chartFormat>
    <chartFormat chart="3" format="20" series="1">
      <pivotArea type="data" outline="0" fieldPosition="0">
        <references count="1">
          <reference field="4294967294" count="1" selected="0">
            <x v="6"/>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1" format="4" series="1">
      <pivotArea type="data" outline="0" fieldPosition="0">
        <references count="1">
          <reference field="4294967294" count="1" selected="0">
            <x v="4"/>
          </reference>
        </references>
      </pivotArea>
    </chartFormat>
    <chartFormat chart="11" format="5" series="1">
      <pivotArea type="data" outline="0" fieldPosition="0">
        <references count="1">
          <reference field="4294967294" count="1" selected="0">
            <x v="5"/>
          </reference>
        </references>
      </pivotArea>
    </chartFormat>
    <chartFormat chart="11" format="6" series="1">
      <pivotArea type="data" outline="0" fieldPosition="0">
        <references count="1">
          <reference field="4294967294" count="1" selected="0">
            <x v="6"/>
          </reference>
        </references>
      </pivotArea>
    </chartFormat>
    <chartFormat chart="5" format="21" series="1">
      <pivotArea type="data" outline="0" fieldPosition="0">
        <references count="1">
          <reference field="4294967294" count="1" selected="0">
            <x v="0"/>
          </reference>
        </references>
      </pivotArea>
    </chartFormat>
    <chartFormat chart="5" format="22" series="1">
      <pivotArea type="data" outline="0" fieldPosition="0">
        <references count="1">
          <reference field="4294967294" count="1" selected="0">
            <x v="1"/>
          </reference>
        </references>
      </pivotArea>
    </chartFormat>
    <chartFormat chart="5" format="23" series="1">
      <pivotArea type="data" outline="0" fieldPosition="0">
        <references count="1">
          <reference field="4294967294" count="1" selected="0">
            <x v="2"/>
          </reference>
        </references>
      </pivotArea>
    </chartFormat>
    <chartFormat chart="5" format="24" series="1">
      <pivotArea type="data" outline="0" fieldPosition="0">
        <references count="1">
          <reference field="4294967294" count="1" selected="0">
            <x v="3"/>
          </reference>
        </references>
      </pivotArea>
    </chartFormat>
    <chartFormat chart="5" format="25" series="1">
      <pivotArea type="data" outline="0" fieldPosition="0">
        <references count="1">
          <reference field="4294967294" count="1" selected="0">
            <x v="4"/>
          </reference>
        </references>
      </pivotArea>
    </chartFormat>
    <chartFormat chart="5" format="26" series="1">
      <pivotArea type="data" outline="0" fieldPosition="0">
        <references count="1">
          <reference field="4294967294" count="1" selected="0">
            <x v="5"/>
          </reference>
        </references>
      </pivotArea>
    </chartFormat>
    <chartFormat chart="5" format="27"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F4FBFC-BD5F-4A2C-851E-3FF9F84C1A22}" name="PivotTable11" cacheId="0" applyNumberFormats="0" applyBorderFormats="0" applyFontFormats="0" applyPatternFormats="0" applyAlignmentFormats="0" applyWidthHeightFormats="1" dataCaption="Values" missingCaption="-" updatedVersion="8" minRefreshableVersion="3" useAutoFormatting="1" itemPrintTitles="1" createdVersion="8" indent="0" outline="1" outlineData="1" multipleFieldFilters="0" chartFormat="19">
  <location ref="I18:J21" firstHeaderRow="1" firstDataRow="1" firstDataCol="1"/>
  <pivotFields count="22">
    <pivotField dataField="1" showAll="0"/>
    <pivotField showAll="0"/>
    <pivotField showAll="0"/>
    <pivotField showAll="0"/>
    <pivotField axis="axisRow"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sortType="descending">
      <items count="18">
        <item x="10"/>
        <item x="4"/>
        <item x="6"/>
        <item x="15"/>
        <item x="5"/>
        <item x="8"/>
        <item x="16"/>
        <item x="0"/>
        <item x="2"/>
        <item x="14"/>
        <item x="1"/>
        <item x="12"/>
        <item x="13"/>
        <item x="7"/>
        <item x="9"/>
        <item x="3"/>
        <item x="11"/>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s>
  <rowFields count="1">
    <field x="4"/>
  </rowFields>
  <rowItems count="3">
    <i>
      <x/>
    </i>
    <i>
      <x v="1"/>
    </i>
    <i t="grand">
      <x/>
    </i>
  </rowItems>
  <colItems count="1">
    <i/>
  </colItems>
  <dataFields count="1">
    <dataField name="Number of Students" fld="0" subtotal="count" baseField="5" baseItem="0"/>
  </dataFields>
  <formats count="2">
    <format dxfId="76">
      <pivotArea field="9" type="button" dataOnly="0" labelOnly="1" outline="0"/>
    </format>
    <format dxfId="75">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59ECC1-026D-4A13-98BF-24F16CB2965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8:U13" firstHeaderRow="0" firstDataRow="1" firstDataCol="1"/>
  <pivotFields count="22">
    <pivotField showAll="0"/>
    <pivotField showAll="0"/>
    <pivotField showAll="0"/>
    <pivotField showAll="0"/>
    <pivotField showAll="0">
      <items count="3">
        <item x="1"/>
        <item x="0"/>
        <item t="default"/>
      </items>
    </pivotField>
    <pivotField showAll="0"/>
    <pivotField showAll="0">
      <items count="12">
        <item x="10"/>
        <item x="5"/>
        <item x="1"/>
        <item x="0"/>
        <item x="9"/>
        <item x="3"/>
        <item x="4"/>
        <item x="6"/>
        <item x="8"/>
        <item x="2"/>
        <item x="7"/>
        <item t="default"/>
      </items>
    </pivotField>
    <pivotField showAll="0">
      <items count="3">
        <item x="0"/>
        <item x="1"/>
        <item t="default"/>
      </items>
    </pivotField>
    <pivotField showAll="0"/>
    <pivotField showAll="0" sortType="descending">
      <items count="18">
        <item x="10"/>
        <item x="4"/>
        <item x="6"/>
        <item x="15"/>
        <item x="5"/>
        <item x="8"/>
        <item x="16"/>
        <item x="0"/>
        <item x="2"/>
        <item x="14"/>
        <item x="1"/>
        <item x="12"/>
        <item x="13"/>
        <item x="7"/>
        <item x="9"/>
        <item x="3"/>
        <item x="11"/>
        <item t="default"/>
      </items>
    </pivotField>
    <pivotField dataField="1" showAll="0"/>
    <pivotField dataField="1" showAll="0"/>
    <pivotField dataField="1" showAll="0"/>
    <pivotField dataField="1" showAll="0"/>
    <pivotField dataField="1" showAll="0"/>
    <pivotField dataField="1" showAll="0"/>
    <pivotField dataField="1" showAll="0"/>
    <pivotField showAll="0"/>
    <pivotField dataField="1" numFmtId="2" showAll="0"/>
    <pivotField showAll="0">
      <items count="6">
        <item x="3"/>
        <item x="2"/>
        <item x="0"/>
        <item x="1"/>
        <item x="4"/>
        <item t="default"/>
      </items>
    </pivotField>
    <pivotField axis="axisRow" showAll="0">
      <items count="5">
        <item x="3"/>
        <item x="0"/>
        <item x="2"/>
        <item x="1"/>
        <item t="default"/>
      </items>
    </pivotField>
    <pivotField showAll="0"/>
  </pivotFields>
  <rowFields count="1">
    <field x="20"/>
  </rowFields>
  <rowItems count="5">
    <i>
      <x/>
    </i>
    <i>
      <x v="1"/>
    </i>
    <i>
      <x v="2"/>
    </i>
    <i>
      <x v="3"/>
    </i>
    <i t="grand">
      <x/>
    </i>
  </rowItems>
  <colFields count="1">
    <field x="-2"/>
  </colFields>
  <colItems count="8">
    <i>
      <x/>
    </i>
    <i i="1">
      <x v="1"/>
    </i>
    <i i="2">
      <x v="2"/>
    </i>
    <i i="3">
      <x v="3"/>
    </i>
    <i i="4">
      <x v="4"/>
    </i>
    <i i="5">
      <x v="5"/>
    </i>
    <i i="6">
      <x v="6"/>
    </i>
    <i i="7">
      <x v="7"/>
    </i>
  </colItems>
  <dataFields count="8">
    <dataField name="Average of Avg_Score" fld="18" subtotal="average" baseField="6" baseItem="0" numFmtId="2"/>
    <dataField name="Average of math_score" fld="10" subtotal="average" baseField="20" baseItem="0"/>
    <dataField name="Average of history_score" fld="11" subtotal="average" baseField="20" baseItem="0"/>
    <dataField name="Average of physics_score" fld="12" subtotal="average" baseField="20" baseItem="0"/>
    <dataField name="Average of chemistry_score" fld="13" subtotal="average" baseField="20" baseItem="0"/>
    <dataField name="Average of biology_score" fld="14" subtotal="average" baseField="20" baseItem="0"/>
    <dataField name="Average of english_score" fld="15" subtotal="average" baseField="20" baseItem="0"/>
    <dataField name="Average of geography_score" fld="16" subtotal="average" baseField="20" baseItem="0"/>
  </dataFields>
  <formats count="3">
    <format dxfId="79">
      <pivotArea field="9" type="button" dataOnly="0" labelOnly="1" outline="0"/>
    </format>
    <format dxfId="78">
      <pivotArea field="6" type="button" dataOnly="0" labelOnly="1" outline="0"/>
    </format>
    <format dxfId="77">
      <pivotArea dataOnly="0" labelOnly="1" outline="0" fieldPosition="0">
        <references count="1">
          <reference field="4294967294" count="8">
            <x v="0"/>
            <x v="1"/>
            <x v="2"/>
            <x v="3"/>
            <x v="4"/>
            <x v="5"/>
            <x v="6"/>
            <x v="7"/>
          </reference>
        </references>
      </pivotArea>
    </format>
  </formats>
  <chartFormats count="4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3"/>
          </reference>
        </references>
      </pivotArea>
    </chartFormat>
    <chartFormat chart="3" format="10" series="1">
      <pivotArea type="data" outline="0" fieldPosition="0">
        <references count="1">
          <reference field="4294967294" count="1" selected="0">
            <x v="4"/>
          </reference>
        </references>
      </pivotArea>
    </chartFormat>
    <chartFormat chart="3" format="11" series="1">
      <pivotArea type="data" outline="0" fieldPosition="0">
        <references count="1">
          <reference field="4294967294" count="1" selected="0">
            <x v="5"/>
          </reference>
        </references>
      </pivotArea>
    </chartFormat>
    <chartFormat chart="3" format="12" series="1">
      <pivotArea type="data" outline="0" fieldPosition="0">
        <references count="1">
          <reference field="4294967294" count="1" selected="0">
            <x v="6"/>
          </reference>
        </references>
      </pivotArea>
    </chartFormat>
    <chartFormat chart="3" format="13" series="1">
      <pivotArea type="data" outline="0" fieldPosition="0">
        <references count="1">
          <reference field="4294967294" count="1" selected="0">
            <x v="7"/>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 chart="6" format="12" series="1">
      <pivotArea type="data" outline="0" fieldPosition="0">
        <references count="1">
          <reference field="4294967294" count="1" selected="0">
            <x v="4"/>
          </reference>
        </references>
      </pivotArea>
    </chartFormat>
    <chartFormat chart="6" format="13" series="1">
      <pivotArea type="data" outline="0" fieldPosition="0">
        <references count="1">
          <reference field="4294967294" count="1" selected="0">
            <x v="5"/>
          </reference>
        </references>
      </pivotArea>
    </chartFormat>
    <chartFormat chart="6" format="14" series="1">
      <pivotArea type="data" outline="0" fieldPosition="0">
        <references count="1">
          <reference field="4294967294" count="1" selected="0">
            <x v="6"/>
          </reference>
        </references>
      </pivotArea>
    </chartFormat>
    <chartFormat chart="6" format="15" series="1">
      <pivotArea type="data" outline="0" fieldPosition="0">
        <references count="1">
          <reference field="4294967294" count="1" selected="0">
            <x v="7"/>
          </reference>
        </references>
      </pivotArea>
    </chartFormat>
    <chartFormat chart="7" format="16"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1"/>
          </reference>
        </references>
      </pivotArea>
    </chartFormat>
    <chartFormat chart="7" format="18" series="1">
      <pivotArea type="data" outline="0" fieldPosition="0">
        <references count="1">
          <reference field="4294967294" count="1" selected="0">
            <x v="2"/>
          </reference>
        </references>
      </pivotArea>
    </chartFormat>
    <chartFormat chart="7" format="19" series="1">
      <pivotArea type="data" outline="0" fieldPosition="0">
        <references count="1">
          <reference field="4294967294" count="1" selected="0">
            <x v="3"/>
          </reference>
        </references>
      </pivotArea>
    </chartFormat>
    <chartFormat chart="7" format="20" series="1">
      <pivotArea type="data" outline="0" fieldPosition="0">
        <references count="1">
          <reference field="4294967294" count="1" selected="0">
            <x v="4"/>
          </reference>
        </references>
      </pivotArea>
    </chartFormat>
    <chartFormat chart="7" format="21" series="1">
      <pivotArea type="data" outline="0" fieldPosition="0">
        <references count="1">
          <reference field="4294967294" count="1" selected="0">
            <x v="5"/>
          </reference>
        </references>
      </pivotArea>
    </chartFormat>
    <chartFormat chart="7" format="22" series="1">
      <pivotArea type="data" outline="0" fieldPosition="0">
        <references count="1">
          <reference field="4294967294" count="1" selected="0">
            <x v="6"/>
          </reference>
        </references>
      </pivotArea>
    </chartFormat>
    <chartFormat chart="7" format="23" series="1">
      <pivotArea type="data" outline="0" fieldPosition="0">
        <references count="1">
          <reference field="4294967294" count="1" selected="0">
            <x v="7"/>
          </reference>
        </references>
      </pivotArea>
    </chartFormat>
    <chartFormat chart="10" format="16"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1"/>
          </reference>
        </references>
      </pivotArea>
    </chartFormat>
    <chartFormat chart="10" format="18" series="1">
      <pivotArea type="data" outline="0" fieldPosition="0">
        <references count="1">
          <reference field="4294967294" count="1" selected="0">
            <x v="2"/>
          </reference>
        </references>
      </pivotArea>
    </chartFormat>
    <chartFormat chart="10" format="19" series="1">
      <pivotArea type="data" outline="0" fieldPosition="0">
        <references count="1">
          <reference field="4294967294" count="1" selected="0">
            <x v="3"/>
          </reference>
        </references>
      </pivotArea>
    </chartFormat>
    <chartFormat chart="10" format="20" series="1">
      <pivotArea type="data" outline="0" fieldPosition="0">
        <references count="1">
          <reference field="4294967294" count="1" selected="0">
            <x v="4"/>
          </reference>
        </references>
      </pivotArea>
    </chartFormat>
    <chartFormat chart="10" format="21" series="1">
      <pivotArea type="data" outline="0" fieldPosition="0">
        <references count="1">
          <reference field="4294967294" count="1" selected="0">
            <x v="5"/>
          </reference>
        </references>
      </pivotArea>
    </chartFormat>
    <chartFormat chart="10" format="22" series="1">
      <pivotArea type="data" outline="0" fieldPosition="0">
        <references count="1">
          <reference field="4294967294" count="1" selected="0">
            <x v="6"/>
          </reference>
        </references>
      </pivotArea>
    </chartFormat>
    <chartFormat chart="10" format="23"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AD5005-0EEC-4511-A30B-A6CCAD5156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C26" firstHeaderRow="0" firstDataRow="1" firstDataCol="1"/>
  <pivotFields count="22">
    <pivotField dataField="1"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axis="axisRow" showAll="0">
      <items count="18">
        <item x="11"/>
        <item x="3"/>
        <item x="9"/>
        <item x="7"/>
        <item x="13"/>
        <item x="12"/>
        <item x="1"/>
        <item x="14"/>
        <item x="2"/>
        <item x="0"/>
        <item x="16"/>
        <item x="8"/>
        <item x="5"/>
        <item x="15"/>
        <item x="6"/>
        <item x="4"/>
        <item x="10"/>
        <item t="default"/>
      </items>
    </pivotField>
    <pivotField showAll="0"/>
    <pivotField showAll="0"/>
    <pivotField showAll="0"/>
    <pivotField showAll="0"/>
    <pivotField showAll="0"/>
    <pivotField showAll="0"/>
    <pivotField showAll="0"/>
    <pivotField showAll="0"/>
    <pivotField dataField="1" numFmtId="2" showAll="0"/>
    <pivotField showAll="0"/>
    <pivotField showAll="0"/>
    <pivotField showAll="0"/>
  </pivotFields>
  <rowFields count="1">
    <field x="9"/>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Average of Avg_Score" fld="18" subtotal="average" baseField="4" baseItem="0" numFmtId="2"/>
    <dataField name="Count of id" fld="0" subtotal="count" baseField="9" baseItem="0"/>
  </dataFields>
  <formats count="2">
    <format dxfId="81">
      <pivotArea field="9" type="button" dataOnly="0" labelOnly="1" outline="0" axis="axisRow" fieldPosition="0"/>
    </format>
    <format dxfId="8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FB1289-A82D-4491-91D1-0FF47D8091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5" firstHeaderRow="0" firstDataRow="1" firstDataCol="1"/>
  <pivotFields count="22">
    <pivotField dataField="1" showAll="0"/>
    <pivotField showAll="0"/>
    <pivotField showAll="0"/>
    <pivotField showAll="0"/>
    <pivotField axis="axisRow"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items count="18">
        <item x="11"/>
        <item x="3"/>
        <item x="9"/>
        <item x="7"/>
        <item x="13"/>
        <item x="12"/>
        <item x="1"/>
        <item x="14"/>
        <item x="2"/>
        <item x="0"/>
        <item x="16"/>
        <item x="8"/>
        <item x="5"/>
        <item x="15"/>
        <item x="6"/>
        <item x="4"/>
        <item x="10"/>
        <item t="default"/>
      </items>
    </pivotField>
    <pivotField showAll="0"/>
    <pivotField showAll="0"/>
    <pivotField showAll="0"/>
    <pivotField showAll="0"/>
    <pivotField showAll="0"/>
    <pivotField showAll="0"/>
    <pivotField showAll="0"/>
    <pivotField dataField="1" showAll="0"/>
    <pivotField dataField="1" numFmtId="2" showAll="0"/>
    <pivotField showAll="0"/>
    <pivotField showAll="0"/>
    <pivotField showAll="0"/>
  </pivotFields>
  <rowFields count="1">
    <field x="4"/>
  </rowFields>
  <rowItems count="3">
    <i>
      <x/>
    </i>
    <i>
      <x v="1"/>
    </i>
    <i t="grand">
      <x/>
    </i>
  </rowItems>
  <colFields count="1">
    <field x="-2"/>
  </colFields>
  <colItems count="3">
    <i>
      <x/>
    </i>
    <i i="1">
      <x v="1"/>
    </i>
    <i i="2">
      <x v="2"/>
    </i>
  </colItems>
  <dataFields count="3">
    <dataField name="Average of Avg_Score" fld="18" subtotal="average" baseField="4" baseItem="0" numFmtId="2"/>
    <dataField name="Count of id" fld="0" subtotal="count" baseField="4" baseItem="0"/>
    <dataField name="Average of Total_Score" fld="17" subtotal="average" baseField="4" baseItem="0"/>
  </dataFields>
  <formats count="2">
    <format dxfId="83">
      <pivotArea field="4" type="button" dataOnly="0" labelOnly="1" outline="0" axis="axisRow" fieldPosition="0"/>
    </format>
    <format dxfId="8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14942E-2527-4971-A1B1-EDD83E9756FB}" name="PivotTable7" cacheId="0" applyNumberFormats="0" applyBorderFormats="0" applyFontFormats="0" applyPatternFormats="0" applyAlignmentFormats="0" applyWidthHeightFormats="1" dataCaption="Values" missingCaption="-" updatedVersion="8" minRefreshableVersion="3" useAutoFormatting="1" itemPrintTitles="1" createdVersion="8" indent="0" outline="1" outlineData="1" multipleFieldFilters="0" chartFormat="19">
  <location ref="A30:C37" firstHeaderRow="0" firstDataRow="1" firstDataCol="1"/>
  <pivotFields count="22">
    <pivotField dataField="1" showAll="0"/>
    <pivotField showAll="0"/>
    <pivotField showAll="0"/>
    <pivotField showAll="0"/>
    <pivotField showAll="0">
      <items count="3">
        <item x="1"/>
        <item x="0"/>
        <item t="default"/>
      </items>
    </pivotField>
    <pivotField axis="axisRow" showAll="0">
      <items count="3">
        <item x="0"/>
        <item x="1"/>
        <item t="default"/>
      </items>
    </pivotField>
    <pivotField showAll="0"/>
    <pivotField axis="axisRow" showAll="0">
      <items count="3">
        <item x="0"/>
        <item x="1"/>
        <item t="default"/>
      </items>
    </pivotField>
    <pivotField showAll="0"/>
    <pivotField showAll="0" sortType="descending">
      <items count="18">
        <item x="10"/>
        <item x="4"/>
        <item x="6"/>
        <item x="15"/>
        <item x="5"/>
        <item x="8"/>
        <item x="16"/>
        <item x="0"/>
        <item x="2"/>
        <item x="14"/>
        <item x="1"/>
        <item x="12"/>
        <item x="13"/>
        <item x="7"/>
        <item x="9"/>
        <item x="3"/>
        <item x="11"/>
        <item t="default"/>
      </items>
    </pivotField>
    <pivotField showAll="0"/>
    <pivotField showAll="0"/>
    <pivotField showAll="0"/>
    <pivotField showAll="0"/>
    <pivotField showAll="0"/>
    <pivotField showAll="0"/>
    <pivotField showAll="0"/>
    <pivotField showAll="0"/>
    <pivotField dataField="1" numFmtId="2" showAll="0"/>
    <pivotField showAll="0"/>
    <pivotField showAll="0"/>
    <pivotField showAll="0"/>
  </pivotFields>
  <rowFields count="2">
    <field x="5"/>
    <field x="7"/>
  </rowFields>
  <rowItems count="7">
    <i>
      <x/>
    </i>
    <i r="1">
      <x/>
    </i>
    <i r="1">
      <x v="1"/>
    </i>
    <i>
      <x v="1"/>
    </i>
    <i r="1">
      <x/>
    </i>
    <i r="1">
      <x v="1"/>
    </i>
    <i t="grand">
      <x/>
    </i>
  </rowItems>
  <colFields count="1">
    <field x="-2"/>
  </colFields>
  <colItems count="2">
    <i>
      <x/>
    </i>
    <i i="1">
      <x v="1"/>
    </i>
  </colItems>
  <dataFields count="2">
    <dataField name="Number of Students" fld="0" subtotal="count" baseField="5" baseItem="0"/>
    <dataField name="Avg Score per Subject" fld="18" subtotal="average" baseField="5" baseItem="0" numFmtId="2"/>
  </dataFields>
  <formats count="2">
    <format dxfId="85">
      <pivotArea field="9" type="button" dataOnly="0" labelOnly="1" outline="0"/>
    </format>
    <format dxfId="84">
      <pivotArea dataOnly="0" labelOnly="1" outline="0" fieldPosition="0">
        <references count="1">
          <reference field="4294967294" count="1">
            <x v="0"/>
          </reference>
        </references>
      </pivotArea>
    </format>
  </formats>
  <chartFormats count="11">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CB417E-DEDD-4850-AB79-9790505F8A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G26" firstHeaderRow="0" firstDataRow="1" firstDataCol="1"/>
  <pivotFields count="22">
    <pivotField dataField="1"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axis="axisRow" showAll="0" sortType="descending">
      <items count="18">
        <item x="10"/>
        <item x="4"/>
        <item x="6"/>
        <item x="15"/>
        <item x="5"/>
        <item x="8"/>
        <item x="16"/>
        <item x="0"/>
        <item x="2"/>
        <item x="14"/>
        <item x="1"/>
        <item x="12"/>
        <item x="13"/>
        <item x="7"/>
        <item x="9"/>
        <item x="3"/>
        <item x="11"/>
        <item t="default"/>
      </items>
    </pivotField>
    <pivotField showAll="0"/>
    <pivotField showAll="0"/>
    <pivotField showAll="0"/>
    <pivotField showAll="0"/>
    <pivotField showAll="0"/>
    <pivotField showAll="0"/>
    <pivotField showAll="0"/>
    <pivotField dataField="1" showAll="0"/>
    <pivotField numFmtId="2" showAll="0"/>
    <pivotField showAll="0"/>
    <pivotField showAll="0"/>
    <pivotField showAll="0"/>
  </pivotFields>
  <rowFields count="1">
    <field x="9"/>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Count of id" fld="0" subtotal="count" baseField="9" baseItem="0"/>
    <dataField name="Average of Total_Score" fld="17" subtotal="average" baseField="9" baseItem="0"/>
  </dataFields>
  <formats count="2">
    <format dxfId="87">
      <pivotArea field="9" type="button" dataOnly="0" labelOnly="1" outline="0" axis="axisRow" fieldPosition="0"/>
    </format>
    <format dxfId="8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8ED8FA-779A-45C9-A587-89B8C071B5C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8:K14" firstHeaderRow="0" firstDataRow="1" firstDataCol="1"/>
  <pivotFields count="22">
    <pivotField dataField="1"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sortType="descending">
      <items count="18">
        <item x="10"/>
        <item x="4"/>
        <item x="6"/>
        <item x="15"/>
        <item x="5"/>
        <item x="8"/>
        <item x="16"/>
        <item x="0"/>
        <item x="2"/>
        <item x="14"/>
        <item x="1"/>
        <item x="12"/>
        <item x="13"/>
        <item x="7"/>
        <item x="9"/>
        <item x="3"/>
        <item x="11"/>
        <item t="default"/>
      </items>
    </pivotField>
    <pivotField showAll="0"/>
    <pivotField showAll="0"/>
    <pivotField showAll="0"/>
    <pivotField showAll="0"/>
    <pivotField showAll="0"/>
    <pivotField showAll="0"/>
    <pivotField showAll="0"/>
    <pivotField showAll="0"/>
    <pivotField dataField="1" numFmtId="2" showAll="0"/>
    <pivotField axis="axisRow" showAll="0">
      <items count="6">
        <item x="3"/>
        <item x="2"/>
        <item x="0"/>
        <item x="1"/>
        <item x="4"/>
        <item t="default"/>
      </items>
    </pivotField>
    <pivotField showAll="0"/>
    <pivotField showAll="0"/>
  </pivotFields>
  <rowFields count="1">
    <field x="19"/>
  </rowFields>
  <rowItems count="6">
    <i>
      <x/>
    </i>
    <i>
      <x v="1"/>
    </i>
    <i>
      <x v="2"/>
    </i>
    <i>
      <x v="3"/>
    </i>
    <i>
      <x v="4"/>
    </i>
    <i t="grand">
      <x/>
    </i>
  </rowItems>
  <colFields count="1">
    <field x="-2"/>
  </colFields>
  <colItems count="2">
    <i>
      <x/>
    </i>
    <i i="1">
      <x v="1"/>
    </i>
  </colItems>
  <dataFields count="2">
    <dataField name="Count of id" fld="0" subtotal="count" baseField="9" baseItem="0"/>
    <dataField name="Average of Avg_Score" fld="18" subtotal="average" baseField="19" baseItem="0" numFmtId="2"/>
  </dataFields>
  <formats count="3">
    <format dxfId="90">
      <pivotArea field="9" type="button" dataOnly="0" labelOnly="1" outline="0"/>
    </format>
    <format dxfId="89">
      <pivotArea field="19" type="button" dataOnly="0" labelOnly="1" outline="0" axis="axisRow" fieldPosition="0"/>
    </format>
    <format dxfId="8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68AC12-5BCA-45A3-A370-DBA03BAE3AB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30:F48" firstHeaderRow="1" firstDataRow="1" firstDataCol="1"/>
  <pivotFields count="22">
    <pivotField dataField="1" showAll="0"/>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axis="axisRow" showAll="0" sortType="descending">
      <items count="18">
        <item x="10"/>
        <item x="4"/>
        <item x="6"/>
        <item x="15"/>
        <item x="5"/>
        <item x="8"/>
        <item x="16"/>
        <item x="0"/>
        <item x="2"/>
        <item x="14"/>
        <item x="1"/>
        <item x="12"/>
        <item x="13"/>
        <item x="7"/>
        <item x="9"/>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2" showAll="0"/>
    <pivotField showAll="0"/>
    <pivotField showAll="0"/>
    <pivotField showAll="0"/>
  </pivotFields>
  <rowFields count="1">
    <field x="9"/>
  </rowFields>
  <rowItems count="18">
    <i>
      <x v="4"/>
    </i>
    <i>
      <x v="13"/>
    </i>
    <i>
      <x v="1"/>
    </i>
    <i>
      <x v="14"/>
    </i>
    <i>
      <x v="7"/>
    </i>
    <i>
      <x v="16"/>
    </i>
    <i>
      <x v="10"/>
    </i>
    <i>
      <x v="6"/>
    </i>
    <i>
      <x v="3"/>
    </i>
    <i>
      <x v="12"/>
    </i>
    <i>
      <x v="15"/>
    </i>
    <i>
      <x v="9"/>
    </i>
    <i>
      <x v="8"/>
    </i>
    <i>
      <x v="2"/>
    </i>
    <i>
      <x v="11"/>
    </i>
    <i>
      <x v="5"/>
    </i>
    <i>
      <x/>
    </i>
    <i t="grand">
      <x/>
    </i>
  </rowItems>
  <colItems count="1">
    <i/>
  </colItems>
  <dataFields count="1">
    <dataField name="Number of Students" fld="0" subtotal="count" baseField="9" baseItem="0"/>
  </dataFields>
  <formats count="2">
    <format dxfId="92">
      <pivotArea field="9" type="button" dataOnly="0" labelOnly="1" outline="0" axis="axisRow" fieldPosition="0"/>
    </format>
    <format dxfId="91">
      <pivotArea dataOnly="0" labelOnly="1" outline="0" fieldPosition="0">
        <references count="1">
          <reference field="4294967294" count="1">
            <x v="0"/>
          </reference>
        </references>
      </pivotArea>
    </format>
  </formats>
  <chartFormats count="2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19" series="1">
      <pivotArea type="data" outline="0" fieldPosition="0">
        <references count="1">
          <reference field="4294967294" count="1" selected="0">
            <x v="0"/>
          </reference>
        </references>
      </pivotArea>
    </chartFormat>
    <chartFormat chart="15" format="20">
      <pivotArea type="data" outline="0" fieldPosition="0">
        <references count="2">
          <reference field="4294967294" count="1" selected="0">
            <x v="0"/>
          </reference>
          <reference field="9" count="1" selected="0">
            <x v="4"/>
          </reference>
        </references>
      </pivotArea>
    </chartFormat>
    <chartFormat chart="15" format="21">
      <pivotArea type="data" outline="0" fieldPosition="0">
        <references count="2">
          <reference field="4294967294" count="1" selected="0">
            <x v="0"/>
          </reference>
          <reference field="9" count="1" selected="0">
            <x v="13"/>
          </reference>
        </references>
      </pivotArea>
    </chartFormat>
    <chartFormat chart="15" format="22">
      <pivotArea type="data" outline="0" fieldPosition="0">
        <references count="2">
          <reference field="4294967294" count="1" selected="0">
            <x v="0"/>
          </reference>
          <reference field="9" count="1" selected="0">
            <x v="1"/>
          </reference>
        </references>
      </pivotArea>
    </chartFormat>
    <chartFormat chart="15" format="23">
      <pivotArea type="data" outline="0" fieldPosition="0">
        <references count="2">
          <reference field="4294967294" count="1" selected="0">
            <x v="0"/>
          </reference>
          <reference field="9" count="1" selected="0">
            <x v="14"/>
          </reference>
        </references>
      </pivotArea>
    </chartFormat>
    <chartFormat chart="15" format="24">
      <pivotArea type="data" outline="0" fieldPosition="0">
        <references count="2">
          <reference field="4294967294" count="1" selected="0">
            <x v="0"/>
          </reference>
          <reference field="9" count="1" selected="0">
            <x v="7"/>
          </reference>
        </references>
      </pivotArea>
    </chartFormat>
    <chartFormat chart="15" format="25">
      <pivotArea type="data" outline="0" fieldPosition="0">
        <references count="2">
          <reference field="4294967294" count="1" selected="0">
            <x v="0"/>
          </reference>
          <reference field="9" count="1" selected="0">
            <x v="16"/>
          </reference>
        </references>
      </pivotArea>
    </chartFormat>
    <chartFormat chart="15" format="26">
      <pivotArea type="data" outline="0" fieldPosition="0">
        <references count="2">
          <reference field="4294967294" count="1" selected="0">
            <x v="0"/>
          </reference>
          <reference field="9" count="1" selected="0">
            <x v="10"/>
          </reference>
        </references>
      </pivotArea>
    </chartFormat>
    <chartFormat chart="15" format="27">
      <pivotArea type="data" outline="0" fieldPosition="0">
        <references count="2">
          <reference field="4294967294" count="1" selected="0">
            <x v="0"/>
          </reference>
          <reference field="9" count="1" selected="0">
            <x v="6"/>
          </reference>
        </references>
      </pivotArea>
    </chartFormat>
    <chartFormat chart="15" format="28">
      <pivotArea type="data" outline="0" fieldPosition="0">
        <references count="2">
          <reference field="4294967294" count="1" selected="0">
            <x v="0"/>
          </reference>
          <reference field="9" count="1" selected="0">
            <x v="3"/>
          </reference>
        </references>
      </pivotArea>
    </chartFormat>
    <chartFormat chart="15" format="29">
      <pivotArea type="data" outline="0" fieldPosition="0">
        <references count="2">
          <reference field="4294967294" count="1" selected="0">
            <x v="0"/>
          </reference>
          <reference field="9" count="1" selected="0">
            <x v="12"/>
          </reference>
        </references>
      </pivotArea>
    </chartFormat>
    <chartFormat chart="15" format="30">
      <pivotArea type="data" outline="0" fieldPosition="0">
        <references count="2">
          <reference field="4294967294" count="1" selected="0">
            <x v="0"/>
          </reference>
          <reference field="9" count="1" selected="0">
            <x v="15"/>
          </reference>
        </references>
      </pivotArea>
    </chartFormat>
    <chartFormat chart="15" format="31">
      <pivotArea type="data" outline="0" fieldPosition="0">
        <references count="2">
          <reference field="4294967294" count="1" selected="0">
            <x v="0"/>
          </reference>
          <reference field="9" count="1" selected="0">
            <x v="9"/>
          </reference>
        </references>
      </pivotArea>
    </chartFormat>
    <chartFormat chart="15" format="32">
      <pivotArea type="data" outline="0" fieldPosition="0">
        <references count="2">
          <reference field="4294967294" count="1" selected="0">
            <x v="0"/>
          </reference>
          <reference field="9" count="1" selected="0">
            <x v="8"/>
          </reference>
        </references>
      </pivotArea>
    </chartFormat>
    <chartFormat chart="15" format="33">
      <pivotArea type="data" outline="0" fieldPosition="0">
        <references count="2">
          <reference field="4294967294" count="1" selected="0">
            <x v="0"/>
          </reference>
          <reference field="9" count="1" selected="0">
            <x v="2"/>
          </reference>
        </references>
      </pivotArea>
    </chartFormat>
    <chartFormat chart="15" format="34">
      <pivotArea type="data" outline="0" fieldPosition="0">
        <references count="2">
          <reference field="4294967294" count="1" selected="0">
            <x v="0"/>
          </reference>
          <reference field="9" count="1" selected="0">
            <x v="11"/>
          </reference>
        </references>
      </pivotArea>
    </chartFormat>
    <chartFormat chart="15" format="35">
      <pivotArea type="data" outline="0" fieldPosition="0">
        <references count="2">
          <reference field="4294967294" count="1" selected="0">
            <x v="0"/>
          </reference>
          <reference field="9" count="1" selected="0">
            <x v="5"/>
          </reference>
        </references>
      </pivotArea>
    </chartFormat>
    <chartFormat chart="15" format="36">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DBF777-B1D0-4AF2-9732-8F1A38DE175D}" autoFormatId="16" applyNumberFormats="0" applyBorderFormats="0" applyFontFormats="0" applyPatternFormats="0" applyAlignmentFormats="0" applyWidthHeightFormats="0">
  <queryTableRefresh nextId="23" unboundColumnsRight="5">
    <queryTableFields count="22">
      <queryTableField id="1" name="id" tableColumnId="1"/>
      <queryTableField id="2" name="first_name" tableColumnId="2"/>
      <queryTableField id="3" name="last_name" tableColumnId="3"/>
      <queryTableField id="4" name="email" tableColumnId="4"/>
      <queryTableField id="5" name="gender" tableColumnId="5"/>
      <queryTableField id="6" name="part_time_job" tableColumnId="6"/>
      <queryTableField id="7" name="absence_days" tableColumnId="7"/>
      <queryTableField id="8" name="extracurricular_activities" tableColumnId="8"/>
      <queryTableField id="9" name="weekly_self_study_hours" tableColumnId="9"/>
      <queryTableField id="10" name="career_aspiration" tableColumnId="10"/>
      <queryTableField id="11" name="math_score" tableColumnId="11"/>
      <queryTableField id="12" name="history_score" tableColumnId="12"/>
      <queryTableField id="13" name="physics_score" tableColumnId="13"/>
      <queryTableField id="14" name="chemistry_score" tableColumnId="14"/>
      <queryTableField id="15" name="biology_score" tableColumnId="15"/>
      <queryTableField id="16" name="english_score" tableColumnId="16"/>
      <queryTableField id="17" name="geography_score" tableColumnId="17"/>
      <queryTableField id="18" dataBound="0" tableColumnId="18"/>
      <queryTableField id="19" dataBound="0" tableColumnId="19"/>
      <queryTableField id="20" dataBound="0" tableColumnId="20"/>
      <queryTableField id="21" dataBound="0"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7886FD-B81C-4068-8065-8560B201F456}" sourceName="gender">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1"/>
  </pivotTables>
  <data>
    <tabular pivotCacheId="10996663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eer_aspiration" xr10:uid="{6870AAB7-D607-43E8-A3B5-0335E8E7B713}" sourceName="career_aspiration">
  <pivotTables>
    <pivotTable tabId="4" name="PivotTable4"/>
    <pivotTable tabId="4" name="PivotTable1"/>
    <pivotTable tabId="4" name="PivotTable10"/>
    <pivotTable tabId="4" name="PivotTable2"/>
    <pivotTable tabId="4" name="PivotTable3"/>
    <pivotTable tabId="4" name="PivotTable5"/>
    <pivotTable tabId="4" name="PivotTable6"/>
    <pivotTable tabId="4" name="PivotTable7"/>
    <pivotTable tabId="4" name="PivotTable8"/>
    <pivotTable tabId="4" name="PivotTable9"/>
    <pivotTable tabId="4" name="PivotTable11"/>
  </pivotTables>
  <data>
    <tabular pivotCacheId="1099666316">
      <items count="17">
        <i x="11" s="1"/>
        <i x="3" s="1"/>
        <i x="9" s="1"/>
        <i x="7" s="1"/>
        <i x="13" s="1"/>
        <i x="12" s="1"/>
        <i x="1" s="1"/>
        <i x="14" s="1"/>
        <i x="2" s="1"/>
        <i x="0" s="1"/>
        <i x="16" s="1"/>
        <i x="8" s="1"/>
        <i x="5" s="1"/>
        <i x="15" s="1"/>
        <i x="6" s="1"/>
        <i x="4"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time_job" xr10:uid="{5E25830E-E884-4F0F-9EC5-00D3B2076A76}" sourceName="part_time_job">
  <pivotTables>
    <pivotTable tabId="4" name="PivotTable7"/>
    <pivotTable tabId="4" name="PivotTable1"/>
    <pivotTable tabId="4" name="PivotTable10"/>
    <pivotTable tabId="4" name="PivotTable2"/>
    <pivotTable tabId="4" name="PivotTable3"/>
    <pivotTable tabId="4" name="PivotTable4"/>
    <pivotTable tabId="4" name="PivotTable5"/>
    <pivotTable tabId="4" name="PivotTable8"/>
    <pivotTable tabId="4" name="PivotTable9"/>
    <pivotTable tabId="4" name="PivotTable11"/>
  </pivotTables>
  <data>
    <tabular pivotCacheId="109966631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_activities" xr10:uid="{647821D8-5EF0-4F39-A27D-C16B3D96E244}" sourceName="extracurricular_activities">
  <pivotTables>
    <pivotTable tabId="4" name="PivotTable7"/>
    <pivotTable tabId="4" name="PivotTable1"/>
    <pivotTable tabId="4" name="PivotTable10"/>
    <pivotTable tabId="4" name="PivotTable2"/>
    <pivotTable tabId="4" name="PivotTable3"/>
    <pivotTable tabId="4" name="PivotTable4"/>
    <pivotTable tabId="4" name="PivotTable5"/>
    <pivotTable tabId="4" name="PivotTable6"/>
    <pivotTable tabId="4" name="PivotTable8"/>
    <pivotTable tabId="4" name="PivotTable9"/>
    <pivotTable tabId="4" name="PivotTable11"/>
  </pivotTables>
  <data>
    <tabular pivotCacheId="109966631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A87394D-C84D-4289-BB4B-3D63BFC71DC4}" cache="Slicer_gender" caption="gender" style="SlicerStyleOther2" rowHeight="241300"/>
  <slicer name="career_aspiration 1" xr10:uid="{94D43059-9A29-4C59-A65F-DD6B2E6EC4FD}" cache="Slicer_career_aspiration" caption="career_aspiration" startItem="8" style="SlicerStyleOther2" rowHeight="241300"/>
  <slicer name="part_time_job 1" xr10:uid="{A8D9FD46-DD97-4BA6-B77C-7C226E596E90}" cache="Slicer_part_time_job" caption="part_time_job" style="SlicerStyleOther2" rowHeight="241300"/>
  <slicer name="extracurricular_activities 1" xr10:uid="{AFB5F739-A5C1-4227-96AC-AB7C406C2744}" cache="Slicer_extracurricular_activities" caption="extracurricular_activities"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9D369B-1367-4DE5-BDBF-C03BE116BDB7}" name="student_scores" displayName="student_scores" ref="A1:V2001" tableType="queryTable" totalsRowShown="0">
  <autoFilter ref="A1:V2001" xr:uid="{2B9D369B-1367-4DE5-BDBF-C03BE116BDB7}"/>
  <tableColumns count="22">
    <tableColumn id="1" xr3:uid="{68B6208E-7063-484F-A2A9-BEADE2949BB0}" uniqueName="1" name="id" queryTableFieldId="1"/>
    <tableColumn id="2" xr3:uid="{099F1E3A-A126-4470-9790-3B43D30A1A94}" uniqueName="2" name="first_name" queryTableFieldId="2" dataDxfId="102"/>
    <tableColumn id="3" xr3:uid="{542B54F0-B2C6-4D78-B7B7-02B13256C276}" uniqueName="3" name="last_name" queryTableFieldId="3" dataDxfId="101"/>
    <tableColumn id="4" xr3:uid="{FE3595F4-3E96-4603-8D60-FE880AD3914F}" uniqueName="4" name="email" queryTableFieldId="4" dataDxfId="100"/>
    <tableColumn id="5" xr3:uid="{121E0115-9640-43FB-8F6F-9C63984A5708}" uniqueName="5" name="gender" queryTableFieldId="5" dataDxfId="99"/>
    <tableColumn id="6" xr3:uid="{461D6344-0A6B-4ED3-B28B-22D9AD9B466A}" uniqueName="6" name="part_time_job" queryTableFieldId="6"/>
    <tableColumn id="7" xr3:uid="{647EF928-8845-4FEF-BCFB-DF46690A367A}" uniqueName="7" name="absence_days" queryTableFieldId="7"/>
    <tableColumn id="8" xr3:uid="{9AC34453-4BE7-4111-BE8C-056B8A2F3129}" uniqueName="8" name="extracurricular_activities" queryTableFieldId="8"/>
    <tableColumn id="9" xr3:uid="{45E2A8FD-8C20-4411-87E9-32C1A80164D4}" uniqueName="9" name="weekly_self_study_hours" queryTableFieldId="9"/>
    <tableColumn id="10" xr3:uid="{8DFA8C87-96A6-4885-A771-449ACFF3388A}" uniqueName="10" name="career_aspiration" queryTableFieldId="10" dataDxfId="98"/>
    <tableColumn id="11" xr3:uid="{93AF7099-5F27-4C8A-8A29-E2DF9CB4641E}" uniqueName="11" name="math_score" queryTableFieldId="11"/>
    <tableColumn id="12" xr3:uid="{67A88442-AD6D-47EC-9A36-F36D086FE94C}" uniqueName="12" name="history_score" queryTableFieldId="12"/>
    <tableColumn id="13" xr3:uid="{DF141184-7E6F-48BB-A4ED-32E00D5F4EEC}" uniqueName="13" name="physics_score" queryTableFieldId="13"/>
    <tableColumn id="14" xr3:uid="{5B3F4B08-E5F6-494D-A14F-1041A1D74157}" uniqueName="14" name="chemistry_score" queryTableFieldId="14"/>
    <tableColumn id="15" xr3:uid="{1988E3BF-2446-4CCB-9BA4-629E178A74CD}" uniqueName="15" name="biology_score" queryTableFieldId="15"/>
    <tableColumn id="16" xr3:uid="{C704E41C-8B75-4E65-BB23-A17C4A8E0837}" uniqueName="16" name="english_score" queryTableFieldId="16"/>
    <tableColumn id="17" xr3:uid="{EB56A2AB-A484-4D99-A5EA-437A454B52E1}" uniqueName="17" name="geography_score" queryTableFieldId="17"/>
    <tableColumn id="18" xr3:uid="{D943C4FE-8578-4629-8275-EC12C5E856D3}" uniqueName="18" name="Total_Score" queryTableFieldId="18" dataDxfId="97">
      <calculatedColumnFormula>SUM(student_scores[[#This Row],[math_score]:[geography_score]])</calculatedColumnFormula>
    </tableColumn>
    <tableColumn id="19" xr3:uid="{49AFC6B0-AAC9-4D60-87E1-06D9908B0975}" uniqueName="19" name="Avg_Score" queryTableFieldId="19" dataDxfId="96">
      <calculatedColumnFormula>student_scores[[#This Row],[Total_Score]]/7</calculatedColumnFormula>
    </tableColumn>
    <tableColumn id="20" xr3:uid="{58917F1D-5180-4C4E-AAB9-816EF3105B22}" uniqueName="20" name="Study_Hours" queryTableFieldId="20" dataDxfId="95">
      <calculatedColumnFormula array="1">_xlfn.IFS(student_scores[[#This Row],[weekly_self_study_hours]]&lt;=5,   "0 - 5", student_scores[[#This Row],[weekly_self_study_hours]]&lt;=10,  "6 - 10", student_scores[[#This Row],[weekly_self_study_hours]]&lt;=20,  "11 - 20",student_scores[[#This Row],[weekly_self_study_hours]]&lt;=30, "21 - 30",TRUE, "31+")</calculatedColumnFormula>
    </tableColumn>
    <tableColumn id="21" xr3:uid="{B31CAC71-3F1A-43C4-867D-2E7C6DFCCE9E}" uniqueName="21" name="Absence_grp" queryTableFieldId="21" dataDxfId="94">
      <calculatedColumnFormula array="1">_xlfn.IFS(student_scores[[#This Row],[absence_days]]=0,"0", student_scores[[#This Row],[absence_days]]&lt;=3,"1-3", student_scores[[#This Row],[absence_days]]&lt;=6,"4-6", TRUE,"7-10")</calculatedColumnFormula>
    </tableColumn>
    <tableColumn id="22" xr3:uid="{BA67D829-07A9-44A3-8151-3E428950D8AA}" uniqueName="22" name="Top_Performer" queryTableFieldId="22" dataDxfId="93">
      <calculatedColumnFormula>IF(student_scores[[#This Row],[Total_Score]] &gt;= _xlfn.PERCENTILE.INC(student_scores[Total_Score], 0.8), "Yes", "No")</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788E6-F984-43C5-AD78-5806F67F059F}">
  <dimension ref="A1:Y2001"/>
  <sheetViews>
    <sheetView topLeftCell="J1866" zoomScale="81" workbookViewId="0">
      <selection activeCell="Y1884" sqref="Y1884"/>
    </sheetView>
  </sheetViews>
  <sheetFormatPr defaultRowHeight="14.5" x14ac:dyDescent="0.35"/>
  <cols>
    <col min="1" max="1" width="4.81640625" bestFit="1" customWidth="1"/>
    <col min="2" max="2" width="12.1796875" bestFit="1" customWidth="1"/>
    <col min="3" max="3" width="11.81640625" bestFit="1" customWidth="1"/>
    <col min="4" max="4" width="44.90625" bestFit="1" customWidth="1"/>
    <col min="5" max="5" width="8.90625" bestFit="1" customWidth="1"/>
    <col min="6" max="6" width="15.26953125" bestFit="1" customWidth="1"/>
    <col min="7" max="7" width="14.7265625" bestFit="1" customWidth="1"/>
    <col min="8" max="8" width="24" bestFit="1" customWidth="1"/>
    <col min="9" max="9" width="24.54296875" bestFit="1" customWidth="1"/>
    <col min="10" max="10" width="19.36328125" bestFit="1" customWidth="1"/>
    <col min="11" max="11" width="13" bestFit="1" customWidth="1"/>
    <col min="12" max="12" width="14.36328125" bestFit="1" customWidth="1"/>
    <col min="13" max="13" width="14.54296875" bestFit="1" customWidth="1"/>
    <col min="14" max="14" width="16.81640625" bestFit="1" customWidth="1"/>
    <col min="15" max="15" width="14.54296875" bestFit="1" customWidth="1"/>
    <col min="16" max="16" width="14.36328125" bestFit="1" customWidth="1"/>
    <col min="17" max="17" width="17.6328125" customWidth="1"/>
    <col min="19" max="19" width="8.7265625" style="3"/>
    <col min="20" max="20" width="13.36328125" style="3" customWidth="1"/>
    <col min="21" max="21" width="12.90625" customWidth="1"/>
    <col min="22" max="22" width="13.453125"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3151</v>
      </c>
      <c r="S1" s="3" t="s">
        <v>3152</v>
      </c>
      <c r="T1" s="3" t="s">
        <v>3153</v>
      </c>
      <c r="U1" t="s">
        <v>3154</v>
      </c>
      <c r="V1" t="s">
        <v>3155</v>
      </c>
    </row>
    <row r="2" spans="1:22" x14ac:dyDescent="0.35">
      <c r="A2">
        <v>1</v>
      </c>
      <c r="B2" t="s">
        <v>17</v>
      </c>
      <c r="C2" t="s">
        <v>18</v>
      </c>
      <c r="D2" t="s">
        <v>19</v>
      </c>
      <c r="E2" t="s">
        <v>20</v>
      </c>
      <c r="F2" t="b">
        <v>0</v>
      </c>
      <c r="G2">
        <v>3</v>
      </c>
      <c r="H2" t="b">
        <v>0</v>
      </c>
      <c r="I2">
        <v>27</v>
      </c>
      <c r="J2" t="s">
        <v>21</v>
      </c>
      <c r="K2">
        <v>73</v>
      </c>
      <c r="L2">
        <v>81</v>
      </c>
      <c r="M2">
        <v>93</v>
      </c>
      <c r="N2">
        <v>97</v>
      </c>
      <c r="O2">
        <v>63</v>
      </c>
      <c r="P2">
        <v>80</v>
      </c>
      <c r="Q2">
        <v>87</v>
      </c>
      <c r="R2">
        <f>SUM(student_scores[[#This Row],[math_score]:[geography_score]])</f>
        <v>574</v>
      </c>
      <c r="S2" s="3">
        <f>student_scores[[#This Row],[Total_Score]]/7</f>
        <v>82</v>
      </c>
      <c r="T2" s="3" t="str" cm="1">
        <f t="array" ref="T2">_xlfn.IFS(student_scores[[#This Row],[weekly_self_study_hours]]&lt;=5,   "0 - 5", student_scores[[#This Row],[weekly_self_study_hours]]&lt;=10,  "6 - 10", student_scores[[#This Row],[weekly_self_study_hours]]&lt;=20,  "11 - 20",student_scores[[#This Row],[weekly_self_study_hours]]&lt;=30, "21 - 30",TRUE, "31+")</f>
        <v>21 - 30</v>
      </c>
      <c r="U2" t="str" cm="1">
        <f t="array" ref="U2">_xlfn.IFS(student_scores[[#This Row],[absence_days]]=0,"0", student_scores[[#This Row],[absence_days]]&lt;=3,"1-3", student_scores[[#This Row],[absence_days]]&lt;=6,"4-6", TRUE,"7-10")</f>
        <v>1-3</v>
      </c>
      <c r="V2" t="str">
        <f>IF(student_scores[[#This Row],[Total_Score]] &gt;= _xlfn.PERCENTILE.INC(student_scores[Total_Score], 0.8), "Yes", "No")</f>
        <v>No</v>
      </c>
    </row>
    <row r="3" spans="1:22" x14ac:dyDescent="0.35">
      <c r="A3">
        <v>2</v>
      </c>
      <c r="B3" t="s">
        <v>22</v>
      </c>
      <c r="C3" t="s">
        <v>23</v>
      </c>
      <c r="D3" t="s">
        <v>24</v>
      </c>
      <c r="E3" t="s">
        <v>25</v>
      </c>
      <c r="F3" t="b">
        <v>0</v>
      </c>
      <c r="G3">
        <v>2</v>
      </c>
      <c r="H3" t="b">
        <v>0</v>
      </c>
      <c r="I3">
        <v>47</v>
      </c>
      <c r="J3" t="s">
        <v>26</v>
      </c>
      <c r="K3">
        <v>90</v>
      </c>
      <c r="L3">
        <v>86</v>
      </c>
      <c r="M3">
        <v>96</v>
      </c>
      <c r="N3">
        <v>100</v>
      </c>
      <c r="O3">
        <v>90</v>
      </c>
      <c r="P3">
        <v>88</v>
      </c>
      <c r="Q3">
        <v>90</v>
      </c>
      <c r="R3">
        <f>SUM(student_scores[[#This Row],[math_score]:[geography_score]])</f>
        <v>640</v>
      </c>
      <c r="S3" s="3">
        <f>student_scores[[#This Row],[Total_Score]]/7</f>
        <v>91.428571428571431</v>
      </c>
      <c r="T3" s="3" t="str" cm="1">
        <f t="array" ref="T3">_xlfn.IFS(student_scores[[#This Row],[weekly_self_study_hours]]&lt;=5,   "0 - 5", student_scores[[#This Row],[weekly_self_study_hours]]&lt;=10,  "6 - 10", student_scores[[#This Row],[weekly_self_study_hours]]&lt;=20,  "11 - 20",student_scores[[#This Row],[weekly_self_study_hours]]&lt;=30, "21 - 30",TRUE, "31+")</f>
        <v>31+</v>
      </c>
      <c r="U3" t="str" cm="1">
        <f t="array" ref="U3">_xlfn.IFS(student_scores[[#This Row],[absence_days]]=0,"0", student_scores[[#This Row],[absence_days]]&lt;=3,"1-3", student_scores[[#This Row],[absence_days]]&lt;=6,"4-6", TRUE,"7-10")</f>
        <v>1-3</v>
      </c>
      <c r="V3" t="str">
        <f>IF(student_scores[[#This Row],[Total_Score]] &gt;= _xlfn.PERCENTILE.INC(student_scores[Total_Score], 0.8), "Yes", "No")</f>
        <v>Yes</v>
      </c>
    </row>
    <row r="4" spans="1:22" x14ac:dyDescent="0.35">
      <c r="A4">
        <v>3</v>
      </c>
      <c r="B4" t="s">
        <v>27</v>
      </c>
      <c r="C4" t="s">
        <v>28</v>
      </c>
      <c r="D4" t="s">
        <v>29</v>
      </c>
      <c r="E4" t="s">
        <v>25</v>
      </c>
      <c r="F4" t="b">
        <v>0</v>
      </c>
      <c r="G4">
        <v>9</v>
      </c>
      <c r="H4" t="b">
        <v>1</v>
      </c>
      <c r="I4">
        <v>13</v>
      </c>
      <c r="J4" t="s">
        <v>30</v>
      </c>
      <c r="K4">
        <v>81</v>
      </c>
      <c r="L4">
        <v>97</v>
      </c>
      <c r="M4">
        <v>95</v>
      </c>
      <c r="N4">
        <v>96</v>
      </c>
      <c r="O4">
        <v>65</v>
      </c>
      <c r="P4">
        <v>77</v>
      </c>
      <c r="Q4">
        <v>94</v>
      </c>
      <c r="R4">
        <f>SUM(student_scores[[#This Row],[math_score]:[geography_score]])</f>
        <v>605</v>
      </c>
      <c r="S4" s="3">
        <f>student_scores[[#This Row],[Total_Score]]/7</f>
        <v>86.428571428571431</v>
      </c>
      <c r="T4" s="3" t="str" cm="1">
        <f t="array" ref="T4">_xlfn.IFS(student_scores[[#This Row],[weekly_self_study_hours]]&lt;=5,   "0 - 5", student_scores[[#This Row],[weekly_self_study_hours]]&lt;=10,  "6 - 10", student_scores[[#This Row],[weekly_self_study_hours]]&lt;=20,  "11 - 20",student_scores[[#This Row],[weekly_self_study_hours]]&lt;=30, "21 - 30",TRUE, "31+")</f>
        <v>11 - 20</v>
      </c>
      <c r="U4" t="str" cm="1">
        <f t="array" ref="U4">_xlfn.IFS(student_scores[[#This Row],[absence_days]]=0,"0", student_scores[[#This Row],[absence_days]]&lt;=3,"1-3", student_scores[[#This Row],[absence_days]]&lt;=6,"4-6", TRUE,"7-10")</f>
        <v>7-10</v>
      </c>
      <c r="V4" t="str">
        <f>IF(student_scores[[#This Row],[Total_Score]] &gt;= _xlfn.PERCENTILE.INC(student_scores[Total_Score], 0.8), "Yes", "No")</f>
        <v>Yes</v>
      </c>
    </row>
    <row r="5" spans="1:22" x14ac:dyDescent="0.35">
      <c r="A5">
        <v>4</v>
      </c>
      <c r="B5" t="s">
        <v>31</v>
      </c>
      <c r="C5" t="s">
        <v>32</v>
      </c>
      <c r="D5" t="s">
        <v>33</v>
      </c>
      <c r="E5" t="s">
        <v>25</v>
      </c>
      <c r="F5" t="b">
        <v>0</v>
      </c>
      <c r="G5">
        <v>5</v>
      </c>
      <c r="H5" t="b">
        <v>0</v>
      </c>
      <c r="I5">
        <v>3</v>
      </c>
      <c r="J5" t="s">
        <v>34</v>
      </c>
      <c r="K5">
        <v>71</v>
      </c>
      <c r="L5">
        <v>74</v>
      </c>
      <c r="M5">
        <v>88</v>
      </c>
      <c r="N5">
        <v>80</v>
      </c>
      <c r="O5">
        <v>89</v>
      </c>
      <c r="P5">
        <v>63</v>
      </c>
      <c r="Q5">
        <v>86</v>
      </c>
      <c r="R5">
        <f>SUM(student_scores[[#This Row],[math_score]:[geography_score]])</f>
        <v>551</v>
      </c>
      <c r="S5" s="3">
        <f>student_scores[[#This Row],[Total_Score]]/7</f>
        <v>78.714285714285708</v>
      </c>
      <c r="T5" s="3" t="str" cm="1">
        <f t="array" ref="T5">_xlfn.IFS(student_scores[[#This Row],[weekly_self_study_hours]]&lt;=5,   "0 - 5", student_scores[[#This Row],[weekly_self_study_hours]]&lt;=10,  "6 - 10", student_scores[[#This Row],[weekly_self_study_hours]]&lt;=20,  "11 - 20",student_scores[[#This Row],[weekly_self_study_hours]]&lt;=30, "21 - 30",TRUE, "31+")</f>
        <v>0 - 5</v>
      </c>
      <c r="U5" t="str" cm="1">
        <f t="array" ref="U5">_xlfn.IFS(student_scores[[#This Row],[absence_days]]=0,"0", student_scores[[#This Row],[absence_days]]&lt;=3,"1-3", student_scores[[#This Row],[absence_days]]&lt;=6,"4-6", TRUE,"7-10")</f>
        <v>4-6</v>
      </c>
      <c r="V5" t="str">
        <f>IF(student_scores[[#This Row],[Total_Score]] &gt;= _xlfn.PERCENTILE.INC(student_scores[Total_Score], 0.8), "Yes", "No")</f>
        <v>No</v>
      </c>
    </row>
    <row r="6" spans="1:22" x14ac:dyDescent="0.35">
      <c r="A6">
        <v>5</v>
      </c>
      <c r="B6" t="s">
        <v>35</v>
      </c>
      <c r="C6" t="s">
        <v>36</v>
      </c>
      <c r="D6" t="s">
        <v>37</v>
      </c>
      <c r="E6" t="s">
        <v>20</v>
      </c>
      <c r="F6" t="b">
        <v>0</v>
      </c>
      <c r="G6">
        <v>5</v>
      </c>
      <c r="H6" t="b">
        <v>0</v>
      </c>
      <c r="I6">
        <v>10</v>
      </c>
      <c r="J6" t="s">
        <v>38</v>
      </c>
      <c r="K6">
        <v>84</v>
      </c>
      <c r="L6">
        <v>77</v>
      </c>
      <c r="M6">
        <v>65</v>
      </c>
      <c r="N6">
        <v>65</v>
      </c>
      <c r="O6">
        <v>80</v>
      </c>
      <c r="P6">
        <v>74</v>
      </c>
      <c r="Q6">
        <v>76</v>
      </c>
      <c r="R6">
        <f>SUM(student_scores[[#This Row],[math_score]:[geography_score]])</f>
        <v>521</v>
      </c>
      <c r="S6" s="3">
        <f>student_scores[[#This Row],[Total_Score]]/7</f>
        <v>74.428571428571431</v>
      </c>
      <c r="T6" s="3" t="str" cm="1">
        <f t="array" ref="T6">_xlfn.IFS(student_scores[[#This Row],[weekly_self_study_hours]]&lt;=5,   "0 - 5", student_scores[[#This Row],[weekly_self_study_hours]]&lt;=10,  "6 - 10", student_scores[[#This Row],[weekly_self_study_hours]]&lt;=20,  "11 - 20",student_scores[[#This Row],[weekly_self_study_hours]]&lt;=30, "21 - 30",TRUE, "31+")</f>
        <v>6 - 10</v>
      </c>
      <c r="U6" t="str" cm="1">
        <f t="array" ref="U6">_xlfn.IFS(student_scores[[#This Row],[absence_days]]=0,"0", student_scores[[#This Row],[absence_days]]&lt;=3,"1-3", student_scores[[#This Row],[absence_days]]&lt;=6,"4-6", TRUE,"7-10")</f>
        <v>4-6</v>
      </c>
      <c r="V6" t="str">
        <f>IF(student_scores[[#This Row],[Total_Score]] &gt;= _xlfn.PERCENTILE.INC(student_scores[Total_Score], 0.8), "Yes", "No")</f>
        <v>No</v>
      </c>
    </row>
    <row r="7" spans="1:22" x14ac:dyDescent="0.35">
      <c r="A7">
        <v>6</v>
      </c>
      <c r="B7" t="s">
        <v>39</v>
      </c>
      <c r="C7" t="s">
        <v>40</v>
      </c>
      <c r="D7" t="s">
        <v>41</v>
      </c>
      <c r="E7" t="s">
        <v>25</v>
      </c>
      <c r="F7" t="b">
        <v>0</v>
      </c>
      <c r="G7">
        <v>2</v>
      </c>
      <c r="H7" t="b">
        <v>0</v>
      </c>
      <c r="I7">
        <v>26</v>
      </c>
      <c r="J7" t="s">
        <v>38</v>
      </c>
      <c r="K7">
        <v>93</v>
      </c>
      <c r="L7">
        <v>100</v>
      </c>
      <c r="M7">
        <v>67</v>
      </c>
      <c r="N7">
        <v>78</v>
      </c>
      <c r="O7">
        <v>72</v>
      </c>
      <c r="P7">
        <v>80</v>
      </c>
      <c r="Q7">
        <v>84</v>
      </c>
      <c r="R7">
        <f>SUM(student_scores[[#This Row],[math_score]:[geography_score]])</f>
        <v>574</v>
      </c>
      <c r="S7" s="3">
        <f>student_scores[[#This Row],[Total_Score]]/7</f>
        <v>82</v>
      </c>
      <c r="T7" s="3" t="str" cm="1">
        <f t="array" ref="T7">_xlfn.IFS(student_scores[[#This Row],[weekly_self_study_hours]]&lt;=5,   "0 - 5", student_scores[[#This Row],[weekly_self_study_hours]]&lt;=10,  "6 - 10", student_scores[[#This Row],[weekly_self_study_hours]]&lt;=20,  "11 - 20",student_scores[[#This Row],[weekly_self_study_hours]]&lt;=30, "21 - 30",TRUE, "31+")</f>
        <v>21 - 30</v>
      </c>
      <c r="U7" t="str" cm="1">
        <f t="array" ref="U7">_xlfn.IFS(student_scores[[#This Row],[absence_days]]=0,"0", student_scores[[#This Row],[absence_days]]&lt;=3,"1-3", student_scores[[#This Row],[absence_days]]&lt;=6,"4-6", TRUE,"7-10")</f>
        <v>1-3</v>
      </c>
      <c r="V7" t="str">
        <f>IF(student_scores[[#This Row],[Total_Score]] &gt;= _xlfn.PERCENTILE.INC(student_scores[Total_Score], 0.8), "Yes", "No")</f>
        <v>No</v>
      </c>
    </row>
    <row r="8" spans="1:22" x14ac:dyDescent="0.35">
      <c r="A8">
        <v>7</v>
      </c>
      <c r="B8" t="s">
        <v>35</v>
      </c>
      <c r="C8" t="s">
        <v>42</v>
      </c>
      <c r="D8" t="s">
        <v>43</v>
      </c>
      <c r="E8" t="s">
        <v>20</v>
      </c>
      <c r="F8" t="b">
        <v>0</v>
      </c>
      <c r="G8">
        <v>3</v>
      </c>
      <c r="H8" t="b">
        <v>1</v>
      </c>
      <c r="I8">
        <v>23</v>
      </c>
      <c r="J8" t="s">
        <v>44</v>
      </c>
      <c r="K8">
        <v>99</v>
      </c>
      <c r="L8">
        <v>96</v>
      </c>
      <c r="M8">
        <v>97</v>
      </c>
      <c r="N8">
        <v>73</v>
      </c>
      <c r="O8">
        <v>88</v>
      </c>
      <c r="P8">
        <v>76</v>
      </c>
      <c r="Q8">
        <v>64</v>
      </c>
      <c r="R8">
        <f>SUM(student_scores[[#This Row],[math_score]:[geography_score]])</f>
        <v>593</v>
      </c>
      <c r="S8" s="3">
        <f>student_scores[[#This Row],[Total_Score]]/7</f>
        <v>84.714285714285708</v>
      </c>
      <c r="T8" s="3" t="str" cm="1">
        <f t="array" ref="T8">_xlfn.IFS(student_scores[[#This Row],[weekly_self_study_hours]]&lt;=5,   "0 - 5", student_scores[[#This Row],[weekly_self_study_hours]]&lt;=10,  "6 - 10", student_scores[[#This Row],[weekly_self_study_hours]]&lt;=20,  "11 - 20",student_scores[[#This Row],[weekly_self_study_hours]]&lt;=30, "21 - 30",TRUE, "31+")</f>
        <v>21 - 30</v>
      </c>
      <c r="U8" t="str" cm="1">
        <f t="array" ref="U8">_xlfn.IFS(student_scores[[#This Row],[absence_days]]=0,"0", student_scores[[#This Row],[absence_days]]&lt;=3,"1-3", student_scores[[#This Row],[absence_days]]&lt;=6,"4-6", TRUE,"7-10")</f>
        <v>1-3</v>
      </c>
      <c r="V8" t="str">
        <f>IF(student_scores[[#This Row],[Total_Score]] &gt;= _xlfn.PERCENTILE.INC(student_scores[Total_Score], 0.8), "Yes", "No")</f>
        <v>No</v>
      </c>
    </row>
    <row r="9" spans="1:22" x14ac:dyDescent="0.35">
      <c r="A9">
        <v>8</v>
      </c>
      <c r="B9" t="s">
        <v>45</v>
      </c>
      <c r="C9" t="s">
        <v>46</v>
      </c>
      <c r="D9" t="s">
        <v>47</v>
      </c>
      <c r="E9" t="s">
        <v>20</v>
      </c>
      <c r="F9" t="b">
        <v>1</v>
      </c>
      <c r="G9">
        <v>2</v>
      </c>
      <c r="H9" t="b">
        <v>1</v>
      </c>
      <c r="I9">
        <v>34</v>
      </c>
      <c r="J9" t="s">
        <v>44</v>
      </c>
      <c r="K9">
        <v>95</v>
      </c>
      <c r="L9">
        <v>95</v>
      </c>
      <c r="M9">
        <v>82</v>
      </c>
      <c r="N9">
        <v>63</v>
      </c>
      <c r="O9">
        <v>84</v>
      </c>
      <c r="P9">
        <v>70</v>
      </c>
      <c r="Q9">
        <v>85</v>
      </c>
      <c r="R9">
        <f>SUM(student_scores[[#This Row],[math_score]:[geography_score]])</f>
        <v>574</v>
      </c>
      <c r="S9" s="3">
        <f>student_scores[[#This Row],[Total_Score]]/7</f>
        <v>82</v>
      </c>
      <c r="T9" s="3" t="str" cm="1">
        <f t="array" ref="T9">_xlfn.IFS(student_scores[[#This Row],[weekly_self_study_hours]]&lt;=5,   "0 - 5", student_scores[[#This Row],[weekly_self_study_hours]]&lt;=10,  "6 - 10", student_scores[[#This Row],[weekly_self_study_hours]]&lt;=20,  "11 - 20",student_scores[[#This Row],[weekly_self_study_hours]]&lt;=30, "21 - 30",TRUE, "31+")</f>
        <v>31+</v>
      </c>
      <c r="U9" t="str" cm="1">
        <f t="array" ref="U9">_xlfn.IFS(student_scores[[#This Row],[absence_days]]=0,"0", student_scores[[#This Row],[absence_days]]&lt;=3,"1-3", student_scores[[#This Row],[absence_days]]&lt;=6,"4-6", TRUE,"7-10")</f>
        <v>1-3</v>
      </c>
      <c r="V9" t="str">
        <f>IF(student_scores[[#This Row],[Total_Score]] &gt;= _xlfn.PERCENTILE.INC(student_scores[Total_Score], 0.8), "Yes", "No")</f>
        <v>No</v>
      </c>
    </row>
    <row r="10" spans="1:22" x14ac:dyDescent="0.35">
      <c r="A10">
        <v>9</v>
      </c>
      <c r="B10" t="s">
        <v>48</v>
      </c>
      <c r="C10" t="s">
        <v>49</v>
      </c>
      <c r="D10" t="s">
        <v>50</v>
      </c>
      <c r="E10" t="s">
        <v>20</v>
      </c>
      <c r="F10" t="b">
        <v>0</v>
      </c>
      <c r="G10">
        <v>6</v>
      </c>
      <c r="H10" t="b">
        <v>0</v>
      </c>
      <c r="I10">
        <v>25</v>
      </c>
      <c r="J10" t="s">
        <v>38</v>
      </c>
      <c r="K10">
        <v>94</v>
      </c>
      <c r="L10">
        <v>68</v>
      </c>
      <c r="M10">
        <v>94</v>
      </c>
      <c r="N10">
        <v>85</v>
      </c>
      <c r="O10">
        <v>81</v>
      </c>
      <c r="P10">
        <v>74</v>
      </c>
      <c r="Q10">
        <v>72</v>
      </c>
      <c r="R10">
        <f>SUM(student_scores[[#This Row],[math_score]:[geography_score]])</f>
        <v>568</v>
      </c>
      <c r="S10" s="3">
        <f>student_scores[[#This Row],[Total_Score]]/7</f>
        <v>81.142857142857139</v>
      </c>
      <c r="T10" s="3" t="str" cm="1">
        <f t="array" ref="T10">_xlfn.IFS(student_scores[[#This Row],[weekly_self_study_hours]]&lt;=5,   "0 - 5", student_scores[[#This Row],[weekly_self_study_hours]]&lt;=10,  "6 - 10", student_scores[[#This Row],[weekly_self_study_hours]]&lt;=20,  "11 - 20",student_scores[[#This Row],[weekly_self_study_hours]]&lt;=30, "21 - 30",TRUE, "31+")</f>
        <v>21 - 30</v>
      </c>
      <c r="U10" t="str" cm="1">
        <f t="array" ref="U10">_xlfn.IFS(student_scores[[#This Row],[absence_days]]=0,"0", student_scores[[#This Row],[absence_days]]&lt;=3,"1-3", student_scores[[#This Row],[absence_days]]&lt;=6,"4-6", TRUE,"7-10")</f>
        <v>4-6</v>
      </c>
      <c r="V10" t="str">
        <f>IF(student_scores[[#This Row],[Total_Score]] &gt;= _xlfn.PERCENTILE.INC(student_scores[Total_Score], 0.8), "Yes", "No")</f>
        <v>No</v>
      </c>
    </row>
    <row r="11" spans="1:22" x14ac:dyDescent="0.35">
      <c r="A11">
        <v>10</v>
      </c>
      <c r="B11" t="s">
        <v>51</v>
      </c>
      <c r="C11" t="s">
        <v>52</v>
      </c>
      <c r="D11" t="s">
        <v>53</v>
      </c>
      <c r="E11" t="s">
        <v>25</v>
      </c>
      <c r="F11" t="b">
        <v>0</v>
      </c>
      <c r="G11">
        <v>3</v>
      </c>
      <c r="H11" t="b">
        <v>1</v>
      </c>
      <c r="I11">
        <v>18</v>
      </c>
      <c r="J11" t="s">
        <v>54</v>
      </c>
      <c r="K11">
        <v>98</v>
      </c>
      <c r="L11">
        <v>69</v>
      </c>
      <c r="M11">
        <v>88</v>
      </c>
      <c r="N11">
        <v>71</v>
      </c>
      <c r="O11">
        <v>67</v>
      </c>
      <c r="P11">
        <v>71</v>
      </c>
      <c r="Q11">
        <v>73</v>
      </c>
      <c r="R11">
        <f>SUM(student_scores[[#This Row],[math_score]:[geography_score]])</f>
        <v>537</v>
      </c>
      <c r="S11" s="3">
        <f>student_scores[[#This Row],[Total_Score]]/7</f>
        <v>76.714285714285708</v>
      </c>
      <c r="T11" s="3" t="str" cm="1">
        <f t="array" ref="T11">_xlfn.IFS(student_scores[[#This Row],[weekly_self_study_hours]]&lt;=5,   "0 - 5", student_scores[[#This Row],[weekly_self_study_hours]]&lt;=10,  "6 - 10", student_scores[[#This Row],[weekly_self_study_hours]]&lt;=20,  "11 - 20",student_scores[[#This Row],[weekly_self_study_hours]]&lt;=30, "21 - 30",TRUE, "31+")</f>
        <v>11 - 20</v>
      </c>
      <c r="U11" t="str" cm="1">
        <f t="array" ref="U11">_xlfn.IFS(student_scores[[#This Row],[absence_days]]=0,"0", student_scores[[#This Row],[absence_days]]&lt;=3,"1-3", student_scores[[#This Row],[absence_days]]&lt;=6,"4-6", TRUE,"7-10")</f>
        <v>1-3</v>
      </c>
      <c r="V11" t="str">
        <f>IF(student_scores[[#This Row],[Total_Score]] &gt;= _xlfn.PERCENTILE.INC(student_scores[Total_Score], 0.8), "Yes", "No")</f>
        <v>No</v>
      </c>
    </row>
    <row r="12" spans="1:22" x14ac:dyDescent="0.35">
      <c r="A12">
        <v>11</v>
      </c>
      <c r="B12" t="s">
        <v>55</v>
      </c>
      <c r="C12" t="s">
        <v>56</v>
      </c>
      <c r="D12" t="s">
        <v>57</v>
      </c>
      <c r="E12" t="s">
        <v>25</v>
      </c>
      <c r="F12" t="b">
        <v>0</v>
      </c>
      <c r="G12">
        <v>2</v>
      </c>
      <c r="H12" t="b">
        <v>0</v>
      </c>
      <c r="I12">
        <v>7</v>
      </c>
      <c r="J12" t="s">
        <v>54</v>
      </c>
      <c r="K12">
        <v>65</v>
      </c>
      <c r="L12">
        <v>60</v>
      </c>
      <c r="M12">
        <v>97</v>
      </c>
      <c r="N12">
        <v>94</v>
      </c>
      <c r="O12">
        <v>71</v>
      </c>
      <c r="P12">
        <v>81</v>
      </c>
      <c r="Q12">
        <v>66</v>
      </c>
      <c r="R12">
        <f>SUM(student_scores[[#This Row],[math_score]:[geography_score]])</f>
        <v>534</v>
      </c>
      <c r="S12" s="3">
        <f>student_scores[[#This Row],[Total_Score]]/7</f>
        <v>76.285714285714292</v>
      </c>
      <c r="T12" s="3" t="str" cm="1">
        <f t="array" ref="T12">_xlfn.IFS(student_scores[[#This Row],[weekly_self_study_hours]]&lt;=5,   "0 - 5", student_scores[[#This Row],[weekly_self_study_hours]]&lt;=10,  "6 - 10", student_scores[[#This Row],[weekly_self_study_hours]]&lt;=20,  "11 - 20",student_scores[[#This Row],[weekly_self_study_hours]]&lt;=30, "21 - 30",TRUE, "31+")</f>
        <v>6 - 10</v>
      </c>
      <c r="U12" t="str" cm="1">
        <f t="array" ref="U12">_xlfn.IFS(student_scores[[#This Row],[absence_days]]=0,"0", student_scores[[#This Row],[absence_days]]&lt;=3,"1-3", student_scores[[#This Row],[absence_days]]&lt;=6,"4-6", TRUE,"7-10")</f>
        <v>1-3</v>
      </c>
      <c r="V12" t="str">
        <f>IF(student_scores[[#This Row],[Total_Score]] &gt;= _xlfn.PERCENTILE.INC(student_scores[Total_Score], 0.8), "Yes", "No")</f>
        <v>No</v>
      </c>
    </row>
    <row r="13" spans="1:22" x14ac:dyDescent="0.35">
      <c r="A13">
        <v>12</v>
      </c>
      <c r="B13" t="s">
        <v>58</v>
      </c>
      <c r="C13" t="s">
        <v>59</v>
      </c>
      <c r="D13" t="s">
        <v>60</v>
      </c>
      <c r="E13" t="s">
        <v>20</v>
      </c>
      <c r="F13" t="b">
        <v>0</v>
      </c>
      <c r="G13">
        <v>1</v>
      </c>
      <c r="H13" t="b">
        <v>0</v>
      </c>
      <c r="I13">
        <v>7</v>
      </c>
      <c r="J13" t="s">
        <v>38</v>
      </c>
      <c r="K13">
        <v>80</v>
      </c>
      <c r="L13">
        <v>61</v>
      </c>
      <c r="M13">
        <v>100</v>
      </c>
      <c r="N13">
        <v>65</v>
      </c>
      <c r="O13">
        <v>87</v>
      </c>
      <c r="P13">
        <v>64</v>
      </c>
      <c r="Q13">
        <v>61</v>
      </c>
      <c r="R13">
        <f>SUM(student_scores[[#This Row],[math_score]:[geography_score]])</f>
        <v>518</v>
      </c>
      <c r="S13" s="3">
        <f>student_scores[[#This Row],[Total_Score]]/7</f>
        <v>74</v>
      </c>
      <c r="T13" s="3" t="str" cm="1">
        <f t="array" ref="T13">_xlfn.IFS(student_scores[[#This Row],[weekly_self_study_hours]]&lt;=5,   "0 - 5", student_scores[[#This Row],[weekly_self_study_hours]]&lt;=10,  "6 - 10", student_scores[[#This Row],[weekly_self_study_hours]]&lt;=20,  "11 - 20",student_scores[[#This Row],[weekly_self_study_hours]]&lt;=30, "21 - 30",TRUE, "31+")</f>
        <v>6 - 10</v>
      </c>
      <c r="U13" t="str" cm="1">
        <f t="array" ref="U13">_xlfn.IFS(student_scores[[#This Row],[absence_days]]=0,"0", student_scores[[#This Row],[absence_days]]&lt;=3,"1-3", student_scores[[#This Row],[absence_days]]&lt;=6,"4-6", TRUE,"7-10")</f>
        <v>1-3</v>
      </c>
      <c r="V13" t="str">
        <f>IF(student_scores[[#This Row],[Total_Score]] &gt;= _xlfn.PERCENTILE.INC(student_scores[Total_Score], 0.8), "Yes", "No")</f>
        <v>No</v>
      </c>
    </row>
    <row r="14" spans="1:22" x14ac:dyDescent="0.35">
      <c r="A14">
        <v>13</v>
      </c>
      <c r="B14" t="s">
        <v>61</v>
      </c>
      <c r="C14" t="s">
        <v>62</v>
      </c>
      <c r="D14" t="s">
        <v>63</v>
      </c>
      <c r="E14" t="s">
        <v>25</v>
      </c>
      <c r="F14" t="b">
        <v>1</v>
      </c>
      <c r="G14">
        <v>7</v>
      </c>
      <c r="H14" t="b">
        <v>0</v>
      </c>
      <c r="I14">
        <v>4</v>
      </c>
      <c r="J14" t="s">
        <v>64</v>
      </c>
      <c r="K14">
        <v>94</v>
      </c>
      <c r="L14">
        <v>59</v>
      </c>
      <c r="M14">
        <v>69</v>
      </c>
      <c r="N14">
        <v>67</v>
      </c>
      <c r="O14">
        <v>89</v>
      </c>
      <c r="P14">
        <v>65</v>
      </c>
      <c r="Q14">
        <v>73</v>
      </c>
      <c r="R14">
        <f>SUM(student_scores[[#This Row],[math_score]:[geography_score]])</f>
        <v>516</v>
      </c>
      <c r="S14" s="3">
        <f>student_scores[[#This Row],[Total_Score]]/7</f>
        <v>73.714285714285708</v>
      </c>
      <c r="T14" s="3" t="str" cm="1">
        <f t="array" ref="T14">_xlfn.IFS(student_scores[[#This Row],[weekly_self_study_hours]]&lt;=5,   "0 - 5", student_scores[[#This Row],[weekly_self_study_hours]]&lt;=10,  "6 - 10", student_scores[[#This Row],[weekly_self_study_hours]]&lt;=20,  "11 - 20",student_scores[[#This Row],[weekly_self_study_hours]]&lt;=30, "21 - 30",TRUE, "31+")</f>
        <v>0 - 5</v>
      </c>
      <c r="U14" t="str" cm="1">
        <f t="array" ref="U14">_xlfn.IFS(student_scores[[#This Row],[absence_days]]=0,"0", student_scores[[#This Row],[absence_days]]&lt;=3,"1-3", student_scores[[#This Row],[absence_days]]&lt;=6,"4-6", TRUE,"7-10")</f>
        <v>7-10</v>
      </c>
      <c r="V14" t="str">
        <f>IF(student_scores[[#This Row],[Total_Score]] &gt;= _xlfn.PERCENTILE.INC(student_scores[Total_Score], 0.8), "Yes", "No")</f>
        <v>No</v>
      </c>
    </row>
    <row r="15" spans="1:22" x14ac:dyDescent="0.35">
      <c r="A15">
        <v>14</v>
      </c>
      <c r="B15" t="s">
        <v>65</v>
      </c>
      <c r="C15" t="s">
        <v>66</v>
      </c>
      <c r="D15" t="s">
        <v>67</v>
      </c>
      <c r="E15" t="s">
        <v>25</v>
      </c>
      <c r="F15" t="b">
        <v>0</v>
      </c>
      <c r="G15">
        <v>10</v>
      </c>
      <c r="H15" t="b">
        <v>0</v>
      </c>
      <c r="I15">
        <v>2</v>
      </c>
      <c r="J15" t="s">
        <v>64</v>
      </c>
      <c r="K15">
        <v>66</v>
      </c>
      <c r="L15">
        <v>94</v>
      </c>
      <c r="M15">
        <v>86</v>
      </c>
      <c r="N15">
        <v>100</v>
      </c>
      <c r="O15">
        <v>57</v>
      </c>
      <c r="P15">
        <v>90</v>
      </c>
      <c r="Q15">
        <v>63</v>
      </c>
      <c r="R15">
        <f>SUM(student_scores[[#This Row],[math_score]:[geography_score]])</f>
        <v>556</v>
      </c>
      <c r="S15" s="3">
        <f>student_scores[[#This Row],[Total_Score]]/7</f>
        <v>79.428571428571431</v>
      </c>
      <c r="T15" s="3" t="str" cm="1">
        <f t="array" ref="T15">_xlfn.IFS(student_scores[[#This Row],[weekly_self_study_hours]]&lt;=5,   "0 - 5", student_scores[[#This Row],[weekly_self_study_hours]]&lt;=10,  "6 - 10", student_scores[[#This Row],[weekly_self_study_hours]]&lt;=20,  "11 - 20",student_scores[[#This Row],[weekly_self_study_hours]]&lt;=30, "21 - 30",TRUE, "31+")</f>
        <v>0 - 5</v>
      </c>
      <c r="U15" t="str" cm="1">
        <f t="array" ref="U15">_xlfn.IFS(student_scores[[#This Row],[absence_days]]=0,"0", student_scores[[#This Row],[absence_days]]&lt;=3,"1-3", student_scores[[#This Row],[absence_days]]&lt;=6,"4-6", TRUE,"7-10")</f>
        <v>7-10</v>
      </c>
      <c r="V15" t="str">
        <f>IF(student_scores[[#This Row],[Total_Score]] &gt;= _xlfn.PERCENTILE.INC(student_scores[Total_Score], 0.8), "Yes", "No")</f>
        <v>No</v>
      </c>
    </row>
    <row r="16" spans="1:22" x14ac:dyDescent="0.35">
      <c r="A16">
        <v>15</v>
      </c>
      <c r="B16" t="s">
        <v>68</v>
      </c>
      <c r="C16" t="s">
        <v>66</v>
      </c>
      <c r="D16" t="s">
        <v>69</v>
      </c>
      <c r="E16" t="s">
        <v>25</v>
      </c>
      <c r="F16" t="b">
        <v>0</v>
      </c>
      <c r="G16">
        <v>3</v>
      </c>
      <c r="H16" t="b">
        <v>0</v>
      </c>
      <c r="I16">
        <v>39</v>
      </c>
      <c r="J16" t="s">
        <v>26</v>
      </c>
      <c r="K16">
        <v>96</v>
      </c>
      <c r="L16">
        <v>90</v>
      </c>
      <c r="M16">
        <v>86</v>
      </c>
      <c r="N16">
        <v>92</v>
      </c>
      <c r="O16">
        <v>92</v>
      </c>
      <c r="P16">
        <v>95</v>
      </c>
      <c r="Q16">
        <v>87</v>
      </c>
      <c r="R16">
        <f>SUM(student_scores[[#This Row],[math_score]:[geography_score]])</f>
        <v>638</v>
      </c>
      <c r="S16" s="3">
        <f>student_scores[[#This Row],[Total_Score]]/7</f>
        <v>91.142857142857139</v>
      </c>
      <c r="T16" s="3" t="str" cm="1">
        <f t="array" ref="T16">_xlfn.IFS(student_scores[[#This Row],[weekly_self_study_hours]]&lt;=5,   "0 - 5", student_scores[[#This Row],[weekly_self_study_hours]]&lt;=10,  "6 - 10", student_scores[[#This Row],[weekly_self_study_hours]]&lt;=20,  "11 - 20",student_scores[[#This Row],[weekly_self_study_hours]]&lt;=30, "21 - 30",TRUE, "31+")</f>
        <v>31+</v>
      </c>
      <c r="U16" t="str" cm="1">
        <f t="array" ref="U16">_xlfn.IFS(student_scores[[#This Row],[absence_days]]=0,"0", student_scores[[#This Row],[absence_days]]&lt;=3,"1-3", student_scores[[#This Row],[absence_days]]&lt;=6,"4-6", TRUE,"7-10")</f>
        <v>1-3</v>
      </c>
      <c r="V16" t="str">
        <f>IF(student_scores[[#This Row],[Total_Score]] &gt;= _xlfn.PERCENTILE.INC(student_scores[Total_Score], 0.8), "Yes", "No")</f>
        <v>Yes</v>
      </c>
    </row>
    <row r="17" spans="1:22" x14ac:dyDescent="0.35">
      <c r="A17">
        <v>16</v>
      </c>
      <c r="B17" t="s">
        <v>70</v>
      </c>
      <c r="C17" t="s">
        <v>71</v>
      </c>
      <c r="D17" t="s">
        <v>72</v>
      </c>
      <c r="E17" t="s">
        <v>20</v>
      </c>
      <c r="F17" t="b">
        <v>0</v>
      </c>
      <c r="G17">
        <v>6</v>
      </c>
      <c r="H17" t="b">
        <v>0</v>
      </c>
      <c r="I17">
        <v>0</v>
      </c>
      <c r="J17" t="s">
        <v>64</v>
      </c>
      <c r="K17">
        <v>94</v>
      </c>
      <c r="L17">
        <v>50</v>
      </c>
      <c r="M17">
        <v>78</v>
      </c>
      <c r="N17">
        <v>64</v>
      </c>
      <c r="O17">
        <v>79</v>
      </c>
      <c r="P17">
        <v>74</v>
      </c>
      <c r="Q17">
        <v>84</v>
      </c>
      <c r="R17">
        <f>SUM(student_scores[[#This Row],[math_score]:[geography_score]])</f>
        <v>523</v>
      </c>
      <c r="S17" s="3">
        <f>student_scores[[#This Row],[Total_Score]]/7</f>
        <v>74.714285714285708</v>
      </c>
      <c r="T17" s="3" t="str" cm="1">
        <f t="array" ref="T17">_xlfn.IFS(student_scores[[#This Row],[weekly_self_study_hours]]&lt;=5,   "0 - 5", student_scores[[#This Row],[weekly_self_study_hours]]&lt;=10,  "6 - 10", student_scores[[#This Row],[weekly_self_study_hours]]&lt;=20,  "11 - 20",student_scores[[#This Row],[weekly_self_study_hours]]&lt;=30, "21 - 30",TRUE, "31+")</f>
        <v>0 - 5</v>
      </c>
      <c r="U17" t="str" cm="1">
        <f t="array" ref="U17">_xlfn.IFS(student_scores[[#This Row],[absence_days]]=0,"0", student_scores[[#This Row],[absence_days]]&lt;=3,"1-3", student_scores[[#This Row],[absence_days]]&lt;=6,"4-6", TRUE,"7-10")</f>
        <v>4-6</v>
      </c>
      <c r="V17" t="str">
        <f>IF(student_scores[[#This Row],[Total_Score]] &gt;= _xlfn.PERCENTILE.INC(student_scores[Total_Score], 0.8), "Yes", "No")</f>
        <v>No</v>
      </c>
    </row>
    <row r="18" spans="1:22" x14ac:dyDescent="0.35">
      <c r="A18">
        <v>17</v>
      </c>
      <c r="B18" t="s">
        <v>73</v>
      </c>
      <c r="C18" t="s">
        <v>74</v>
      </c>
      <c r="D18" t="s">
        <v>75</v>
      </c>
      <c r="E18" t="s">
        <v>25</v>
      </c>
      <c r="F18" t="b">
        <v>0</v>
      </c>
      <c r="G18">
        <v>3</v>
      </c>
      <c r="H18" t="b">
        <v>1</v>
      </c>
      <c r="I18">
        <v>30</v>
      </c>
      <c r="J18" t="s">
        <v>76</v>
      </c>
      <c r="K18">
        <v>92</v>
      </c>
      <c r="L18">
        <v>64</v>
      </c>
      <c r="M18">
        <v>93</v>
      </c>
      <c r="N18">
        <v>91</v>
      </c>
      <c r="O18">
        <v>80</v>
      </c>
      <c r="P18">
        <v>89</v>
      </c>
      <c r="Q18">
        <v>72</v>
      </c>
      <c r="R18">
        <f>SUM(student_scores[[#This Row],[math_score]:[geography_score]])</f>
        <v>581</v>
      </c>
      <c r="S18" s="3">
        <f>student_scores[[#This Row],[Total_Score]]/7</f>
        <v>83</v>
      </c>
      <c r="T18" s="3" t="str" cm="1">
        <f t="array" ref="T18">_xlfn.IFS(student_scores[[#This Row],[weekly_self_study_hours]]&lt;=5,   "0 - 5", student_scores[[#This Row],[weekly_self_study_hours]]&lt;=10,  "6 - 10", student_scores[[#This Row],[weekly_self_study_hours]]&lt;=20,  "11 - 20",student_scores[[#This Row],[weekly_self_study_hours]]&lt;=30, "21 - 30",TRUE, "31+")</f>
        <v>21 - 30</v>
      </c>
      <c r="U18" t="str" cm="1">
        <f t="array" ref="U18">_xlfn.IFS(student_scores[[#This Row],[absence_days]]=0,"0", student_scores[[#This Row],[absence_days]]&lt;=3,"1-3", student_scores[[#This Row],[absence_days]]&lt;=6,"4-6", TRUE,"7-10")</f>
        <v>1-3</v>
      </c>
      <c r="V18" t="str">
        <f>IF(student_scores[[#This Row],[Total_Score]] &gt;= _xlfn.PERCENTILE.INC(student_scores[Total_Score], 0.8), "Yes", "No")</f>
        <v>No</v>
      </c>
    </row>
    <row r="19" spans="1:22" x14ac:dyDescent="0.35">
      <c r="A19">
        <v>18</v>
      </c>
      <c r="B19" t="s">
        <v>77</v>
      </c>
      <c r="C19" t="s">
        <v>78</v>
      </c>
      <c r="D19" t="s">
        <v>79</v>
      </c>
      <c r="E19" t="s">
        <v>20</v>
      </c>
      <c r="F19" t="b">
        <v>0</v>
      </c>
      <c r="G19">
        <v>2</v>
      </c>
      <c r="H19" t="b">
        <v>1</v>
      </c>
      <c r="I19">
        <v>28</v>
      </c>
      <c r="J19" t="s">
        <v>44</v>
      </c>
      <c r="K19">
        <v>86</v>
      </c>
      <c r="L19">
        <v>83</v>
      </c>
      <c r="M19">
        <v>85</v>
      </c>
      <c r="N19">
        <v>79</v>
      </c>
      <c r="O19">
        <v>93</v>
      </c>
      <c r="P19">
        <v>76</v>
      </c>
      <c r="Q19">
        <v>77</v>
      </c>
      <c r="R19">
        <f>SUM(student_scores[[#This Row],[math_score]:[geography_score]])</f>
        <v>579</v>
      </c>
      <c r="S19" s="3">
        <f>student_scores[[#This Row],[Total_Score]]/7</f>
        <v>82.714285714285708</v>
      </c>
      <c r="T19" s="3" t="str" cm="1">
        <f t="array" ref="T19">_xlfn.IFS(student_scores[[#This Row],[weekly_self_study_hours]]&lt;=5,   "0 - 5", student_scores[[#This Row],[weekly_self_study_hours]]&lt;=10,  "6 - 10", student_scores[[#This Row],[weekly_self_study_hours]]&lt;=20,  "11 - 20",student_scores[[#This Row],[weekly_self_study_hours]]&lt;=30, "21 - 30",TRUE, "31+")</f>
        <v>21 - 30</v>
      </c>
      <c r="U19" t="str" cm="1">
        <f t="array" ref="U19">_xlfn.IFS(student_scores[[#This Row],[absence_days]]=0,"0", student_scores[[#This Row],[absence_days]]&lt;=3,"1-3", student_scores[[#This Row],[absence_days]]&lt;=6,"4-6", TRUE,"7-10")</f>
        <v>1-3</v>
      </c>
      <c r="V19" t="str">
        <f>IF(student_scores[[#This Row],[Total_Score]] &gt;= _xlfn.PERCENTILE.INC(student_scores[Total_Score], 0.8), "Yes", "No")</f>
        <v>No</v>
      </c>
    </row>
    <row r="20" spans="1:22" x14ac:dyDescent="0.35">
      <c r="A20">
        <v>19</v>
      </c>
      <c r="B20" t="s">
        <v>80</v>
      </c>
      <c r="C20" t="s">
        <v>81</v>
      </c>
      <c r="D20" t="s">
        <v>82</v>
      </c>
      <c r="E20" t="s">
        <v>20</v>
      </c>
      <c r="F20" t="b">
        <v>0</v>
      </c>
      <c r="G20">
        <v>1</v>
      </c>
      <c r="H20" t="b">
        <v>0</v>
      </c>
      <c r="I20">
        <v>37</v>
      </c>
      <c r="J20" t="s">
        <v>26</v>
      </c>
      <c r="K20">
        <v>92</v>
      </c>
      <c r="L20">
        <v>87</v>
      </c>
      <c r="M20">
        <v>92</v>
      </c>
      <c r="N20">
        <v>99</v>
      </c>
      <c r="O20">
        <v>97</v>
      </c>
      <c r="P20">
        <v>87</v>
      </c>
      <c r="Q20">
        <v>86</v>
      </c>
      <c r="R20">
        <f>SUM(student_scores[[#This Row],[math_score]:[geography_score]])</f>
        <v>640</v>
      </c>
      <c r="S20" s="3">
        <f>student_scores[[#This Row],[Total_Score]]/7</f>
        <v>91.428571428571431</v>
      </c>
      <c r="T20" s="3" t="str" cm="1">
        <f t="array" ref="T20">_xlfn.IFS(student_scores[[#This Row],[weekly_self_study_hours]]&lt;=5,   "0 - 5", student_scores[[#This Row],[weekly_self_study_hours]]&lt;=10,  "6 - 10", student_scores[[#This Row],[weekly_self_study_hours]]&lt;=20,  "11 - 20",student_scores[[#This Row],[weekly_self_study_hours]]&lt;=30, "21 - 30",TRUE, "31+")</f>
        <v>31+</v>
      </c>
      <c r="U20" t="str" cm="1">
        <f t="array" ref="U20">_xlfn.IFS(student_scores[[#This Row],[absence_days]]=0,"0", student_scores[[#This Row],[absence_days]]&lt;=3,"1-3", student_scores[[#This Row],[absence_days]]&lt;=6,"4-6", TRUE,"7-10")</f>
        <v>1-3</v>
      </c>
      <c r="V20" t="str">
        <f>IF(student_scores[[#This Row],[Total_Score]] &gt;= _xlfn.PERCENTILE.INC(student_scores[Total_Score], 0.8), "Yes", "No")</f>
        <v>Yes</v>
      </c>
    </row>
    <row r="21" spans="1:22" x14ac:dyDescent="0.35">
      <c r="A21">
        <v>20</v>
      </c>
      <c r="B21" t="s">
        <v>83</v>
      </c>
      <c r="C21" t="s">
        <v>84</v>
      </c>
      <c r="D21" t="s">
        <v>85</v>
      </c>
      <c r="E21" t="s">
        <v>25</v>
      </c>
      <c r="F21" t="b">
        <v>0</v>
      </c>
      <c r="G21">
        <v>2</v>
      </c>
      <c r="H21" t="b">
        <v>0</v>
      </c>
      <c r="I21">
        <v>27</v>
      </c>
      <c r="J21" t="s">
        <v>44</v>
      </c>
      <c r="K21">
        <v>99</v>
      </c>
      <c r="L21">
        <v>65</v>
      </c>
      <c r="M21">
        <v>98</v>
      </c>
      <c r="N21">
        <v>75</v>
      </c>
      <c r="O21">
        <v>66</v>
      </c>
      <c r="P21">
        <v>72</v>
      </c>
      <c r="Q21">
        <v>100</v>
      </c>
      <c r="R21">
        <f>SUM(student_scores[[#This Row],[math_score]:[geography_score]])</f>
        <v>575</v>
      </c>
      <c r="S21" s="3">
        <f>student_scores[[#This Row],[Total_Score]]/7</f>
        <v>82.142857142857139</v>
      </c>
      <c r="T21" s="3" t="str" cm="1">
        <f t="array" ref="T21">_xlfn.IFS(student_scores[[#This Row],[weekly_self_study_hours]]&lt;=5,   "0 - 5", student_scores[[#This Row],[weekly_self_study_hours]]&lt;=10,  "6 - 10", student_scores[[#This Row],[weekly_self_study_hours]]&lt;=20,  "11 - 20",student_scores[[#This Row],[weekly_self_study_hours]]&lt;=30, "21 - 30",TRUE, "31+")</f>
        <v>21 - 30</v>
      </c>
      <c r="U21" t="str" cm="1">
        <f t="array" ref="U21">_xlfn.IFS(student_scores[[#This Row],[absence_days]]=0,"0", student_scores[[#This Row],[absence_days]]&lt;=3,"1-3", student_scores[[#This Row],[absence_days]]&lt;=6,"4-6", TRUE,"7-10")</f>
        <v>1-3</v>
      </c>
      <c r="V21" t="str">
        <f>IF(student_scores[[#This Row],[Total_Score]] &gt;= _xlfn.PERCENTILE.INC(student_scores[Total_Score], 0.8), "Yes", "No")</f>
        <v>No</v>
      </c>
    </row>
    <row r="22" spans="1:22" x14ac:dyDescent="0.35">
      <c r="A22">
        <v>21</v>
      </c>
      <c r="B22" t="s">
        <v>86</v>
      </c>
      <c r="C22" t="s">
        <v>87</v>
      </c>
      <c r="D22" t="s">
        <v>88</v>
      </c>
      <c r="E22" t="s">
        <v>20</v>
      </c>
      <c r="F22" t="b">
        <v>1</v>
      </c>
      <c r="G22">
        <v>3</v>
      </c>
      <c r="H22" t="b">
        <v>0</v>
      </c>
      <c r="I22">
        <v>15</v>
      </c>
      <c r="J22" t="s">
        <v>44</v>
      </c>
      <c r="K22">
        <v>100</v>
      </c>
      <c r="L22">
        <v>90</v>
      </c>
      <c r="M22">
        <v>72</v>
      </c>
      <c r="N22">
        <v>98</v>
      </c>
      <c r="O22">
        <v>73</v>
      </c>
      <c r="P22">
        <v>97</v>
      </c>
      <c r="Q22">
        <v>72</v>
      </c>
      <c r="R22">
        <f>SUM(student_scores[[#This Row],[math_score]:[geography_score]])</f>
        <v>602</v>
      </c>
      <c r="S22" s="3">
        <f>student_scores[[#This Row],[Total_Score]]/7</f>
        <v>86</v>
      </c>
      <c r="T22" s="3" t="str" cm="1">
        <f t="array" ref="T22">_xlfn.IFS(student_scores[[#This Row],[weekly_self_study_hours]]&lt;=5,   "0 - 5", student_scores[[#This Row],[weekly_self_study_hours]]&lt;=10,  "6 - 10", student_scores[[#This Row],[weekly_self_study_hours]]&lt;=20,  "11 - 20",student_scores[[#This Row],[weekly_self_study_hours]]&lt;=30, "21 - 30",TRUE, "31+")</f>
        <v>11 - 20</v>
      </c>
      <c r="U22" t="str" cm="1">
        <f t="array" ref="U22">_xlfn.IFS(student_scores[[#This Row],[absence_days]]=0,"0", student_scores[[#This Row],[absence_days]]&lt;=3,"1-3", student_scores[[#This Row],[absence_days]]&lt;=6,"4-6", TRUE,"7-10")</f>
        <v>1-3</v>
      </c>
      <c r="V22" t="str">
        <f>IF(student_scores[[#This Row],[Total_Score]] &gt;= _xlfn.PERCENTILE.INC(student_scores[Total_Score], 0.8), "Yes", "No")</f>
        <v>Yes</v>
      </c>
    </row>
    <row r="23" spans="1:22" x14ac:dyDescent="0.35">
      <c r="A23">
        <v>22</v>
      </c>
      <c r="B23" t="s">
        <v>89</v>
      </c>
      <c r="C23" t="s">
        <v>90</v>
      </c>
      <c r="D23" t="s">
        <v>91</v>
      </c>
      <c r="E23" t="s">
        <v>20</v>
      </c>
      <c r="F23" t="b">
        <v>0</v>
      </c>
      <c r="G23">
        <v>8</v>
      </c>
      <c r="H23" t="b">
        <v>0</v>
      </c>
      <c r="I23">
        <v>4</v>
      </c>
      <c r="J23" t="s">
        <v>64</v>
      </c>
      <c r="K23">
        <v>57</v>
      </c>
      <c r="L23">
        <v>55</v>
      </c>
      <c r="M23">
        <v>78</v>
      </c>
      <c r="N23">
        <v>94</v>
      </c>
      <c r="O23">
        <v>83</v>
      </c>
      <c r="P23">
        <v>88</v>
      </c>
      <c r="Q23">
        <v>88</v>
      </c>
      <c r="R23">
        <f>SUM(student_scores[[#This Row],[math_score]:[geography_score]])</f>
        <v>543</v>
      </c>
      <c r="S23" s="3">
        <f>student_scores[[#This Row],[Total_Score]]/7</f>
        <v>77.571428571428569</v>
      </c>
      <c r="T23" s="3" t="str" cm="1">
        <f t="array" ref="T23">_xlfn.IFS(student_scores[[#This Row],[weekly_self_study_hours]]&lt;=5,   "0 - 5", student_scores[[#This Row],[weekly_self_study_hours]]&lt;=10,  "6 - 10", student_scores[[#This Row],[weekly_self_study_hours]]&lt;=20,  "11 - 20",student_scores[[#This Row],[weekly_self_study_hours]]&lt;=30, "21 - 30",TRUE, "31+")</f>
        <v>0 - 5</v>
      </c>
      <c r="U23" t="str" cm="1">
        <f t="array" ref="U23">_xlfn.IFS(student_scores[[#This Row],[absence_days]]=0,"0", student_scores[[#This Row],[absence_days]]&lt;=3,"1-3", student_scores[[#This Row],[absence_days]]&lt;=6,"4-6", TRUE,"7-10")</f>
        <v>7-10</v>
      </c>
      <c r="V23" t="str">
        <f>IF(student_scores[[#This Row],[Total_Score]] &gt;= _xlfn.PERCENTILE.INC(student_scores[Total_Score], 0.8), "Yes", "No")</f>
        <v>No</v>
      </c>
    </row>
    <row r="24" spans="1:22" x14ac:dyDescent="0.35">
      <c r="A24">
        <v>23</v>
      </c>
      <c r="B24" t="s">
        <v>92</v>
      </c>
      <c r="C24" t="s">
        <v>52</v>
      </c>
      <c r="D24" t="s">
        <v>93</v>
      </c>
      <c r="E24" t="s">
        <v>25</v>
      </c>
      <c r="F24" t="b">
        <v>0</v>
      </c>
      <c r="G24">
        <v>9</v>
      </c>
      <c r="H24" t="b">
        <v>0</v>
      </c>
      <c r="I24">
        <v>2</v>
      </c>
      <c r="J24" t="s">
        <v>64</v>
      </c>
      <c r="K24">
        <v>89</v>
      </c>
      <c r="L24">
        <v>72</v>
      </c>
      <c r="M24">
        <v>68</v>
      </c>
      <c r="N24">
        <v>72</v>
      </c>
      <c r="O24">
        <v>71</v>
      </c>
      <c r="P24">
        <v>54</v>
      </c>
      <c r="Q24">
        <v>90</v>
      </c>
      <c r="R24">
        <f>SUM(student_scores[[#This Row],[math_score]:[geography_score]])</f>
        <v>516</v>
      </c>
      <c r="S24" s="3">
        <f>student_scores[[#This Row],[Total_Score]]/7</f>
        <v>73.714285714285708</v>
      </c>
      <c r="T24" s="3" t="str" cm="1">
        <f t="array" ref="T24">_xlfn.IFS(student_scores[[#This Row],[weekly_self_study_hours]]&lt;=5,   "0 - 5", student_scores[[#This Row],[weekly_self_study_hours]]&lt;=10,  "6 - 10", student_scores[[#This Row],[weekly_self_study_hours]]&lt;=20,  "11 - 20",student_scores[[#This Row],[weekly_self_study_hours]]&lt;=30, "21 - 30",TRUE, "31+")</f>
        <v>0 - 5</v>
      </c>
      <c r="U24" t="str" cm="1">
        <f t="array" ref="U24">_xlfn.IFS(student_scores[[#This Row],[absence_days]]=0,"0", student_scores[[#This Row],[absence_days]]&lt;=3,"1-3", student_scores[[#This Row],[absence_days]]&lt;=6,"4-6", TRUE,"7-10")</f>
        <v>7-10</v>
      </c>
      <c r="V24" t="str">
        <f>IF(student_scores[[#This Row],[Total_Score]] &gt;= _xlfn.PERCENTILE.INC(student_scores[Total_Score], 0.8), "Yes", "No")</f>
        <v>No</v>
      </c>
    </row>
    <row r="25" spans="1:22" x14ac:dyDescent="0.35">
      <c r="A25">
        <v>24</v>
      </c>
      <c r="B25" t="s">
        <v>94</v>
      </c>
      <c r="C25" t="s">
        <v>95</v>
      </c>
      <c r="D25" t="s">
        <v>96</v>
      </c>
      <c r="E25" t="s">
        <v>20</v>
      </c>
      <c r="F25" t="b">
        <v>0</v>
      </c>
      <c r="G25">
        <v>9</v>
      </c>
      <c r="H25" t="b">
        <v>0</v>
      </c>
      <c r="I25">
        <v>1</v>
      </c>
      <c r="J25" t="s">
        <v>64</v>
      </c>
      <c r="K25">
        <v>50</v>
      </c>
      <c r="L25">
        <v>76</v>
      </c>
      <c r="M25">
        <v>81</v>
      </c>
      <c r="N25">
        <v>55</v>
      </c>
      <c r="O25">
        <v>56</v>
      </c>
      <c r="P25">
        <v>80</v>
      </c>
      <c r="Q25">
        <v>79</v>
      </c>
      <c r="R25">
        <f>SUM(student_scores[[#This Row],[math_score]:[geography_score]])</f>
        <v>477</v>
      </c>
      <c r="S25" s="3">
        <f>student_scores[[#This Row],[Total_Score]]/7</f>
        <v>68.142857142857139</v>
      </c>
      <c r="T25" s="3" t="str" cm="1">
        <f t="array" ref="T25">_xlfn.IFS(student_scores[[#This Row],[weekly_self_study_hours]]&lt;=5,   "0 - 5", student_scores[[#This Row],[weekly_self_study_hours]]&lt;=10,  "6 - 10", student_scores[[#This Row],[weekly_self_study_hours]]&lt;=20,  "11 - 20",student_scores[[#This Row],[weekly_self_study_hours]]&lt;=30, "21 - 30",TRUE, "31+")</f>
        <v>0 - 5</v>
      </c>
      <c r="U25" t="str" cm="1">
        <f t="array" ref="U25">_xlfn.IFS(student_scores[[#This Row],[absence_days]]=0,"0", student_scores[[#This Row],[absence_days]]&lt;=3,"1-3", student_scores[[#This Row],[absence_days]]&lt;=6,"4-6", TRUE,"7-10")</f>
        <v>7-10</v>
      </c>
      <c r="V25" t="str">
        <f>IF(student_scores[[#This Row],[Total_Score]] &gt;= _xlfn.PERCENTILE.INC(student_scores[Total_Score], 0.8), "Yes", "No")</f>
        <v>No</v>
      </c>
    </row>
    <row r="26" spans="1:22" x14ac:dyDescent="0.35">
      <c r="A26">
        <v>25</v>
      </c>
      <c r="B26" t="s">
        <v>97</v>
      </c>
      <c r="C26" t="s">
        <v>98</v>
      </c>
      <c r="D26" t="s">
        <v>99</v>
      </c>
      <c r="E26" t="s">
        <v>25</v>
      </c>
      <c r="F26" t="b">
        <v>0</v>
      </c>
      <c r="G26">
        <v>4</v>
      </c>
      <c r="H26" t="b">
        <v>0</v>
      </c>
      <c r="I26">
        <v>35</v>
      </c>
      <c r="J26" t="s">
        <v>44</v>
      </c>
      <c r="K26">
        <v>87</v>
      </c>
      <c r="L26">
        <v>91</v>
      </c>
      <c r="M26">
        <v>90</v>
      </c>
      <c r="N26">
        <v>88</v>
      </c>
      <c r="O26">
        <v>95</v>
      </c>
      <c r="P26">
        <v>88</v>
      </c>
      <c r="Q26">
        <v>93</v>
      </c>
      <c r="R26">
        <f>SUM(student_scores[[#This Row],[math_score]:[geography_score]])</f>
        <v>632</v>
      </c>
      <c r="S26" s="3">
        <f>student_scores[[#This Row],[Total_Score]]/7</f>
        <v>90.285714285714292</v>
      </c>
      <c r="T26" s="3" t="str" cm="1">
        <f t="array" ref="T26">_xlfn.IFS(student_scores[[#This Row],[weekly_self_study_hours]]&lt;=5,   "0 - 5", student_scores[[#This Row],[weekly_self_study_hours]]&lt;=10,  "6 - 10", student_scores[[#This Row],[weekly_self_study_hours]]&lt;=20,  "11 - 20",student_scores[[#This Row],[weekly_self_study_hours]]&lt;=30, "21 - 30",TRUE, "31+")</f>
        <v>31+</v>
      </c>
      <c r="U26" t="str" cm="1">
        <f t="array" ref="U26">_xlfn.IFS(student_scores[[#This Row],[absence_days]]=0,"0", student_scores[[#This Row],[absence_days]]&lt;=3,"1-3", student_scores[[#This Row],[absence_days]]&lt;=6,"4-6", TRUE,"7-10")</f>
        <v>4-6</v>
      </c>
      <c r="V26" t="str">
        <f>IF(student_scores[[#This Row],[Total_Score]] &gt;= _xlfn.PERCENTILE.INC(student_scores[Total_Score], 0.8), "Yes", "No")</f>
        <v>Yes</v>
      </c>
    </row>
    <row r="27" spans="1:22" x14ac:dyDescent="0.35">
      <c r="A27">
        <v>26</v>
      </c>
      <c r="B27" t="s">
        <v>61</v>
      </c>
      <c r="C27" t="s">
        <v>100</v>
      </c>
      <c r="D27" t="s">
        <v>101</v>
      </c>
      <c r="E27" t="s">
        <v>25</v>
      </c>
      <c r="F27" t="b">
        <v>0</v>
      </c>
      <c r="G27">
        <v>5</v>
      </c>
      <c r="H27" t="b">
        <v>0</v>
      </c>
      <c r="I27">
        <v>22</v>
      </c>
      <c r="J27" t="s">
        <v>26</v>
      </c>
      <c r="K27">
        <v>92</v>
      </c>
      <c r="L27">
        <v>86</v>
      </c>
      <c r="M27">
        <v>87</v>
      </c>
      <c r="N27">
        <v>81</v>
      </c>
      <c r="O27">
        <v>93</v>
      </c>
      <c r="P27">
        <v>90</v>
      </c>
      <c r="Q27">
        <v>99</v>
      </c>
      <c r="R27">
        <f>SUM(student_scores[[#This Row],[math_score]:[geography_score]])</f>
        <v>628</v>
      </c>
      <c r="S27" s="3">
        <f>student_scores[[#This Row],[Total_Score]]/7</f>
        <v>89.714285714285708</v>
      </c>
      <c r="T27" s="3" t="str" cm="1">
        <f t="array" ref="T27">_xlfn.IFS(student_scores[[#This Row],[weekly_self_study_hours]]&lt;=5,   "0 - 5", student_scores[[#This Row],[weekly_self_study_hours]]&lt;=10,  "6 - 10", student_scores[[#This Row],[weekly_self_study_hours]]&lt;=20,  "11 - 20",student_scores[[#This Row],[weekly_self_study_hours]]&lt;=30, "21 - 30",TRUE, "31+")</f>
        <v>21 - 30</v>
      </c>
      <c r="U27" t="str" cm="1">
        <f t="array" ref="U27">_xlfn.IFS(student_scores[[#This Row],[absence_days]]=0,"0", student_scores[[#This Row],[absence_days]]&lt;=3,"1-3", student_scores[[#This Row],[absence_days]]&lt;=6,"4-6", TRUE,"7-10")</f>
        <v>4-6</v>
      </c>
      <c r="V27" t="str">
        <f>IF(student_scores[[#This Row],[Total_Score]] &gt;= _xlfn.PERCENTILE.INC(student_scores[Total_Score], 0.8), "Yes", "No")</f>
        <v>Yes</v>
      </c>
    </row>
    <row r="28" spans="1:22" x14ac:dyDescent="0.35">
      <c r="A28">
        <v>27</v>
      </c>
      <c r="B28" t="s">
        <v>102</v>
      </c>
      <c r="C28" t="s">
        <v>103</v>
      </c>
      <c r="D28" t="s">
        <v>104</v>
      </c>
      <c r="E28" t="s">
        <v>20</v>
      </c>
      <c r="F28" t="b">
        <v>0</v>
      </c>
      <c r="G28">
        <v>3</v>
      </c>
      <c r="H28" t="b">
        <v>0</v>
      </c>
      <c r="I28">
        <v>34</v>
      </c>
      <c r="J28" t="s">
        <v>105</v>
      </c>
      <c r="K28">
        <v>100</v>
      </c>
      <c r="L28">
        <v>77</v>
      </c>
      <c r="M28">
        <v>80</v>
      </c>
      <c r="N28">
        <v>94</v>
      </c>
      <c r="O28">
        <v>63</v>
      </c>
      <c r="P28">
        <v>90</v>
      </c>
      <c r="Q28">
        <v>90</v>
      </c>
      <c r="R28">
        <f>SUM(student_scores[[#This Row],[math_score]:[geography_score]])</f>
        <v>594</v>
      </c>
      <c r="S28" s="3">
        <f>student_scores[[#This Row],[Total_Score]]/7</f>
        <v>84.857142857142861</v>
      </c>
      <c r="T28" s="3" t="str" cm="1">
        <f t="array" ref="T28">_xlfn.IFS(student_scores[[#This Row],[weekly_self_study_hours]]&lt;=5,   "0 - 5", student_scores[[#This Row],[weekly_self_study_hours]]&lt;=10,  "6 - 10", student_scores[[#This Row],[weekly_self_study_hours]]&lt;=20,  "11 - 20",student_scores[[#This Row],[weekly_self_study_hours]]&lt;=30, "21 - 30",TRUE, "31+")</f>
        <v>31+</v>
      </c>
      <c r="U28" t="str" cm="1">
        <f t="array" ref="U28">_xlfn.IFS(student_scores[[#This Row],[absence_days]]=0,"0", student_scores[[#This Row],[absence_days]]&lt;=3,"1-3", student_scores[[#This Row],[absence_days]]&lt;=6,"4-6", TRUE,"7-10")</f>
        <v>1-3</v>
      </c>
      <c r="V28" t="str">
        <f>IF(student_scores[[#This Row],[Total_Score]] &gt;= _xlfn.PERCENTILE.INC(student_scores[Total_Score], 0.8), "Yes", "No")</f>
        <v>No</v>
      </c>
    </row>
    <row r="29" spans="1:22" x14ac:dyDescent="0.35">
      <c r="A29">
        <v>28</v>
      </c>
      <c r="B29" t="s">
        <v>106</v>
      </c>
      <c r="C29" t="s">
        <v>107</v>
      </c>
      <c r="D29" t="s">
        <v>108</v>
      </c>
      <c r="E29" t="s">
        <v>20</v>
      </c>
      <c r="F29" t="b">
        <v>0</v>
      </c>
      <c r="G29">
        <v>0</v>
      </c>
      <c r="H29" t="b">
        <v>0</v>
      </c>
      <c r="I29">
        <v>23</v>
      </c>
      <c r="J29" t="s">
        <v>109</v>
      </c>
      <c r="K29">
        <v>64</v>
      </c>
      <c r="L29">
        <v>75</v>
      </c>
      <c r="M29">
        <v>93</v>
      </c>
      <c r="N29">
        <v>79</v>
      </c>
      <c r="O29">
        <v>81</v>
      </c>
      <c r="P29">
        <v>96</v>
      </c>
      <c r="Q29">
        <v>85</v>
      </c>
      <c r="R29">
        <f>SUM(student_scores[[#This Row],[math_score]:[geography_score]])</f>
        <v>573</v>
      </c>
      <c r="S29" s="3">
        <f>student_scores[[#This Row],[Total_Score]]/7</f>
        <v>81.857142857142861</v>
      </c>
      <c r="T29" s="3" t="str" cm="1">
        <f t="array" ref="T29">_xlfn.IFS(student_scores[[#This Row],[weekly_self_study_hours]]&lt;=5,   "0 - 5", student_scores[[#This Row],[weekly_self_study_hours]]&lt;=10,  "6 - 10", student_scores[[#This Row],[weekly_self_study_hours]]&lt;=20,  "11 - 20",student_scores[[#This Row],[weekly_self_study_hours]]&lt;=30, "21 - 30",TRUE, "31+")</f>
        <v>21 - 30</v>
      </c>
      <c r="U29" t="str" cm="1">
        <f t="array" ref="U29">_xlfn.IFS(student_scores[[#This Row],[absence_days]]=0,"0", student_scores[[#This Row],[absence_days]]&lt;=3,"1-3", student_scores[[#This Row],[absence_days]]&lt;=6,"4-6", TRUE,"7-10")</f>
        <v>0</v>
      </c>
      <c r="V29" t="str">
        <f>IF(student_scores[[#This Row],[Total_Score]] &gt;= _xlfn.PERCENTILE.INC(student_scores[Total_Score], 0.8), "Yes", "No")</f>
        <v>No</v>
      </c>
    </row>
    <row r="30" spans="1:22" x14ac:dyDescent="0.35">
      <c r="A30">
        <v>29</v>
      </c>
      <c r="B30" t="s">
        <v>110</v>
      </c>
      <c r="C30" t="s">
        <v>111</v>
      </c>
      <c r="D30" t="s">
        <v>112</v>
      </c>
      <c r="E30" t="s">
        <v>20</v>
      </c>
      <c r="F30" t="b">
        <v>0</v>
      </c>
      <c r="G30">
        <v>1</v>
      </c>
      <c r="H30" t="b">
        <v>1</v>
      </c>
      <c r="I30">
        <v>17</v>
      </c>
      <c r="J30" t="s">
        <v>113</v>
      </c>
      <c r="K30">
        <v>79</v>
      </c>
      <c r="L30">
        <v>65</v>
      </c>
      <c r="M30">
        <v>99</v>
      </c>
      <c r="N30">
        <v>71</v>
      </c>
      <c r="O30">
        <v>76</v>
      </c>
      <c r="P30">
        <v>77</v>
      </c>
      <c r="Q30">
        <v>83</v>
      </c>
      <c r="R30">
        <f>SUM(student_scores[[#This Row],[math_score]:[geography_score]])</f>
        <v>550</v>
      </c>
      <c r="S30" s="3">
        <f>student_scores[[#This Row],[Total_Score]]/7</f>
        <v>78.571428571428569</v>
      </c>
      <c r="T30" s="3" t="str" cm="1">
        <f t="array" ref="T30">_xlfn.IFS(student_scores[[#This Row],[weekly_self_study_hours]]&lt;=5,   "0 - 5", student_scores[[#This Row],[weekly_self_study_hours]]&lt;=10,  "6 - 10", student_scores[[#This Row],[weekly_self_study_hours]]&lt;=20,  "11 - 20",student_scores[[#This Row],[weekly_self_study_hours]]&lt;=30, "21 - 30",TRUE, "31+")</f>
        <v>11 - 20</v>
      </c>
      <c r="U30" t="str" cm="1">
        <f t="array" ref="U30">_xlfn.IFS(student_scores[[#This Row],[absence_days]]=0,"0", student_scores[[#This Row],[absence_days]]&lt;=3,"1-3", student_scores[[#This Row],[absence_days]]&lt;=6,"4-6", TRUE,"7-10")</f>
        <v>1-3</v>
      </c>
      <c r="V30" t="str">
        <f>IF(student_scores[[#This Row],[Total_Score]] &gt;= _xlfn.PERCENTILE.INC(student_scores[Total_Score], 0.8), "Yes", "No")</f>
        <v>No</v>
      </c>
    </row>
    <row r="31" spans="1:22" x14ac:dyDescent="0.35">
      <c r="A31">
        <v>30</v>
      </c>
      <c r="B31" t="s">
        <v>114</v>
      </c>
      <c r="C31" t="s">
        <v>115</v>
      </c>
      <c r="D31" t="s">
        <v>116</v>
      </c>
      <c r="E31" t="s">
        <v>25</v>
      </c>
      <c r="F31" t="b">
        <v>0</v>
      </c>
      <c r="G31">
        <v>3</v>
      </c>
      <c r="H31" t="b">
        <v>0</v>
      </c>
      <c r="I31">
        <v>19</v>
      </c>
      <c r="J31" t="s">
        <v>113</v>
      </c>
      <c r="K31">
        <v>82</v>
      </c>
      <c r="L31">
        <v>100</v>
      </c>
      <c r="M31">
        <v>61</v>
      </c>
      <c r="N31">
        <v>97</v>
      </c>
      <c r="O31">
        <v>30</v>
      </c>
      <c r="P31">
        <v>74</v>
      </c>
      <c r="Q31">
        <v>73</v>
      </c>
      <c r="R31">
        <f>SUM(student_scores[[#This Row],[math_score]:[geography_score]])</f>
        <v>517</v>
      </c>
      <c r="S31" s="3">
        <f>student_scores[[#This Row],[Total_Score]]/7</f>
        <v>73.857142857142861</v>
      </c>
      <c r="T31" s="3" t="str" cm="1">
        <f t="array" ref="T31">_xlfn.IFS(student_scores[[#This Row],[weekly_self_study_hours]]&lt;=5,   "0 - 5", student_scores[[#This Row],[weekly_self_study_hours]]&lt;=10,  "6 - 10", student_scores[[#This Row],[weekly_self_study_hours]]&lt;=20,  "11 - 20",student_scores[[#This Row],[weekly_self_study_hours]]&lt;=30, "21 - 30",TRUE, "31+")</f>
        <v>11 - 20</v>
      </c>
      <c r="U31" t="str" cm="1">
        <f t="array" ref="U31">_xlfn.IFS(student_scores[[#This Row],[absence_days]]=0,"0", student_scores[[#This Row],[absence_days]]&lt;=3,"1-3", student_scores[[#This Row],[absence_days]]&lt;=6,"4-6", TRUE,"7-10")</f>
        <v>1-3</v>
      </c>
      <c r="V31" t="str">
        <f>IF(student_scores[[#This Row],[Total_Score]] &gt;= _xlfn.PERCENTILE.INC(student_scores[Total_Score], 0.8), "Yes", "No")</f>
        <v>No</v>
      </c>
    </row>
    <row r="32" spans="1:22" x14ac:dyDescent="0.35">
      <c r="A32">
        <v>31</v>
      </c>
      <c r="B32" t="s">
        <v>117</v>
      </c>
      <c r="C32" t="s">
        <v>118</v>
      </c>
      <c r="D32" t="s">
        <v>119</v>
      </c>
      <c r="E32" t="s">
        <v>25</v>
      </c>
      <c r="F32" t="b">
        <v>0</v>
      </c>
      <c r="G32">
        <v>0</v>
      </c>
      <c r="H32" t="b">
        <v>0</v>
      </c>
      <c r="I32">
        <v>14</v>
      </c>
      <c r="J32" t="s">
        <v>44</v>
      </c>
      <c r="K32">
        <v>88</v>
      </c>
      <c r="L32">
        <v>69</v>
      </c>
      <c r="M32">
        <v>87</v>
      </c>
      <c r="N32">
        <v>100</v>
      </c>
      <c r="O32">
        <v>88</v>
      </c>
      <c r="P32">
        <v>85</v>
      </c>
      <c r="Q32">
        <v>72</v>
      </c>
      <c r="R32">
        <f>SUM(student_scores[[#This Row],[math_score]:[geography_score]])</f>
        <v>589</v>
      </c>
      <c r="S32" s="3">
        <f>student_scores[[#This Row],[Total_Score]]/7</f>
        <v>84.142857142857139</v>
      </c>
      <c r="T32" s="3" t="str" cm="1">
        <f t="array" ref="T32">_xlfn.IFS(student_scores[[#This Row],[weekly_self_study_hours]]&lt;=5,   "0 - 5", student_scores[[#This Row],[weekly_self_study_hours]]&lt;=10,  "6 - 10", student_scores[[#This Row],[weekly_self_study_hours]]&lt;=20,  "11 - 20",student_scores[[#This Row],[weekly_self_study_hours]]&lt;=30, "21 - 30",TRUE, "31+")</f>
        <v>11 - 20</v>
      </c>
      <c r="U32" t="str" cm="1">
        <f t="array" ref="U32">_xlfn.IFS(student_scores[[#This Row],[absence_days]]=0,"0", student_scores[[#This Row],[absence_days]]&lt;=3,"1-3", student_scores[[#This Row],[absence_days]]&lt;=6,"4-6", TRUE,"7-10")</f>
        <v>0</v>
      </c>
      <c r="V32" t="str">
        <f>IF(student_scores[[#This Row],[Total_Score]] &gt;= _xlfn.PERCENTILE.INC(student_scores[Total_Score], 0.8), "Yes", "No")</f>
        <v>No</v>
      </c>
    </row>
    <row r="33" spans="1:22" x14ac:dyDescent="0.35">
      <c r="A33">
        <v>32</v>
      </c>
      <c r="B33" t="s">
        <v>120</v>
      </c>
      <c r="C33" t="s">
        <v>121</v>
      </c>
      <c r="D33" t="s">
        <v>122</v>
      </c>
      <c r="E33" t="s">
        <v>25</v>
      </c>
      <c r="F33" t="b">
        <v>0</v>
      </c>
      <c r="G33">
        <v>4</v>
      </c>
      <c r="H33" t="b">
        <v>0</v>
      </c>
      <c r="I33">
        <v>30</v>
      </c>
      <c r="J33" t="s">
        <v>123</v>
      </c>
      <c r="K33">
        <v>70</v>
      </c>
      <c r="L33">
        <v>68</v>
      </c>
      <c r="M33">
        <v>92</v>
      </c>
      <c r="N33">
        <v>74</v>
      </c>
      <c r="O33">
        <v>82</v>
      </c>
      <c r="P33">
        <v>85</v>
      </c>
      <c r="Q33">
        <v>72</v>
      </c>
      <c r="R33">
        <f>SUM(student_scores[[#This Row],[math_score]:[geography_score]])</f>
        <v>543</v>
      </c>
      <c r="S33" s="3">
        <f>student_scores[[#This Row],[Total_Score]]/7</f>
        <v>77.571428571428569</v>
      </c>
      <c r="T33" s="3" t="str" cm="1">
        <f t="array" ref="T33">_xlfn.IFS(student_scores[[#This Row],[weekly_self_study_hours]]&lt;=5,   "0 - 5", student_scores[[#This Row],[weekly_self_study_hours]]&lt;=10,  "6 - 10", student_scores[[#This Row],[weekly_self_study_hours]]&lt;=20,  "11 - 20",student_scores[[#This Row],[weekly_self_study_hours]]&lt;=30, "21 - 30",TRUE, "31+")</f>
        <v>21 - 30</v>
      </c>
      <c r="U33" t="str" cm="1">
        <f t="array" ref="U33">_xlfn.IFS(student_scores[[#This Row],[absence_days]]=0,"0", student_scores[[#This Row],[absence_days]]&lt;=3,"1-3", student_scores[[#This Row],[absence_days]]&lt;=6,"4-6", TRUE,"7-10")</f>
        <v>4-6</v>
      </c>
      <c r="V33" t="str">
        <f>IF(student_scores[[#This Row],[Total_Score]] &gt;= _xlfn.PERCENTILE.INC(student_scores[Total_Score], 0.8), "Yes", "No")</f>
        <v>No</v>
      </c>
    </row>
    <row r="34" spans="1:22" x14ac:dyDescent="0.35">
      <c r="A34">
        <v>33</v>
      </c>
      <c r="B34" t="s">
        <v>124</v>
      </c>
      <c r="C34" t="s">
        <v>125</v>
      </c>
      <c r="D34" t="s">
        <v>126</v>
      </c>
      <c r="E34" t="s">
        <v>20</v>
      </c>
      <c r="F34" t="b">
        <v>0</v>
      </c>
      <c r="G34">
        <v>4</v>
      </c>
      <c r="H34" t="b">
        <v>0</v>
      </c>
      <c r="I34">
        <v>30</v>
      </c>
      <c r="J34" t="s">
        <v>113</v>
      </c>
      <c r="K34">
        <v>77</v>
      </c>
      <c r="L34">
        <v>96</v>
      </c>
      <c r="M34">
        <v>98</v>
      </c>
      <c r="N34">
        <v>89</v>
      </c>
      <c r="O34">
        <v>85</v>
      </c>
      <c r="P34">
        <v>62</v>
      </c>
      <c r="Q34">
        <v>62</v>
      </c>
      <c r="R34">
        <f>SUM(student_scores[[#This Row],[math_score]:[geography_score]])</f>
        <v>569</v>
      </c>
      <c r="S34" s="3">
        <f>student_scores[[#This Row],[Total_Score]]/7</f>
        <v>81.285714285714292</v>
      </c>
      <c r="T34" s="3" t="str" cm="1">
        <f t="array" ref="T34">_xlfn.IFS(student_scores[[#This Row],[weekly_self_study_hours]]&lt;=5,   "0 - 5", student_scores[[#This Row],[weekly_self_study_hours]]&lt;=10,  "6 - 10", student_scores[[#This Row],[weekly_self_study_hours]]&lt;=20,  "11 - 20",student_scores[[#This Row],[weekly_self_study_hours]]&lt;=30, "21 - 30",TRUE, "31+")</f>
        <v>21 - 30</v>
      </c>
      <c r="U34" t="str" cm="1">
        <f t="array" ref="U34">_xlfn.IFS(student_scores[[#This Row],[absence_days]]=0,"0", student_scores[[#This Row],[absence_days]]&lt;=3,"1-3", student_scores[[#This Row],[absence_days]]&lt;=6,"4-6", TRUE,"7-10")</f>
        <v>4-6</v>
      </c>
      <c r="V34" t="str">
        <f>IF(student_scores[[#This Row],[Total_Score]] &gt;= _xlfn.PERCENTILE.INC(student_scores[Total_Score], 0.8), "Yes", "No")</f>
        <v>No</v>
      </c>
    </row>
    <row r="35" spans="1:22" x14ac:dyDescent="0.35">
      <c r="A35">
        <v>34</v>
      </c>
      <c r="B35" t="s">
        <v>127</v>
      </c>
      <c r="C35" t="s">
        <v>128</v>
      </c>
      <c r="D35" t="s">
        <v>129</v>
      </c>
      <c r="E35" t="s">
        <v>25</v>
      </c>
      <c r="F35" t="b">
        <v>0</v>
      </c>
      <c r="G35">
        <v>1</v>
      </c>
      <c r="H35" t="b">
        <v>0</v>
      </c>
      <c r="I35">
        <v>24</v>
      </c>
      <c r="J35" t="s">
        <v>105</v>
      </c>
      <c r="K35">
        <v>99</v>
      </c>
      <c r="L35">
        <v>84</v>
      </c>
      <c r="M35">
        <v>84</v>
      </c>
      <c r="N35">
        <v>78</v>
      </c>
      <c r="O35">
        <v>78</v>
      </c>
      <c r="P35">
        <v>77</v>
      </c>
      <c r="Q35">
        <v>68</v>
      </c>
      <c r="R35">
        <f>SUM(student_scores[[#This Row],[math_score]:[geography_score]])</f>
        <v>568</v>
      </c>
      <c r="S35" s="3">
        <f>student_scores[[#This Row],[Total_Score]]/7</f>
        <v>81.142857142857139</v>
      </c>
      <c r="T35" s="3" t="str" cm="1">
        <f t="array" ref="T35">_xlfn.IFS(student_scores[[#This Row],[weekly_self_study_hours]]&lt;=5,   "0 - 5", student_scores[[#This Row],[weekly_self_study_hours]]&lt;=10,  "6 - 10", student_scores[[#This Row],[weekly_self_study_hours]]&lt;=20,  "11 - 20",student_scores[[#This Row],[weekly_self_study_hours]]&lt;=30, "21 - 30",TRUE, "31+")</f>
        <v>21 - 30</v>
      </c>
      <c r="U35" t="str" cm="1">
        <f t="array" ref="U35">_xlfn.IFS(student_scores[[#This Row],[absence_days]]=0,"0", student_scores[[#This Row],[absence_days]]&lt;=3,"1-3", student_scores[[#This Row],[absence_days]]&lt;=6,"4-6", TRUE,"7-10")</f>
        <v>1-3</v>
      </c>
      <c r="V35" t="str">
        <f>IF(student_scores[[#This Row],[Total_Score]] &gt;= _xlfn.PERCENTILE.INC(student_scores[Total_Score], 0.8), "Yes", "No")</f>
        <v>No</v>
      </c>
    </row>
    <row r="36" spans="1:22" x14ac:dyDescent="0.35">
      <c r="A36">
        <v>35</v>
      </c>
      <c r="B36" t="s">
        <v>130</v>
      </c>
      <c r="C36" t="s">
        <v>131</v>
      </c>
      <c r="D36" t="s">
        <v>132</v>
      </c>
      <c r="E36" t="s">
        <v>25</v>
      </c>
      <c r="F36" t="b">
        <v>0</v>
      </c>
      <c r="G36">
        <v>3</v>
      </c>
      <c r="H36" t="b">
        <v>1</v>
      </c>
      <c r="I36">
        <v>31</v>
      </c>
      <c r="J36" t="s">
        <v>38</v>
      </c>
      <c r="K36">
        <v>90</v>
      </c>
      <c r="L36">
        <v>93</v>
      </c>
      <c r="M36">
        <v>91</v>
      </c>
      <c r="N36">
        <v>80</v>
      </c>
      <c r="O36">
        <v>86</v>
      </c>
      <c r="P36">
        <v>69</v>
      </c>
      <c r="Q36">
        <v>62</v>
      </c>
      <c r="R36">
        <f>SUM(student_scores[[#This Row],[math_score]:[geography_score]])</f>
        <v>571</v>
      </c>
      <c r="S36" s="3">
        <f>student_scores[[#This Row],[Total_Score]]/7</f>
        <v>81.571428571428569</v>
      </c>
      <c r="T36" s="3" t="str" cm="1">
        <f t="array" ref="T36">_xlfn.IFS(student_scores[[#This Row],[weekly_self_study_hours]]&lt;=5,   "0 - 5", student_scores[[#This Row],[weekly_self_study_hours]]&lt;=10,  "6 - 10", student_scores[[#This Row],[weekly_self_study_hours]]&lt;=20,  "11 - 20",student_scores[[#This Row],[weekly_self_study_hours]]&lt;=30, "21 - 30",TRUE, "31+")</f>
        <v>31+</v>
      </c>
      <c r="U36" t="str" cm="1">
        <f t="array" ref="U36">_xlfn.IFS(student_scores[[#This Row],[absence_days]]=0,"0", student_scores[[#This Row],[absence_days]]&lt;=3,"1-3", student_scores[[#This Row],[absence_days]]&lt;=6,"4-6", TRUE,"7-10")</f>
        <v>1-3</v>
      </c>
      <c r="V36" t="str">
        <f>IF(student_scores[[#This Row],[Total_Score]] &gt;= _xlfn.PERCENTILE.INC(student_scores[Total_Score], 0.8), "Yes", "No")</f>
        <v>No</v>
      </c>
    </row>
    <row r="37" spans="1:22" x14ac:dyDescent="0.35">
      <c r="A37">
        <v>36</v>
      </c>
      <c r="B37" t="s">
        <v>39</v>
      </c>
      <c r="C37" t="s">
        <v>133</v>
      </c>
      <c r="D37" t="s">
        <v>134</v>
      </c>
      <c r="E37" t="s">
        <v>25</v>
      </c>
      <c r="F37" t="b">
        <v>0</v>
      </c>
      <c r="G37">
        <v>1</v>
      </c>
      <c r="H37" t="b">
        <v>0</v>
      </c>
      <c r="I37">
        <v>21</v>
      </c>
      <c r="J37" t="s">
        <v>38</v>
      </c>
      <c r="K37">
        <v>65</v>
      </c>
      <c r="L37">
        <v>70</v>
      </c>
      <c r="M37">
        <v>78</v>
      </c>
      <c r="N37">
        <v>98</v>
      </c>
      <c r="O37">
        <v>80</v>
      </c>
      <c r="P37">
        <v>66</v>
      </c>
      <c r="Q37">
        <v>65</v>
      </c>
      <c r="R37">
        <f>SUM(student_scores[[#This Row],[math_score]:[geography_score]])</f>
        <v>522</v>
      </c>
      <c r="S37" s="3">
        <f>student_scores[[#This Row],[Total_Score]]/7</f>
        <v>74.571428571428569</v>
      </c>
      <c r="T37" s="3" t="str" cm="1">
        <f t="array" ref="T37">_xlfn.IFS(student_scores[[#This Row],[weekly_self_study_hours]]&lt;=5,   "0 - 5", student_scores[[#This Row],[weekly_self_study_hours]]&lt;=10,  "6 - 10", student_scores[[#This Row],[weekly_self_study_hours]]&lt;=20,  "11 - 20",student_scores[[#This Row],[weekly_self_study_hours]]&lt;=30, "21 - 30",TRUE, "31+")</f>
        <v>21 - 30</v>
      </c>
      <c r="U37" t="str" cm="1">
        <f t="array" ref="U37">_xlfn.IFS(student_scores[[#This Row],[absence_days]]=0,"0", student_scores[[#This Row],[absence_days]]&lt;=3,"1-3", student_scores[[#This Row],[absence_days]]&lt;=6,"4-6", TRUE,"7-10")</f>
        <v>1-3</v>
      </c>
      <c r="V37" t="str">
        <f>IF(student_scores[[#This Row],[Total_Score]] &gt;= _xlfn.PERCENTILE.INC(student_scores[Total_Score], 0.8), "Yes", "No")</f>
        <v>No</v>
      </c>
    </row>
    <row r="38" spans="1:22" x14ac:dyDescent="0.35">
      <c r="A38">
        <v>37</v>
      </c>
      <c r="B38" t="s">
        <v>135</v>
      </c>
      <c r="C38" t="s">
        <v>136</v>
      </c>
      <c r="D38" t="s">
        <v>137</v>
      </c>
      <c r="E38" t="s">
        <v>20</v>
      </c>
      <c r="F38" t="b">
        <v>0</v>
      </c>
      <c r="G38">
        <v>2</v>
      </c>
      <c r="H38" t="b">
        <v>1</v>
      </c>
      <c r="I38">
        <v>19</v>
      </c>
      <c r="J38" t="s">
        <v>138</v>
      </c>
      <c r="K38">
        <v>99</v>
      </c>
      <c r="L38">
        <v>94</v>
      </c>
      <c r="M38">
        <v>87</v>
      </c>
      <c r="N38">
        <v>71</v>
      </c>
      <c r="O38">
        <v>89</v>
      </c>
      <c r="P38">
        <v>91</v>
      </c>
      <c r="Q38">
        <v>96</v>
      </c>
      <c r="R38">
        <f>SUM(student_scores[[#This Row],[math_score]:[geography_score]])</f>
        <v>627</v>
      </c>
      <c r="S38" s="3">
        <f>student_scores[[#This Row],[Total_Score]]/7</f>
        <v>89.571428571428569</v>
      </c>
      <c r="T38" s="3" t="str" cm="1">
        <f t="array" ref="T38">_xlfn.IFS(student_scores[[#This Row],[weekly_self_study_hours]]&lt;=5,   "0 - 5", student_scores[[#This Row],[weekly_self_study_hours]]&lt;=10,  "6 - 10", student_scores[[#This Row],[weekly_self_study_hours]]&lt;=20,  "11 - 20",student_scores[[#This Row],[weekly_self_study_hours]]&lt;=30, "21 - 30",TRUE, "31+")</f>
        <v>11 - 20</v>
      </c>
      <c r="U38" t="str" cm="1">
        <f t="array" ref="U38">_xlfn.IFS(student_scores[[#This Row],[absence_days]]=0,"0", student_scores[[#This Row],[absence_days]]&lt;=3,"1-3", student_scores[[#This Row],[absence_days]]&lt;=6,"4-6", TRUE,"7-10")</f>
        <v>1-3</v>
      </c>
      <c r="V38" t="str">
        <f>IF(student_scores[[#This Row],[Total_Score]] &gt;= _xlfn.PERCENTILE.INC(student_scores[Total_Score], 0.8), "Yes", "No")</f>
        <v>Yes</v>
      </c>
    </row>
    <row r="39" spans="1:22" x14ac:dyDescent="0.35">
      <c r="A39">
        <v>38</v>
      </c>
      <c r="B39" t="s">
        <v>139</v>
      </c>
      <c r="C39" t="s">
        <v>140</v>
      </c>
      <c r="D39" t="s">
        <v>141</v>
      </c>
      <c r="E39" t="s">
        <v>20</v>
      </c>
      <c r="F39" t="b">
        <v>0</v>
      </c>
      <c r="G39">
        <v>1</v>
      </c>
      <c r="H39" t="b">
        <v>0</v>
      </c>
      <c r="I39">
        <v>29</v>
      </c>
      <c r="J39" t="s">
        <v>138</v>
      </c>
      <c r="K39">
        <v>92</v>
      </c>
      <c r="L39">
        <v>100</v>
      </c>
      <c r="M39">
        <v>85</v>
      </c>
      <c r="N39">
        <v>89</v>
      </c>
      <c r="O39">
        <v>81</v>
      </c>
      <c r="P39">
        <v>91</v>
      </c>
      <c r="Q39">
        <v>88</v>
      </c>
      <c r="R39">
        <f>SUM(student_scores[[#This Row],[math_score]:[geography_score]])</f>
        <v>626</v>
      </c>
      <c r="S39" s="3">
        <f>student_scores[[#This Row],[Total_Score]]/7</f>
        <v>89.428571428571431</v>
      </c>
      <c r="T39" s="3" t="str" cm="1">
        <f t="array" ref="T39">_xlfn.IFS(student_scores[[#This Row],[weekly_self_study_hours]]&lt;=5,   "0 - 5", student_scores[[#This Row],[weekly_self_study_hours]]&lt;=10,  "6 - 10", student_scores[[#This Row],[weekly_self_study_hours]]&lt;=20,  "11 - 20",student_scores[[#This Row],[weekly_self_study_hours]]&lt;=30, "21 - 30",TRUE, "31+")</f>
        <v>21 - 30</v>
      </c>
      <c r="U39" t="str" cm="1">
        <f t="array" ref="U39">_xlfn.IFS(student_scores[[#This Row],[absence_days]]=0,"0", student_scores[[#This Row],[absence_days]]&lt;=3,"1-3", student_scores[[#This Row],[absence_days]]&lt;=6,"4-6", TRUE,"7-10")</f>
        <v>1-3</v>
      </c>
      <c r="V39" t="str">
        <f>IF(student_scores[[#This Row],[Total_Score]] &gt;= _xlfn.PERCENTILE.INC(student_scores[Total_Score], 0.8), "Yes", "No")</f>
        <v>Yes</v>
      </c>
    </row>
    <row r="40" spans="1:22" x14ac:dyDescent="0.35">
      <c r="A40">
        <v>39</v>
      </c>
      <c r="B40" t="s">
        <v>142</v>
      </c>
      <c r="C40" t="s">
        <v>143</v>
      </c>
      <c r="D40" t="s">
        <v>144</v>
      </c>
      <c r="E40" t="s">
        <v>20</v>
      </c>
      <c r="F40" t="b">
        <v>0</v>
      </c>
      <c r="G40">
        <v>4</v>
      </c>
      <c r="H40" t="b">
        <v>0</v>
      </c>
      <c r="I40">
        <v>21</v>
      </c>
      <c r="J40" t="s">
        <v>105</v>
      </c>
      <c r="K40">
        <v>77</v>
      </c>
      <c r="L40">
        <v>64</v>
      </c>
      <c r="M40">
        <v>64</v>
      </c>
      <c r="N40">
        <v>88</v>
      </c>
      <c r="O40">
        <v>94</v>
      </c>
      <c r="P40">
        <v>82</v>
      </c>
      <c r="Q40">
        <v>78</v>
      </c>
      <c r="R40">
        <f>SUM(student_scores[[#This Row],[math_score]:[geography_score]])</f>
        <v>547</v>
      </c>
      <c r="S40" s="3">
        <f>student_scores[[#This Row],[Total_Score]]/7</f>
        <v>78.142857142857139</v>
      </c>
      <c r="T40" s="3" t="str" cm="1">
        <f t="array" ref="T40">_xlfn.IFS(student_scores[[#This Row],[weekly_self_study_hours]]&lt;=5,   "0 - 5", student_scores[[#This Row],[weekly_self_study_hours]]&lt;=10,  "6 - 10", student_scores[[#This Row],[weekly_self_study_hours]]&lt;=20,  "11 - 20",student_scores[[#This Row],[weekly_self_study_hours]]&lt;=30, "21 - 30",TRUE, "31+")</f>
        <v>21 - 30</v>
      </c>
      <c r="U40" t="str" cm="1">
        <f t="array" ref="U40">_xlfn.IFS(student_scores[[#This Row],[absence_days]]=0,"0", student_scores[[#This Row],[absence_days]]&lt;=3,"1-3", student_scores[[#This Row],[absence_days]]&lt;=6,"4-6", TRUE,"7-10")</f>
        <v>4-6</v>
      </c>
      <c r="V40" t="str">
        <f>IF(student_scores[[#This Row],[Total_Score]] &gt;= _xlfn.PERCENTILE.INC(student_scores[Total_Score], 0.8), "Yes", "No")</f>
        <v>No</v>
      </c>
    </row>
    <row r="41" spans="1:22" x14ac:dyDescent="0.35">
      <c r="A41">
        <v>40</v>
      </c>
      <c r="B41" t="s">
        <v>145</v>
      </c>
      <c r="C41" t="s">
        <v>146</v>
      </c>
      <c r="D41" t="s">
        <v>147</v>
      </c>
      <c r="E41" t="s">
        <v>20</v>
      </c>
      <c r="F41" t="b">
        <v>0</v>
      </c>
      <c r="G41">
        <v>4</v>
      </c>
      <c r="H41" t="b">
        <v>0</v>
      </c>
      <c r="I41">
        <v>18</v>
      </c>
      <c r="J41" t="s">
        <v>113</v>
      </c>
      <c r="K41">
        <v>92</v>
      </c>
      <c r="L41">
        <v>60</v>
      </c>
      <c r="M41">
        <v>66</v>
      </c>
      <c r="N41">
        <v>87</v>
      </c>
      <c r="O41">
        <v>60</v>
      </c>
      <c r="P41">
        <v>83</v>
      </c>
      <c r="Q41">
        <v>95</v>
      </c>
      <c r="R41">
        <f>SUM(student_scores[[#This Row],[math_score]:[geography_score]])</f>
        <v>543</v>
      </c>
      <c r="S41" s="3">
        <f>student_scores[[#This Row],[Total_Score]]/7</f>
        <v>77.571428571428569</v>
      </c>
      <c r="T41" s="3" t="str" cm="1">
        <f t="array" ref="T41">_xlfn.IFS(student_scores[[#This Row],[weekly_self_study_hours]]&lt;=5,   "0 - 5", student_scores[[#This Row],[weekly_self_study_hours]]&lt;=10,  "6 - 10", student_scores[[#This Row],[weekly_self_study_hours]]&lt;=20,  "11 - 20",student_scores[[#This Row],[weekly_self_study_hours]]&lt;=30, "21 - 30",TRUE, "31+")</f>
        <v>11 - 20</v>
      </c>
      <c r="U41" t="str" cm="1">
        <f t="array" ref="U41">_xlfn.IFS(student_scores[[#This Row],[absence_days]]=0,"0", student_scores[[#This Row],[absence_days]]&lt;=3,"1-3", student_scores[[#This Row],[absence_days]]&lt;=6,"4-6", TRUE,"7-10")</f>
        <v>4-6</v>
      </c>
      <c r="V41" t="str">
        <f>IF(student_scores[[#This Row],[Total_Score]] &gt;= _xlfn.PERCENTILE.INC(student_scores[Total_Score], 0.8), "Yes", "No")</f>
        <v>No</v>
      </c>
    </row>
    <row r="42" spans="1:22" x14ac:dyDescent="0.35">
      <c r="A42">
        <v>41</v>
      </c>
      <c r="B42" t="s">
        <v>148</v>
      </c>
      <c r="C42" t="s">
        <v>149</v>
      </c>
      <c r="D42" t="s">
        <v>150</v>
      </c>
      <c r="E42" t="s">
        <v>25</v>
      </c>
      <c r="F42" t="b">
        <v>0</v>
      </c>
      <c r="G42">
        <v>4</v>
      </c>
      <c r="H42" t="b">
        <v>0</v>
      </c>
      <c r="I42">
        <v>31</v>
      </c>
      <c r="J42" t="s">
        <v>44</v>
      </c>
      <c r="K42">
        <v>85</v>
      </c>
      <c r="L42">
        <v>97</v>
      </c>
      <c r="M42">
        <v>64</v>
      </c>
      <c r="N42">
        <v>90</v>
      </c>
      <c r="O42">
        <v>79</v>
      </c>
      <c r="P42">
        <v>81</v>
      </c>
      <c r="Q42">
        <v>81</v>
      </c>
      <c r="R42">
        <f>SUM(student_scores[[#This Row],[math_score]:[geography_score]])</f>
        <v>577</v>
      </c>
      <c r="S42" s="3">
        <f>student_scores[[#This Row],[Total_Score]]/7</f>
        <v>82.428571428571431</v>
      </c>
      <c r="T42" s="3" t="str" cm="1">
        <f t="array" ref="T42">_xlfn.IFS(student_scores[[#This Row],[weekly_self_study_hours]]&lt;=5,   "0 - 5", student_scores[[#This Row],[weekly_self_study_hours]]&lt;=10,  "6 - 10", student_scores[[#This Row],[weekly_self_study_hours]]&lt;=20,  "11 - 20",student_scores[[#This Row],[weekly_self_study_hours]]&lt;=30, "21 - 30",TRUE, "31+")</f>
        <v>31+</v>
      </c>
      <c r="U42" t="str" cm="1">
        <f t="array" ref="U42">_xlfn.IFS(student_scores[[#This Row],[absence_days]]=0,"0", student_scores[[#This Row],[absence_days]]&lt;=3,"1-3", student_scores[[#This Row],[absence_days]]&lt;=6,"4-6", TRUE,"7-10")</f>
        <v>4-6</v>
      </c>
      <c r="V42" t="str">
        <f>IF(student_scores[[#This Row],[Total_Score]] &gt;= _xlfn.PERCENTILE.INC(student_scores[Total_Score], 0.8), "Yes", "No")</f>
        <v>No</v>
      </c>
    </row>
    <row r="43" spans="1:22" x14ac:dyDescent="0.35">
      <c r="A43">
        <v>42</v>
      </c>
      <c r="B43" t="s">
        <v>151</v>
      </c>
      <c r="C43" t="s">
        <v>152</v>
      </c>
      <c r="D43" t="s">
        <v>153</v>
      </c>
      <c r="E43" t="s">
        <v>20</v>
      </c>
      <c r="F43" t="b">
        <v>1</v>
      </c>
      <c r="G43">
        <v>7</v>
      </c>
      <c r="H43" t="b">
        <v>0</v>
      </c>
      <c r="I43">
        <v>4</v>
      </c>
      <c r="J43" t="s">
        <v>64</v>
      </c>
      <c r="K43">
        <v>65</v>
      </c>
      <c r="L43">
        <v>55</v>
      </c>
      <c r="M43">
        <v>66</v>
      </c>
      <c r="N43">
        <v>50</v>
      </c>
      <c r="O43">
        <v>88</v>
      </c>
      <c r="P43">
        <v>56</v>
      </c>
      <c r="Q43">
        <v>86</v>
      </c>
      <c r="R43">
        <f>SUM(student_scores[[#This Row],[math_score]:[geography_score]])</f>
        <v>466</v>
      </c>
      <c r="S43" s="3">
        <f>student_scores[[#This Row],[Total_Score]]/7</f>
        <v>66.571428571428569</v>
      </c>
      <c r="T43" s="3" t="str" cm="1">
        <f t="array" ref="T43">_xlfn.IFS(student_scores[[#This Row],[weekly_self_study_hours]]&lt;=5,   "0 - 5", student_scores[[#This Row],[weekly_self_study_hours]]&lt;=10,  "6 - 10", student_scores[[#This Row],[weekly_self_study_hours]]&lt;=20,  "11 - 20",student_scores[[#This Row],[weekly_self_study_hours]]&lt;=30, "21 - 30",TRUE, "31+")</f>
        <v>0 - 5</v>
      </c>
      <c r="U43" t="str" cm="1">
        <f t="array" ref="U43">_xlfn.IFS(student_scores[[#This Row],[absence_days]]=0,"0", student_scores[[#This Row],[absence_days]]&lt;=3,"1-3", student_scores[[#This Row],[absence_days]]&lt;=6,"4-6", TRUE,"7-10")</f>
        <v>7-10</v>
      </c>
      <c r="V43" t="str">
        <f>IF(student_scores[[#This Row],[Total_Score]] &gt;= _xlfn.PERCENTILE.INC(student_scores[Total_Score], 0.8), "Yes", "No")</f>
        <v>No</v>
      </c>
    </row>
    <row r="44" spans="1:22" x14ac:dyDescent="0.35">
      <c r="A44">
        <v>43</v>
      </c>
      <c r="B44" t="s">
        <v>154</v>
      </c>
      <c r="C44" t="s">
        <v>155</v>
      </c>
      <c r="D44" t="s">
        <v>156</v>
      </c>
      <c r="E44" t="s">
        <v>25</v>
      </c>
      <c r="F44" t="b">
        <v>1</v>
      </c>
      <c r="G44">
        <v>6</v>
      </c>
      <c r="H44" t="b">
        <v>0</v>
      </c>
      <c r="I44">
        <v>3</v>
      </c>
      <c r="J44" t="s">
        <v>64</v>
      </c>
      <c r="K44">
        <v>93</v>
      </c>
      <c r="L44">
        <v>94</v>
      </c>
      <c r="M44">
        <v>92</v>
      </c>
      <c r="N44">
        <v>77</v>
      </c>
      <c r="O44">
        <v>87</v>
      </c>
      <c r="P44">
        <v>98</v>
      </c>
      <c r="Q44">
        <v>63</v>
      </c>
      <c r="R44">
        <f>SUM(student_scores[[#This Row],[math_score]:[geography_score]])</f>
        <v>604</v>
      </c>
      <c r="S44" s="3">
        <f>student_scores[[#This Row],[Total_Score]]/7</f>
        <v>86.285714285714292</v>
      </c>
      <c r="T44" s="3" t="str" cm="1">
        <f t="array" ref="T44">_xlfn.IFS(student_scores[[#This Row],[weekly_self_study_hours]]&lt;=5,   "0 - 5", student_scores[[#This Row],[weekly_self_study_hours]]&lt;=10,  "6 - 10", student_scores[[#This Row],[weekly_self_study_hours]]&lt;=20,  "11 - 20",student_scores[[#This Row],[weekly_self_study_hours]]&lt;=30, "21 - 30",TRUE, "31+")</f>
        <v>0 - 5</v>
      </c>
      <c r="U44" t="str" cm="1">
        <f t="array" ref="U44">_xlfn.IFS(student_scores[[#This Row],[absence_days]]=0,"0", student_scores[[#This Row],[absence_days]]&lt;=3,"1-3", student_scores[[#This Row],[absence_days]]&lt;=6,"4-6", TRUE,"7-10")</f>
        <v>4-6</v>
      </c>
      <c r="V44" t="str">
        <f>IF(student_scores[[#This Row],[Total_Score]] &gt;= _xlfn.PERCENTILE.INC(student_scores[Total_Score], 0.8), "Yes", "No")</f>
        <v>Yes</v>
      </c>
    </row>
    <row r="45" spans="1:22" x14ac:dyDescent="0.35">
      <c r="A45">
        <v>44</v>
      </c>
      <c r="B45" t="s">
        <v>65</v>
      </c>
      <c r="C45" t="s">
        <v>157</v>
      </c>
      <c r="D45" t="s">
        <v>158</v>
      </c>
      <c r="E45" t="s">
        <v>25</v>
      </c>
      <c r="F45" t="b">
        <v>0</v>
      </c>
      <c r="G45">
        <v>4</v>
      </c>
      <c r="H45" t="b">
        <v>0</v>
      </c>
      <c r="I45">
        <v>3</v>
      </c>
      <c r="J45" t="s">
        <v>159</v>
      </c>
      <c r="K45">
        <v>97</v>
      </c>
      <c r="L45">
        <v>99</v>
      </c>
      <c r="M45">
        <v>85</v>
      </c>
      <c r="N45">
        <v>96</v>
      </c>
      <c r="O45">
        <v>91</v>
      </c>
      <c r="P45">
        <v>68</v>
      </c>
      <c r="Q45">
        <v>66</v>
      </c>
      <c r="R45">
        <f>SUM(student_scores[[#This Row],[math_score]:[geography_score]])</f>
        <v>602</v>
      </c>
      <c r="S45" s="3">
        <f>student_scores[[#This Row],[Total_Score]]/7</f>
        <v>86</v>
      </c>
      <c r="T45" s="3" t="str" cm="1">
        <f t="array" ref="T45">_xlfn.IFS(student_scores[[#This Row],[weekly_self_study_hours]]&lt;=5,   "0 - 5", student_scores[[#This Row],[weekly_self_study_hours]]&lt;=10,  "6 - 10", student_scores[[#This Row],[weekly_self_study_hours]]&lt;=20,  "11 - 20",student_scores[[#This Row],[weekly_self_study_hours]]&lt;=30, "21 - 30",TRUE, "31+")</f>
        <v>0 - 5</v>
      </c>
      <c r="U45" t="str" cm="1">
        <f t="array" ref="U45">_xlfn.IFS(student_scores[[#This Row],[absence_days]]=0,"0", student_scores[[#This Row],[absence_days]]&lt;=3,"1-3", student_scores[[#This Row],[absence_days]]&lt;=6,"4-6", TRUE,"7-10")</f>
        <v>4-6</v>
      </c>
      <c r="V45" t="str">
        <f>IF(student_scores[[#This Row],[Total_Score]] &gt;= _xlfn.PERCENTILE.INC(student_scores[Total_Score], 0.8), "Yes", "No")</f>
        <v>Yes</v>
      </c>
    </row>
    <row r="46" spans="1:22" x14ac:dyDescent="0.35">
      <c r="A46">
        <v>45</v>
      </c>
      <c r="B46" t="s">
        <v>160</v>
      </c>
      <c r="C46" t="s">
        <v>161</v>
      </c>
      <c r="D46" t="s">
        <v>162</v>
      </c>
      <c r="E46" t="s">
        <v>20</v>
      </c>
      <c r="F46" t="b">
        <v>1</v>
      </c>
      <c r="G46">
        <v>4</v>
      </c>
      <c r="H46" t="b">
        <v>0</v>
      </c>
      <c r="I46">
        <v>3</v>
      </c>
      <c r="J46" t="s">
        <v>64</v>
      </c>
      <c r="K46">
        <v>54</v>
      </c>
      <c r="L46">
        <v>99</v>
      </c>
      <c r="M46">
        <v>79</v>
      </c>
      <c r="N46">
        <v>57</v>
      </c>
      <c r="O46">
        <v>53</v>
      </c>
      <c r="P46">
        <v>95</v>
      </c>
      <c r="Q46">
        <v>83</v>
      </c>
      <c r="R46">
        <f>SUM(student_scores[[#This Row],[math_score]:[geography_score]])</f>
        <v>520</v>
      </c>
      <c r="S46" s="3">
        <f>student_scores[[#This Row],[Total_Score]]/7</f>
        <v>74.285714285714292</v>
      </c>
      <c r="T46" s="3" t="str" cm="1">
        <f t="array" ref="T46">_xlfn.IFS(student_scores[[#This Row],[weekly_self_study_hours]]&lt;=5,   "0 - 5", student_scores[[#This Row],[weekly_self_study_hours]]&lt;=10,  "6 - 10", student_scores[[#This Row],[weekly_self_study_hours]]&lt;=20,  "11 - 20",student_scores[[#This Row],[weekly_self_study_hours]]&lt;=30, "21 - 30",TRUE, "31+")</f>
        <v>0 - 5</v>
      </c>
      <c r="U46" t="str" cm="1">
        <f t="array" ref="U46">_xlfn.IFS(student_scores[[#This Row],[absence_days]]=0,"0", student_scores[[#This Row],[absence_days]]&lt;=3,"1-3", student_scores[[#This Row],[absence_days]]&lt;=6,"4-6", TRUE,"7-10")</f>
        <v>4-6</v>
      </c>
      <c r="V46" t="str">
        <f>IF(student_scores[[#This Row],[Total_Score]] &gt;= _xlfn.PERCENTILE.INC(student_scores[Total_Score], 0.8), "Yes", "No")</f>
        <v>No</v>
      </c>
    </row>
    <row r="47" spans="1:22" x14ac:dyDescent="0.35">
      <c r="A47">
        <v>46</v>
      </c>
      <c r="B47" t="s">
        <v>163</v>
      </c>
      <c r="C47" t="s">
        <v>164</v>
      </c>
      <c r="D47" t="s">
        <v>165</v>
      </c>
      <c r="E47" t="s">
        <v>20</v>
      </c>
      <c r="F47" t="b">
        <v>1</v>
      </c>
      <c r="G47">
        <v>5</v>
      </c>
      <c r="H47" t="b">
        <v>1</v>
      </c>
      <c r="I47">
        <v>5</v>
      </c>
      <c r="J47" t="s">
        <v>64</v>
      </c>
      <c r="K47">
        <v>88</v>
      </c>
      <c r="L47">
        <v>53</v>
      </c>
      <c r="M47">
        <v>50</v>
      </c>
      <c r="N47">
        <v>58</v>
      </c>
      <c r="O47">
        <v>84</v>
      </c>
      <c r="P47">
        <v>53</v>
      </c>
      <c r="Q47">
        <v>96</v>
      </c>
      <c r="R47">
        <f>SUM(student_scores[[#This Row],[math_score]:[geography_score]])</f>
        <v>482</v>
      </c>
      <c r="S47" s="3">
        <f>student_scores[[#This Row],[Total_Score]]/7</f>
        <v>68.857142857142861</v>
      </c>
      <c r="T47" s="3" t="str" cm="1">
        <f t="array" ref="T47">_xlfn.IFS(student_scores[[#This Row],[weekly_self_study_hours]]&lt;=5,   "0 - 5", student_scores[[#This Row],[weekly_self_study_hours]]&lt;=10,  "6 - 10", student_scores[[#This Row],[weekly_self_study_hours]]&lt;=20,  "11 - 20",student_scores[[#This Row],[weekly_self_study_hours]]&lt;=30, "21 - 30",TRUE, "31+")</f>
        <v>0 - 5</v>
      </c>
      <c r="U47" t="str" cm="1">
        <f t="array" ref="U47">_xlfn.IFS(student_scores[[#This Row],[absence_days]]=0,"0", student_scores[[#This Row],[absence_days]]&lt;=3,"1-3", student_scores[[#This Row],[absence_days]]&lt;=6,"4-6", TRUE,"7-10")</f>
        <v>4-6</v>
      </c>
      <c r="V47" t="str">
        <f>IF(student_scores[[#This Row],[Total_Score]] &gt;= _xlfn.PERCENTILE.INC(student_scores[Total_Score], 0.8), "Yes", "No")</f>
        <v>No</v>
      </c>
    </row>
    <row r="48" spans="1:22" x14ac:dyDescent="0.35">
      <c r="A48">
        <v>47</v>
      </c>
      <c r="B48" t="s">
        <v>166</v>
      </c>
      <c r="C48" t="s">
        <v>167</v>
      </c>
      <c r="D48" t="s">
        <v>168</v>
      </c>
      <c r="E48" t="s">
        <v>25</v>
      </c>
      <c r="F48" t="b">
        <v>0</v>
      </c>
      <c r="G48">
        <v>5</v>
      </c>
      <c r="H48" t="b">
        <v>1</v>
      </c>
      <c r="I48">
        <v>27</v>
      </c>
      <c r="J48" t="s">
        <v>21</v>
      </c>
      <c r="K48">
        <v>71</v>
      </c>
      <c r="L48">
        <v>85</v>
      </c>
      <c r="M48">
        <v>93</v>
      </c>
      <c r="N48">
        <v>68</v>
      </c>
      <c r="O48">
        <v>100</v>
      </c>
      <c r="P48">
        <v>91</v>
      </c>
      <c r="Q48">
        <v>87</v>
      </c>
      <c r="R48">
        <f>SUM(student_scores[[#This Row],[math_score]:[geography_score]])</f>
        <v>595</v>
      </c>
      <c r="S48" s="3">
        <f>student_scores[[#This Row],[Total_Score]]/7</f>
        <v>85</v>
      </c>
      <c r="T48" s="3" t="str" cm="1">
        <f t="array" ref="T48">_xlfn.IFS(student_scores[[#This Row],[weekly_self_study_hours]]&lt;=5,   "0 - 5", student_scores[[#This Row],[weekly_self_study_hours]]&lt;=10,  "6 - 10", student_scores[[#This Row],[weekly_self_study_hours]]&lt;=20,  "11 - 20",student_scores[[#This Row],[weekly_self_study_hours]]&lt;=30, "21 - 30",TRUE, "31+")</f>
        <v>21 - 30</v>
      </c>
      <c r="U48" t="str" cm="1">
        <f t="array" ref="U48">_xlfn.IFS(student_scores[[#This Row],[absence_days]]=0,"0", student_scores[[#This Row],[absence_days]]&lt;=3,"1-3", student_scores[[#This Row],[absence_days]]&lt;=6,"4-6", TRUE,"7-10")</f>
        <v>4-6</v>
      </c>
      <c r="V48" t="str">
        <f>IF(student_scores[[#This Row],[Total_Score]] &gt;= _xlfn.PERCENTILE.INC(student_scores[Total_Score], 0.8), "Yes", "No")</f>
        <v>No</v>
      </c>
    </row>
    <row r="49" spans="1:22" x14ac:dyDescent="0.35">
      <c r="A49">
        <v>48</v>
      </c>
      <c r="B49" t="s">
        <v>169</v>
      </c>
      <c r="C49" t="s">
        <v>170</v>
      </c>
      <c r="D49" t="s">
        <v>171</v>
      </c>
      <c r="E49" t="s">
        <v>20</v>
      </c>
      <c r="F49" t="b">
        <v>0</v>
      </c>
      <c r="G49">
        <v>0</v>
      </c>
      <c r="H49" t="b">
        <v>1</v>
      </c>
      <c r="I49">
        <v>28</v>
      </c>
      <c r="J49" t="s">
        <v>172</v>
      </c>
      <c r="K49">
        <v>81</v>
      </c>
      <c r="L49">
        <v>98</v>
      </c>
      <c r="M49">
        <v>74</v>
      </c>
      <c r="N49">
        <v>70</v>
      </c>
      <c r="O49">
        <v>97</v>
      </c>
      <c r="P49">
        <v>65</v>
      </c>
      <c r="Q49">
        <v>65</v>
      </c>
      <c r="R49">
        <f>SUM(student_scores[[#This Row],[math_score]:[geography_score]])</f>
        <v>550</v>
      </c>
      <c r="S49" s="3">
        <f>student_scores[[#This Row],[Total_Score]]/7</f>
        <v>78.571428571428569</v>
      </c>
      <c r="T49" s="3" t="str" cm="1">
        <f t="array" ref="T49">_xlfn.IFS(student_scores[[#This Row],[weekly_self_study_hours]]&lt;=5,   "0 - 5", student_scores[[#This Row],[weekly_self_study_hours]]&lt;=10,  "6 - 10", student_scores[[#This Row],[weekly_self_study_hours]]&lt;=20,  "11 - 20",student_scores[[#This Row],[weekly_self_study_hours]]&lt;=30, "21 - 30",TRUE, "31+")</f>
        <v>21 - 30</v>
      </c>
      <c r="U49" t="str" cm="1">
        <f t="array" ref="U49">_xlfn.IFS(student_scores[[#This Row],[absence_days]]=0,"0", student_scores[[#This Row],[absence_days]]&lt;=3,"1-3", student_scores[[#This Row],[absence_days]]&lt;=6,"4-6", TRUE,"7-10")</f>
        <v>0</v>
      </c>
      <c r="V49" t="str">
        <f>IF(student_scores[[#This Row],[Total_Score]] &gt;= _xlfn.PERCENTILE.INC(student_scores[Total_Score], 0.8), "Yes", "No")</f>
        <v>No</v>
      </c>
    </row>
    <row r="50" spans="1:22" x14ac:dyDescent="0.35">
      <c r="A50">
        <v>49</v>
      </c>
      <c r="B50" t="s">
        <v>173</v>
      </c>
      <c r="C50" t="s">
        <v>39</v>
      </c>
      <c r="D50" t="s">
        <v>174</v>
      </c>
      <c r="E50" t="s">
        <v>25</v>
      </c>
      <c r="F50" t="b">
        <v>0</v>
      </c>
      <c r="G50">
        <v>4</v>
      </c>
      <c r="H50" t="b">
        <v>0</v>
      </c>
      <c r="I50">
        <v>32</v>
      </c>
      <c r="J50" t="s">
        <v>38</v>
      </c>
      <c r="K50">
        <v>80</v>
      </c>
      <c r="L50">
        <v>78</v>
      </c>
      <c r="M50">
        <v>86</v>
      </c>
      <c r="N50">
        <v>80</v>
      </c>
      <c r="O50">
        <v>64</v>
      </c>
      <c r="P50">
        <v>68</v>
      </c>
      <c r="Q50">
        <v>100</v>
      </c>
      <c r="R50">
        <f>SUM(student_scores[[#This Row],[math_score]:[geography_score]])</f>
        <v>556</v>
      </c>
      <c r="S50" s="3">
        <f>student_scores[[#This Row],[Total_Score]]/7</f>
        <v>79.428571428571431</v>
      </c>
      <c r="T50" s="3" t="str" cm="1">
        <f t="array" ref="T50">_xlfn.IFS(student_scores[[#This Row],[weekly_self_study_hours]]&lt;=5,   "0 - 5", student_scores[[#This Row],[weekly_self_study_hours]]&lt;=10,  "6 - 10", student_scores[[#This Row],[weekly_self_study_hours]]&lt;=20,  "11 - 20",student_scores[[#This Row],[weekly_self_study_hours]]&lt;=30, "21 - 30",TRUE, "31+")</f>
        <v>31+</v>
      </c>
      <c r="U50" t="str" cm="1">
        <f t="array" ref="U50">_xlfn.IFS(student_scores[[#This Row],[absence_days]]=0,"0", student_scores[[#This Row],[absence_days]]&lt;=3,"1-3", student_scores[[#This Row],[absence_days]]&lt;=6,"4-6", TRUE,"7-10")</f>
        <v>4-6</v>
      </c>
      <c r="V50" t="str">
        <f>IF(student_scores[[#This Row],[Total_Score]] &gt;= _xlfn.PERCENTILE.INC(student_scores[Total_Score], 0.8), "Yes", "No")</f>
        <v>No</v>
      </c>
    </row>
    <row r="51" spans="1:22" x14ac:dyDescent="0.35">
      <c r="A51">
        <v>50</v>
      </c>
      <c r="B51" t="s">
        <v>175</v>
      </c>
      <c r="C51" t="s">
        <v>176</v>
      </c>
      <c r="D51" t="s">
        <v>177</v>
      </c>
      <c r="E51" t="s">
        <v>25</v>
      </c>
      <c r="F51" t="b">
        <v>0</v>
      </c>
      <c r="G51">
        <v>0</v>
      </c>
      <c r="H51" t="b">
        <v>0</v>
      </c>
      <c r="I51">
        <v>14</v>
      </c>
      <c r="J51" t="s">
        <v>113</v>
      </c>
      <c r="K51">
        <v>100</v>
      </c>
      <c r="L51">
        <v>89</v>
      </c>
      <c r="M51">
        <v>90</v>
      </c>
      <c r="N51">
        <v>93</v>
      </c>
      <c r="O51">
        <v>30</v>
      </c>
      <c r="P51">
        <v>83</v>
      </c>
      <c r="Q51">
        <v>74</v>
      </c>
      <c r="R51">
        <f>SUM(student_scores[[#This Row],[math_score]:[geography_score]])</f>
        <v>559</v>
      </c>
      <c r="S51" s="3">
        <f>student_scores[[#This Row],[Total_Score]]/7</f>
        <v>79.857142857142861</v>
      </c>
      <c r="T51" s="3" t="str" cm="1">
        <f t="array" ref="T51">_xlfn.IFS(student_scores[[#This Row],[weekly_self_study_hours]]&lt;=5,   "0 - 5", student_scores[[#This Row],[weekly_self_study_hours]]&lt;=10,  "6 - 10", student_scores[[#This Row],[weekly_self_study_hours]]&lt;=20,  "11 - 20",student_scores[[#This Row],[weekly_self_study_hours]]&lt;=30, "21 - 30",TRUE, "31+")</f>
        <v>11 - 20</v>
      </c>
      <c r="U51" t="str" cm="1">
        <f t="array" ref="U51">_xlfn.IFS(student_scores[[#This Row],[absence_days]]=0,"0", student_scores[[#This Row],[absence_days]]&lt;=3,"1-3", student_scores[[#This Row],[absence_days]]&lt;=6,"4-6", TRUE,"7-10")</f>
        <v>0</v>
      </c>
      <c r="V51" t="str">
        <f>IF(student_scores[[#This Row],[Total_Score]] &gt;= _xlfn.PERCENTILE.INC(student_scores[Total_Score], 0.8), "Yes", "No")</f>
        <v>No</v>
      </c>
    </row>
    <row r="52" spans="1:22" x14ac:dyDescent="0.35">
      <c r="A52">
        <v>51</v>
      </c>
      <c r="B52" t="s">
        <v>145</v>
      </c>
      <c r="C52" t="s">
        <v>178</v>
      </c>
      <c r="D52" t="s">
        <v>179</v>
      </c>
      <c r="E52" t="s">
        <v>20</v>
      </c>
      <c r="F52" t="b">
        <v>0</v>
      </c>
      <c r="G52">
        <v>6</v>
      </c>
      <c r="H52" t="b">
        <v>1</v>
      </c>
      <c r="I52">
        <v>16</v>
      </c>
      <c r="J52" t="s">
        <v>172</v>
      </c>
      <c r="K52">
        <v>76</v>
      </c>
      <c r="L52">
        <v>72</v>
      </c>
      <c r="M52">
        <v>96</v>
      </c>
      <c r="N52">
        <v>65</v>
      </c>
      <c r="O52">
        <v>89</v>
      </c>
      <c r="P52">
        <v>87</v>
      </c>
      <c r="Q52">
        <v>94</v>
      </c>
      <c r="R52">
        <f>SUM(student_scores[[#This Row],[math_score]:[geography_score]])</f>
        <v>579</v>
      </c>
      <c r="S52" s="3">
        <f>student_scores[[#This Row],[Total_Score]]/7</f>
        <v>82.714285714285708</v>
      </c>
      <c r="T52" s="3" t="str" cm="1">
        <f t="array" ref="T52">_xlfn.IFS(student_scores[[#This Row],[weekly_self_study_hours]]&lt;=5,   "0 - 5", student_scores[[#This Row],[weekly_self_study_hours]]&lt;=10,  "6 - 10", student_scores[[#This Row],[weekly_self_study_hours]]&lt;=20,  "11 - 20",student_scores[[#This Row],[weekly_self_study_hours]]&lt;=30, "21 - 30",TRUE, "31+")</f>
        <v>11 - 20</v>
      </c>
      <c r="U52" t="str" cm="1">
        <f t="array" ref="U52">_xlfn.IFS(student_scores[[#This Row],[absence_days]]=0,"0", student_scores[[#This Row],[absence_days]]&lt;=3,"1-3", student_scores[[#This Row],[absence_days]]&lt;=6,"4-6", TRUE,"7-10")</f>
        <v>4-6</v>
      </c>
      <c r="V52" t="str">
        <f>IF(student_scores[[#This Row],[Total_Score]] &gt;= _xlfn.PERCENTILE.INC(student_scores[Total_Score], 0.8), "Yes", "No")</f>
        <v>No</v>
      </c>
    </row>
    <row r="53" spans="1:22" x14ac:dyDescent="0.35">
      <c r="A53">
        <v>52</v>
      </c>
      <c r="B53" t="s">
        <v>180</v>
      </c>
      <c r="C53" t="s">
        <v>181</v>
      </c>
      <c r="D53" t="s">
        <v>182</v>
      </c>
      <c r="E53" t="s">
        <v>25</v>
      </c>
      <c r="F53" t="b">
        <v>0</v>
      </c>
      <c r="G53">
        <v>2</v>
      </c>
      <c r="H53" t="b">
        <v>0</v>
      </c>
      <c r="I53">
        <v>24</v>
      </c>
      <c r="J53" t="s">
        <v>21</v>
      </c>
      <c r="K53">
        <v>99</v>
      </c>
      <c r="L53">
        <v>81</v>
      </c>
      <c r="M53">
        <v>73</v>
      </c>
      <c r="N53">
        <v>70</v>
      </c>
      <c r="O53">
        <v>85</v>
      </c>
      <c r="P53">
        <v>86</v>
      </c>
      <c r="Q53">
        <v>61</v>
      </c>
      <c r="R53">
        <f>SUM(student_scores[[#This Row],[math_score]:[geography_score]])</f>
        <v>555</v>
      </c>
      <c r="S53" s="3">
        <f>student_scores[[#This Row],[Total_Score]]/7</f>
        <v>79.285714285714292</v>
      </c>
      <c r="T53" s="3" t="str" cm="1">
        <f t="array" ref="T53">_xlfn.IFS(student_scores[[#This Row],[weekly_self_study_hours]]&lt;=5,   "0 - 5", student_scores[[#This Row],[weekly_self_study_hours]]&lt;=10,  "6 - 10", student_scores[[#This Row],[weekly_self_study_hours]]&lt;=20,  "11 - 20",student_scores[[#This Row],[weekly_self_study_hours]]&lt;=30, "21 - 30",TRUE, "31+")</f>
        <v>21 - 30</v>
      </c>
      <c r="U53" t="str" cm="1">
        <f t="array" ref="U53">_xlfn.IFS(student_scores[[#This Row],[absence_days]]=0,"0", student_scores[[#This Row],[absence_days]]&lt;=3,"1-3", student_scores[[#This Row],[absence_days]]&lt;=6,"4-6", TRUE,"7-10")</f>
        <v>1-3</v>
      </c>
      <c r="V53" t="str">
        <f>IF(student_scores[[#This Row],[Total_Score]] &gt;= _xlfn.PERCENTILE.INC(student_scores[Total_Score], 0.8), "Yes", "No")</f>
        <v>No</v>
      </c>
    </row>
    <row r="54" spans="1:22" x14ac:dyDescent="0.35">
      <c r="A54">
        <v>53</v>
      </c>
      <c r="B54" t="s">
        <v>183</v>
      </c>
      <c r="C54" t="s">
        <v>92</v>
      </c>
      <c r="D54" t="s">
        <v>184</v>
      </c>
      <c r="E54" t="s">
        <v>20</v>
      </c>
      <c r="F54" t="b">
        <v>0</v>
      </c>
      <c r="G54">
        <v>9</v>
      </c>
      <c r="H54" t="b">
        <v>0</v>
      </c>
      <c r="I54">
        <v>0</v>
      </c>
      <c r="J54" t="s">
        <v>64</v>
      </c>
      <c r="K54">
        <v>64</v>
      </c>
      <c r="L54">
        <v>70</v>
      </c>
      <c r="M54">
        <v>61</v>
      </c>
      <c r="N54">
        <v>81</v>
      </c>
      <c r="O54">
        <v>82</v>
      </c>
      <c r="P54">
        <v>51</v>
      </c>
      <c r="Q54">
        <v>70</v>
      </c>
      <c r="R54">
        <f>SUM(student_scores[[#This Row],[math_score]:[geography_score]])</f>
        <v>479</v>
      </c>
      <c r="S54" s="3">
        <f>student_scores[[#This Row],[Total_Score]]/7</f>
        <v>68.428571428571431</v>
      </c>
      <c r="T54" s="3" t="str" cm="1">
        <f t="array" ref="T54">_xlfn.IFS(student_scores[[#This Row],[weekly_self_study_hours]]&lt;=5,   "0 - 5", student_scores[[#This Row],[weekly_self_study_hours]]&lt;=10,  "6 - 10", student_scores[[#This Row],[weekly_self_study_hours]]&lt;=20,  "11 - 20",student_scores[[#This Row],[weekly_self_study_hours]]&lt;=30, "21 - 30",TRUE, "31+")</f>
        <v>0 - 5</v>
      </c>
      <c r="U54" t="str" cm="1">
        <f t="array" ref="U54">_xlfn.IFS(student_scores[[#This Row],[absence_days]]=0,"0", student_scores[[#This Row],[absence_days]]&lt;=3,"1-3", student_scores[[#This Row],[absence_days]]&lt;=6,"4-6", TRUE,"7-10")</f>
        <v>7-10</v>
      </c>
      <c r="V54" t="str">
        <f>IF(student_scores[[#This Row],[Total_Score]] &gt;= _xlfn.PERCENTILE.INC(student_scores[Total_Score], 0.8), "Yes", "No")</f>
        <v>No</v>
      </c>
    </row>
    <row r="55" spans="1:22" x14ac:dyDescent="0.35">
      <c r="A55">
        <v>54</v>
      </c>
      <c r="B55" t="s">
        <v>185</v>
      </c>
      <c r="C55" t="s">
        <v>186</v>
      </c>
      <c r="D55" t="s">
        <v>187</v>
      </c>
      <c r="E55" t="s">
        <v>25</v>
      </c>
      <c r="F55" t="b">
        <v>0</v>
      </c>
      <c r="G55">
        <v>3</v>
      </c>
      <c r="H55" t="b">
        <v>0</v>
      </c>
      <c r="I55">
        <v>32</v>
      </c>
      <c r="J55" t="s">
        <v>105</v>
      </c>
      <c r="K55">
        <v>90</v>
      </c>
      <c r="L55">
        <v>96</v>
      </c>
      <c r="M55">
        <v>86</v>
      </c>
      <c r="N55">
        <v>61</v>
      </c>
      <c r="O55">
        <v>89</v>
      </c>
      <c r="P55">
        <v>98</v>
      </c>
      <c r="Q55">
        <v>68</v>
      </c>
      <c r="R55">
        <f>SUM(student_scores[[#This Row],[math_score]:[geography_score]])</f>
        <v>588</v>
      </c>
      <c r="S55" s="3">
        <f>student_scores[[#This Row],[Total_Score]]/7</f>
        <v>84</v>
      </c>
      <c r="T55" s="3" t="str" cm="1">
        <f t="array" ref="T55">_xlfn.IFS(student_scores[[#This Row],[weekly_self_study_hours]]&lt;=5,   "0 - 5", student_scores[[#This Row],[weekly_self_study_hours]]&lt;=10,  "6 - 10", student_scores[[#This Row],[weekly_self_study_hours]]&lt;=20,  "11 - 20",student_scores[[#This Row],[weekly_self_study_hours]]&lt;=30, "21 - 30",TRUE, "31+")</f>
        <v>31+</v>
      </c>
      <c r="U55" t="str" cm="1">
        <f t="array" ref="U55">_xlfn.IFS(student_scores[[#This Row],[absence_days]]=0,"0", student_scores[[#This Row],[absence_days]]&lt;=3,"1-3", student_scores[[#This Row],[absence_days]]&lt;=6,"4-6", TRUE,"7-10")</f>
        <v>1-3</v>
      </c>
      <c r="V55" t="str">
        <f>IF(student_scores[[#This Row],[Total_Score]] &gt;= _xlfn.PERCENTILE.INC(student_scores[Total_Score], 0.8), "Yes", "No")</f>
        <v>No</v>
      </c>
    </row>
    <row r="56" spans="1:22" x14ac:dyDescent="0.35">
      <c r="A56">
        <v>55</v>
      </c>
      <c r="B56" t="s">
        <v>188</v>
      </c>
      <c r="C56" t="s">
        <v>146</v>
      </c>
      <c r="D56" t="s">
        <v>189</v>
      </c>
      <c r="E56" t="s">
        <v>20</v>
      </c>
      <c r="F56" t="b">
        <v>0</v>
      </c>
      <c r="G56">
        <v>2</v>
      </c>
      <c r="H56" t="b">
        <v>0</v>
      </c>
      <c r="I56">
        <v>3</v>
      </c>
      <c r="J56" t="s">
        <v>159</v>
      </c>
      <c r="K56">
        <v>85</v>
      </c>
      <c r="L56">
        <v>100</v>
      </c>
      <c r="M56">
        <v>92</v>
      </c>
      <c r="N56">
        <v>68</v>
      </c>
      <c r="O56">
        <v>60</v>
      </c>
      <c r="P56">
        <v>77</v>
      </c>
      <c r="Q56">
        <v>83</v>
      </c>
      <c r="R56">
        <f>SUM(student_scores[[#This Row],[math_score]:[geography_score]])</f>
        <v>565</v>
      </c>
      <c r="S56" s="3">
        <f>student_scores[[#This Row],[Total_Score]]/7</f>
        <v>80.714285714285708</v>
      </c>
      <c r="T56" s="3" t="str" cm="1">
        <f t="array" ref="T56">_xlfn.IFS(student_scores[[#This Row],[weekly_self_study_hours]]&lt;=5,   "0 - 5", student_scores[[#This Row],[weekly_self_study_hours]]&lt;=10,  "6 - 10", student_scores[[#This Row],[weekly_self_study_hours]]&lt;=20,  "11 - 20",student_scores[[#This Row],[weekly_self_study_hours]]&lt;=30, "21 - 30",TRUE, "31+")</f>
        <v>0 - 5</v>
      </c>
      <c r="U56" t="str" cm="1">
        <f t="array" ref="U56">_xlfn.IFS(student_scores[[#This Row],[absence_days]]=0,"0", student_scores[[#This Row],[absence_days]]&lt;=3,"1-3", student_scores[[#This Row],[absence_days]]&lt;=6,"4-6", TRUE,"7-10")</f>
        <v>1-3</v>
      </c>
      <c r="V56" t="str">
        <f>IF(student_scores[[#This Row],[Total_Score]] &gt;= _xlfn.PERCENTILE.INC(student_scores[Total_Score], 0.8), "Yes", "No")</f>
        <v>No</v>
      </c>
    </row>
    <row r="57" spans="1:22" x14ac:dyDescent="0.35">
      <c r="A57">
        <v>56</v>
      </c>
      <c r="B57" t="s">
        <v>190</v>
      </c>
      <c r="C57" t="s">
        <v>191</v>
      </c>
      <c r="D57" t="s">
        <v>192</v>
      </c>
      <c r="E57" t="s">
        <v>25</v>
      </c>
      <c r="F57" t="b">
        <v>0</v>
      </c>
      <c r="G57">
        <v>6</v>
      </c>
      <c r="H57" t="b">
        <v>0</v>
      </c>
      <c r="I57">
        <v>31</v>
      </c>
      <c r="J57" t="s">
        <v>44</v>
      </c>
      <c r="K57">
        <v>91</v>
      </c>
      <c r="L57">
        <v>60</v>
      </c>
      <c r="M57">
        <v>84</v>
      </c>
      <c r="N57">
        <v>88</v>
      </c>
      <c r="O57">
        <v>76</v>
      </c>
      <c r="P57">
        <v>71</v>
      </c>
      <c r="Q57">
        <v>99</v>
      </c>
      <c r="R57">
        <f>SUM(student_scores[[#This Row],[math_score]:[geography_score]])</f>
        <v>569</v>
      </c>
      <c r="S57" s="3">
        <f>student_scores[[#This Row],[Total_Score]]/7</f>
        <v>81.285714285714292</v>
      </c>
      <c r="T57" s="3" t="str" cm="1">
        <f t="array" ref="T57">_xlfn.IFS(student_scores[[#This Row],[weekly_self_study_hours]]&lt;=5,   "0 - 5", student_scores[[#This Row],[weekly_self_study_hours]]&lt;=10,  "6 - 10", student_scores[[#This Row],[weekly_self_study_hours]]&lt;=20,  "11 - 20",student_scores[[#This Row],[weekly_self_study_hours]]&lt;=30, "21 - 30",TRUE, "31+")</f>
        <v>31+</v>
      </c>
      <c r="U57" t="str" cm="1">
        <f t="array" ref="U57">_xlfn.IFS(student_scores[[#This Row],[absence_days]]=0,"0", student_scores[[#This Row],[absence_days]]&lt;=3,"1-3", student_scores[[#This Row],[absence_days]]&lt;=6,"4-6", TRUE,"7-10")</f>
        <v>4-6</v>
      </c>
      <c r="V57" t="str">
        <f>IF(student_scores[[#This Row],[Total_Score]] &gt;= _xlfn.PERCENTILE.INC(student_scores[Total_Score], 0.8), "Yes", "No")</f>
        <v>No</v>
      </c>
    </row>
    <row r="58" spans="1:22" x14ac:dyDescent="0.35">
      <c r="A58">
        <v>57</v>
      </c>
      <c r="B58" t="s">
        <v>193</v>
      </c>
      <c r="C58" t="s">
        <v>136</v>
      </c>
      <c r="D58" t="s">
        <v>194</v>
      </c>
      <c r="E58" t="s">
        <v>25</v>
      </c>
      <c r="F58" t="b">
        <v>0</v>
      </c>
      <c r="G58">
        <v>3</v>
      </c>
      <c r="H58" t="b">
        <v>0</v>
      </c>
      <c r="I58">
        <v>21</v>
      </c>
      <c r="J58" t="s">
        <v>38</v>
      </c>
      <c r="K58">
        <v>95</v>
      </c>
      <c r="L58">
        <v>72</v>
      </c>
      <c r="M58">
        <v>79</v>
      </c>
      <c r="N58">
        <v>86</v>
      </c>
      <c r="O58">
        <v>87</v>
      </c>
      <c r="P58">
        <v>81</v>
      </c>
      <c r="Q58">
        <v>62</v>
      </c>
      <c r="R58">
        <f>SUM(student_scores[[#This Row],[math_score]:[geography_score]])</f>
        <v>562</v>
      </c>
      <c r="S58" s="3">
        <f>student_scores[[#This Row],[Total_Score]]/7</f>
        <v>80.285714285714292</v>
      </c>
      <c r="T58" s="3" t="str" cm="1">
        <f t="array" ref="T58">_xlfn.IFS(student_scores[[#This Row],[weekly_self_study_hours]]&lt;=5,   "0 - 5", student_scores[[#This Row],[weekly_self_study_hours]]&lt;=10,  "6 - 10", student_scores[[#This Row],[weekly_self_study_hours]]&lt;=20,  "11 - 20",student_scores[[#This Row],[weekly_self_study_hours]]&lt;=30, "21 - 30",TRUE, "31+")</f>
        <v>21 - 30</v>
      </c>
      <c r="U58" t="str" cm="1">
        <f t="array" ref="U58">_xlfn.IFS(student_scores[[#This Row],[absence_days]]=0,"0", student_scores[[#This Row],[absence_days]]&lt;=3,"1-3", student_scores[[#This Row],[absence_days]]&lt;=6,"4-6", TRUE,"7-10")</f>
        <v>1-3</v>
      </c>
      <c r="V58" t="str">
        <f>IF(student_scores[[#This Row],[Total_Score]] &gt;= _xlfn.PERCENTILE.INC(student_scores[Total_Score], 0.8), "Yes", "No")</f>
        <v>No</v>
      </c>
    </row>
    <row r="59" spans="1:22" x14ac:dyDescent="0.35">
      <c r="A59">
        <v>58</v>
      </c>
      <c r="B59" t="s">
        <v>160</v>
      </c>
      <c r="C59" t="s">
        <v>195</v>
      </c>
      <c r="D59" t="s">
        <v>196</v>
      </c>
      <c r="E59" t="s">
        <v>20</v>
      </c>
      <c r="F59" t="b">
        <v>1</v>
      </c>
      <c r="G59">
        <v>2</v>
      </c>
      <c r="H59" t="b">
        <v>0</v>
      </c>
      <c r="I59">
        <v>18</v>
      </c>
      <c r="J59" t="s">
        <v>105</v>
      </c>
      <c r="K59">
        <v>94</v>
      </c>
      <c r="L59">
        <v>78</v>
      </c>
      <c r="M59">
        <v>73</v>
      </c>
      <c r="N59">
        <v>97</v>
      </c>
      <c r="O59">
        <v>67</v>
      </c>
      <c r="P59">
        <v>78</v>
      </c>
      <c r="Q59">
        <v>99</v>
      </c>
      <c r="R59">
        <f>SUM(student_scores[[#This Row],[math_score]:[geography_score]])</f>
        <v>586</v>
      </c>
      <c r="S59" s="3">
        <f>student_scores[[#This Row],[Total_Score]]/7</f>
        <v>83.714285714285708</v>
      </c>
      <c r="T59" s="3" t="str" cm="1">
        <f t="array" ref="T59">_xlfn.IFS(student_scores[[#This Row],[weekly_self_study_hours]]&lt;=5,   "0 - 5", student_scores[[#This Row],[weekly_self_study_hours]]&lt;=10,  "6 - 10", student_scores[[#This Row],[weekly_self_study_hours]]&lt;=20,  "11 - 20",student_scores[[#This Row],[weekly_self_study_hours]]&lt;=30, "21 - 30",TRUE, "31+")</f>
        <v>11 - 20</v>
      </c>
      <c r="U59" t="str" cm="1">
        <f t="array" ref="U59">_xlfn.IFS(student_scores[[#This Row],[absence_days]]=0,"0", student_scores[[#This Row],[absence_days]]&lt;=3,"1-3", student_scores[[#This Row],[absence_days]]&lt;=6,"4-6", TRUE,"7-10")</f>
        <v>1-3</v>
      </c>
      <c r="V59" t="str">
        <f>IF(student_scores[[#This Row],[Total_Score]] &gt;= _xlfn.PERCENTILE.INC(student_scores[Total_Score], 0.8), "Yes", "No")</f>
        <v>No</v>
      </c>
    </row>
    <row r="60" spans="1:22" x14ac:dyDescent="0.35">
      <c r="A60">
        <v>59</v>
      </c>
      <c r="B60" t="s">
        <v>197</v>
      </c>
      <c r="C60" t="s">
        <v>198</v>
      </c>
      <c r="D60" t="s">
        <v>199</v>
      </c>
      <c r="E60" t="s">
        <v>20</v>
      </c>
      <c r="F60" t="b">
        <v>0</v>
      </c>
      <c r="G60">
        <v>7</v>
      </c>
      <c r="H60" t="b">
        <v>0</v>
      </c>
      <c r="I60">
        <v>26</v>
      </c>
      <c r="J60" t="s">
        <v>44</v>
      </c>
      <c r="K60">
        <v>94</v>
      </c>
      <c r="L60">
        <v>89</v>
      </c>
      <c r="M60">
        <v>64</v>
      </c>
      <c r="N60">
        <v>96</v>
      </c>
      <c r="O60">
        <v>91</v>
      </c>
      <c r="P60">
        <v>95</v>
      </c>
      <c r="Q60">
        <v>77</v>
      </c>
      <c r="R60">
        <f>SUM(student_scores[[#This Row],[math_score]:[geography_score]])</f>
        <v>606</v>
      </c>
      <c r="S60" s="3">
        <f>student_scores[[#This Row],[Total_Score]]/7</f>
        <v>86.571428571428569</v>
      </c>
      <c r="T60" s="3" t="str" cm="1">
        <f t="array" ref="T60">_xlfn.IFS(student_scores[[#This Row],[weekly_self_study_hours]]&lt;=5,   "0 - 5", student_scores[[#This Row],[weekly_self_study_hours]]&lt;=10,  "6 - 10", student_scores[[#This Row],[weekly_self_study_hours]]&lt;=20,  "11 - 20",student_scores[[#This Row],[weekly_self_study_hours]]&lt;=30, "21 - 30",TRUE, "31+")</f>
        <v>21 - 30</v>
      </c>
      <c r="U60" t="str" cm="1">
        <f t="array" ref="U60">_xlfn.IFS(student_scores[[#This Row],[absence_days]]=0,"0", student_scores[[#This Row],[absence_days]]&lt;=3,"1-3", student_scores[[#This Row],[absence_days]]&lt;=6,"4-6", TRUE,"7-10")</f>
        <v>7-10</v>
      </c>
      <c r="V60" t="str">
        <f>IF(student_scores[[#This Row],[Total_Score]] &gt;= _xlfn.PERCENTILE.INC(student_scores[Total_Score], 0.8), "Yes", "No")</f>
        <v>Yes</v>
      </c>
    </row>
    <row r="61" spans="1:22" x14ac:dyDescent="0.35">
      <c r="A61">
        <v>60</v>
      </c>
      <c r="B61" t="s">
        <v>18</v>
      </c>
      <c r="C61" t="s">
        <v>200</v>
      </c>
      <c r="D61" t="s">
        <v>201</v>
      </c>
      <c r="E61" t="s">
        <v>20</v>
      </c>
      <c r="F61" t="b">
        <v>0</v>
      </c>
      <c r="G61">
        <v>4</v>
      </c>
      <c r="H61" t="b">
        <v>0</v>
      </c>
      <c r="I61">
        <v>23</v>
      </c>
      <c r="J61" t="s">
        <v>44</v>
      </c>
      <c r="K61">
        <v>89</v>
      </c>
      <c r="L61">
        <v>99</v>
      </c>
      <c r="M61">
        <v>90</v>
      </c>
      <c r="N61">
        <v>79</v>
      </c>
      <c r="O61">
        <v>85</v>
      </c>
      <c r="P61">
        <v>96</v>
      </c>
      <c r="Q61">
        <v>98</v>
      </c>
      <c r="R61">
        <f>SUM(student_scores[[#This Row],[math_score]:[geography_score]])</f>
        <v>636</v>
      </c>
      <c r="S61" s="3">
        <f>student_scores[[#This Row],[Total_Score]]/7</f>
        <v>90.857142857142861</v>
      </c>
      <c r="T61" s="3" t="str" cm="1">
        <f t="array" ref="T61">_xlfn.IFS(student_scores[[#This Row],[weekly_self_study_hours]]&lt;=5,   "0 - 5", student_scores[[#This Row],[weekly_self_study_hours]]&lt;=10,  "6 - 10", student_scores[[#This Row],[weekly_self_study_hours]]&lt;=20,  "11 - 20",student_scores[[#This Row],[weekly_self_study_hours]]&lt;=30, "21 - 30",TRUE, "31+")</f>
        <v>21 - 30</v>
      </c>
      <c r="U61" t="str" cm="1">
        <f t="array" ref="U61">_xlfn.IFS(student_scores[[#This Row],[absence_days]]=0,"0", student_scores[[#This Row],[absence_days]]&lt;=3,"1-3", student_scores[[#This Row],[absence_days]]&lt;=6,"4-6", TRUE,"7-10")</f>
        <v>4-6</v>
      </c>
      <c r="V61" t="str">
        <f>IF(student_scores[[#This Row],[Total_Score]] &gt;= _xlfn.PERCENTILE.INC(student_scores[Total_Score], 0.8), "Yes", "No")</f>
        <v>Yes</v>
      </c>
    </row>
    <row r="62" spans="1:22" x14ac:dyDescent="0.35">
      <c r="A62">
        <v>61</v>
      </c>
      <c r="B62" t="s">
        <v>202</v>
      </c>
      <c r="C62" t="s">
        <v>203</v>
      </c>
      <c r="D62" t="s">
        <v>204</v>
      </c>
      <c r="E62" t="s">
        <v>25</v>
      </c>
      <c r="F62" t="b">
        <v>0</v>
      </c>
      <c r="G62">
        <v>2</v>
      </c>
      <c r="H62" t="b">
        <v>0</v>
      </c>
      <c r="I62">
        <v>1</v>
      </c>
      <c r="J62" t="s">
        <v>159</v>
      </c>
      <c r="K62">
        <v>91</v>
      </c>
      <c r="L62">
        <v>81</v>
      </c>
      <c r="M62">
        <v>88</v>
      </c>
      <c r="N62">
        <v>71</v>
      </c>
      <c r="O62">
        <v>78</v>
      </c>
      <c r="P62">
        <v>83</v>
      </c>
      <c r="Q62">
        <v>76</v>
      </c>
      <c r="R62">
        <f>SUM(student_scores[[#This Row],[math_score]:[geography_score]])</f>
        <v>568</v>
      </c>
      <c r="S62" s="3">
        <f>student_scores[[#This Row],[Total_Score]]/7</f>
        <v>81.142857142857139</v>
      </c>
      <c r="T62" s="3" t="str" cm="1">
        <f t="array" ref="T62">_xlfn.IFS(student_scores[[#This Row],[weekly_self_study_hours]]&lt;=5,   "0 - 5", student_scores[[#This Row],[weekly_self_study_hours]]&lt;=10,  "6 - 10", student_scores[[#This Row],[weekly_self_study_hours]]&lt;=20,  "11 - 20",student_scores[[#This Row],[weekly_self_study_hours]]&lt;=30, "21 - 30",TRUE, "31+")</f>
        <v>0 - 5</v>
      </c>
      <c r="U62" t="str" cm="1">
        <f t="array" ref="U62">_xlfn.IFS(student_scores[[#This Row],[absence_days]]=0,"0", student_scores[[#This Row],[absence_days]]&lt;=3,"1-3", student_scores[[#This Row],[absence_days]]&lt;=6,"4-6", TRUE,"7-10")</f>
        <v>1-3</v>
      </c>
      <c r="V62" t="str">
        <f>IF(student_scores[[#This Row],[Total_Score]] &gt;= _xlfn.PERCENTILE.INC(student_scores[Total_Score], 0.8), "Yes", "No")</f>
        <v>No</v>
      </c>
    </row>
    <row r="63" spans="1:22" x14ac:dyDescent="0.35">
      <c r="A63">
        <v>62</v>
      </c>
      <c r="B63" t="s">
        <v>205</v>
      </c>
      <c r="C63" t="s">
        <v>206</v>
      </c>
      <c r="D63" t="s">
        <v>207</v>
      </c>
      <c r="E63" t="s">
        <v>25</v>
      </c>
      <c r="F63" t="b">
        <v>0</v>
      </c>
      <c r="G63">
        <v>5</v>
      </c>
      <c r="H63" t="b">
        <v>0</v>
      </c>
      <c r="I63">
        <v>33</v>
      </c>
      <c r="J63" t="s">
        <v>21</v>
      </c>
      <c r="K63">
        <v>83</v>
      </c>
      <c r="L63">
        <v>86</v>
      </c>
      <c r="M63">
        <v>61</v>
      </c>
      <c r="N63">
        <v>99</v>
      </c>
      <c r="O63">
        <v>99</v>
      </c>
      <c r="P63">
        <v>88</v>
      </c>
      <c r="Q63">
        <v>73</v>
      </c>
      <c r="R63">
        <f>SUM(student_scores[[#This Row],[math_score]:[geography_score]])</f>
        <v>589</v>
      </c>
      <c r="S63" s="3">
        <f>student_scores[[#This Row],[Total_Score]]/7</f>
        <v>84.142857142857139</v>
      </c>
      <c r="T63" s="3" t="str" cm="1">
        <f t="array" ref="T63">_xlfn.IFS(student_scores[[#This Row],[weekly_self_study_hours]]&lt;=5,   "0 - 5", student_scores[[#This Row],[weekly_self_study_hours]]&lt;=10,  "6 - 10", student_scores[[#This Row],[weekly_self_study_hours]]&lt;=20,  "11 - 20",student_scores[[#This Row],[weekly_self_study_hours]]&lt;=30, "21 - 30",TRUE, "31+")</f>
        <v>31+</v>
      </c>
      <c r="U63" t="str" cm="1">
        <f t="array" ref="U63">_xlfn.IFS(student_scores[[#This Row],[absence_days]]=0,"0", student_scores[[#This Row],[absence_days]]&lt;=3,"1-3", student_scores[[#This Row],[absence_days]]&lt;=6,"4-6", TRUE,"7-10")</f>
        <v>4-6</v>
      </c>
      <c r="V63" t="str">
        <f>IF(student_scores[[#This Row],[Total_Score]] &gt;= _xlfn.PERCENTILE.INC(student_scores[Total_Score], 0.8), "Yes", "No")</f>
        <v>No</v>
      </c>
    </row>
    <row r="64" spans="1:22" x14ac:dyDescent="0.35">
      <c r="A64">
        <v>63</v>
      </c>
      <c r="B64" t="s">
        <v>208</v>
      </c>
      <c r="C64" t="s">
        <v>209</v>
      </c>
      <c r="D64" t="s">
        <v>210</v>
      </c>
      <c r="E64" t="s">
        <v>20</v>
      </c>
      <c r="F64" t="b">
        <v>0</v>
      </c>
      <c r="G64">
        <v>7</v>
      </c>
      <c r="H64" t="b">
        <v>0</v>
      </c>
      <c r="I64">
        <v>2</v>
      </c>
      <c r="J64" t="s">
        <v>64</v>
      </c>
      <c r="K64">
        <v>98</v>
      </c>
      <c r="L64">
        <v>65</v>
      </c>
      <c r="M64">
        <v>53</v>
      </c>
      <c r="N64">
        <v>64</v>
      </c>
      <c r="O64">
        <v>52</v>
      </c>
      <c r="P64">
        <v>96</v>
      </c>
      <c r="Q64">
        <v>62</v>
      </c>
      <c r="R64">
        <f>SUM(student_scores[[#This Row],[math_score]:[geography_score]])</f>
        <v>490</v>
      </c>
      <c r="S64" s="3">
        <f>student_scores[[#This Row],[Total_Score]]/7</f>
        <v>70</v>
      </c>
      <c r="T64" s="3" t="str" cm="1">
        <f t="array" ref="T64">_xlfn.IFS(student_scores[[#This Row],[weekly_self_study_hours]]&lt;=5,   "0 - 5", student_scores[[#This Row],[weekly_self_study_hours]]&lt;=10,  "6 - 10", student_scores[[#This Row],[weekly_self_study_hours]]&lt;=20,  "11 - 20",student_scores[[#This Row],[weekly_self_study_hours]]&lt;=30, "21 - 30",TRUE, "31+")</f>
        <v>0 - 5</v>
      </c>
      <c r="U64" t="str" cm="1">
        <f t="array" ref="U64">_xlfn.IFS(student_scores[[#This Row],[absence_days]]=0,"0", student_scores[[#This Row],[absence_days]]&lt;=3,"1-3", student_scores[[#This Row],[absence_days]]&lt;=6,"4-6", TRUE,"7-10")</f>
        <v>7-10</v>
      </c>
      <c r="V64" t="str">
        <f>IF(student_scores[[#This Row],[Total_Score]] &gt;= _xlfn.PERCENTILE.INC(student_scores[Total_Score], 0.8), "Yes", "No")</f>
        <v>No</v>
      </c>
    </row>
    <row r="65" spans="1:22" x14ac:dyDescent="0.35">
      <c r="A65">
        <v>64</v>
      </c>
      <c r="B65" t="s">
        <v>211</v>
      </c>
      <c r="C65" t="s">
        <v>212</v>
      </c>
      <c r="D65" t="s">
        <v>213</v>
      </c>
      <c r="E65" t="s">
        <v>25</v>
      </c>
      <c r="F65" t="b">
        <v>0</v>
      </c>
      <c r="G65">
        <v>1</v>
      </c>
      <c r="H65" t="b">
        <v>0</v>
      </c>
      <c r="I65">
        <v>34</v>
      </c>
      <c r="J65" t="s">
        <v>105</v>
      </c>
      <c r="K65">
        <v>83</v>
      </c>
      <c r="L65">
        <v>97</v>
      </c>
      <c r="M65">
        <v>65</v>
      </c>
      <c r="N65">
        <v>88</v>
      </c>
      <c r="O65">
        <v>67</v>
      </c>
      <c r="P65">
        <v>95</v>
      </c>
      <c r="Q65">
        <v>69</v>
      </c>
      <c r="R65">
        <f>SUM(student_scores[[#This Row],[math_score]:[geography_score]])</f>
        <v>564</v>
      </c>
      <c r="S65" s="3">
        <f>student_scores[[#This Row],[Total_Score]]/7</f>
        <v>80.571428571428569</v>
      </c>
      <c r="T65" s="3" t="str" cm="1">
        <f t="array" ref="T65">_xlfn.IFS(student_scores[[#This Row],[weekly_self_study_hours]]&lt;=5,   "0 - 5", student_scores[[#This Row],[weekly_self_study_hours]]&lt;=10,  "6 - 10", student_scores[[#This Row],[weekly_self_study_hours]]&lt;=20,  "11 - 20",student_scores[[#This Row],[weekly_self_study_hours]]&lt;=30, "21 - 30",TRUE, "31+")</f>
        <v>31+</v>
      </c>
      <c r="U65" t="str" cm="1">
        <f t="array" ref="U65">_xlfn.IFS(student_scores[[#This Row],[absence_days]]=0,"0", student_scores[[#This Row],[absence_days]]&lt;=3,"1-3", student_scores[[#This Row],[absence_days]]&lt;=6,"4-6", TRUE,"7-10")</f>
        <v>1-3</v>
      </c>
      <c r="V65" t="str">
        <f>IF(student_scores[[#This Row],[Total_Score]] &gt;= _xlfn.PERCENTILE.INC(student_scores[Total_Score], 0.8), "Yes", "No")</f>
        <v>No</v>
      </c>
    </row>
    <row r="66" spans="1:22" x14ac:dyDescent="0.35">
      <c r="A66">
        <v>65</v>
      </c>
      <c r="B66" t="s">
        <v>214</v>
      </c>
      <c r="C66" t="s">
        <v>215</v>
      </c>
      <c r="D66" t="s">
        <v>216</v>
      </c>
      <c r="E66" t="s">
        <v>20</v>
      </c>
      <c r="F66" t="b">
        <v>0</v>
      </c>
      <c r="G66">
        <v>2</v>
      </c>
      <c r="H66" t="b">
        <v>0</v>
      </c>
      <c r="I66">
        <v>18</v>
      </c>
      <c r="J66" t="s">
        <v>138</v>
      </c>
      <c r="K66">
        <v>91</v>
      </c>
      <c r="L66">
        <v>73</v>
      </c>
      <c r="M66">
        <v>99</v>
      </c>
      <c r="N66">
        <v>70</v>
      </c>
      <c r="O66">
        <v>63</v>
      </c>
      <c r="P66">
        <v>80</v>
      </c>
      <c r="Q66">
        <v>78</v>
      </c>
      <c r="R66">
        <f>SUM(student_scores[[#This Row],[math_score]:[geography_score]])</f>
        <v>554</v>
      </c>
      <c r="S66" s="3">
        <f>student_scores[[#This Row],[Total_Score]]/7</f>
        <v>79.142857142857139</v>
      </c>
      <c r="T66" s="3" t="str" cm="1">
        <f t="array" ref="T66">_xlfn.IFS(student_scores[[#This Row],[weekly_self_study_hours]]&lt;=5,   "0 - 5", student_scores[[#This Row],[weekly_self_study_hours]]&lt;=10,  "6 - 10", student_scores[[#This Row],[weekly_self_study_hours]]&lt;=20,  "11 - 20",student_scores[[#This Row],[weekly_self_study_hours]]&lt;=30, "21 - 30",TRUE, "31+")</f>
        <v>11 - 20</v>
      </c>
      <c r="U66" t="str" cm="1">
        <f t="array" ref="U66">_xlfn.IFS(student_scores[[#This Row],[absence_days]]=0,"0", student_scores[[#This Row],[absence_days]]&lt;=3,"1-3", student_scores[[#This Row],[absence_days]]&lt;=6,"4-6", TRUE,"7-10")</f>
        <v>1-3</v>
      </c>
      <c r="V66" t="str">
        <f>IF(student_scores[[#This Row],[Total_Score]] &gt;= _xlfn.PERCENTILE.INC(student_scores[Total_Score], 0.8), "Yes", "No")</f>
        <v>No</v>
      </c>
    </row>
    <row r="67" spans="1:22" x14ac:dyDescent="0.35">
      <c r="A67">
        <v>66</v>
      </c>
      <c r="B67" t="s">
        <v>217</v>
      </c>
      <c r="C67" t="s">
        <v>218</v>
      </c>
      <c r="D67" t="s">
        <v>219</v>
      </c>
      <c r="E67" t="s">
        <v>25</v>
      </c>
      <c r="F67" t="b">
        <v>1</v>
      </c>
      <c r="G67">
        <v>6</v>
      </c>
      <c r="H67" t="b">
        <v>0</v>
      </c>
      <c r="I67">
        <v>2</v>
      </c>
      <c r="J67" t="s">
        <v>64</v>
      </c>
      <c r="K67">
        <v>90</v>
      </c>
      <c r="L67">
        <v>54</v>
      </c>
      <c r="M67">
        <v>77</v>
      </c>
      <c r="N67">
        <v>74</v>
      </c>
      <c r="O67">
        <v>76</v>
      </c>
      <c r="P67">
        <v>96</v>
      </c>
      <c r="Q67">
        <v>88</v>
      </c>
      <c r="R67">
        <f>SUM(student_scores[[#This Row],[math_score]:[geography_score]])</f>
        <v>555</v>
      </c>
      <c r="S67" s="3">
        <f>student_scores[[#This Row],[Total_Score]]/7</f>
        <v>79.285714285714292</v>
      </c>
      <c r="T67" s="3" t="str" cm="1">
        <f t="array" ref="T67">_xlfn.IFS(student_scores[[#This Row],[weekly_self_study_hours]]&lt;=5,   "0 - 5", student_scores[[#This Row],[weekly_self_study_hours]]&lt;=10,  "6 - 10", student_scores[[#This Row],[weekly_self_study_hours]]&lt;=20,  "11 - 20",student_scores[[#This Row],[weekly_self_study_hours]]&lt;=30, "21 - 30",TRUE, "31+")</f>
        <v>0 - 5</v>
      </c>
      <c r="U67" t="str" cm="1">
        <f t="array" ref="U67">_xlfn.IFS(student_scores[[#This Row],[absence_days]]=0,"0", student_scores[[#This Row],[absence_days]]&lt;=3,"1-3", student_scores[[#This Row],[absence_days]]&lt;=6,"4-6", TRUE,"7-10")</f>
        <v>4-6</v>
      </c>
      <c r="V67" t="str">
        <f>IF(student_scores[[#This Row],[Total_Score]] &gt;= _xlfn.PERCENTILE.INC(student_scores[Total_Score], 0.8), "Yes", "No")</f>
        <v>No</v>
      </c>
    </row>
    <row r="68" spans="1:22" x14ac:dyDescent="0.35">
      <c r="A68">
        <v>67</v>
      </c>
      <c r="B68" t="s">
        <v>35</v>
      </c>
      <c r="C68" t="s">
        <v>42</v>
      </c>
      <c r="D68" t="s">
        <v>220</v>
      </c>
      <c r="E68" t="s">
        <v>20</v>
      </c>
      <c r="F68" t="b">
        <v>0</v>
      </c>
      <c r="G68">
        <v>3</v>
      </c>
      <c r="H68" t="b">
        <v>0</v>
      </c>
      <c r="I68">
        <v>27</v>
      </c>
      <c r="J68" t="s">
        <v>44</v>
      </c>
      <c r="K68">
        <v>92</v>
      </c>
      <c r="L68">
        <v>86</v>
      </c>
      <c r="M68">
        <v>66</v>
      </c>
      <c r="N68">
        <v>69</v>
      </c>
      <c r="O68">
        <v>100</v>
      </c>
      <c r="P68">
        <v>71</v>
      </c>
      <c r="Q68">
        <v>80</v>
      </c>
      <c r="R68">
        <f>SUM(student_scores[[#This Row],[math_score]:[geography_score]])</f>
        <v>564</v>
      </c>
      <c r="S68" s="3">
        <f>student_scores[[#This Row],[Total_Score]]/7</f>
        <v>80.571428571428569</v>
      </c>
      <c r="T68" s="3" t="str" cm="1">
        <f t="array" ref="T68">_xlfn.IFS(student_scores[[#This Row],[weekly_self_study_hours]]&lt;=5,   "0 - 5", student_scores[[#This Row],[weekly_self_study_hours]]&lt;=10,  "6 - 10", student_scores[[#This Row],[weekly_self_study_hours]]&lt;=20,  "11 - 20",student_scores[[#This Row],[weekly_self_study_hours]]&lt;=30, "21 - 30",TRUE, "31+")</f>
        <v>21 - 30</v>
      </c>
      <c r="U68" t="str" cm="1">
        <f t="array" ref="U68">_xlfn.IFS(student_scores[[#This Row],[absence_days]]=0,"0", student_scores[[#This Row],[absence_days]]&lt;=3,"1-3", student_scores[[#This Row],[absence_days]]&lt;=6,"4-6", TRUE,"7-10")</f>
        <v>1-3</v>
      </c>
      <c r="V68" t="str">
        <f>IF(student_scores[[#This Row],[Total_Score]] &gt;= _xlfn.PERCENTILE.INC(student_scores[Total_Score], 0.8), "Yes", "No")</f>
        <v>No</v>
      </c>
    </row>
    <row r="69" spans="1:22" x14ac:dyDescent="0.35">
      <c r="A69">
        <v>68</v>
      </c>
      <c r="B69" t="s">
        <v>221</v>
      </c>
      <c r="C69" t="s">
        <v>222</v>
      </c>
      <c r="D69" t="s">
        <v>223</v>
      </c>
      <c r="E69" t="s">
        <v>20</v>
      </c>
      <c r="F69" t="b">
        <v>0</v>
      </c>
      <c r="G69">
        <v>2</v>
      </c>
      <c r="H69" t="b">
        <v>0</v>
      </c>
      <c r="I69">
        <v>8</v>
      </c>
      <c r="J69" t="s">
        <v>224</v>
      </c>
      <c r="K69">
        <v>64</v>
      </c>
      <c r="L69">
        <v>64</v>
      </c>
      <c r="M69">
        <v>73</v>
      </c>
      <c r="N69">
        <v>76</v>
      </c>
      <c r="O69">
        <v>72</v>
      </c>
      <c r="P69">
        <v>97</v>
      </c>
      <c r="Q69">
        <v>91</v>
      </c>
      <c r="R69">
        <f>SUM(student_scores[[#This Row],[math_score]:[geography_score]])</f>
        <v>537</v>
      </c>
      <c r="S69" s="3">
        <f>student_scores[[#This Row],[Total_Score]]/7</f>
        <v>76.714285714285708</v>
      </c>
      <c r="T69" s="3" t="str" cm="1">
        <f t="array" ref="T69">_xlfn.IFS(student_scores[[#This Row],[weekly_self_study_hours]]&lt;=5,   "0 - 5", student_scores[[#This Row],[weekly_self_study_hours]]&lt;=10,  "6 - 10", student_scores[[#This Row],[weekly_self_study_hours]]&lt;=20,  "11 - 20",student_scores[[#This Row],[weekly_self_study_hours]]&lt;=30, "21 - 30",TRUE, "31+")</f>
        <v>6 - 10</v>
      </c>
      <c r="U69" t="str" cm="1">
        <f t="array" ref="U69">_xlfn.IFS(student_scores[[#This Row],[absence_days]]=0,"0", student_scores[[#This Row],[absence_days]]&lt;=3,"1-3", student_scores[[#This Row],[absence_days]]&lt;=6,"4-6", TRUE,"7-10")</f>
        <v>1-3</v>
      </c>
      <c r="V69" t="str">
        <f>IF(student_scores[[#This Row],[Total_Score]] &gt;= _xlfn.PERCENTILE.INC(student_scores[Total_Score], 0.8), "Yes", "No")</f>
        <v>No</v>
      </c>
    </row>
    <row r="70" spans="1:22" x14ac:dyDescent="0.35">
      <c r="A70">
        <v>69</v>
      </c>
      <c r="B70" t="s">
        <v>225</v>
      </c>
      <c r="C70" t="s">
        <v>164</v>
      </c>
      <c r="D70" t="s">
        <v>226</v>
      </c>
      <c r="E70" t="s">
        <v>20</v>
      </c>
      <c r="F70" t="b">
        <v>0</v>
      </c>
      <c r="G70">
        <v>4</v>
      </c>
      <c r="H70" t="b">
        <v>0</v>
      </c>
      <c r="I70">
        <v>14</v>
      </c>
      <c r="J70" t="s">
        <v>44</v>
      </c>
      <c r="K70">
        <v>90</v>
      </c>
      <c r="L70">
        <v>70</v>
      </c>
      <c r="M70">
        <v>85</v>
      </c>
      <c r="N70">
        <v>60</v>
      </c>
      <c r="O70">
        <v>81</v>
      </c>
      <c r="P70">
        <v>71</v>
      </c>
      <c r="Q70">
        <v>88</v>
      </c>
      <c r="R70">
        <f>SUM(student_scores[[#This Row],[math_score]:[geography_score]])</f>
        <v>545</v>
      </c>
      <c r="S70" s="3">
        <f>student_scores[[#This Row],[Total_Score]]/7</f>
        <v>77.857142857142861</v>
      </c>
      <c r="T70" s="3" t="str" cm="1">
        <f t="array" ref="T70">_xlfn.IFS(student_scores[[#This Row],[weekly_self_study_hours]]&lt;=5,   "0 - 5", student_scores[[#This Row],[weekly_self_study_hours]]&lt;=10,  "6 - 10", student_scores[[#This Row],[weekly_self_study_hours]]&lt;=20,  "11 - 20",student_scores[[#This Row],[weekly_self_study_hours]]&lt;=30, "21 - 30",TRUE, "31+")</f>
        <v>11 - 20</v>
      </c>
      <c r="U70" t="str" cm="1">
        <f t="array" ref="U70">_xlfn.IFS(student_scores[[#This Row],[absence_days]]=0,"0", student_scores[[#This Row],[absence_days]]&lt;=3,"1-3", student_scores[[#This Row],[absence_days]]&lt;=6,"4-6", TRUE,"7-10")</f>
        <v>4-6</v>
      </c>
      <c r="V70" t="str">
        <f>IF(student_scores[[#This Row],[Total_Score]] &gt;= _xlfn.PERCENTILE.INC(student_scores[Total_Score], 0.8), "Yes", "No")</f>
        <v>No</v>
      </c>
    </row>
    <row r="71" spans="1:22" x14ac:dyDescent="0.35">
      <c r="A71">
        <v>70</v>
      </c>
      <c r="B71" t="s">
        <v>227</v>
      </c>
      <c r="C71" t="s">
        <v>228</v>
      </c>
      <c r="D71" t="s">
        <v>229</v>
      </c>
      <c r="E71" t="s">
        <v>20</v>
      </c>
      <c r="F71" t="b">
        <v>0</v>
      </c>
      <c r="G71">
        <v>10</v>
      </c>
      <c r="H71" t="b">
        <v>1</v>
      </c>
      <c r="I71">
        <v>22</v>
      </c>
      <c r="J71" t="s">
        <v>105</v>
      </c>
      <c r="K71">
        <v>99</v>
      </c>
      <c r="L71">
        <v>81</v>
      </c>
      <c r="M71">
        <v>96</v>
      </c>
      <c r="N71">
        <v>69</v>
      </c>
      <c r="O71">
        <v>91</v>
      </c>
      <c r="P71">
        <v>87</v>
      </c>
      <c r="Q71">
        <v>83</v>
      </c>
      <c r="R71">
        <f>SUM(student_scores[[#This Row],[math_score]:[geography_score]])</f>
        <v>606</v>
      </c>
      <c r="S71" s="3">
        <f>student_scores[[#This Row],[Total_Score]]/7</f>
        <v>86.571428571428569</v>
      </c>
      <c r="T71" s="3" t="str" cm="1">
        <f t="array" ref="T71">_xlfn.IFS(student_scores[[#This Row],[weekly_self_study_hours]]&lt;=5,   "0 - 5", student_scores[[#This Row],[weekly_self_study_hours]]&lt;=10,  "6 - 10", student_scores[[#This Row],[weekly_self_study_hours]]&lt;=20,  "11 - 20",student_scores[[#This Row],[weekly_self_study_hours]]&lt;=30, "21 - 30",TRUE, "31+")</f>
        <v>21 - 30</v>
      </c>
      <c r="U71" t="str" cm="1">
        <f t="array" ref="U71">_xlfn.IFS(student_scores[[#This Row],[absence_days]]=0,"0", student_scores[[#This Row],[absence_days]]&lt;=3,"1-3", student_scores[[#This Row],[absence_days]]&lt;=6,"4-6", TRUE,"7-10")</f>
        <v>7-10</v>
      </c>
      <c r="V71" t="str">
        <f>IF(student_scores[[#This Row],[Total_Score]] &gt;= _xlfn.PERCENTILE.INC(student_scores[Total_Score], 0.8), "Yes", "No")</f>
        <v>Yes</v>
      </c>
    </row>
    <row r="72" spans="1:22" x14ac:dyDescent="0.35">
      <c r="A72">
        <v>71</v>
      </c>
      <c r="B72" t="s">
        <v>230</v>
      </c>
      <c r="C72" t="s">
        <v>231</v>
      </c>
      <c r="D72" t="s">
        <v>232</v>
      </c>
      <c r="E72" t="s">
        <v>25</v>
      </c>
      <c r="F72" t="b">
        <v>0</v>
      </c>
      <c r="G72">
        <v>1</v>
      </c>
      <c r="H72" t="b">
        <v>0</v>
      </c>
      <c r="I72">
        <v>15</v>
      </c>
      <c r="J72" t="s">
        <v>123</v>
      </c>
      <c r="K72">
        <v>89</v>
      </c>
      <c r="L72">
        <v>66</v>
      </c>
      <c r="M72">
        <v>93</v>
      </c>
      <c r="N72">
        <v>81</v>
      </c>
      <c r="O72">
        <v>86</v>
      </c>
      <c r="P72">
        <v>88</v>
      </c>
      <c r="Q72">
        <v>70</v>
      </c>
      <c r="R72">
        <f>SUM(student_scores[[#This Row],[math_score]:[geography_score]])</f>
        <v>573</v>
      </c>
      <c r="S72" s="3">
        <f>student_scores[[#This Row],[Total_Score]]/7</f>
        <v>81.857142857142861</v>
      </c>
      <c r="T72" s="3" t="str" cm="1">
        <f t="array" ref="T72">_xlfn.IFS(student_scores[[#This Row],[weekly_self_study_hours]]&lt;=5,   "0 - 5", student_scores[[#This Row],[weekly_self_study_hours]]&lt;=10,  "6 - 10", student_scores[[#This Row],[weekly_self_study_hours]]&lt;=20,  "11 - 20",student_scores[[#This Row],[weekly_self_study_hours]]&lt;=30, "21 - 30",TRUE, "31+")</f>
        <v>11 - 20</v>
      </c>
      <c r="U72" t="str" cm="1">
        <f t="array" ref="U72">_xlfn.IFS(student_scores[[#This Row],[absence_days]]=0,"0", student_scores[[#This Row],[absence_days]]&lt;=3,"1-3", student_scores[[#This Row],[absence_days]]&lt;=6,"4-6", TRUE,"7-10")</f>
        <v>1-3</v>
      </c>
      <c r="V72" t="str">
        <f>IF(student_scores[[#This Row],[Total_Score]] &gt;= _xlfn.PERCENTILE.INC(student_scores[Total_Score], 0.8), "Yes", "No")</f>
        <v>No</v>
      </c>
    </row>
    <row r="73" spans="1:22" x14ac:dyDescent="0.35">
      <c r="A73">
        <v>72</v>
      </c>
      <c r="B73" t="s">
        <v>173</v>
      </c>
      <c r="C73" t="s">
        <v>233</v>
      </c>
      <c r="D73" t="s">
        <v>234</v>
      </c>
      <c r="E73" t="s">
        <v>25</v>
      </c>
      <c r="F73" t="b">
        <v>1</v>
      </c>
      <c r="G73">
        <v>3</v>
      </c>
      <c r="H73" t="b">
        <v>0</v>
      </c>
      <c r="I73">
        <v>22</v>
      </c>
      <c r="J73" t="s">
        <v>109</v>
      </c>
      <c r="K73">
        <v>62</v>
      </c>
      <c r="L73">
        <v>87</v>
      </c>
      <c r="M73">
        <v>93</v>
      </c>
      <c r="N73">
        <v>83</v>
      </c>
      <c r="O73">
        <v>93</v>
      </c>
      <c r="P73">
        <v>97</v>
      </c>
      <c r="Q73">
        <v>73</v>
      </c>
      <c r="R73">
        <f>SUM(student_scores[[#This Row],[math_score]:[geography_score]])</f>
        <v>588</v>
      </c>
      <c r="S73" s="3">
        <f>student_scores[[#This Row],[Total_Score]]/7</f>
        <v>84</v>
      </c>
      <c r="T73" s="3" t="str" cm="1">
        <f t="array" ref="T73">_xlfn.IFS(student_scores[[#This Row],[weekly_self_study_hours]]&lt;=5,   "0 - 5", student_scores[[#This Row],[weekly_self_study_hours]]&lt;=10,  "6 - 10", student_scores[[#This Row],[weekly_self_study_hours]]&lt;=20,  "11 - 20",student_scores[[#This Row],[weekly_self_study_hours]]&lt;=30, "21 - 30",TRUE, "31+")</f>
        <v>21 - 30</v>
      </c>
      <c r="U73" t="str" cm="1">
        <f t="array" ref="U73">_xlfn.IFS(student_scores[[#This Row],[absence_days]]=0,"0", student_scores[[#This Row],[absence_days]]&lt;=3,"1-3", student_scores[[#This Row],[absence_days]]&lt;=6,"4-6", TRUE,"7-10")</f>
        <v>1-3</v>
      </c>
      <c r="V73" t="str">
        <f>IF(student_scores[[#This Row],[Total_Score]] &gt;= _xlfn.PERCENTILE.INC(student_scores[Total_Score], 0.8), "Yes", "No")</f>
        <v>No</v>
      </c>
    </row>
    <row r="74" spans="1:22" x14ac:dyDescent="0.35">
      <c r="A74">
        <v>73</v>
      </c>
      <c r="B74" t="s">
        <v>235</v>
      </c>
      <c r="C74" t="s">
        <v>236</v>
      </c>
      <c r="D74" t="s">
        <v>237</v>
      </c>
      <c r="E74" t="s">
        <v>20</v>
      </c>
      <c r="F74" t="b">
        <v>1</v>
      </c>
      <c r="G74">
        <v>10</v>
      </c>
      <c r="H74" t="b">
        <v>0</v>
      </c>
      <c r="I74">
        <v>1</v>
      </c>
      <c r="J74" t="s">
        <v>64</v>
      </c>
      <c r="K74">
        <v>61</v>
      </c>
      <c r="L74">
        <v>70</v>
      </c>
      <c r="M74">
        <v>69</v>
      </c>
      <c r="N74">
        <v>64</v>
      </c>
      <c r="O74">
        <v>59</v>
      </c>
      <c r="P74">
        <v>78</v>
      </c>
      <c r="Q74">
        <v>80</v>
      </c>
      <c r="R74">
        <f>SUM(student_scores[[#This Row],[math_score]:[geography_score]])</f>
        <v>481</v>
      </c>
      <c r="S74" s="3">
        <f>student_scores[[#This Row],[Total_Score]]/7</f>
        <v>68.714285714285708</v>
      </c>
      <c r="T74" s="3" t="str" cm="1">
        <f t="array" ref="T74">_xlfn.IFS(student_scores[[#This Row],[weekly_self_study_hours]]&lt;=5,   "0 - 5", student_scores[[#This Row],[weekly_self_study_hours]]&lt;=10,  "6 - 10", student_scores[[#This Row],[weekly_self_study_hours]]&lt;=20,  "11 - 20",student_scores[[#This Row],[weekly_self_study_hours]]&lt;=30, "21 - 30",TRUE, "31+")</f>
        <v>0 - 5</v>
      </c>
      <c r="U74" t="str" cm="1">
        <f t="array" ref="U74">_xlfn.IFS(student_scores[[#This Row],[absence_days]]=0,"0", student_scores[[#This Row],[absence_days]]&lt;=3,"1-3", student_scores[[#This Row],[absence_days]]&lt;=6,"4-6", TRUE,"7-10")</f>
        <v>7-10</v>
      </c>
      <c r="V74" t="str">
        <f>IF(student_scores[[#This Row],[Total_Score]] &gt;= _xlfn.PERCENTILE.INC(student_scores[Total_Score], 0.8), "Yes", "No")</f>
        <v>No</v>
      </c>
    </row>
    <row r="75" spans="1:22" x14ac:dyDescent="0.35">
      <c r="A75">
        <v>74</v>
      </c>
      <c r="B75" t="s">
        <v>139</v>
      </c>
      <c r="C75" t="s">
        <v>238</v>
      </c>
      <c r="D75" t="s">
        <v>239</v>
      </c>
      <c r="E75" t="s">
        <v>20</v>
      </c>
      <c r="F75" t="b">
        <v>1</v>
      </c>
      <c r="G75">
        <v>8</v>
      </c>
      <c r="H75" t="b">
        <v>0</v>
      </c>
      <c r="I75">
        <v>3</v>
      </c>
      <c r="J75" t="s">
        <v>64</v>
      </c>
      <c r="K75">
        <v>51</v>
      </c>
      <c r="L75">
        <v>54</v>
      </c>
      <c r="M75">
        <v>66</v>
      </c>
      <c r="N75">
        <v>87</v>
      </c>
      <c r="O75">
        <v>99</v>
      </c>
      <c r="P75">
        <v>58</v>
      </c>
      <c r="Q75">
        <v>68</v>
      </c>
      <c r="R75">
        <f>SUM(student_scores[[#This Row],[math_score]:[geography_score]])</f>
        <v>483</v>
      </c>
      <c r="S75" s="3">
        <f>student_scores[[#This Row],[Total_Score]]/7</f>
        <v>69</v>
      </c>
      <c r="T75" s="3" t="str" cm="1">
        <f t="array" ref="T75">_xlfn.IFS(student_scores[[#This Row],[weekly_self_study_hours]]&lt;=5,   "0 - 5", student_scores[[#This Row],[weekly_self_study_hours]]&lt;=10,  "6 - 10", student_scores[[#This Row],[weekly_self_study_hours]]&lt;=20,  "11 - 20",student_scores[[#This Row],[weekly_self_study_hours]]&lt;=30, "21 - 30",TRUE, "31+")</f>
        <v>0 - 5</v>
      </c>
      <c r="U75" t="str" cm="1">
        <f t="array" ref="U75">_xlfn.IFS(student_scores[[#This Row],[absence_days]]=0,"0", student_scores[[#This Row],[absence_days]]&lt;=3,"1-3", student_scores[[#This Row],[absence_days]]&lt;=6,"4-6", TRUE,"7-10")</f>
        <v>7-10</v>
      </c>
      <c r="V75" t="str">
        <f>IF(student_scores[[#This Row],[Total_Score]] &gt;= _xlfn.PERCENTILE.INC(student_scores[Total_Score], 0.8), "Yes", "No")</f>
        <v>No</v>
      </c>
    </row>
    <row r="76" spans="1:22" x14ac:dyDescent="0.35">
      <c r="A76">
        <v>75</v>
      </c>
      <c r="B76" t="s">
        <v>240</v>
      </c>
      <c r="C76" t="s">
        <v>241</v>
      </c>
      <c r="D76" t="s">
        <v>242</v>
      </c>
      <c r="E76" t="s">
        <v>25</v>
      </c>
      <c r="F76" t="b">
        <v>0</v>
      </c>
      <c r="G76">
        <v>2</v>
      </c>
      <c r="H76" t="b">
        <v>0</v>
      </c>
      <c r="I76">
        <v>20</v>
      </c>
      <c r="J76" t="s">
        <v>44</v>
      </c>
      <c r="K76">
        <v>85</v>
      </c>
      <c r="L76">
        <v>100</v>
      </c>
      <c r="M76">
        <v>64</v>
      </c>
      <c r="N76">
        <v>68</v>
      </c>
      <c r="O76">
        <v>73</v>
      </c>
      <c r="P76">
        <v>81</v>
      </c>
      <c r="Q76">
        <v>87</v>
      </c>
      <c r="R76">
        <f>SUM(student_scores[[#This Row],[math_score]:[geography_score]])</f>
        <v>558</v>
      </c>
      <c r="S76" s="3">
        <f>student_scores[[#This Row],[Total_Score]]/7</f>
        <v>79.714285714285708</v>
      </c>
      <c r="T76" s="3" t="str" cm="1">
        <f t="array" ref="T76">_xlfn.IFS(student_scores[[#This Row],[weekly_self_study_hours]]&lt;=5,   "0 - 5", student_scores[[#This Row],[weekly_self_study_hours]]&lt;=10,  "6 - 10", student_scores[[#This Row],[weekly_self_study_hours]]&lt;=20,  "11 - 20",student_scores[[#This Row],[weekly_self_study_hours]]&lt;=30, "21 - 30",TRUE, "31+")</f>
        <v>11 - 20</v>
      </c>
      <c r="U76" t="str" cm="1">
        <f t="array" ref="U76">_xlfn.IFS(student_scores[[#This Row],[absence_days]]=0,"0", student_scores[[#This Row],[absence_days]]&lt;=3,"1-3", student_scores[[#This Row],[absence_days]]&lt;=6,"4-6", TRUE,"7-10")</f>
        <v>1-3</v>
      </c>
      <c r="V76" t="str">
        <f>IF(student_scores[[#This Row],[Total_Score]] &gt;= _xlfn.PERCENTILE.INC(student_scores[Total_Score], 0.8), "Yes", "No")</f>
        <v>No</v>
      </c>
    </row>
    <row r="77" spans="1:22" x14ac:dyDescent="0.35">
      <c r="A77">
        <v>76</v>
      </c>
      <c r="B77" t="s">
        <v>243</v>
      </c>
      <c r="C77" t="s">
        <v>244</v>
      </c>
      <c r="D77" t="s">
        <v>245</v>
      </c>
      <c r="E77" t="s">
        <v>25</v>
      </c>
      <c r="F77" t="b">
        <v>0</v>
      </c>
      <c r="G77">
        <v>7</v>
      </c>
      <c r="H77" t="b">
        <v>1</v>
      </c>
      <c r="I77">
        <v>27</v>
      </c>
      <c r="J77" t="s">
        <v>44</v>
      </c>
      <c r="K77">
        <v>99</v>
      </c>
      <c r="L77">
        <v>90</v>
      </c>
      <c r="M77">
        <v>96</v>
      </c>
      <c r="N77">
        <v>92</v>
      </c>
      <c r="O77">
        <v>100</v>
      </c>
      <c r="P77">
        <v>98</v>
      </c>
      <c r="Q77">
        <v>77</v>
      </c>
      <c r="R77">
        <f>SUM(student_scores[[#This Row],[math_score]:[geography_score]])</f>
        <v>652</v>
      </c>
      <c r="S77" s="3">
        <f>student_scores[[#This Row],[Total_Score]]/7</f>
        <v>93.142857142857139</v>
      </c>
      <c r="T77" s="3" t="str" cm="1">
        <f t="array" ref="T77">_xlfn.IFS(student_scores[[#This Row],[weekly_self_study_hours]]&lt;=5,   "0 - 5", student_scores[[#This Row],[weekly_self_study_hours]]&lt;=10,  "6 - 10", student_scores[[#This Row],[weekly_self_study_hours]]&lt;=20,  "11 - 20",student_scores[[#This Row],[weekly_self_study_hours]]&lt;=30, "21 - 30",TRUE, "31+")</f>
        <v>21 - 30</v>
      </c>
      <c r="U77" t="str" cm="1">
        <f t="array" ref="U77">_xlfn.IFS(student_scores[[#This Row],[absence_days]]=0,"0", student_scores[[#This Row],[absence_days]]&lt;=3,"1-3", student_scores[[#This Row],[absence_days]]&lt;=6,"4-6", TRUE,"7-10")</f>
        <v>7-10</v>
      </c>
      <c r="V77" t="str">
        <f>IF(student_scores[[#This Row],[Total_Score]] &gt;= _xlfn.PERCENTILE.INC(student_scores[Total_Score], 0.8), "Yes", "No")</f>
        <v>Yes</v>
      </c>
    </row>
    <row r="78" spans="1:22" x14ac:dyDescent="0.35">
      <c r="A78">
        <v>77</v>
      </c>
      <c r="B78" t="s">
        <v>190</v>
      </c>
      <c r="C78" t="s">
        <v>246</v>
      </c>
      <c r="D78" t="s">
        <v>247</v>
      </c>
      <c r="E78" t="s">
        <v>25</v>
      </c>
      <c r="F78" t="b">
        <v>0</v>
      </c>
      <c r="G78">
        <v>3</v>
      </c>
      <c r="H78" t="b">
        <v>0</v>
      </c>
      <c r="I78">
        <v>24</v>
      </c>
      <c r="J78" t="s">
        <v>44</v>
      </c>
      <c r="K78">
        <v>87</v>
      </c>
      <c r="L78">
        <v>63</v>
      </c>
      <c r="M78">
        <v>60</v>
      </c>
      <c r="N78">
        <v>90</v>
      </c>
      <c r="O78">
        <v>89</v>
      </c>
      <c r="P78">
        <v>99</v>
      </c>
      <c r="Q78">
        <v>80</v>
      </c>
      <c r="R78">
        <f>SUM(student_scores[[#This Row],[math_score]:[geography_score]])</f>
        <v>568</v>
      </c>
      <c r="S78" s="3">
        <f>student_scores[[#This Row],[Total_Score]]/7</f>
        <v>81.142857142857139</v>
      </c>
      <c r="T78" s="3" t="str" cm="1">
        <f t="array" ref="T78">_xlfn.IFS(student_scores[[#This Row],[weekly_self_study_hours]]&lt;=5,   "0 - 5", student_scores[[#This Row],[weekly_self_study_hours]]&lt;=10,  "6 - 10", student_scores[[#This Row],[weekly_self_study_hours]]&lt;=20,  "11 - 20",student_scores[[#This Row],[weekly_self_study_hours]]&lt;=30, "21 - 30",TRUE, "31+")</f>
        <v>21 - 30</v>
      </c>
      <c r="U78" t="str" cm="1">
        <f t="array" ref="U78">_xlfn.IFS(student_scores[[#This Row],[absence_days]]=0,"0", student_scores[[#This Row],[absence_days]]&lt;=3,"1-3", student_scores[[#This Row],[absence_days]]&lt;=6,"4-6", TRUE,"7-10")</f>
        <v>1-3</v>
      </c>
      <c r="V78" t="str">
        <f>IF(student_scores[[#This Row],[Total_Score]] &gt;= _xlfn.PERCENTILE.INC(student_scores[Total_Score], 0.8), "Yes", "No")</f>
        <v>No</v>
      </c>
    </row>
    <row r="79" spans="1:22" x14ac:dyDescent="0.35">
      <c r="A79">
        <v>78</v>
      </c>
      <c r="B79" t="s">
        <v>248</v>
      </c>
      <c r="C79" t="s">
        <v>249</v>
      </c>
      <c r="D79" t="s">
        <v>250</v>
      </c>
      <c r="E79" t="s">
        <v>25</v>
      </c>
      <c r="F79" t="b">
        <v>0</v>
      </c>
      <c r="G79">
        <v>1</v>
      </c>
      <c r="H79" t="b">
        <v>1</v>
      </c>
      <c r="I79">
        <v>5</v>
      </c>
      <c r="J79" t="s">
        <v>38</v>
      </c>
      <c r="K79">
        <v>75</v>
      </c>
      <c r="L79">
        <v>91</v>
      </c>
      <c r="M79">
        <v>80</v>
      </c>
      <c r="N79">
        <v>93</v>
      </c>
      <c r="O79">
        <v>74</v>
      </c>
      <c r="P79">
        <v>93</v>
      </c>
      <c r="Q79">
        <v>65</v>
      </c>
      <c r="R79">
        <f>SUM(student_scores[[#This Row],[math_score]:[geography_score]])</f>
        <v>571</v>
      </c>
      <c r="S79" s="3">
        <f>student_scores[[#This Row],[Total_Score]]/7</f>
        <v>81.571428571428569</v>
      </c>
      <c r="T79" s="3" t="str" cm="1">
        <f t="array" ref="T79">_xlfn.IFS(student_scores[[#This Row],[weekly_self_study_hours]]&lt;=5,   "0 - 5", student_scores[[#This Row],[weekly_self_study_hours]]&lt;=10,  "6 - 10", student_scores[[#This Row],[weekly_self_study_hours]]&lt;=20,  "11 - 20",student_scores[[#This Row],[weekly_self_study_hours]]&lt;=30, "21 - 30",TRUE, "31+")</f>
        <v>0 - 5</v>
      </c>
      <c r="U79" t="str" cm="1">
        <f t="array" ref="U79">_xlfn.IFS(student_scores[[#This Row],[absence_days]]=0,"0", student_scores[[#This Row],[absence_days]]&lt;=3,"1-3", student_scores[[#This Row],[absence_days]]&lt;=6,"4-6", TRUE,"7-10")</f>
        <v>1-3</v>
      </c>
      <c r="V79" t="str">
        <f>IF(student_scores[[#This Row],[Total_Score]] &gt;= _xlfn.PERCENTILE.INC(student_scores[Total_Score], 0.8), "Yes", "No")</f>
        <v>No</v>
      </c>
    </row>
    <row r="80" spans="1:22" x14ac:dyDescent="0.35">
      <c r="A80">
        <v>79</v>
      </c>
      <c r="B80" t="s">
        <v>251</v>
      </c>
      <c r="C80" t="s">
        <v>252</v>
      </c>
      <c r="D80" t="s">
        <v>253</v>
      </c>
      <c r="E80" t="s">
        <v>25</v>
      </c>
      <c r="F80" t="b">
        <v>0</v>
      </c>
      <c r="G80">
        <v>7</v>
      </c>
      <c r="H80" t="b">
        <v>0</v>
      </c>
      <c r="I80">
        <v>34</v>
      </c>
      <c r="J80" t="s">
        <v>38</v>
      </c>
      <c r="K80">
        <v>88</v>
      </c>
      <c r="L80">
        <v>94</v>
      </c>
      <c r="M80">
        <v>80</v>
      </c>
      <c r="N80">
        <v>63</v>
      </c>
      <c r="O80">
        <v>68</v>
      </c>
      <c r="P80">
        <v>77</v>
      </c>
      <c r="Q80">
        <v>64</v>
      </c>
      <c r="R80">
        <f>SUM(student_scores[[#This Row],[math_score]:[geography_score]])</f>
        <v>534</v>
      </c>
      <c r="S80" s="3">
        <f>student_scores[[#This Row],[Total_Score]]/7</f>
        <v>76.285714285714292</v>
      </c>
      <c r="T80" s="3" t="str" cm="1">
        <f t="array" ref="T80">_xlfn.IFS(student_scores[[#This Row],[weekly_self_study_hours]]&lt;=5,   "0 - 5", student_scores[[#This Row],[weekly_self_study_hours]]&lt;=10,  "6 - 10", student_scores[[#This Row],[weekly_self_study_hours]]&lt;=20,  "11 - 20",student_scores[[#This Row],[weekly_self_study_hours]]&lt;=30, "21 - 30",TRUE, "31+")</f>
        <v>31+</v>
      </c>
      <c r="U80" t="str" cm="1">
        <f t="array" ref="U80">_xlfn.IFS(student_scores[[#This Row],[absence_days]]=0,"0", student_scores[[#This Row],[absence_days]]&lt;=3,"1-3", student_scores[[#This Row],[absence_days]]&lt;=6,"4-6", TRUE,"7-10")</f>
        <v>7-10</v>
      </c>
      <c r="V80" t="str">
        <f>IF(student_scores[[#This Row],[Total_Score]] &gt;= _xlfn.PERCENTILE.INC(student_scores[Total_Score], 0.8), "Yes", "No")</f>
        <v>No</v>
      </c>
    </row>
    <row r="81" spans="1:22" x14ac:dyDescent="0.35">
      <c r="A81">
        <v>80</v>
      </c>
      <c r="B81" t="s">
        <v>254</v>
      </c>
      <c r="C81" t="s">
        <v>255</v>
      </c>
      <c r="D81" t="s">
        <v>256</v>
      </c>
      <c r="E81" t="s">
        <v>20</v>
      </c>
      <c r="F81" t="b">
        <v>0</v>
      </c>
      <c r="G81">
        <v>3</v>
      </c>
      <c r="H81" t="b">
        <v>0</v>
      </c>
      <c r="I81">
        <v>16</v>
      </c>
      <c r="J81" t="s">
        <v>44</v>
      </c>
      <c r="K81">
        <v>87</v>
      </c>
      <c r="L81">
        <v>79</v>
      </c>
      <c r="M81">
        <v>89</v>
      </c>
      <c r="N81">
        <v>68</v>
      </c>
      <c r="O81">
        <v>93</v>
      </c>
      <c r="P81">
        <v>75</v>
      </c>
      <c r="Q81">
        <v>92</v>
      </c>
      <c r="R81">
        <f>SUM(student_scores[[#This Row],[math_score]:[geography_score]])</f>
        <v>583</v>
      </c>
      <c r="S81" s="3">
        <f>student_scores[[#This Row],[Total_Score]]/7</f>
        <v>83.285714285714292</v>
      </c>
      <c r="T81" s="3" t="str" cm="1">
        <f t="array" ref="T81">_xlfn.IFS(student_scores[[#This Row],[weekly_self_study_hours]]&lt;=5,   "0 - 5", student_scores[[#This Row],[weekly_self_study_hours]]&lt;=10,  "6 - 10", student_scores[[#This Row],[weekly_self_study_hours]]&lt;=20,  "11 - 20",student_scores[[#This Row],[weekly_self_study_hours]]&lt;=30, "21 - 30",TRUE, "31+")</f>
        <v>11 - 20</v>
      </c>
      <c r="U81" t="str" cm="1">
        <f t="array" ref="U81">_xlfn.IFS(student_scores[[#This Row],[absence_days]]=0,"0", student_scores[[#This Row],[absence_days]]&lt;=3,"1-3", student_scores[[#This Row],[absence_days]]&lt;=6,"4-6", TRUE,"7-10")</f>
        <v>1-3</v>
      </c>
      <c r="V81" t="str">
        <f>IF(student_scores[[#This Row],[Total_Score]] &gt;= _xlfn.PERCENTILE.INC(student_scores[Total_Score], 0.8), "Yes", "No")</f>
        <v>No</v>
      </c>
    </row>
    <row r="82" spans="1:22" x14ac:dyDescent="0.35">
      <c r="A82">
        <v>81</v>
      </c>
      <c r="B82" t="s">
        <v>166</v>
      </c>
      <c r="C82" t="s">
        <v>257</v>
      </c>
      <c r="D82" t="s">
        <v>258</v>
      </c>
      <c r="E82" t="s">
        <v>25</v>
      </c>
      <c r="F82" t="b">
        <v>1</v>
      </c>
      <c r="G82">
        <v>3</v>
      </c>
      <c r="H82" t="b">
        <v>0</v>
      </c>
      <c r="I82">
        <v>3</v>
      </c>
      <c r="J82" t="s">
        <v>64</v>
      </c>
      <c r="K82">
        <v>87</v>
      </c>
      <c r="L82">
        <v>67</v>
      </c>
      <c r="M82">
        <v>94</v>
      </c>
      <c r="N82">
        <v>92</v>
      </c>
      <c r="O82">
        <v>62</v>
      </c>
      <c r="P82">
        <v>58</v>
      </c>
      <c r="Q82">
        <v>65</v>
      </c>
      <c r="R82">
        <f>SUM(student_scores[[#This Row],[math_score]:[geography_score]])</f>
        <v>525</v>
      </c>
      <c r="S82" s="3">
        <f>student_scores[[#This Row],[Total_Score]]/7</f>
        <v>75</v>
      </c>
      <c r="T82" s="3" t="str" cm="1">
        <f t="array" ref="T82">_xlfn.IFS(student_scores[[#This Row],[weekly_self_study_hours]]&lt;=5,   "0 - 5", student_scores[[#This Row],[weekly_self_study_hours]]&lt;=10,  "6 - 10", student_scores[[#This Row],[weekly_self_study_hours]]&lt;=20,  "11 - 20",student_scores[[#This Row],[weekly_self_study_hours]]&lt;=30, "21 - 30",TRUE, "31+")</f>
        <v>0 - 5</v>
      </c>
      <c r="U82" t="str" cm="1">
        <f t="array" ref="U82">_xlfn.IFS(student_scores[[#This Row],[absence_days]]=0,"0", student_scores[[#This Row],[absence_days]]&lt;=3,"1-3", student_scores[[#This Row],[absence_days]]&lt;=6,"4-6", TRUE,"7-10")</f>
        <v>1-3</v>
      </c>
      <c r="V82" t="str">
        <f>IF(student_scores[[#This Row],[Total_Score]] &gt;= _xlfn.PERCENTILE.INC(student_scores[Total_Score], 0.8), "Yes", "No")</f>
        <v>No</v>
      </c>
    </row>
    <row r="83" spans="1:22" x14ac:dyDescent="0.35">
      <c r="A83">
        <v>82</v>
      </c>
      <c r="B83" t="s">
        <v>130</v>
      </c>
      <c r="C83" t="s">
        <v>259</v>
      </c>
      <c r="D83" t="s">
        <v>260</v>
      </c>
      <c r="E83" t="s">
        <v>25</v>
      </c>
      <c r="F83" t="b">
        <v>0</v>
      </c>
      <c r="G83">
        <v>1</v>
      </c>
      <c r="H83" t="b">
        <v>0</v>
      </c>
      <c r="I83">
        <v>15</v>
      </c>
      <c r="J83" t="s">
        <v>172</v>
      </c>
      <c r="K83">
        <v>76</v>
      </c>
      <c r="L83">
        <v>67</v>
      </c>
      <c r="M83">
        <v>83</v>
      </c>
      <c r="N83">
        <v>85</v>
      </c>
      <c r="O83">
        <v>91</v>
      </c>
      <c r="P83">
        <v>61</v>
      </c>
      <c r="Q83">
        <v>67</v>
      </c>
      <c r="R83">
        <f>SUM(student_scores[[#This Row],[math_score]:[geography_score]])</f>
        <v>530</v>
      </c>
      <c r="S83" s="3">
        <f>student_scores[[#This Row],[Total_Score]]/7</f>
        <v>75.714285714285708</v>
      </c>
      <c r="T83" s="3" t="str" cm="1">
        <f t="array" ref="T83">_xlfn.IFS(student_scores[[#This Row],[weekly_self_study_hours]]&lt;=5,   "0 - 5", student_scores[[#This Row],[weekly_self_study_hours]]&lt;=10,  "6 - 10", student_scores[[#This Row],[weekly_self_study_hours]]&lt;=20,  "11 - 20",student_scores[[#This Row],[weekly_self_study_hours]]&lt;=30, "21 - 30",TRUE, "31+")</f>
        <v>11 - 20</v>
      </c>
      <c r="U83" t="str" cm="1">
        <f t="array" ref="U83">_xlfn.IFS(student_scores[[#This Row],[absence_days]]=0,"0", student_scores[[#This Row],[absence_days]]&lt;=3,"1-3", student_scores[[#This Row],[absence_days]]&lt;=6,"4-6", TRUE,"7-10")</f>
        <v>1-3</v>
      </c>
      <c r="V83" t="str">
        <f>IF(student_scores[[#This Row],[Total_Score]] &gt;= _xlfn.PERCENTILE.INC(student_scores[Total_Score], 0.8), "Yes", "No")</f>
        <v>No</v>
      </c>
    </row>
    <row r="84" spans="1:22" x14ac:dyDescent="0.35">
      <c r="A84">
        <v>83</v>
      </c>
      <c r="B84" t="s">
        <v>114</v>
      </c>
      <c r="C84" t="s">
        <v>261</v>
      </c>
      <c r="D84" t="s">
        <v>262</v>
      </c>
      <c r="E84" t="s">
        <v>25</v>
      </c>
      <c r="F84" t="b">
        <v>0</v>
      </c>
      <c r="G84">
        <v>7</v>
      </c>
      <c r="H84" t="b">
        <v>0</v>
      </c>
      <c r="I84">
        <v>11</v>
      </c>
      <c r="J84" t="s">
        <v>30</v>
      </c>
      <c r="K84">
        <v>60</v>
      </c>
      <c r="L84">
        <v>80</v>
      </c>
      <c r="M84">
        <v>61</v>
      </c>
      <c r="N84">
        <v>63</v>
      </c>
      <c r="O84">
        <v>95</v>
      </c>
      <c r="P84">
        <v>92</v>
      </c>
      <c r="Q84">
        <v>75</v>
      </c>
      <c r="R84">
        <f>SUM(student_scores[[#This Row],[math_score]:[geography_score]])</f>
        <v>526</v>
      </c>
      <c r="S84" s="3">
        <f>student_scores[[#This Row],[Total_Score]]/7</f>
        <v>75.142857142857139</v>
      </c>
      <c r="T84" s="3" t="str" cm="1">
        <f t="array" ref="T84">_xlfn.IFS(student_scores[[#This Row],[weekly_self_study_hours]]&lt;=5,   "0 - 5", student_scores[[#This Row],[weekly_self_study_hours]]&lt;=10,  "6 - 10", student_scores[[#This Row],[weekly_self_study_hours]]&lt;=20,  "11 - 20",student_scores[[#This Row],[weekly_self_study_hours]]&lt;=30, "21 - 30",TRUE, "31+")</f>
        <v>11 - 20</v>
      </c>
      <c r="U84" t="str" cm="1">
        <f t="array" ref="U84">_xlfn.IFS(student_scores[[#This Row],[absence_days]]=0,"0", student_scores[[#This Row],[absence_days]]&lt;=3,"1-3", student_scores[[#This Row],[absence_days]]&lt;=6,"4-6", TRUE,"7-10")</f>
        <v>7-10</v>
      </c>
      <c r="V84" t="str">
        <f>IF(student_scores[[#This Row],[Total_Score]] &gt;= _xlfn.PERCENTILE.INC(student_scores[Total_Score], 0.8), "Yes", "No")</f>
        <v>No</v>
      </c>
    </row>
    <row r="85" spans="1:22" x14ac:dyDescent="0.35">
      <c r="A85">
        <v>84</v>
      </c>
      <c r="B85" t="s">
        <v>263</v>
      </c>
      <c r="C85" t="s">
        <v>264</v>
      </c>
      <c r="D85" t="s">
        <v>265</v>
      </c>
      <c r="E85" t="s">
        <v>20</v>
      </c>
      <c r="F85" t="b">
        <v>0</v>
      </c>
      <c r="G85">
        <v>7</v>
      </c>
      <c r="H85" t="b">
        <v>0</v>
      </c>
      <c r="I85">
        <v>32</v>
      </c>
      <c r="J85" t="s">
        <v>76</v>
      </c>
      <c r="K85">
        <v>85</v>
      </c>
      <c r="L85">
        <v>65</v>
      </c>
      <c r="M85">
        <v>99</v>
      </c>
      <c r="N85">
        <v>100</v>
      </c>
      <c r="O85">
        <v>88</v>
      </c>
      <c r="P85">
        <v>93</v>
      </c>
      <c r="Q85">
        <v>72</v>
      </c>
      <c r="R85">
        <f>SUM(student_scores[[#This Row],[math_score]:[geography_score]])</f>
        <v>602</v>
      </c>
      <c r="S85" s="3">
        <f>student_scores[[#This Row],[Total_Score]]/7</f>
        <v>86</v>
      </c>
      <c r="T85" s="3" t="str" cm="1">
        <f t="array" ref="T85">_xlfn.IFS(student_scores[[#This Row],[weekly_self_study_hours]]&lt;=5,   "0 - 5", student_scores[[#This Row],[weekly_self_study_hours]]&lt;=10,  "6 - 10", student_scores[[#This Row],[weekly_self_study_hours]]&lt;=20,  "11 - 20",student_scores[[#This Row],[weekly_self_study_hours]]&lt;=30, "21 - 30",TRUE, "31+")</f>
        <v>31+</v>
      </c>
      <c r="U85" t="str" cm="1">
        <f t="array" ref="U85">_xlfn.IFS(student_scores[[#This Row],[absence_days]]=0,"0", student_scores[[#This Row],[absence_days]]&lt;=3,"1-3", student_scores[[#This Row],[absence_days]]&lt;=6,"4-6", TRUE,"7-10")</f>
        <v>7-10</v>
      </c>
      <c r="V85" t="str">
        <f>IF(student_scores[[#This Row],[Total_Score]] &gt;= _xlfn.PERCENTILE.INC(student_scores[Total_Score], 0.8), "Yes", "No")</f>
        <v>Yes</v>
      </c>
    </row>
    <row r="86" spans="1:22" x14ac:dyDescent="0.35">
      <c r="A86">
        <v>85</v>
      </c>
      <c r="B86" t="s">
        <v>266</v>
      </c>
      <c r="C86" t="s">
        <v>267</v>
      </c>
      <c r="D86" t="s">
        <v>268</v>
      </c>
      <c r="E86" t="s">
        <v>20</v>
      </c>
      <c r="F86" t="b">
        <v>0</v>
      </c>
      <c r="G86">
        <v>3</v>
      </c>
      <c r="H86" t="b">
        <v>0</v>
      </c>
      <c r="I86">
        <v>28</v>
      </c>
      <c r="J86" t="s">
        <v>38</v>
      </c>
      <c r="K86">
        <v>73</v>
      </c>
      <c r="L86">
        <v>67</v>
      </c>
      <c r="M86">
        <v>70</v>
      </c>
      <c r="N86">
        <v>71</v>
      </c>
      <c r="O86">
        <v>65</v>
      </c>
      <c r="P86">
        <v>73</v>
      </c>
      <c r="Q86">
        <v>87</v>
      </c>
      <c r="R86">
        <f>SUM(student_scores[[#This Row],[math_score]:[geography_score]])</f>
        <v>506</v>
      </c>
      <c r="S86" s="3">
        <f>student_scores[[#This Row],[Total_Score]]/7</f>
        <v>72.285714285714292</v>
      </c>
      <c r="T86" s="3" t="str" cm="1">
        <f t="array" ref="T86">_xlfn.IFS(student_scores[[#This Row],[weekly_self_study_hours]]&lt;=5,   "0 - 5", student_scores[[#This Row],[weekly_self_study_hours]]&lt;=10,  "6 - 10", student_scores[[#This Row],[weekly_self_study_hours]]&lt;=20,  "11 - 20",student_scores[[#This Row],[weekly_self_study_hours]]&lt;=30, "21 - 30",TRUE, "31+")</f>
        <v>21 - 30</v>
      </c>
      <c r="U86" t="str" cm="1">
        <f t="array" ref="U86">_xlfn.IFS(student_scores[[#This Row],[absence_days]]=0,"0", student_scores[[#This Row],[absence_days]]&lt;=3,"1-3", student_scores[[#This Row],[absence_days]]&lt;=6,"4-6", TRUE,"7-10")</f>
        <v>1-3</v>
      </c>
      <c r="V86" t="str">
        <f>IF(student_scores[[#This Row],[Total_Score]] &gt;= _xlfn.PERCENTILE.INC(student_scores[Total_Score], 0.8), "Yes", "No")</f>
        <v>No</v>
      </c>
    </row>
    <row r="87" spans="1:22" x14ac:dyDescent="0.35">
      <c r="A87">
        <v>86</v>
      </c>
      <c r="B87" t="s">
        <v>269</v>
      </c>
      <c r="C87" t="s">
        <v>270</v>
      </c>
      <c r="D87" t="s">
        <v>271</v>
      </c>
      <c r="E87" t="s">
        <v>20</v>
      </c>
      <c r="F87" t="b">
        <v>0</v>
      </c>
      <c r="G87">
        <v>1</v>
      </c>
      <c r="H87" t="b">
        <v>0</v>
      </c>
      <c r="I87">
        <v>24</v>
      </c>
      <c r="J87" t="s">
        <v>44</v>
      </c>
      <c r="K87">
        <v>85</v>
      </c>
      <c r="L87">
        <v>71</v>
      </c>
      <c r="M87">
        <v>69</v>
      </c>
      <c r="N87">
        <v>80</v>
      </c>
      <c r="O87">
        <v>70</v>
      </c>
      <c r="P87">
        <v>77</v>
      </c>
      <c r="Q87">
        <v>66</v>
      </c>
      <c r="R87">
        <f>SUM(student_scores[[#This Row],[math_score]:[geography_score]])</f>
        <v>518</v>
      </c>
      <c r="S87" s="3">
        <f>student_scores[[#This Row],[Total_Score]]/7</f>
        <v>74</v>
      </c>
      <c r="T87" s="3" t="str" cm="1">
        <f t="array" ref="T87">_xlfn.IFS(student_scores[[#This Row],[weekly_self_study_hours]]&lt;=5,   "0 - 5", student_scores[[#This Row],[weekly_self_study_hours]]&lt;=10,  "6 - 10", student_scores[[#This Row],[weekly_self_study_hours]]&lt;=20,  "11 - 20",student_scores[[#This Row],[weekly_self_study_hours]]&lt;=30, "21 - 30",TRUE, "31+")</f>
        <v>21 - 30</v>
      </c>
      <c r="U87" t="str" cm="1">
        <f t="array" ref="U87">_xlfn.IFS(student_scores[[#This Row],[absence_days]]=0,"0", student_scores[[#This Row],[absence_days]]&lt;=3,"1-3", student_scores[[#This Row],[absence_days]]&lt;=6,"4-6", TRUE,"7-10")</f>
        <v>1-3</v>
      </c>
      <c r="V87" t="str">
        <f>IF(student_scores[[#This Row],[Total_Score]] &gt;= _xlfn.PERCENTILE.INC(student_scores[Total_Score], 0.8), "Yes", "No")</f>
        <v>No</v>
      </c>
    </row>
    <row r="88" spans="1:22" x14ac:dyDescent="0.35">
      <c r="A88">
        <v>87</v>
      </c>
      <c r="B88" t="s">
        <v>190</v>
      </c>
      <c r="C88" t="s">
        <v>272</v>
      </c>
      <c r="D88" t="s">
        <v>273</v>
      </c>
      <c r="E88" t="s">
        <v>25</v>
      </c>
      <c r="F88" t="b">
        <v>0</v>
      </c>
      <c r="G88">
        <v>2</v>
      </c>
      <c r="H88" t="b">
        <v>0</v>
      </c>
      <c r="I88">
        <v>9</v>
      </c>
      <c r="J88" t="s">
        <v>30</v>
      </c>
      <c r="K88">
        <v>91</v>
      </c>
      <c r="L88">
        <v>76</v>
      </c>
      <c r="M88">
        <v>71</v>
      </c>
      <c r="N88">
        <v>72</v>
      </c>
      <c r="O88">
        <v>92</v>
      </c>
      <c r="P88">
        <v>67</v>
      </c>
      <c r="Q88">
        <v>90</v>
      </c>
      <c r="R88">
        <f>SUM(student_scores[[#This Row],[math_score]:[geography_score]])</f>
        <v>559</v>
      </c>
      <c r="S88" s="3">
        <f>student_scores[[#This Row],[Total_Score]]/7</f>
        <v>79.857142857142861</v>
      </c>
      <c r="T88" s="3" t="str" cm="1">
        <f t="array" ref="T88">_xlfn.IFS(student_scores[[#This Row],[weekly_self_study_hours]]&lt;=5,   "0 - 5", student_scores[[#This Row],[weekly_self_study_hours]]&lt;=10,  "6 - 10", student_scores[[#This Row],[weekly_self_study_hours]]&lt;=20,  "11 - 20",student_scores[[#This Row],[weekly_self_study_hours]]&lt;=30, "21 - 30",TRUE, "31+")</f>
        <v>6 - 10</v>
      </c>
      <c r="U88" t="str" cm="1">
        <f t="array" ref="U88">_xlfn.IFS(student_scores[[#This Row],[absence_days]]=0,"0", student_scores[[#This Row],[absence_days]]&lt;=3,"1-3", student_scores[[#This Row],[absence_days]]&lt;=6,"4-6", TRUE,"7-10")</f>
        <v>1-3</v>
      </c>
      <c r="V88" t="str">
        <f>IF(student_scores[[#This Row],[Total_Score]] &gt;= _xlfn.PERCENTILE.INC(student_scores[Total_Score], 0.8), "Yes", "No")</f>
        <v>No</v>
      </c>
    </row>
    <row r="89" spans="1:22" x14ac:dyDescent="0.35">
      <c r="A89">
        <v>88</v>
      </c>
      <c r="B89" t="s">
        <v>274</v>
      </c>
      <c r="C89" t="s">
        <v>275</v>
      </c>
      <c r="D89" t="s">
        <v>276</v>
      </c>
      <c r="E89" t="s">
        <v>25</v>
      </c>
      <c r="F89" t="b">
        <v>0</v>
      </c>
      <c r="G89">
        <v>3</v>
      </c>
      <c r="H89" t="b">
        <v>1</v>
      </c>
      <c r="I89">
        <v>14</v>
      </c>
      <c r="J89" t="s">
        <v>44</v>
      </c>
      <c r="K89">
        <v>99</v>
      </c>
      <c r="L89">
        <v>95</v>
      </c>
      <c r="M89">
        <v>83</v>
      </c>
      <c r="N89">
        <v>89</v>
      </c>
      <c r="O89">
        <v>81</v>
      </c>
      <c r="P89">
        <v>63</v>
      </c>
      <c r="Q89">
        <v>70</v>
      </c>
      <c r="R89">
        <f>SUM(student_scores[[#This Row],[math_score]:[geography_score]])</f>
        <v>580</v>
      </c>
      <c r="S89" s="3">
        <f>student_scores[[#This Row],[Total_Score]]/7</f>
        <v>82.857142857142861</v>
      </c>
      <c r="T89" s="3" t="str" cm="1">
        <f t="array" ref="T89">_xlfn.IFS(student_scores[[#This Row],[weekly_self_study_hours]]&lt;=5,   "0 - 5", student_scores[[#This Row],[weekly_self_study_hours]]&lt;=10,  "6 - 10", student_scores[[#This Row],[weekly_self_study_hours]]&lt;=20,  "11 - 20",student_scores[[#This Row],[weekly_self_study_hours]]&lt;=30, "21 - 30",TRUE, "31+")</f>
        <v>11 - 20</v>
      </c>
      <c r="U89" t="str" cm="1">
        <f t="array" ref="U89">_xlfn.IFS(student_scores[[#This Row],[absence_days]]=0,"0", student_scores[[#This Row],[absence_days]]&lt;=3,"1-3", student_scores[[#This Row],[absence_days]]&lt;=6,"4-6", TRUE,"7-10")</f>
        <v>1-3</v>
      </c>
      <c r="V89" t="str">
        <f>IF(student_scores[[#This Row],[Total_Score]] &gt;= _xlfn.PERCENTILE.INC(student_scores[Total_Score], 0.8), "Yes", "No")</f>
        <v>No</v>
      </c>
    </row>
    <row r="90" spans="1:22" x14ac:dyDescent="0.35">
      <c r="A90">
        <v>89</v>
      </c>
      <c r="B90" t="s">
        <v>277</v>
      </c>
      <c r="C90" t="s">
        <v>278</v>
      </c>
      <c r="D90" t="s">
        <v>279</v>
      </c>
      <c r="E90" t="s">
        <v>20</v>
      </c>
      <c r="F90" t="b">
        <v>0</v>
      </c>
      <c r="G90">
        <v>3</v>
      </c>
      <c r="H90" t="b">
        <v>0</v>
      </c>
      <c r="I90">
        <v>16</v>
      </c>
      <c r="J90" t="s">
        <v>172</v>
      </c>
      <c r="K90">
        <v>93</v>
      </c>
      <c r="L90">
        <v>96</v>
      </c>
      <c r="M90">
        <v>68</v>
      </c>
      <c r="N90">
        <v>87</v>
      </c>
      <c r="O90">
        <v>69</v>
      </c>
      <c r="P90">
        <v>89</v>
      </c>
      <c r="Q90">
        <v>100</v>
      </c>
      <c r="R90">
        <f>SUM(student_scores[[#This Row],[math_score]:[geography_score]])</f>
        <v>602</v>
      </c>
      <c r="S90" s="3">
        <f>student_scores[[#This Row],[Total_Score]]/7</f>
        <v>86</v>
      </c>
      <c r="T90" s="3" t="str" cm="1">
        <f t="array" ref="T90">_xlfn.IFS(student_scores[[#This Row],[weekly_self_study_hours]]&lt;=5,   "0 - 5", student_scores[[#This Row],[weekly_self_study_hours]]&lt;=10,  "6 - 10", student_scores[[#This Row],[weekly_self_study_hours]]&lt;=20,  "11 - 20",student_scores[[#This Row],[weekly_self_study_hours]]&lt;=30, "21 - 30",TRUE, "31+")</f>
        <v>11 - 20</v>
      </c>
      <c r="U90" t="str" cm="1">
        <f t="array" ref="U90">_xlfn.IFS(student_scores[[#This Row],[absence_days]]=0,"0", student_scores[[#This Row],[absence_days]]&lt;=3,"1-3", student_scores[[#This Row],[absence_days]]&lt;=6,"4-6", TRUE,"7-10")</f>
        <v>1-3</v>
      </c>
      <c r="V90" t="str">
        <f>IF(student_scores[[#This Row],[Total_Score]] &gt;= _xlfn.PERCENTILE.INC(student_scores[Total_Score], 0.8), "Yes", "No")</f>
        <v>Yes</v>
      </c>
    </row>
    <row r="91" spans="1:22" x14ac:dyDescent="0.35">
      <c r="A91">
        <v>90</v>
      </c>
      <c r="B91" t="s">
        <v>280</v>
      </c>
      <c r="C91" t="s">
        <v>281</v>
      </c>
      <c r="D91" t="s">
        <v>282</v>
      </c>
      <c r="E91" t="s">
        <v>20</v>
      </c>
      <c r="F91" t="b">
        <v>0</v>
      </c>
      <c r="G91">
        <v>3</v>
      </c>
      <c r="H91" t="b">
        <v>0</v>
      </c>
      <c r="I91">
        <v>29</v>
      </c>
      <c r="J91" t="s">
        <v>44</v>
      </c>
      <c r="K91">
        <v>89</v>
      </c>
      <c r="L91">
        <v>75</v>
      </c>
      <c r="M91">
        <v>60</v>
      </c>
      <c r="N91">
        <v>80</v>
      </c>
      <c r="O91">
        <v>62</v>
      </c>
      <c r="P91">
        <v>85</v>
      </c>
      <c r="Q91">
        <v>73</v>
      </c>
      <c r="R91">
        <f>SUM(student_scores[[#This Row],[math_score]:[geography_score]])</f>
        <v>524</v>
      </c>
      <c r="S91" s="3">
        <f>student_scores[[#This Row],[Total_Score]]/7</f>
        <v>74.857142857142861</v>
      </c>
      <c r="T91" s="3" t="str" cm="1">
        <f t="array" ref="T91">_xlfn.IFS(student_scores[[#This Row],[weekly_self_study_hours]]&lt;=5,   "0 - 5", student_scores[[#This Row],[weekly_self_study_hours]]&lt;=10,  "6 - 10", student_scores[[#This Row],[weekly_self_study_hours]]&lt;=20,  "11 - 20",student_scores[[#This Row],[weekly_self_study_hours]]&lt;=30, "21 - 30",TRUE, "31+")</f>
        <v>21 - 30</v>
      </c>
      <c r="U91" t="str" cm="1">
        <f t="array" ref="U91">_xlfn.IFS(student_scores[[#This Row],[absence_days]]=0,"0", student_scores[[#This Row],[absence_days]]&lt;=3,"1-3", student_scores[[#This Row],[absence_days]]&lt;=6,"4-6", TRUE,"7-10")</f>
        <v>1-3</v>
      </c>
      <c r="V91" t="str">
        <f>IF(student_scores[[#This Row],[Total_Score]] &gt;= _xlfn.PERCENTILE.INC(student_scores[Total_Score], 0.8), "Yes", "No")</f>
        <v>No</v>
      </c>
    </row>
    <row r="92" spans="1:22" x14ac:dyDescent="0.35">
      <c r="A92">
        <v>91</v>
      </c>
      <c r="B92" t="s">
        <v>283</v>
      </c>
      <c r="C92" t="s">
        <v>284</v>
      </c>
      <c r="D92" t="s">
        <v>285</v>
      </c>
      <c r="E92" t="s">
        <v>20</v>
      </c>
      <c r="F92" t="b">
        <v>0</v>
      </c>
      <c r="G92">
        <v>0</v>
      </c>
      <c r="H92" t="b">
        <v>0</v>
      </c>
      <c r="I92">
        <v>14</v>
      </c>
      <c r="J92" t="s">
        <v>113</v>
      </c>
      <c r="K92">
        <v>95</v>
      </c>
      <c r="L92">
        <v>78</v>
      </c>
      <c r="M92">
        <v>95</v>
      </c>
      <c r="N92">
        <v>73</v>
      </c>
      <c r="O92">
        <v>32</v>
      </c>
      <c r="P92">
        <v>65</v>
      </c>
      <c r="Q92">
        <v>68</v>
      </c>
      <c r="R92">
        <f>SUM(student_scores[[#This Row],[math_score]:[geography_score]])</f>
        <v>506</v>
      </c>
      <c r="S92" s="3">
        <f>student_scores[[#This Row],[Total_Score]]/7</f>
        <v>72.285714285714292</v>
      </c>
      <c r="T92" s="3" t="str" cm="1">
        <f t="array" ref="T92">_xlfn.IFS(student_scores[[#This Row],[weekly_self_study_hours]]&lt;=5,   "0 - 5", student_scores[[#This Row],[weekly_self_study_hours]]&lt;=10,  "6 - 10", student_scores[[#This Row],[weekly_self_study_hours]]&lt;=20,  "11 - 20",student_scores[[#This Row],[weekly_self_study_hours]]&lt;=30, "21 - 30",TRUE, "31+")</f>
        <v>11 - 20</v>
      </c>
      <c r="U92" t="str" cm="1">
        <f t="array" ref="U92">_xlfn.IFS(student_scores[[#This Row],[absence_days]]=0,"0", student_scores[[#This Row],[absence_days]]&lt;=3,"1-3", student_scores[[#This Row],[absence_days]]&lt;=6,"4-6", TRUE,"7-10")</f>
        <v>0</v>
      </c>
      <c r="V92" t="str">
        <f>IF(student_scores[[#This Row],[Total_Score]] &gt;= _xlfn.PERCENTILE.INC(student_scores[Total_Score], 0.8), "Yes", "No")</f>
        <v>No</v>
      </c>
    </row>
    <row r="93" spans="1:22" x14ac:dyDescent="0.35">
      <c r="A93">
        <v>92</v>
      </c>
      <c r="B93" t="s">
        <v>266</v>
      </c>
      <c r="C93" t="s">
        <v>286</v>
      </c>
      <c r="D93" t="s">
        <v>287</v>
      </c>
      <c r="E93" t="s">
        <v>20</v>
      </c>
      <c r="F93" t="b">
        <v>0</v>
      </c>
      <c r="G93">
        <v>4</v>
      </c>
      <c r="H93" t="b">
        <v>0</v>
      </c>
      <c r="I93">
        <v>10</v>
      </c>
      <c r="J93" t="s">
        <v>30</v>
      </c>
      <c r="K93">
        <v>68</v>
      </c>
      <c r="L93">
        <v>82</v>
      </c>
      <c r="M93">
        <v>95</v>
      </c>
      <c r="N93">
        <v>63</v>
      </c>
      <c r="O93">
        <v>62</v>
      </c>
      <c r="P93">
        <v>98</v>
      </c>
      <c r="Q93">
        <v>93</v>
      </c>
      <c r="R93">
        <f>SUM(student_scores[[#This Row],[math_score]:[geography_score]])</f>
        <v>561</v>
      </c>
      <c r="S93" s="3">
        <f>student_scores[[#This Row],[Total_Score]]/7</f>
        <v>80.142857142857139</v>
      </c>
      <c r="T93" s="3" t="str" cm="1">
        <f t="array" ref="T93">_xlfn.IFS(student_scores[[#This Row],[weekly_self_study_hours]]&lt;=5,   "0 - 5", student_scores[[#This Row],[weekly_self_study_hours]]&lt;=10,  "6 - 10", student_scores[[#This Row],[weekly_self_study_hours]]&lt;=20,  "11 - 20",student_scores[[#This Row],[weekly_self_study_hours]]&lt;=30, "21 - 30",TRUE, "31+")</f>
        <v>6 - 10</v>
      </c>
      <c r="U93" t="str" cm="1">
        <f t="array" ref="U93">_xlfn.IFS(student_scores[[#This Row],[absence_days]]=0,"0", student_scores[[#This Row],[absence_days]]&lt;=3,"1-3", student_scores[[#This Row],[absence_days]]&lt;=6,"4-6", TRUE,"7-10")</f>
        <v>4-6</v>
      </c>
      <c r="V93" t="str">
        <f>IF(student_scores[[#This Row],[Total_Score]] &gt;= _xlfn.PERCENTILE.INC(student_scores[Total_Score], 0.8), "Yes", "No")</f>
        <v>No</v>
      </c>
    </row>
    <row r="94" spans="1:22" x14ac:dyDescent="0.35">
      <c r="A94">
        <v>93</v>
      </c>
      <c r="B94" t="s">
        <v>277</v>
      </c>
      <c r="C94" t="s">
        <v>288</v>
      </c>
      <c r="D94" t="s">
        <v>289</v>
      </c>
      <c r="E94" t="s">
        <v>20</v>
      </c>
      <c r="F94" t="b">
        <v>0</v>
      </c>
      <c r="G94">
        <v>5</v>
      </c>
      <c r="H94" t="b">
        <v>0</v>
      </c>
      <c r="I94">
        <v>31</v>
      </c>
      <c r="J94" t="s">
        <v>44</v>
      </c>
      <c r="K94">
        <v>98</v>
      </c>
      <c r="L94">
        <v>73</v>
      </c>
      <c r="M94">
        <v>73</v>
      </c>
      <c r="N94">
        <v>77</v>
      </c>
      <c r="O94">
        <v>87</v>
      </c>
      <c r="P94">
        <v>98</v>
      </c>
      <c r="Q94">
        <v>83</v>
      </c>
      <c r="R94">
        <f>SUM(student_scores[[#This Row],[math_score]:[geography_score]])</f>
        <v>589</v>
      </c>
      <c r="S94" s="3">
        <f>student_scores[[#This Row],[Total_Score]]/7</f>
        <v>84.142857142857139</v>
      </c>
      <c r="T94" s="3" t="str" cm="1">
        <f t="array" ref="T94">_xlfn.IFS(student_scores[[#This Row],[weekly_self_study_hours]]&lt;=5,   "0 - 5", student_scores[[#This Row],[weekly_self_study_hours]]&lt;=10,  "6 - 10", student_scores[[#This Row],[weekly_self_study_hours]]&lt;=20,  "11 - 20",student_scores[[#This Row],[weekly_self_study_hours]]&lt;=30, "21 - 30",TRUE, "31+")</f>
        <v>31+</v>
      </c>
      <c r="U94" t="str" cm="1">
        <f t="array" ref="U94">_xlfn.IFS(student_scores[[#This Row],[absence_days]]=0,"0", student_scores[[#This Row],[absence_days]]&lt;=3,"1-3", student_scores[[#This Row],[absence_days]]&lt;=6,"4-6", TRUE,"7-10")</f>
        <v>4-6</v>
      </c>
      <c r="V94" t="str">
        <f>IF(student_scores[[#This Row],[Total_Score]] &gt;= _xlfn.PERCENTILE.INC(student_scores[Total_Score], 0.8), "Yes", "No")</f>
        <v>No</v>
      </c>
    </row>
    <row r="95" spans="1:22" x14ac:dyDescent="0.35">
      <c r="A95">
        <v>94</v>
      </c>
      <c r="B95" t="s">
        <v>197</v>
      </c>
      <c r="C95" t="s">
        <v>281</v>
      </c>
      <c r="D95" t="s">
        <v>290</v>
      </c>
      <c r="E95" t="s">
        <v>20</v>
      </c>
      <c r="F95" t="b">
        <v>0</v>
      </c>
      <c r="G95">
        <v>4</v>
      </c>
      <c r="H95" t="b">
        <v>0</v>
      </c>
      <c r="I95">
        <v>34</v>
      </c>
      <c r="J95" t="s">
        <v>172</v>
      </c>
      <c r="K95">
        <v>79</v>
      </c>
      <c r="L95">
        <v>92</v>
      </c>
      <c r="M95">
        <v>79</v>
      </c>
      <c r="N95">
        <v>76</v>
      </c>
      <c r="O95">
        <v>84</v>
      </c>
      <c r="P95">
        <v>67</v>
      </c>
      <c r="Q95">
        <v>86</v>
      </c>
      <c r="R95">
        <f>SUM(student_scores[[#This Row],[math_score]:[geography_score]])</f>
        <v>563</v>
      </c>
      <c r="S95" s="3">
        <f>student_scores[[#This Row],[Total_Score]]/7</f>
        <v>80.428571428571431</v>
      </c>
      <c r="T95" s="3" t="str" cm="1">
        <f t="array" ref="T95">_xlfn.IFS(student_scores[[#This Row],[weekly_self_study_hours]]&lt;=5,   "0 - 5", student_scores[[#This Row],[weekly_self_study_hours]]&lt;=10,  "6 - 10", student_scores[[#This Row],[weekly_self_study_hours]]&lt;=20,  "11 - 20",student_scores[[#This Row],[weekly_self_study_hours]]&lt;=30, "21 - 30",TRUE, "31+")</f>
        <v>31+</v>
      </c>
      <c r="U95" t="str" cm="1">
        <f t="array" ref="U95">_xlfn.IFS(student_scores[[#This Row],[absence_days]]=0,"0", student_scores[[#This Row],[absence_days]]&lt;=3,"1-3", student_scores[[#This Row],[absence_days]]&lt;=6,"4-6", TRUE,"7-10")</f>
        <v>4-6</v>
      </c>
      <c r="V95" t="str">
        <f>IF(student_scores[[#This Row],[Total_Score]] &gt;= _xlfn.PERCENTILE.INC(student_scores[Total_Score], 0.8), "Yes", "No")</f>
        <v>No</v>
      </c>
    </row>
    <row r="96" spans="1:22" x14ac:dyDescent="0.35">
      <c r="A96">
        <v>95</v>
      </c>
      <c r="B96" t="s">
        <v>291</v>
      </c>
      <c r="C96" t="s">
        <v>292</v>
      </c>
      <c r="D96" t="s">
        <v>293</v>
      </c>
      <c r="E96" t="s">
        <v>25</v>
      </c>
      <c r="F96" t="b">
        <v>0</v>
      </c>
      <c r="G96">
        <v>5</v>
      </c>
      <c r="H96" t="b">
        <v>0</v>
      </c>
      <c r="I96">
        <v>3</v>
      </c>
      <c r="J96" t="s">
        <v>38</v>
      </c>
      <c r="K96">
        <v>78</v>
      </c>
      <c r="L96">
        <v>79</v>
      </c>
      <c r="M96">
        <v>73</v>
      </c>
      <c r="N96">
        <v>96</v>
      </c>
      <c r="O96">
        <v>64</v>
      </c>
      <c r="P96">
        <v>93</v>
      </c>
      <c r="Q96">
        <v>85</v>
      </c>
      <c r="R96">
        <f>SUM(student_scores[[#This Row],[math_score]:[geography_score]])</f>
        <v>568</v>
      </c>
      <c r="S96" s="3">
        <f>student_scores[[#This Row],[Total_Score]]/7</f>
        <v>81.142857142857139</v>
      </c>
      <c r="T96" s="3" t="str" cm="1">
        <f t="array" ref="T96">_xlfn.IFS(student_scores[[#This Row],[weekly_self_study_hours]]&lt;=5,   "0 - 5", student_scores[[#This Row],[weekly_self_study_hours]]&lt;=10,  "6 - 10", student_scores[[#This Row],[weekly_self_study_hours]]&lt;=20,  "11 - 20",student_scores[[#This Row],[weekly_self_study_hours]]&lt;=30, "21 - 30",TRUE, "31+")</f>
        <v>0 - 5</v>
      </c>
      <c r="U96" t="str" cm="1">
        <f t="array" ref="U96">_xlfn.IFS(student_scores[[#This Row],[absence_days]]=0,"0", student_scores[[#This Row],[absence_days]]&lt;=3,"1-3", student_scores[[#This Row],[absence_days]]&lt;=6,"4-6", TRUE,"7-10")</f>
        <v>4-6</v>
      </c>
      <c r="V96" t="str">
        <f>IF(student_scores[[#This Row],[Total_Score]] &gt;= _xlfn.PERCENTILE.INC(student_scores[Total_Score], 0.8), "Yes", "No")</f>
        <v>No</v>
      </c>
    </row>
    <row r="97" spans="1:22" x14ac:dyDescent="0.35">
      <c r="A97">
        <v>96</v>
      </c>
      <c r="B97" t="s">
        <v>294</v>
      </c>
      <c r="C97" t="s">
        <v>295</v>
      </c>
      <c r="D97" t="s">
        <v>296</v>
      </c>
      <c r="E97" t="s">
        <v>25</v>
      </c>
      <c r="F97" t="b">
        <v>0</v>
      </c>
      <c r="G97">
        <v>2</v>
      </c>
      <c r="H97" t="b">
        <v>1</v>
      </c>
      <c r="I97">
        <v>34</v>
      </c>
      <c r="J97" t="s">
        <v>44</v>
      </c>
      <c r="K97">
        <v>100</v>
      </c>
      <c r="L97">
        <v>98</v>
      </c>
      <c r="M97">
        <v>89</v>
      </c>
      <c r="N97">
        <v>85</v>
      </c>
      <c r="O97">
        <v>81</v>
      </c>
      <c r="P97">
        <v>64</v>
      </c>
      <c r="Q97">
        <v>94</v>
      </c>
      <c r="R97">
        <f>SUM(student_scores[[#This Row],[math_score]:[geography_score]])</f>
        <v>611</v>
      </c>
      <c r="S97" s="3">
        <f>student_scores[[#This Row],[Total_Score]]/7</f>
        <v>87.285714285714292</v>
      </c>
      <c r="T97" s="3" t="str" cm="1">
        <f t="array" ref="T97">_xlfn.IFS(student_scores[[#This Row],[weekly_self_study_hours]]&lt;=5,   "0 - 5", student_scores[[#This Row],[weekly_self_study_hours]]&lt;=10,  "6 - 10", student_scores[[#This Row],[weekly_self_study_hours]]&lt;=20,  "11 - 20",student_scores[[#This Row],[weekly_self_study_hours]]&lt;=30, "21 - 30",TRUE, "31+")</f>
        <v>31+</v>
      </c>
      <c r="U97" t="str" cm="1">
        <f t="array" ref="U97">_xlfn.IFS(student_scores[[#This Row],[absence_days]]=0,"0", student_scores[[#This Row],[absence_days]]&lt;=3,"1-3", student_scores[[#This Row],[absence_days]]&lt;=6,"4-6", TRUE,"7-10")</f>
        <v>1-3</v>
      </c>
      <c r="V97" t="str">
        <f>IF(student_scores[[#This Row],[Total_Score]] &gt;= _xlfn.PERCENTILE.INC(student_scores[Total_Score], 0.8), "Yes", "No")</f>
        <v>Yes</v>
      </c>
    </row>
    <row r="98" spans="1:22" x14ac:dyDescent="0.35">
      <c r="A98">
        <v>97</v>
      </c>
      <c r="B98" t="s">
        <v>297</v>
      </c>
      <c r="C98" t="s">
        <v>298</v>
      </c>
      <c r="D98" t="s">
        <v>299</v>
      </c>
      <c r="E98" t="s">
        <v>25</v>
      </c>
      <c r="F98" t="b">
        <v>0</v>
      </c>
      <c r="G98">
        <v>3</v>
      </c>
      <c r="H98" t="b">
        <v>1</v>
      </c>
      <c r="I98">
        <v>2</v>
      </c>
      <c r="J98" t="s">
        <v>34</v>
      </c>
      <c r="K98">
        <v>86</v>
      </c>
      <c r="L98">
        <v>76</v>
      </c>
      <c r="M98">
        <v>84</v>
      </c>
      <c r="N98">
        <v>93</v>
      </c>
      <c r="O98">
        <v>76</v>
      </c>
      <c r="P98">
        <v>69</v>
      </c>
      <c r="Q98">
        <v>91</v>
      </c>
      <c r="R98">
        <f>SUM(student_scores[[#This Row],[math_score]:[geography_score]])</f>
        <v>575</v>
      </c>
      <c r="S98" s="3">
        <f>student_scores[[#This Row],[Total_Score]]/7</f>
        <v>82.142857142857139</v>
      </c>
      <c r="T98" s="3" t="str" cm="1">
        <f t="array" ref="T98">_xlfn.IFS(student_scores[[#This Row],[weekly_self_study_hours]]&lt;=5,   "0 - 5", student_scores[[#This Row],[weekly_self_study_hours]]&lt;=10,  "6 - 10", student_scores[[#This Row],[weekly_self_study_hours]]&lt;=20,  "11 - 20",student_scores[[#This Row],[weekly_self_study_hours]]&lt;=30, "21 - 30",TRUE, "31+")</f>
        <v>0 - 5</v>
      </c>
      <c r="U98" t="str" cm="1">
        <f t="array" ref="U98">_xlfn.IFS(student_scores[[#This Row],[absence_days]]=0,"0", student_scores[[#This Row],[absence_days]]&lt;=3,"1-3", student_scores[[#This Row],[absence_days]]&lt;=6,"4-6", TRUE,"7-10")</f>
        <v>1-3</v>
      </c>
      <c r="V98" t="str">
        <f>IF(student_scores[[#This Row],[Total_Score]] &gt;= _xlfn.PERCENTILE.INC(student_scores[Total_Score], 0.8), "Yes", "No")</f>
        <v>No</v>
      </c>
    </row>
    <row r="99" spans="1:22" x14ac:dyDescent="0.35">
      <c r="A99">
        <v>98</v>
      </c>
      <c r="B99" t="s">
        <v>300</v>
      </c>
      <c r="C99" t="s">
        <v>56</v>
      </c>
      <c r="D99" t="s">
        <v>301</v>
      </c>
      <c r="E99" t="s">
        <v>20</v>
      </c>
      <c r="F99" t="b">
        <v>0</v>
      </c>
      <c r="G99">
        <v>3</v>
      </c>
      <c r="H99" t="b">
        <v>0</v>
      </c>
      <c r="I99">
        <v>4</v>
      </c>
      <c r="J99" t="s">
        <v>224</v>
      </c>
      <c r="K99">
        <v>87</v>
      </c>
      <c r="L99">
        <v>89</v>
      </c>
      <c r="M99">
        <v>93</v>
      </c>
      <c r="N99">
        <v>98</v>
      </c>
      <c r="O99">
        <v>79</v>
      </c>
      <c r="P99">
        <v>72</v>
      </c>
      <c r="Q99">
        <v>88</v>
      </c>
      <c r="R99">
        <f>SUM(student_scores[[#This Row],[math_score]:[geography_score]])</f>
        <v>606</v>
      </c>
      <c r="S99" s="3">
        <f>student_scores[[#This Row],[Total_Score]]/7</f>
        <v>86.571428571428569</v>
      </c>
      <c r="T99" s="3" t="str" cm="1">
        <f t="array" ref="T99">_xlfn.IFS(student_scores[[#This Row],[weekly_self_study_hours]]&lt;=5,   "0 - 5", student_scores[[#This Row],[weekly_self_study_hours]]&lt;=10,  "6 - 10", student_scores[[#This Row],[weekly_self_study_hours]]&lt;=20,  "11 - 20",student_scores[[#This Row],[weekly_self_study_hours]]&lt;=30, "21 - 30",TRUE, "31+")</f>
        <v>0 - 5</v>
      </c>
      <c r="U99" t="str" cm="1">
        <f t="array" ref="U99">_xlfn.IFS(student_scores[[#This Row],[absence_days]]=0,"0", student_scores[[#This Row],[absence_days]]&lt;=3,"1-3", student_scores[[#This Row],[absence_days]]&lt;=6,"4-6", TRUE,"7-10")</f>
        <v>1-3</v>
      </c>
      <c r="V99" t="str">
        <f>IF(student_scores[[#This Row],[Total_Score]] &gt;= _xlfn.PERCENTILE.INC(student_scores[Total_Score], 0.8), "Yes", "No")</f>
        <v>Yes</v>
      </c>
    </row>
    <row r="100" spans="1:22" x14ac:dyDescent="0.35">
      <c r="A100">
        <v>99</v>
      </c>
      <c r="B100" t="s">
        <v>302</v>
      </c>
      <c r="C100" t="s">
        <v>303</v>
      </c>
      <c r="D100" t="s">
        <v>304</v>
      </c>
      <c r="E100" t="s">
        <v>20</v>
      </c>
      <c r="F100" t="b">
        <v>1</v>
      </c>
      <c r="G100">
        <v>0</v>
      </c>
      <c r="H100" t="b">
        <v>0</v>
      </c>
      <c r="I100">
        <v>28</v>
      </c>
      <c r="J100" t="s">
        <v>21</v>
      </c>
      <c r="K100">
        <v>100</v>
      </c>
      <c r="L100">
        <v>93</v>
      </c>
      <c r="M100">
        <v>85</v>
      </c>
      <c r="N100">
        <v>61</v>
      </c>
      <c r="O100">
        <v>96</v>
      </c>
      <c r="P100">
        <v>83</v>
      </c>
      <c r="Q100">
        <v>86</v>
      </c>
      <c r="R100">
        <f>SUM(student_scores[[#This Row],[math_score]:[geography_score]])</f>
        <v>604</v>
      </c>
      <c r="S100" s="3">
        <f>student_scores[[#This Row],[Total_Score]]/7</f>
        <v>86.285714285714292</v>
      </c>
      <c r="T100" s="3" t="str" cm="1">
        <f t="array" ref="T100">_xlfn.IFS(student_scores[[#This Row],[weekly_self_study_hours]]&lt;=5,   "0 - 5", student_scores[[#This Row],[weekly_self_study_hours]]&lt;=10,  "6 - 10", student_scores[[#This Row],[weekly_self_study_hours]]&lt;=20,  "11 - 20",student_scores[[#This Row],[weekly_self_study_hours]]&lt;=30, "21 - 30",TRUE, "31+")</f>
        <v>21 - 30</v>
      </c>
      <c r="U100" t="str" cm="1">
        <f t="array" ref="U100">_xlfn.IFS(student_scores[[#This Row],[absence_days]]=0,"0", student_scores[[#This Row],[absence_days]]&lt;=3,"1-3", student_scores[[#This Row],[absence_days]]&lt;=6,"4-6", TRUE,"7-10")</f>
        <v>0</v>
      </c>
      <c r="V100" t="str">
        <f>IF(student_scores[[#This Row],[Total_Score]] &gt;= _xlfn.PERCENTILE.INC(student_scores[Total_Score], 0.8), "Yes", "No")</f>
        <v>Yes</v>
      </c>
    </row>
    <row r="101" spans="1:22" x14ac:dyDescent="0.35">
      <c r="A101">
        <v>100</v>
      </c>
      <c r="B101" t="s">
        <v>173</v>
      </c>
      <c r="C101" t="s">
        <v>305</v>
      </c>
      <c r="D101" t="s">
        <v>306</v>
      </c>
      <c r="E101" t="s">
        <v>25</v>
      </c>
      <c r="F101" t="b">
        <v>0</v>
      </c>
      <c r="G101">
        <v>0</v>
      </c>
      <c r="H101" t="b">
        <v>0</v>
      </c>
      <c r="I101">
        <v>5</v>
      </c>
      <c r="J101" t="s">
        <v>159</v>
      </c>
      <c r="K101">
        <v>85</v>
      </c>
      <c r="L101">
        <v>89</v>
      </c>
      <c r="M101">
        <v>94</v>
      </c>
      <c r="N101">
        <v>69</v>
      </c>
      <c r="O101">
        <v>99</v>
      </c>
      <c r="P101">
        <v>93</v>
      </c>
      <c r="Q101">
        <v>98</v>
      </c>
      <c r="R101">
        <f>SUM(student_scores[[#This Row],[math_score]:[geography_score]])</f>
        <v>627</v>
      </c>
      <c r="S101" s="3">
        <f>student_scores[[#This Row],[Total_Score]]/7</f>
        <v>89.571428571428569</v>
      </c>
      <c r="T101" s="3" t="str" cm="1">
        <f t="array" ref="T101">_xlfn.IFS(student_scores[[#This Row],[weekly_self_study_hours]]&lt;=5,   "0 - 5", student_scores[[#This Row],[weekly_self_study_hours]]&lt;=10,  "6 - 10", student_scores[[#This Row],[weekly_self_study_hours]]&lt;=20,  "11 - 20",student_scores[[#This Row],[weekly_self_study_hours]]&lt;=30, "21 - 30",TRUE, "31+")</f>
        <v>0 - 5</v>
      </c>
      <c r="U101" t="str" cm="1">
        <f t="array" ref="U101">_xlfn.IFS(student_scores[[#This Row],[absence_days]]=0,"0", student_scores[[#This Row],[absence_days]]&lt;=3,"1-3", student_scores[[#This Row],[absence_days]]&lt;=6,"4-6", TRUE,"7-10")</f>
        <v>0</v>
      </c>
      <c r="V101" t="str">
        <f>IF(student_scores[[#This Row],[Total_Score]] &gt;= _xlfn.PERCENTILE.INC(student_scores[Total_Score], 0.8), "Yes", "No")</f>
        <v>Yes</v>
      </c>
    </row>
    <row r="102" spans="1:22" x14ac:dyDescent="0.35">
      <c r="A102">
        <v>101</v>
      </c>
      <c r="B102" t="s">
        <v>248</v>
      </c>
      <c r="C102" t="s">
        <v>295</v>
      </c>
      <c r="D102" t="s">
        <v>307</v>
      </c>
      <c r="E102" t="s">
        <v>25</v>
      </c>
      <c r="F102" t="b">
        <v>0</v>
      </c>
      <c r="G102">
        <v>2</v>
      </c>
      <c r="H102" t="b">
        <v>0</v>
      </c>
      <c r="I102">
        <v>4</v>
      </c>
      <c r="J102" t="s">
        <v>34</v>
      </c>
      <c r="K102">
        <v>87</v>
      </c>
      <c r="L102">
        <v>73</v>
      </c>
      <c r="M102">
        <v>98</v>
      </c>
      <c r="N102">
        <v>91</v>
      </c>
      <c r="O102">
        <v>79</v>
      </c>
      <c r="P102">
        <v>60</v>
      </c>
      <c r="Q102">
        <v>77</v>
      </c>
      <c r="R102">
        <f>SUM(student_scores[[#This Row],[math_score]:[geography_score]])</f>
        <v>565</v>
      </c>
      <c r="S102" s="3">
        <f>student_scores[[#This Row],[Total_Score]]/7</f>
        <v>80.714285714285708</v>
      </c>
      <c r="T102" s="3" t="str" cm="1">
        <f t="array" ref="T102">_xlfn.IFS(student_scores[[#This Row],[weekly_self_study_hours]]&lt;=5,   "0 - 5", student_scores[[#This Row],[weekly_self_study_hours]]&lt;=10,  "6 - 10", student_scores[[#This Row],[weekly_self_study_hours]]&lt;=20,  "11 - 20",student_scores[[#This Row],[weekly_self_study_hours]]&lt;=30, "21 - 30",TRUE, "31+")</f>
        <v>0 - 5</v>
      </c>
      <c r="U102" t="str" cm="1">
        <f t="array" ref="U102">_xlfn.IFS(student_scores[[#This Row],[absence_days]]=0,"0", student_scores[[#This Row],[absence_days]]&lt;=3,"1-3", student_scores[[#This Row],[absence_days]]&lt;=6,"4-6", TRUE,"7-10")</f>
        <v>1-3</v>
      </c>
      <c r="V102" t="str">
        <f>IF(student_scores[[#This Row],[Total_Score]] &gt;= _xlfn.PERCENTILE.INC(student_scores[Total_Score], 0.8), "Yes", "No")</f>
        <v>No</v>
      </c>
    </row>
    <row r="103" spans="1:22" x14ac:dyDescent="0.35">
      <c r="A103">
        <v>102</v>
      </c>
      <c r="B103" t="s">
        <v>308</v>
      </c>
      <c r="C103" t="s">
        <v>231</v>
      </c>
      <c r="D103" t="s">
        <v>309</v>
      </c>
      <c r="E103" t="s">
        <v>25</v>
      </c>
      <c r="F103" t="b">
        <v>0</v>
      </c>
      <c r="G103">
        <v>2</v>
      </c>
      <c r="H103" t="b">
        <v>0</v>
      </c>
      <c r="I103">
        <v>25</v>
      </c>
      <c r="J103" t="s">
        <v>44</v>
      </c>
      <c r="K103">
        <v>96</v>
      </c>
      <c r="L103">
        <v>80</v>
      </c>
      <c r="M103">
        <v>100</v>
      </c>
      <c r="N103">
        <v>61</v>
      </c>
      <c r="O103">
        <v>81</v>
      </c>
      <c r="P103">
        <v>98</v>
      </c>
      <c r="Q103">
        <v>65</v>
      </c>
      <c r="R103">
        <f>SUM(student_scores[[#This Row],[math_score]:[geography_score]])</f>
        <v>581</v>
      </c>
      <c r="S103" s="3">
        <f>student_scores[[#This Row],[Total_Score]]/7</f>
        <v>83</v>
      </c>
      <c r="T103" s="3" t="str" cm="1">
        <f t="array" ref="T103">_xlfn.IFS(student_scores[[#This Row],[weekly_self_study_hours]]&lt;=5,   "0 - 5", student_scores[[#This Row],[weekly_self_study_hours]]&lt;=10,  "6 - 10", student_scores[[#This Row],[weekly_self_study_hours]]&lt;=20,  "11 - 20",student_scores[[#This Row],[weekly_self_study_hours]]&lt;=30, "21 - 30",TRUE, "31+")</f>
        <v>21 - 30</v>
      </c>
      <c r="U103" t="str" cm="1">
        <f t="array" ref="U103">_xlfn.IFS(student_scores[[#This Row],[absence_days]]=0,"0", student_scores[[#This Row],[absence_days]]&lt;=3,"1-3", student_scores[[#This Row],[absence_days]]&lt;=6,"4-6", TRUE,"7-10")</f>
        <v>1-3</v>
      </c>
      <c r="V103" t="str">
        <f>IF(student_scores[[#This Row],[Total_Score]] &gt;= _xlfn.PERCENTILE.INC(student_scores[Total_Score], 0.8), "Yes", "No")</f>
        <v>No</v>
      </c>
    </row>
    <row r="104" spans="1:22" x14ac:dyDescent="0.35">
      <c r="A104">
        <v>103</v>
      </c>
      <c r="B104" t="s">
        <v>266</v>
      </c>
      <c r="C104" t="s">
        <v>310</v>
      </c>
      <c r="D104" t="s">
        <v>311</v>
      </c>
      <c r="E104" t="s">
        <v>20</v>
      </c>
      <c r="F104" t="b">
        <v>0</v>
      </c>
      <c r="G104">
        <v>5</v>
      </c>
      <c r="H104" t="b">
        <v>0</v>
      </c>
      <c r="I104">
        <v>29</v>
      </c>
      <c r="J104" t="s">
        <v>109</v>
      </c>
      <c r="K104">
        <v>76</v>
      </c>
      <c r="L104">
        <v>87</v>
      </c>
      <c r="M104">
        <v>64</v>
      </c>
      <c r="N104">
        <v>74</v>
      </c>
      <c r="O104">
        <v>73</v>
      </c>
      <c r="P104">
        <v>90</v>
      </c>
      <c r="Q104">
        <v>99</v>
      </c>
      <c r="R104">
        <f>SUM(student_scores[[#This Row],[math_score]:[geography_score]])</f>
        <v>563</v>
      </c>
      <c r="S104" s="3">
        <f>student_scores[[#This Row],[Total_Score]]/7</f>
        <v>80.428571428571431</v>
      </c>
      <c r="T104" s="3" t="str" cm="1">
        <f t="array" ref="T104">_xlfn.IFS(student_scores[[#This Row],[weekly_self_study_hours]]&lt;=5,   "0 - 5", student_scores[[#This Row],[weekly_self_study_hours]]&lt;=10,  "6 - 10", student_scores[[#This Row],[weekly_self_study_hours]]&lt;=20,  "11 - 20",student_scores[[#This Row],[weekly_self_study_hours]]&lt;=30, "21 - 30",TRUE, "31+")</f>
        <v>21 - 30</v>
      </c>
      <c r="U104" t="str" cm="1">
        <f t="array" ref="U104">_xlfn.IFS(student_scores[[#This Row],[absence_days]]=0,"0", student_scores[[#This Row],[absence_days]]&lt;=3,"1-3", student_scores[[#This Row],[absence_days]]&lt;=6,"4-6", TRUE,"7-10")</f>
        <v>4-6</v>
      </c>
      <c r="V104" t="str">
        <f>IF(student_scores[[#This Row],[Total_Score]] &gt;= _xlfn.PERCENTILE.INC(student_scores[Total_Score], 0.8), "Yes", "No")</f>
        <v>No</v>
      </c>
    </row>
    <row r="105" spans="1:22" x14ac:dyDescent="0.35">
      <c r="A105">
        <v>104</v>
      </c>
      <c r="B105" t="s">
        <v>312</v>
      </c>
      <c r="C105" t="s">
        <v>313</v>
      </c>
      <c r="D105" t="s">
        <v>314</v>
      </c>
      <c r="E105" t="s">
        <v>20</v>
      </c>
      <c r="F105" t="b">
        <v>1</v>
      </c>
      <c r="G105">
        <v>6</v>
      </c>
      <c r="H105" t="b">
        <v>0</v>
      </c>
      <c r="I105">
        <v>1</v>
      </c>
      <c r="J105" t="s">
        <v>34</v>
      </c>
      <c r="K105">
        <v>90</v>
      </c>
      <c r="L105">
        <v>80</v>
      </c>
      <c r="M105">
        <v>63</v>
      </c>
      <c r="N105">
        <v>94</v>
      </c>
      <c r="O105">
        <v>64</v>
      </c>
      <c r="P105">
        <v>70</v>
      </c>
      <c r="Q105">
        <v>79</v>
      </c>
      <c r="R105">
        <f>SUM(student_scores[[#This Row],[math_score]:[geography_score]])</f>
        <v>540</v>
      </c>
      <c r="S105" s="3">
        <f>student_scores[[#This Row],[Total_Score]]/7</f>
        <v>77.142857142857139</v>
      </c>
      <c r="T105" s="3" t="str" cm="1">
        <f t="array" ref="T105">_xlfn.IFS(student_scores[[#This Row],[weekly_self_study_hours]]&lt;=5,   "0 - 5", student_scores[[#This Row],[weekly_self_study_hours]]&lt;=10,  "6 - 10", student_scores[[#This Row],[weekly_self_study_hours]]&lt;=20,  "11 - 20",student_scores[[#This Row],[weekly_self_study_hours]]&lt;=30, "21 - 30",TRUE, "31+")</f>
        <v>0 - 5</v>
      </c>
      <c r="U105" t="str" cm="1">
        <f t="array" ref="U105">_xlfn.IFS(student_scores[[#This Row],[absence_days]]=0,"0", student_scores[[#This Row],[absence_days]]&lt;=3,"1-3", student_scores[[#This Row],[absence_days]]&lt;=6,"4-6", TRUE,"7-10")</f>
        <v>4-6</v>
      </c>
      <c r="V105" t="str">
        <f>IF(student_scores[[#This Row],[Total_Score]] &gt;= _xlfn.PERCENTILE.INC(student_scores[Total_Score], 0.8), "Yes", "No")</f>
        <v>No</v>
      </c>
    </row>
    <row r="106" spans="1:22" x14ac:dyDescent="0.35">
      <c r="A106">
        <v>105</v>
      </c>
      <c r="B106" t="s">
        <v>315</v>
      </c>
      <c r="C106" t="s">
        <v>316</v>
      </c>
      <c r="D106" t="s">
        <v>317</v>
      </c>
      <c r="E106" t="s">
        <v>25</v>
      </c>
      <c r="F106" t="b">
        <v>0</v>
      </c>
      <c r="G106">
        <v>7</v>
      </c>
      <c r="H106" t="b">
        <v>0</v>
      </c>
      <c r="I106">
        <v>2</v>
      </c>
      <c r="J106" t="s">
        <v>64</v>
      </c>
      <c r="K106">
        <v>65</v>
      </c>
      <c r="L106">
        <v>60</v>
      </c>
      <c r="M106">
        <v>100</v>
      </c>
      <c r="N106">
        <v>91</v>
      </c>
      <c r="O106">
        <v>87</v>
      </c>
      <c r="P106">
        <v>78</v>
      </c>
      <c r="Q106">
        <v>99</v>
      </c>
      <c r="R106">
        <f>SUM(student_scores[[#This Row],[math_score]:[geography_score]])</f>
        <v>580</v>
      </c>
      <c r="S106" s="3">
        <f>student_scores[[#This Row],[Total_Score]]/7</f>
        <v>82.857142857142861</v>
      </c>
      <c r="T106" s="3" t="str" cm="1">
        <f t="array" ref="T106">_xlfn.IFS(student_scores[[#This Row],[weekly_self_study_hours]]&lt;=5,   "0 - 5", student_scores[[#This Row],[weekly_self_study_hours]]&lt;=10,  "6 - 10", student_scores[[#This Row],[weekly_self_study_hours]]&lt;=20,  "11 - 20",student_scores[[#This Row],[weekly_self_study_hours]]&lt;=30, "21 - 30",TRUE, "31+")</f>
        <v>0 - 5</v>
      </c>
      <c r="U106" t="str" cm="1">
        <f t="array" ref="U106">_xlfn.IFS(student_scores[[#This Row],[absence_days]]=0,"0", student_scores[[#This Row],[absence_days]]&lt;=3,"1-3", student_scores[[#This Row],[absence_days]]&lt;=6,"4-6", TRUE,"7-10")</f>
        <v>7-10</v>
      </c>
      <c r="V106" t="str">
        <f>IF(student_scores[[#This Row],[Total_Score]] &gt;= _xlfn.PERCENTILE.INC(student_scores[Total_Score], 0.8), "Yes", "No")</f>
        <v>No</v>
      </c>
    </row>
    <row r="107" spans="1:22" x14ac:dyDescent="0.35">
      <c r="A107">
        <v>106</v>
      </c>
      <c r="B107" t="s">
        <v>120</v>
      </c>
      <c r="C107" t="s">
        <v>281</v>
      </c>
      <c r="D107" t="s">
        <v>318</v>
      </c>
      <c r="E107" t="s">
        <v>25</v>
      </c>
      <c r="F107" t="b">
        <v>0</v>
      </c>
      <c r="G107">
        <v>2</v>
      </c>
      <c r="H107" t="b">
        <v>0</v>
      </c>
      <c r="I107">
        <v>0</v>
      </c>
      <c r="J107" t="s">
        <v>224</v>
      </c>
      <c r="K107">
        <v>98</v>
      </c>
      <c r="L107">
        <v>97</v>
      </c>
      <c r="M107">
        <v>62</v>
      </c>
      <c r="N107">
        <v>89</v>
      </c>
      <c r="O107">
        <v>62</v>
      </c>
      <c r="P107">
        <v>95</v>
      </c>
      <c r="Q107">
        <v>77</v>
      </c>
      <c r="R107">
        <f>SUM(student_scores[[#This Row],[math_score]:[geography_score]])</f>
        <v>580</v>
      </c>
      <c r="S107" s="3">
        <f>student_scores[[#This Row],[Total_Score]]/7</f>
        <v>82.857142857142861</v>
      </c>
      <c r="T107" s="3" t="str" cm="1">
        <f t="array" ref="T107">_xlfn.IFS(student_scores[[#This Row],[weekly_self_study_hours]]&lt;=5,   "0 - 5", student_scores[[#This Row],[weekly_self_study_hours]]&lt;=10,  "6 - 10", student_scores[[#This Row],[weekly_self_study_hours]]&lt;=20,  "11 - 20",student_scores[[#This Row],[weekly_self_study_hours]]&lt;=30, "21 - 30",TRUE, "31+")</f>
        <v>0 - 5</v>
      </c>
      <c r="U107" t="str" cm="1">
        <f t="array" ref="U107">_xlfn.IFS(student_scores[[#This Row],[absence_days]]=0,"0", student_scores[[#This Row],[absence_days]]&lt;=3,"1-3", student_scores[[#This Row],[absence_days]]&lt;=6,"4-6", TRUE,"7-10")</f>
        <v>1-3</v>
      </c>
      <c r="V107" t="str">
        <f>IF(student_scores[[#This Row],[Total_Score]] &gt;= _xlfn.PERCENTILE.INC(student_scores[Total_Score], 0.8), "Yes", "No")</f>
        <v>No</v>
      </c>
    </row>
    <row r="108" spans="1:22" x14ac:dyDescent="0.35">
      <c r="A108">
        <v>107</v>
      </c>
      <c r="B108" t="s">
        <v>319</v>
      </c>
      <c r="C108" t="s">
        <v>320</v>
      </c>
      <c r="D108" t="s">
        <v>321</v>
      </c>
      <c r="E108" t="s">
        <v>25</v>
      </c>
      <c r="F108" t="b">
        <v>0</v>
      </c>
      <c r="G108">
        <v>3</v>
      </c>
      <c r="H108" t="b">
        <v>0</v>
      </c>
      <c r="I108">
        <v>16</v>
      </c>
      <c r="J108" t="s">
        <v>113</v>
      </c>
      <c r="K108">
        <v>91</v>
      </c>
      <c r="L108">
        <v>80</v>
      </c>
      <c r="M108">
        <v>97</v>
      </c>
      <c r="N108">
        <v>89</v>
      </c>
      <c r="O108">
        <v>94</v>
      </c>
      <c r="P108">
        <v>95</v>
      </c>
      <c r="Q108">
        <v>84</v>
      </c>
      <c r="R108">
        <f>SUM(student_scores[[#This Row],[math_score]:[geography_score]])</f>
        <v>630</v>
      </c>
      <c r="S108" s="3">
        <f>student_scores[[#This Row],[Total_Score]]/7</f>
        <v>90</v>
      </c>
      <c r="T108" s="3" t="str" cm="1">
        <f t="array" ref="T108">_xlfn.IFS(student_scores[[#This Row],[weekly_self_study_hours]]&lt;=5,   "0 - 5", student_scores[[#This Row],[weekly_self_study_hours]]&lt;=10,  "6 - 10", student_scores[[#This Row],[weekly_self_study_hours]]&lt;=20,  "11 - 20",student_scores[[#This Row],[weekly_self_study_hours]]&lt;=30, "21 - 30",TRUE, "31+")</f>
        <v>11 - 20</v>
      </c>
      <c r="U108" t="str" cm="1">
        <f t="array" ref="U108">_xlfn.IFS(student_scores[[#This Row],[absence_days]]=0,"0", student_scores[[#This Row],[absence_days]]&lt;=3,"1-3", student_scores[[#This Row],[absence_days]]&lt;=6,"4-6", TRUE,"7-10")</f>
        <v>1-3</v>
      </c>
      <c r="V108" t="str">
        <f>IF(student_scores[[#This Row],[Total_Score]] &gt;= _xlfn.PERCENTILE.INC(student_scores[Total_Score], 0.8), "Yes", "No")</f>
        <v>Yes</v>
      </c>
    </row>
    <row r="109" spans="1:22" x14ac:dyDescent="0.35">
      <c r="A109">
        <v>108</v>
      </c>
      <c r="B109" t="s">
        <v>322</v>
      </c>
      <c r="C109" t="s">
        <v>323</v>
      </c>
      <c r="D109" t="s">
        <v>324</v>
      </c>
      <c r="E109" t="s">
        <v>20</v>
      </c>
      <c r="F109" t="b">
        <v>0</v>
      </c>
      <c r="G109">
        <v>3</v>
      </c>
      <c r="H109" t="b">
        <v>1</v>
      </c>
      <c r="I109">
        <v>31</v>
      </c>
      <c r="J109" t="s">
        <v>76</v>
      </c>
      <c r="K109">
        <v>86</v>
      </c>
      <c r="L109">
        <v>81</v>
      </c>
      <c r="M109">
        <v>83</v>
      </c>
      <c r="N109">
        <v>81</v>
      </c>
      <c r="O109">
        <v>81</v>
      </c>
      <c r="P109">
        <v>77</v>
      </c>
      <c r="Q109">
        <v>86</v>
      </c>
      <c r="R109">
        <f>SUM(student_scores[[#This Row],[math_score]:[geography_score]])</f>
        <v>575</v>
      </c>
      <c r="S109" s="3">
        <f>student_scores[[#This Row],[Total_Score]]/7</f>
        <v>82.142857142857139</v>
      </c>
      <c r="T109" s="3" t="str" cm="1">
        <f t="array" ref="T109">_xlfn.IFS(student_scores[[#This Row],[weekly_self_study_hours]]&lt;=5,   "0 - 5", student_scores[[#This Row],[weekly_self_study_hours]]&lt;=10,  "6 - 10", student_scores[[#This Row],[weekly_self_study_hours]]&lt;=20,  "11 - 20",student_scores[[#This Row],[weekly_self_study_hours]]&lt;=30, "21 - 30",TRUE, "31+")</f>
        <v>31+</v>
      </c>
      <c r="U109" t="str" cm="1">
        <f t="array" ref="U109">_xlfn.IFS(student_scores[[#This Row],[absence_days]]=0,"0", student_scores[[#This Row],[absence_days]]&lt;=3,"1-3", student_scores[[#This Row],[absence_days]]&lt;=6,"4-6", TRUE,"7-10")</f>
        <v>1-3</v>
      </c>
      <c r="V109" t="str">
        <f>IF(student_scores[[#This Row],[Total_Score]] &gt;= _xlfn.PERCENTILE.INC(student_scores[Total_Score], 0.8), "Yes", "No")</f>
        <v>No</v>
      </c>
    </row>
    <row r="110" spans="1:22" x14ac:dyDescent="0.35">
      <c r="A110">
        <v>109</v>
      </c>
      <c r="B110" t="s">
        <v>325</v>
      </c>
      <c r="C110" t="s">
        <v>326</v>
      </c>
      <c r="D110" t="s">
        <v>327</v>
      </c>
      <c r="E110" t="s">
        <v>25</v>
      </c>
      <c r="F110" t="b">
        <v>0</v>
      </c>
      <c r="G110">
        <v>1</v>
      </c>
      <c r="H110" t="b">
        <v>0</v>
      </c>
      <c r="I110">
        <v>4</v>
      </c>
      <c r="J110" t="s">
        <v>38</v>
      </c>
      <c r="K110">
        <v>91</v>
      </c>
      <c r="L110">
        <v>93</v>
      </c>
      <c r="M110">
        <v>72</v>
      </c>
      <c r="N110">
        <v>61</v>
      </c>
      <c r="O110">
        <v>61</v>
      </c>
      <c r="P110">
        <v>87</v>
      </c>
      <c r="Q110">
        <v>95</v>
      </c>
      <c r="R110">
        <f>SUM(student_scores[[#This Row],[math_score]:[geography_score]])</f>
        <v>560</v>
      </c>
      <c r="S110" s="3">
        <f>student_scores[[#This Row],[Total_Score]]/7</f>
        <v>80</v>
      </c>
      <c r="T110" s="3" t="str" cm="1">
        <f t="array" ref="T110">_xlfn.IFS(student_scores[[#This Row],[weekly_self_study_hours]]&lt;=5,   "0 - 5", student_scores[[#This Row],[weekly_self_study_hours]]&lt;=10,  "6 - 10", student_scores[[#This Row],[weekly_self_study_hours]]&lt;=20,  "11 - 20",student_scores[[#This Row],[weekly_self_study_hours]]&lt;=30, "21 - 30",TRUE, "31+")</f>
        <v>0 - 5</v>
      </c>
      <c r="U110" t="str" cm="1">
        <f t="array" ref="U110">_xlfn.IFS(student_scores[[#This Row],[absence_days]]=0,"0", student_scores[[#This Row],[absence_days]]&lt;=3,"1-3", student_scores[[#This Row],[absence_days]]&lt;=6,"4-6", TRUE,"7-10")</f>
        <v>1-3</v>
      </c>
      <c r="V110" t="str">
        <f>IF(student_scores[[#This Row],[Total_Score]] &gt;= _xlfn.PERCENTILE.INC(student_scores[Total_Score], 0.8), "Yes", "No")</f>
        <v>No</v>
      </c>
    </row>
    <row r="111" spans="1:22" x14ac:dyDescent="0.35">
      <c r="A111">
        <v>110</v>
      </c>
      <c r="B111" t="s">
        <v>328</v>
      </c>
      <c r="C111" t="s">
        <v>329</v>
      </c>
      <c r="D111" t="s">
        <v>330</v>
      </c>
      <c r="E111" t="s">
        <v>20</v>
      </c>
      <c r="F111" t="b">
        <v>0</v>
      </c>
      <c r="G111">
        <v>5</v>
      </c>
      <c r="H111" t="b">
        <v>1</v>
      </c>
      <c r="I111">
        <v>13</v>
      </c>
      <c r="J111" t="s">
        <v>113</v>
      </c>
      <c r="K111">
        <v>78</v>
      </c>
      <c r="L111">
        <v>69</v>
      </c>
      <c r="M111">
        <v>82</v>
      </c>
      <c r="N111">
        <v>60</v>
      </c>
      <c r="O111">
        <v>64</v>
      </c>
      <c r="P111">
        <v>77</v>
      </c>
      <c r="Q111">
        <v>82</v>
      </c>
      <c r="R111">
        <f>SUM(student_scores[[#This Row],[math_score]:[geography_score]])</f>
        <v>512</v>
      </c>
      <c r="S111" s="3">
        <f>student_scores[[#This Row],[Total_Score]]/7</f>
        <v>73.142857142857139</v>
      </c>
      <c r="T111" s="3" t="str" cm="1">
        <f t="array" ref="T111">_xlfn.IFS(student_scores[[#This Row],[weekly_self_study_hours]]&lt;=5,   "0 - 5", student_scores[[#This Row],[weekly_self_study_hours]]&lt;=10,  "6 - 10", student_scores[[#This Row],[weekly_self_study_hours]]&lt;=20,  "11 - 20",student_scores[[#This Row],[weekly_self_study_hours]]&lt;=30, "21 - 30",TRUE, "31+")</f>
        <v>11 - 20</v>
      </c>
      <c r="U111" t="str" cm="1">
        <f t="array" ref="U111">_xlfn.IFS(student_scores[[#This Row],[absence_days]]=0,"0", student_scores[[#This Row],[absence_days]]&lt;=3,"1-3", student_scores[[#This Row],[absence_days]]&lt;=6,"4-6", TRUE,"7-10")</f>
        <v>4-6</v>
      </c>
      <c r="V111" t="str">
        <f>IF(student_scores[[#This Row],[Total_Score]] &gt;= _xlfn.PERCENTILE.INC(student_scores[Total_Score], 0.8), "Yes", "No")</f>
        <v>No</v>
      </c>
    </row>
    <row r="112" spans="1:22" x14ac:dyDescent="0.35">
      <c r="A112">
        <v>111</v>
      </c>
      <c r="B112" t="s">
        <v>331</v>
      </c>
      <c r="C112" t="s">
        <v>332</v>
      </c>
      <c r="D112" t="s">
        <v>333</v>
      </c>
      <c r="E112" t="s">
        <v>20</v>
      </c>
      <c r="F112" t="b">
        <v>0</v>
      </c>
      <c r="G112">
        <v>4</v>
      </c>
      <c r="H112" t="b">
        <v>0</v>
      </c>
      <c r="I112">
        <v>24</v>
      </c>
      <c r="J112" t="s">
        <v>172</v>
      </c>
      <c r="K112">
        <v>76</v>
      </c>
      <c r="L112">
        <v>89</v>
      </c>
      <c r="M112">
        <v>89</v>
      </c>
      <c r="N112">
        <v>83</v>
      </c>
      <c r="O112">
        <v>89</v>
      </c>
      <c r="P112">
        <v>90</v>
      </c>
      <c r="Q112">
        <v>64</v>
      </c>
      <c r="R112">
        <f>SUM(student_scores[[#This Row],[math_score]:[geography_score]])</f>
        <v>580</v>
      </c>
      <c r="S112" s="3">
        <f>student_scores[[#This Row],[Total_Score]]/7</f>
        <v>82.857142857142861</v>
      </c>
      <c r="T112" s="3" t="str" cm="1">
        <f t="array" ref="T112">_xlfn.IFS(student_scores[[#This Row],[weekly_self_study_hours]]&lt;=5,   "0 - 5", student_scores[[#This Row],[weekly_self_study_hours]]&lt;=10,  "6 - 10", student_scores[[#This Row],[weekly_self_study_hours]]&lt;=20,  "11 - 20",student_scores[[#This Row],[weekly_self_study_hours]]&lt;=30, "21 - 30",TRUE, "31+")</f>
        <v>21 - 30</v>
      </c>
      <c r="U112" t="str" cm="1">
        <f t="array" ref="U112">_xlfn.IFS(student_scores[[#This Row],[absence_days]]=0,"0", student_scores[[#This Row],[absence_days]]&lt;=3,"1-3", student_scores[[#This Row],[absence_days]]&lt;=6,"4-6", TRUE,"7-10")</f>
        <v>4-6</v>
      </c>
      <c r="V112" t="str">
        <f>IF(student_scores[[#This Row],[Total_Score]] &gt;= _xlfn.PERCENTILE.INC(student_scores[Total_Score], 0.8), "Yes", "No")</f>
        <v>No</v>
      </c>
    </row>
    <row r="113" spans="1:22" x14ac:dyDescent="0.35">
      <c r="A113">
        <v>112</v>
      </c>
      <c r="B113" t="s">
        <v>319</v>
      </c>
      <c r="C113" t="s">
        <v>295</v>
      </c>
      <c r="D113" t="s">
        <v>334</v>
      </c>
      <c r="E113" t="s">
        <v>25</v>
      </c>
      <c r="F113" t="b">
        <v>1</v>
      </c>
      <c r="G113">
        <v>9</v>
      </c>
      <c r="H113" t="b">
        <v>0</v>
      </c>
      <c r="I113">
        <v>2</v>
      </c>
      <c r="J113" t="s">
        <v>64</v>
      </c>
      <c r="K113">
        <v>82</v>
      </c>
      <c r="L113">
        <v>54</v>
      </c>
      <c r="M113">
        <v>85</v>
      </c>
      <c r="N113">
        <v>57</v>
      </c>
      <c r="O113">
        <v>50</v>
      </c>
      <c r="P113">
        <v>54</v>
      </c>
      <c r="Q113">
        <v>76</v>
      </c>
      <c r="R113">
        <f>SUM(student_scores[[#This Row],[math_score]:[geography_score]])</f>
        <v>458</v>
      </c>
      <c r="S113" s="3">
        <f>student_scores[[#This Row],[Total_Score]]/7</f>
        <v>65.428571428571431</v>
      </c>
      <c r="T113" s="3" t="str" cm="1">
        <f t="array" ref="T113">_xlfn.IFS(student_scores[[#This Row],[weekly_self_study_hours]]&lt;=5,   "0 - 5", student_scores[[#This Row],[weekly_self_study_hours]]&lt;=10,  "6 - 10", student_scores[[#This Row],[weekly_self_study_hours]]&lt;=20,  "11 - 20",student_scores[[#This Row],[weekly_self_study_hours]]&lt;=30, "21 - 30",TRUE, "31+")</f>
        <v>0 - 5</v>
      </c>
      <c r="U113" t="str" cm="1">
        <f t="array" ref="U113">_xlfn.IFS(student_scores[[#This Row],[absence_days]]=0,"0", student_scores[[#This Row],[absence_days]]&lt;=3,"1-3", student_scores[[#This Row],[absence_days]]&lt;=6,"4-6", TRUE,"7-10")</f>
        <v>7-10</v>
      </c>
      <c r="V113" t="str">
        <f>IF(student_scores[[#This Row],[Total_Score]] &gt;= _xlfn.PERCENTILE.INC(student_scores[Total_Score], 0.8), "Yes", "No")</f>
        <v>No</v>
      </c>
    </row>
    <row r="114" spans="1:22" x14ac:dyDescent="0.35">
      <c r="A114">
        <v>113</v>
      </c>
      <c r="B114" t="s">
        <v>263</v>
      </c>
      <c r="C114" t="s">
        <v>335</v>
      </c>
      <c r="D114" t="s">
        <v>336</v>
      </c>
      <c r="E114" t="s">
        <v>20</v>
      </c>
      <c r="F114" t="b">
        <v>1</v>
      </c>
      <c r="G114">
        <v>2</v>
      </c>
      <c r="H114" t="b">
        <v>1</v>
      </c>
      <c r="I114">
        <v>4</v>
      </c>
      <c r="J114" t="s">
        <v>64</v>
      </c>
      <c r="K114">
        <v>45</v>
      </c>
      <c r="L114">
        <v>85</v>
      </c>
      <c r="M114">
        <v>94</v>
      </c>
      <c r="N114">
        <v>76</v>
      </c>
      <c r="O114">
        <v>57</v>
      </c>
      <c r="P114">
        <v>93</v>
      </c>
      <c r="Q114">
        <v>86</v>
      </c>
      <c r="R114">
        <f>SUM(student_scores[[#This Row],[math_score]:[geography_score]])</f>
        <v>536</v>
      </c>
      <c r="S114" s="3">
        <f>student_scores[[#This Row],[Total_Score]]/7</f>
        <v>76.571428571428569</v>
      </c>
      <c r="T114" s="3" t="str" cm="1">
        <f t="array" ref="T114">_xlfn.IFS(student_scores[[#This Row],[weekly_self_study_hours]]&lt;=5,   "0 - 5", student_scores[[#This Row],[weekly_self_study_hours]]&lt;=10,  "6 - 10", student_scores[[#This Row],[weekly_self_study_hours]]&lt;=20,  "11 - 20",student_scores[[#This Row],[weekly_self_study_hours]]&lt;=30, "21 - 30",TRUE, "31+")</f>
        <v>0 - 5</v>
      </c>
      <c r="U114" t="str" cm="1">
        <f t="array" ref="U114">_xlfn.IFS(student_scores[[#This Row],[absence_days]]=0,"0", student_scores[[#This Row],[absence_days]]&lt;=3,"1-3", student_scores[[#This Row],[absence_days]]&lt;=6,"4-6", TRUE,"7-10")</f>
        <v>1-3</v>
      </c>
      <c r="V114" t="str">
        <f>IF(student_scores[[#This Row],[Total_Score]] &gt;= _xlfn.PERCENTILE.INC(student_scores[Total_Score], 0.8), "Yes", "No")</f>
        <v>No</v>
      </c>
    </row>
    <row r="115" spans="1:22" x14ac:dyDescent="0.35">
      <c r="A115">
        <v>114</v>
      </c>
      <c r="B115" t="s">
        <v>337</v>
      </c>
      <c r="C115" t="s">
        <v>281</v>
      </c>
      <c r="D115" t="s">
        <v>338</v>
      </c>
      <c r="E115" t="s">
        <v>25</v>
      </c>
      <c r="F115" t="b">
        <v>0</v>
      </c>
      <c r="G115">
        <v>1</v>
      </c>
      <c r="H115" t="b">
        <v>0</v>
      </c>
      <c r="I115">
        <v>22</v>
      </c>
      <c r="J115" t="s">
        <v>105</v>
      </c>
      <c r="K115">
        <v>92</v>
      </c>
      <c r="L115">
        <v>75</v>
      </c>
      <c r="M115">
        <v>65</v>
      </c>
      <c r="N115">
        <v>97</v>
      </c>
      <c r="O115">
        <v>61</v>
      </c>
      <c r="P115">
        <v>76</v>
      </c>
      <c r="Q115">
        <v>81</v>
      </c>
      <c r="R115">
        <f>SUM(student_scores[[#This Row],[math_score]:[geography_score]])</f>
        <v>547</v>
      </c>
      <c r="S115" s="3">
        <f>student_scores[[#This Row],[Total_Score]]/7</f>
        <v>78.142857142857139</v>
      </c>
      <c r="T115" s="3" t="str" cm="1">
        <f t="array" ref="T115">_xlfn.IFS(student_scores[[#This Row],[weekly_self_study_hours]]&lt;=5,   "0 - 5", student_scores[[#This Row],[weekly_self_study_hours]]&lt;=10,  "6 - 10", student_scores[[#This Row],[weekly_self_study_hours]]&lt;=20,  "11 - 20",student_scores[[#This Row],[weekly_self_study_hours]]&lt;=30, "21 - 30",TRUE, "31+")</f>
        <v>21 - 30</v>
      </c>
      <c r="U115" t="str" cm="1">
        <f t="array" ref="U115">_xlfn.IFS(student_scores[[#This Row],[absence_days]]=0,"0", student_scores[[#This Row],[absence_days]]&lt;=3,"1-3", student_scores[[#This Row],[absence_days]]&lt;=6,"4-6", TRUE,"7-10")</f>
        <v>1-3</v>
      </c>
      <c r="V115" t="str">
        <f>IF(student_scores[[#This Row],[Total_Score]] &gt;= _xlfn.PERCENTILE.INC(student_scores[Total_Score], 0.8), "Yes", "No")</f>
        <v>No</v>
      </c>
    </row>
    <row r="116" spans="1:22" x14ac:dyDescent="0.35">
      <c r="A116">
        <v>115</v>
      </c>
      <c r="B116" t="s">
        <v>277</v>
      </c>
      <c r="C116" t="s">
        <v>339</v>
      </c>
      <c r="D116" t="s">
        <v>340</v>
      </c>
      <c r="E116" t="s">
        <v>20</v>
      </c>
      <c r="F116" t="b">
        <v>0</v>
      </c>
      <c r="G116">
        <v>6</v>
      </c>
      <c r="H116" t="b">
        <v>1</v>
      </c>
      <c r="I116">
        <v>0</v>
      </c>
      <c r="J116" t="s">
        <v>64</v>
      </c>
      <c r="K116">
        <v>43</v>
      </c>
      <c r="L116">
        <v>65</v>
      </c>
      <c r="M116">
        <v>91</v>
      </c>
      <c r="N116">
        <v>75</v>
      </c>
      <c r="O116">
        <v>64</v>
      </c>
      <c r="P116">
        <v>94</v>
      </c>
      <c r="Q116">
        <v>100</v>
      </c>
      <c r="R116">
        <f>SUM(student_scores[[#This Row],[math_score]:[geography_score]])</f>
        <v>532</v>
      </c>
      <c r="S116" s="3">
        <f>student_scores[[#This Row],[Total_Score]]/7</f>
        <v>76</v>
      </c>
      <c r="T116" s="3" t="str" cm="1">
        <f t="array" ref="T116">_xlfn.IFS(student_scores[[#This Row],[weekly_self_study_hours]]&lt;=5,   "0 - 5", student_scores[[#This Row],[weekly_self_study_hours]]&lt;=10,  "6 - 10", student_scores[[#This Row],[weekly_self_study_hours]]&lt;=20,  "11 - 20",student_scores[[#This Row],[weekly_self_study_hours]]&lt;=30, "21 - 30",TRUE, "31+")</f>
        <v>0 - 5</v>
      </c>
      <c r="U116" t="str" cm="1">
        <f t="array" ref="U116">_xlfn.IFS(student_scores[[#This Row],[absence_days]]=0,"0", student_scores[[#This Row],[absence_days]]&lt;=3,"1-3", student_scores[[#This Row],[absence_days]]&lt;=6,"4-6", TRUE,"7-10")</f>
        <v>4-6</v>
      </c>
      <c r="V116" t="str">
        <f>IF(student_scores[[#This Row],[Total_Score]] &gt;= _xlfn.PERCENTILE.INC(student_scores[Total_Score], 0.8), "Yes", "No")</f>
        <v>No</v>
      </c>
    </row>
    <row r="117" spans="1:22" x14ac:dyDescent="0.35">
      <c r="A117">
        <v>116</v>
      </c>
      <c r="B117" t="s">
        <v>277</v>
      </c>
      <c r="C117" t="s">
        <v>115</v>
      </c>
      <c r="D117" t="s">
        <v>341</v>
      </c>
      <c r="E117" t="s">
        <v>20</v>
      </c>
      <c r="F117" t="b">
        <v>0</v>
      </c>
      <c r="G117">
        <v>2</v>
      </c>
      <c r="H117" t="b">
        <v>0</v>
      </c>
      <c r="I117">
        <v>24</v>
      </c>
      <c r="J117" t="s">
        <v>38</v>
      </c>
      <c r="K117">
        <v>96</v>
      </c>
      <c r="L117">
        <v>66</v>
      </c>
      <c r="M117">
        <v>69</v>
      </c>
      <c r="N117">
        <v>65</v>
      </c>
      <c r="O117">
        <v>72</v>
      </c>
      <c r="P117">
        <v>84</v>
      </c>
      <c r="Q117">
        <v>77</v>
      </c>
      <c r="R117">
        <f>SUM(student_scores[[#This Row],[math_score]:[geography_score]])</f>
        <v>529</v>
      </c>
      <c r="S117" s="3">
        <f>student_scores[[#This Row],[Total_Score]]/7</f>
        <v>75.571428571428569</v>
      </c>
      <c r="T117" s="3" t="str" cm="1">
        <f t="array" ref="T117">_xlfn.IFS(student_scores[[#This Row],[weekly_self_study_hours]]&lt;=5,   "0 - 5", student_scores[[#This Row],[weekly_self_study_hours]]&lt;=10,  "6 - 10", student_scores[[#This Row],[weekly_self_study_hours]]&lt;=20,  "11 - 20",student_scores[[#This Row],[weekly_self_study_hours]]&lt;=30, "21 - 30",TRUE, "31+")</f>
        <v>21 - 30</v>
      </c>
      <c r="U117" t="str" cm="1">
        <f t="array" ref="U117">_xlfn.IFS(student_scores[[#This Row],[absence_days]]=0,"0", student_scores[[#This Row],[absence_days]]&lt;=3,"1-3", student_scores[[#This Row],[absence_days]]&lt;=6,"4-6", TRUE,"7-10")</f>
        <v>1-3</v>
      </c>
      <c r="V117" t="str">
        <f>IF(student_scores[[#This Row],[Total_Score]] &gt;= _xlfn.PERCENTILE.INC(student_scores[Total_Score], 0.8), "Yes", "No")</f>
        <v>No</v>
      </c>
    </row>
    <row r="118" spans="1:22" x14ac:dyDescent="0.35">
      <c r="A118">
        <v>117</v>
      </c>
      <c r="B118" t="s">
        <v>342</v>
      </c>
      <c r="C118" t="s">
        <v>343</v>
      </c>
      <c r="D118" t="s">
        <v>344</v>
      </c>
      <c r="E118" t="s">
        <v>25</v>
      </c>
      <c r="F118" t="b">
        <v>0</v>
      </c>
      <c r="G118">
        <v>6</v>
      </c>
      <c r="H118" t="b">
        <v>0</v>
      </c>
      <c r="I118">
        <v>1</v>
      </c>
      <c r="J118" t="s">
        <v>64</v>
      </c>
      <c r="K118">
        <v>78</v>
      </c>
      <c r="L118">
        <v>71</v>
      </c>
      <c r="M118">
        <v>50</v>
      </c>
      <c r="N118">
        <v>55</v>
      </c>
      <c r="O118">
        <v>54</v>
      </c>
      <c r="P118">
        <v>97</v>
      </c>
      <c r="Q118">
        <v>95</v>
      </c>
      <c r="R118">
        <f>SUM(student_scores[[#This Row],[math_score]:[geography_score]])</f>
        <v>500</v>
      </c>
      <c r="S118" s="3">
        <f>student_scores[[#This Row],[Total_Score]]/7</f>
        <v>71.428571428571431</v>
      </c>
      <c r="T118" s="3" t="str" cm="1">
        <f t="array" ref="T118">_xlfn.IFS(student_scores[[#This Row],[weekly_self_study_hours]]&lt;=5,   "0 - 5", student_scores[[#This Row],[weekly_self_study_hours]]&lt;=10,  "6 - 10", student_scores[[#This Row],[weekly_self_study_hours]]&lt;=20,  "11 - 20",student_scores[[#This Row],[weekly_self_study_hours]]&lt;=30, "21 - 30",TRUE, "31+")</f>
        <v>0 - 5</v>
      </c>
      <c r="U118" t="str" cm="1">
        <f t="array" ref="U118">_xlfn.IFS(student_scores[[#This Row],[absence_days]]=0,"0", student_scores[[#This Row],[absence_days]]&lt;=3,"1-3", student_scores[[#This Row],[absence_days]]&lt;=6,"4-6", TRUE,"7-10")</f>
        <v>4-6</v>
      </c>
      <c r="V118" t="str">
        <f>IF(student_scores[[#This Row],[Total_Score]] &gt;= _xlfn.PERCENTILE.INC(student_scores[Total_Score], 0.8), "Yes", "No")</f>
        <v>No</v>
      </c>
    </row>
    <row r="119" spans="1:22" x14ac:dyDescent="0.35">
      <c r="A119">
        <v>118</v>
      </c>
      <c r="B119" t="s">
        <v>345</v>
      </c>
      <c r="C119" t="s">
        <v>346</v>
      </c>
      <c r="D119" t="s">
        <v>347</v>
      </c>
      <c r="E119" t="s">
        <v>25</v>
      </c>
      <c r="F119" t="b">
        <v>0</v>
      </c>
      <c r="G119">
        <v>1</v>
      </c>
      <c r="H119" t="b">
        <v>0</v>
      </c>
      <c r="I119">
        <v>19</v>
      </c>
      <c r="J119" t="s">
        <v>38</v>
      </c>
      <c r="K119">
        <v>68</v>
      </c>
      <c r="L119">
        <v>96</v>
      </c>
      <c r="M119">
        <v>64</v>
      </c>
      <c r="N119">
        <v>70</v>
      </c>
      <c r="O119">
        <v>74</v>
      </c>
      <c r="P119">
        <v>63</v>
      </c>
      <c r="Q119">
        <v>75</v>
      </c>
      <c r="R119">
        <f>SUM(student_scores[[#This Row],[math_score]:[geography_score]])</f>
        <v>510</v>
      </c>
      <c r="S119" s="3">
        <f>student_scores[[#This Row],[Total_Score]]/7</f>
        <v>72.857142857142861</v>
      </c>
      <c r="T119" s="3" t="str" cm="1">
        <f t="array" ref="T119">_xlfn.IFS(student_scores[[#This Row],[weekly_self_study_hours]]&lt;=5,   "0 - 5", student_scores[[#This Row],[weekly_self_study_hours]]&lt;=10,  "6 - 10", student_scores[[#This Row],[weekly_self_study_hours]]&lt;=20,  "11 - 20",student_scores[[#This Row],[weekly_self_study_hours]]&lt;=30, "21 - 30",TRUE, "31+")</f>
        <v>11 - 20</v>
      </c>
      <c r="U119" t="str" cm="1">
        <f t="array" ref="U119">_xlfn.IFS(student_scores[[#This Row],[absence_days]]=0,"0", student_scores[[#This Row],[absence_days]]&lt;=3,"1-3", student_scores[[#This Row],[absence_days]]&lt;=6,"4-6", TRUE,"7-10")</f>
        <v>1-3</v>
      </c>
      <c r="V119" t="str">
        <f>IF(student_scores[[#This Row],[Total_Score]] &gt;= _xlfn.PERCENTILE.INC(student_scores[Total_Score], 0.8), "Yes", "No")</f>
        <v>No</v>
      </c>
    </row>
    <row r="120" spans="1:22" x14ac:dyDescent="0.35">
      <c r="A120">
        <v>119</v>
      </c>
      <c r="B120" t="s">
        <v>348</v>
      </c>
      <c r="C120" t="s">
        <v>349</v>
      </c>
      <c r="D120" t="s">
        <v>350</v>
      </c>
      <c r="E120" t="s">
        <v>20</v>
      </c>
      <c r="F120" t="b">
        <v>0</v>
      </c>
      <c r="G120">
        <v>1</v>
      </c>
      <c r="H120" t="b">
        <v>1</v>
      </c>
      <c r="I120">
        <v>19</v>
      </c>
      <c r="J120" t="s">
        <v>44</v>
      </c>
      <c r="K120">
        <v>93</v>
      </c>
      <c r="L120">
        <v>73</v>
      </c>
      <c r="M120">
        <v>94</v>
      </c>
      <c r="N120">
        <v>65</v>
      </c>
      <c r="O120">
        <v>60</v>
      </c>
      <c r="P120">
        <v>63</v>
      </c>
      <c r="Q120">
        <v>93</v>
      </c>
      <c r="R120">
        <f>SUM(student_scores[[#This Row],[math_score]:[geography_score]])</f>
        <v>541</v>
      </c>
      <c r="S120" s="3">
        <f>student_scores[[#This Row],[Total_Score]]/7</f>
        <v>77.285714285714292</v>
      </c>
      <c r="T120" s="3" t="str" cm="1">
        <f t="array" ref="T120">_xlfn.IFS(student_scores[[#This Row],[weekly_self_study_hours]]&lt;=5,   "0 - 5", student_scores[[#This Row],[weekly_self_study_hours]]&lt;=10,  "6 - 10", student_scores[[#This Row],[weekly_self_study_hours]]&lt;=20,  "11 - 20",student_scores[[#This Row],[weekly_self_study_hours]]&lt;=30, "21 - 30",TRUE, "31+")</f>
        <v>11 - 20</v>
      </c>
      <c r="U120" t="str" cm="1">
        <f t="array" ref="U120">_xlfn.IFS(student_scores[[#This Row],[absence_days]]=0,"0", student_scores[[#This Row],[absence_days]]&lt;=3,"1-3", student_scores[[#This Row],[absence_days]]&lt;=6,"4-6", TRUE,"7-10")</f>
        <v>1-3</v>
      </c>
      <c r="V120" t="str">
        <f>IF(student_scores[[#This Row],[Total_Score]] &gt;= _xlfn.PERCENTILE.INC(student_scores[Total_Score], 0.8), "Yes", "No")</f>
        <v>No</v>
      </c>
    </row>
    <row r="121" spans="1:22" x14ac:dyDescent="0.35">
      <c r="A121">
        <v>120</v>
      </c>
      <c r="B121" t="s">
        <v>351</v>
      </c>
      <c r="C121" t="s">
        <v>352</v>
      </c>
      <c r="D121" t="s">
        <v>353</v>
      </c>
      <c r="E121" t="s">
        <v>25</v>
      </c>
      <c r="F121" t="b">
        <v>0</v>
      </c>
      <c r="G121">
        <v>6</v>
      </c>
      <c r="H121" t="b">
        <v>0</v>
      </c>
      <c r="I121">
        <v>5</v>
      </c>
      <c r="J121" t="s">
        <v>64</v>
      </c>
      <c r="K121">
        <v>55</v>
      </c>
      <c r="L121">
        <v>93</v>
      </c>
      <c r="M121">
        <v>67</v>
      </c>
      <c r="N121">
        <v>74</v>
      </c>
      <c r="O121">
        <v>55</v>
      </c>
      <c r="P121">
        <v>60</v>
      </c>
      <c r="Q121">
        <v>64</v>
      </c>
      <c r="R121">
        <f>SUM(student_scores[[#This Row],[math_score]:[geography_score]])</f>
        <v>468</v>
      </c>
      <c r="S121" s="3">
        <f>student_scores[[#This Row],[Total_Score]]/7</f>
        <v>66.857142857142861</v>
      </c>
      <c r="T121" s="3" t="str" cm="1">
        <f t="array" ref="T121">_xlfn.IFS(student_scores[[#This Row],[weekly_self_study_hours]]&lt;=5,   "0 - 5", student_scores[[#This Row],[weekly_self_study_hours]]&lt;=10,  "6 - 10", student_scores[[#This Row],[weekly_self_study_hours]]&lt;=20,  "11 - 20",student_scores[[#This Row],[weekly_self_study_hours]]&lt;=30, "21 - 30",TRUE, "31+")</f>
        <v>0 - 5</v>
      </c>
      <c r="U121" t="str" cm="1">
        <f t="array" ref="U121">_xlfn.IFS(student_scores[[#This Row],[absence_days]]=0,"0", student_scores[[#This Row],[absence_days]]&lt;=3,"1-3", student_scores[[#This Row],[absence_days]]&lt;=6,"4-6", TRUE,"7-10")</f>
        <v>4-6</v>
      </c>
      <c r="V121" t="str">
        <f>IF(student_scores[[#This Row],[Total_Score]] &gt;= _xlfn.PERCENTILE.INC(student_scores[Total_Score], 0.8), "Yes", "No")</f>
        <v>No</v>
      </c>
    </row>
    <row r="122" spans="1:22" x14ac:dyDescent="0.35">
      <c r="A122">
        <v>121</v>
      </c>
      <c r="B122" t="s">
        <v>354</v>
      </c>
      <c r="C122" t="s">
        <v>355</v>
      </c>
      <c r="D122" t="s">
        <v>356</v>
      </c>
      <c r="E122" t="s">
        <v>25</v>
      </c>
      <c r="F122" t="b">
        <v>1</v>
      </c>
      <c r="G122">
        <v>0</v>
      </c>
      <c r="H122" t="b">
        <v>0</v>
      </c>
      <c r="I122">
        <v>13</v>
      </c>
      <c r="J122" t="s">
        <v>54</v>
      </c>
      <c r="K122">
        <v>66</v>
      </c>
      <c r="L122">
        <v>90</v>
      </c>
      <c r="M122">
        <v>83</v>
      </c>
      <c r="N122">
        <v>80</v>
      </c>
      <c r="O122">
        <v>76</v>
      </c>
      <c r="P122">
        <v>90</v>
      </c>
      <c r="Q122">
        <v>91</v>
      </c>
      <c r="R122">
        <f>SUM(student_scores[[#This Row],[math_score]:[geography_score]])</f>
        <v>576</v>
      </c>
      <c r="S122" s="3">
        <f>student_scores[[#This Row],[Total_Score]]/7</f>
        <v>82.285714285714292</v>
      </c>
      <c r="T122" s="3" t="str" cm="1">
        <f t="array" ref="T122">_xlfn.IFS(student_scores[[#This Row],[weekly_self_study_hours]]&lt;=5,   "0 - 5", student_scores[[#This Row],[weekly_self_study_hours]]&lt;=10,  "6 - 10", student_scores[[#This Row],[weekly_self_study_hours]]&lt;=20,  "11 - 20",student_scores[[#This Row],[weekly_self_study_hours]]&lt;=30, "21 - 30",TRUE, "31+")</f>
        <v>11 - 20</v>
      </c>
      <c r="U122" t="str" cm="1">
        <f t="array" ref="U122">_xlfn.IFS(student_scores[[#This Row],[absence_days]]=0,"0", student_scores[[#This Row],[absence_days]]&lt;=3,"1-3", student_scores[[#This Row],[absence_days]]&lt;=6,"4-6", TRUE,"7-10")</f>
        <v>0</v>
      </c>
      <c r="V122" t="str">
        <f>IF(student_scores[[#This Row],[Total_Score]] &gt;= _xlfn.PERCENTILE.INC(student_scores[Total_Score], 0.8), "Yes", "No")</f>
        <v>No</v>
      </c>
    </row>
    <row r="123" spans="1:22" x14ac:dyDescent="0.35">
      <c r="A123">
        <v>122</v>
      </c>
      <c r="B123" t="s">
        <v>357</v>
      </c>
      <c r="C123" t="s">
        <v>358</v>
      </c>
      <c r="D123" t="s">
        <v>359</v>
      </c>
      <c r="E123" t="s">
        <v>20</v>
      </c>
      <c r="F123" t="b">
        <v>0</v>
      </c>
      <c r="G123">
        <v>4</v>
      </c>
      <c r="H123" t="b">
        <v>0</v>
      </c>
      <c r="I123">
        <v>26</v>
      </c>
      <c r="J123" t="s">
        <v>26</v>
      </c>
      <c r="K123">
        <v>98</v>
      </c>
      <c r="L123">
        <v>92</v>
      </c>
      <c r="M123">
        <v>91</v>
      </c>
      <c r="N123">
        <v>99</v>
      </c>
      <c r="O123">
        <v>97</v>
      </c>
      <c r="P123">
        <v>88</v>
      </c>
      <c r="Q123">
        <v>75</v>
      </c>
      <c r="R123">
        <f>SUM(student_scores[[#This Row],[math_score]:[geography_score]])</f>
        <v>640</v>
      </c>
      <c r="S123" s="3">
        <f>student_scores[[#This Row],[Total_Score]]/7</f>
        <v>91.428571428571431</v>
      </c>
      <c r="T123" s="3" t="str" cm="1">
        <f t="array" ref="T123">_xlfn.IFS(student_scores[[#This Row],[weekly_self_study_hours]]&lt;=5,   "0 - 5", student_scores[[#This Row],[weekly_self_study_hours]]&lt;=10,  "6 - 10", student_scores[[#This Row],[weekly_self_study_hours]]&lt;=20,  "11 - 20",student_scores[[#This Row],[weekly_self_study_hours]]&lt;=30, "21 - 30",TRUE, "31+")</f>
        <v>21 - 30</v>
      </c>
      <c r="U123" t="str" cm="1">
        <f t="array" ref="U123">_xlfn.IFS(student_scores[[#This Row],[absence_days]]=0,"0", student_scores[[#This Row],[absence_days]]&lt;=3,"1-3", student_scores[[#This Row],[absence_days]]&lt;=6,"4-6", TRUE,"7-10")</f>
        <v>4-6</v>
      </c>
      <c r="V123" t="str">
        <f>IF(student_scores[[#This Row],[Total_Score]] &gt;= _xlfn.PERCENTILE.INC(student_scores[Total_Score], 0.8), "Yes", "No")</f>
        <v>Yes</v>
      </c>
    </row>
    <row r="124" spans="1:22" x14ac:dyDescent="0.35">
      <c r="A124">
        <v>123</v>
      </c>
      <c r="B124" t="s">
        <v>197</v>
      </c>
      <c r="C124" t="s">
        <v>215</v>
      </c>
      <c r="D124" t="s">
        <v>360</v>
      </c>
      <c r="E124" t="s">
        <v>20</v>
      </c>
      <c r="F124" t="b">
        <v>0</v>
      </c>
      <c r="G124">
        <v>4</v>
      </c>
      <c r="H124" t="b">
        <v>0</v>
      </c>
      <c r="I124">
        <v>41</v>
      </c>
      <c r="J124" t="s">
        <v>26</v>
      </c>
      <c r="K124">
        <v>94</v>
      </c>
      <c r="L124">
        <v>94</v>
      </c>
      <c r="M124">
        <v>94</v>
      </c>
      <c r="N124">
        <v>89</v>
      </c>
      <c r="O124">
        <v>85</v>
      </c>
      <c r="P124">
        <v>86</v>
      </c>
      <c r="Q124">
        <v>85</v>
      </c>
      <c r="R124">
        <f>SUM(student_scores[[#This Row],[math_score]:[geography_score]])</f>
        <v>627</v>
      </c>
      <c r="S124" s="3">
        <f>student_scores[[#This Row],[Total_Score]]/7</f>
        <v>89.571428571428569</v>
      </c>
      <c r="T124" s="3" t="str" cm="1">
        <f t="array" ref="T124">_xlfn.IFS(student_scores[[#This Row],[weekly_self_study_hours]]&lt;=5,   "0 - 5", student_scores[[#This Row],[weekly_self_study_hours]]&lt;=10,  "6 - 10", student_scores[[#This Row],[weekly_self_study_hours]]&lt;=20,  "11 - 20",student_scores[[#This Row],[weekly_self_study_hours]]&lt;=30, "21 - 30",TRUE, "31+")</f>
        <v>31+</v>
      </c>
      <c r="U124" t="str" cm="1">
        <f t="array" ref="U124">_xlfn.IFS(student_scores[[#This Row],[absence_days]]=0,"0", student_scores[[#This Row],[absence_days]]&lt;=3,"1-3", student_scores[[#This Row],[absence_days]]&lt;=6,"4-6", TRUE,"7-10")</f>
        <v>4-6</v>
      </c>
      <c r="V124" t="str">
        <f>IF(student_scores[[#This Row],[Total_Score]] &gt;= _xlfn.PERCENTILE.INC(student_scores[Total_Score], 0.8), "Yes", "No")</f>
        <v>Yes</v>
      </c>
    </row>
    <row r="125" spans="1:22" x14ac:dyDescent="0.35">
      <c r="A125">
        <v>124</v>
      </c>
      <c r="B125" t="s">
        <v>361</v>
      </c>
      <c r="C125" t="s">
        <v>209</v>
      </c>
      <c r="D125" t="s">
        <v>362</v>
      </c>
      <c r="E125" t="s">
        <v>25</v>
      </c>
      <c r="F125" t="b">
        <v>0</v>
      </c>
      <c r="G125">
        <v>3</v>
      </c>
      <c r="H125" t="b">
        <v>0</v>
      </c>
      <c r="I125">
        <v>47</v>
      </c>
      <c r="J125" t="s">
        <v>26</v>
      </c>
      <c r="K125">
        <v>96</v>
      </c>
      <c r="L125">
        <v>100</v>
      </c>
      <c r="M125">
        <v>96</v>
      </c>
      <c r="N125">
        <v>91</v>
      </c>
      <c r="O125">
        <v>91</v>
      </c>
      <c r="P125">
        <v>96</v>
      </c>
      <c r="Q125">
        <v>89</v>
      </c>
      <c r="R125">
        <f>SUM(student_scores[[#This Row],[math_score]:[geography_score]])</f>
        <v>659</v>
      </c>
      <c r="S125" s="3">
        <f>student_scores[[#This Row],[Total_Score]]/7</f>
        <v>94.142857142857139</v>
      </c>
      <c r="T125" s="3" t="str" cm="1">
        <f t="array" ref="T125">_xlfn.IFS(student_scores[[#This Row],[weekly_self_study_hours]]&lt;=5,   "0 - 5", student_scores[[#This Row],[weekly_self_study_hours]]&lt;=10,  "6 - 10", student_scores[[#This Row],[weekly_self_study_hours]]&lt;=20,  "11 - 20",student_scores[[#This Row],[weekly_self_study_hours]]&lt;=30, "21 - 30",TRUE, "31+")</f>
        <v>31+</v>
      </c>
      <c r="U125" t="str" cm="1">
        <f t="array" ref="U125">_xlfn.IFS(student_scores[[#This Row],[absence_days]]=0,"0", student_scores[[#This Row],[absence_days]]&lt;=3,"1-3", student_scores[[#This Row],[absence_days]]&lt;=6,"4-6", TRUE,"7-10")</f>
        <v>1-3</v>
      </c>
      <c r="V125" t="str">
        <f>IF(student_scores[[#This Row],[Total_Score]] &gt;= _xlfn.PERCENTILE.INC(student_scores[Total_Score], 0.8), "Yes", "No")</f>
        <v>Yes</v>
      </c>
    </row>
    <row r="126" spans="1:22" x14ac:dyDescent="0.35">
      <c r="A126">
        <v>125</v>
      </c>
      <c r="B126" t="s">
        <v>190</v>
      </c>
      <c r="C126" t="s">
        <v>118</v>
      </c>
      <c r="D126" t="s">
        <v>363</v>
      </c>
      <c r="E126" t="s">
        <v>25</v>
      </c>
      <c r="F126" t="b">
        <v>0</v>
      </c>
      <c r="G126">
        <v>2</v>
      </c>
      <c r="H126" t="b">
        <v>0</v>
      </c>
      <c r="I126">
        <v>9</v>
      </c>
      <c r="J126" t="s">
        <v>38</v>
      </c>
      <c r="K126">
        <v>69</v>
      </c>
      <c r="L126">
        <v>62</v>
      </c>
      <c r="M126">
        <v>82</v>
      </c>
      <c r="N126">
        <v>89</v>
      </c>
      <c r="O126">
        <v>81</v>
      </c>
      <c r="P126">
        <v>72</v>
      </c>
      <c r="Q126">
        <v>71</v>
      </c>
      <c r="R126">
        <f>SUM(student_scores[[#This Row],[math_score]:[geography_score]])</f>
        <v>526</v>
      </c>
      <c r="S126" s="3">
        <f>student_scores[[#This Row],[Total_Score]]/7</f>
        <v>75.142857142857139</v>
      </c>
      <c r="T126" s="3" t="str" cm="1">
        <f t="array" ref="T126">_xlfn.IFS(student_scores[[#This Row],[weekly_self_study_hours]]&lt;=5,   "0 - 5", student_scores[[#This Row],[weekly_self_study_hours]]&lt;=10,  "6 - 10", student_scores[[#This Row],[weekly_self_study_hours]]&lt;=20,  "11 - 20",student_scores[[#This Row],[weekly_self_study_hours]]&lt;=30, "21 - 30",TRUE, "31+")</f>
        <v>6 - 10</v>
      </c>
      <c r="U126" t="str" cm="1">
        <f t="array" ref="U126">_xlfn.IFS(student_scores[[#This Row],[absence_days]]=0,"0", student_scores[[#This Row],[absence_days]]&lt;=3,"1-3", student_scores[[#This Row],[absence_days]]&lt;=6,"4-6", TRUE,"7-10")</f>
        <v>1-3</v>
      </c>
      <c r="V126" t="str">
        <f>IF(student_scores[[#This Row],[Total_Score]] &gt;= _xlfn.PERCENTILE.INC(student_scores[Total_Score], 0.8), "Yes", "No")</f>
        <v>No</v>
      </c>
    </row>
    <row r="127" spans="1:22" x14ac:dyDescent="0.35">
      <c r="A127">
        <v>126</v>
      </c>
      <c r="B127" t="s">
        <v>130</v>
      </c>
      <c r="C127" t="s">
        <v>364</v>
      </c>
      <c r="D127" t="s">
        <v>365</v>
      </c>
      <c r="E127" t="s">
        <v>25</v>
      </c>
      <c r="F127" t="b">
        <v>0</v>
      </c>
      <c r="G127">
        <v>4</v>
      </c>
      <c r="H127" t="b">
        <v>0</v>
      </c>
      <c r="I127">
        <v>7</v>
      </c>
      <c r="J127" t="s">
        <v>38</v>
      </c>
      <c r="K127">
        <v>77</v>
      </c>
      <c r="L127">
        <v>95</v>
      </c>
      <c r="M127">
        <v>98</v>
      </c>
      <c r="N127">
        <v>69</v>
      </c>
      <c r="O127">
        <v>60</v>
      </c>
      <c r="P127">
        <v>89</v>
      </c>
      <c r="Q127">
        <v>71</v>
      </c>
      <c r="R127">
        <f>SUM(student_scores[[#This Row],[math_score]:[geography_score]])</f>
        <v>559</v>
      </c>
      <c r="S127" s="3">
        <f>student_scores[[#This Row],[Total_Score]]/7</f>
        <v>79.857142857142861</v>
      </c>
      <c r="T127" s="3" t="str" cm="1">
        <f t="array" ref="T127">_xlfn.IFS(student_scores[[#This Row],[weekly_self_study_hours]]&lt;=5,   "0 - 5", student_scores[[#This Row],[weekly_self_study_hours]]&lt;=10,  "6 - 10", student_scores[[#This Row],[weekly_self_study_hours]]&lt;=20,  "11 - 20",student_scores[[#This Row],[weekly_self_study_hours]]&lt;=30, "21 - 30",TRUE, "31+")</f>
        <v>6 - 10</v>
      </c>
      <c r="U127" t="str" cm="1">
        <f t="array" ref="U127">_xlfn.IFS(student_scores[[#This Row],[absence_days]]=0,"0", student_scores[[#This Row],[absence_days]]&lt;=3,"1-3", student_scores[[#This Row],[absence_days]]&lt;=6,"4-6", TRUE,"7-10")</f>
        <v>4-6</v>
      </c>
      <c r="V127" t="str">
        <f>IF(student_scores[[#This Row],[Total_Score]] &gt;= _xlfn.PERCENTILE.INC(student_scores[Total_Score], 0.8), "Yes", "No")</f>
        <v>No</v>
      </c>
    </row>
    <row r="128" spans="1:22" x14ac:dyDescent="0.35">
      <c r="A128">
        <v>127</v>
      </c>
      <c r="B128" t="s">
        <v>208</v>
      </c>
      <c r="C128" t="s">
        <v>136</v>
      </c>
      <c r="D128" t="s">
        <v>366</v>
      </c>
      <c r="E128" t="s">
        <v>20</v>
      </c>
      <c r="F128" t="b">
        <v>0</v>
      </c>
      <c r="G128">
        <v>1</v>
      </c>
      <c r="H128" t="b">
        <v>0</v>
      </c>
      <c r="I128">
        <v>3</v>
      </c>
      <c r="J128" t="s">
        <v>159</v>
      </c>
      <c r="K128">
        <v>89</v>
      </c>
      <c r="L128">
        <v>67</v>
      </c>
      <c r="M128">
        <v>86</v>
      </c>
      <c r="N128">
        <v>87</v>
      </c>
      <c r="O128">
        <v>87</v>
      </c>
      <c r="P128">
        <v>68</v>
      </c>
      <c r="Q128">
        <v>78</v>
      </c>
      <c r="R128">
        <f>SUM(student_scores[[#This Row],[math_score]:[geography_score]])</f>
        <v>562</v>
      </c>
      <c r="S128" s="3">
        <f>student_scores[[#This Row],[Total_Score]]/7</f>
        <v>80.285714285714292</v>
      </c>
      <c r="T128" s="3" t="str" cm="1">
        <f t="array" ref="T128">_xlfn.IFS(student_scores[[#This Row],[weekly_self_study_hours]]&lt;=5,   "0 - 5", student_scores[[#This Row],[weekly_self_study_hours]]&lt;=10,  "6 - 10", student_scores[[#This Row],[weekly_self_study_hours]]&lt;=20,  "11 - 20",student_scores[[#This Row],[weekly_self_study_hours]]&lt;=30, "21 - 30",TRUE, "31+")</f>
        <v>0 - 5</v>
      </c>
      <c r="U128" t="str" cm="1">
        <f t="array" ref="U128">_xlfn.IFS(student_scores[[#This Row],[absence_days]]=0,"0", student_scores[[#This Row],[absence_days]]&lt;=3,"1-3", student_scores[[#This Row],[absence_days]]&lt;=6,"4-6", TRUE,"7-10")</f>
        <v>1-3</v>
      </c>
      <c r="V128" t="str">
        <f>IF(student_scores[[#This Row],[Total_Score]] &gt;= _xlfn.PERCENTILE.INC(student_scores[Total_Score], 0.8), "Yes", "No")</f>
        <v>No</v>
      </c>
    </row>
    <row r="129" spans="1:22" x14ac:dyDescent="0.35">
      <c r="A129">
        <v>128</v>
      </c>
      <c r="B129" t="s">
        <v>367</v>
      </c>
      <c r="C129" t="s">
        <v>146</v>
      </c>
      <c r="D129" t="s">
        <v>368</v>
      </c>
      <c r="E129" t="s">
        <v>20</v>
      </c>
      <c r="F129" t="b">
        <v>0</v>
      </c>
      <c r="G129">
        <v>4</v>
      </c>
      <c r="H129" t="b">
        <v>1</v>
      </c>
      <c r="I129">
        <v>14</v>
      </c>
      <c r="J129" t="s">
        <v>113</v>
      </c>
      <c r="K129">
        <v>96</v>
      </c>
      <c r="L129">
        <v>67</v>
      </c>
      <c r="M129">
        <v>80</v>
      </c>
      <c r="N129">
        <v>83</v>
      </c>
      <c r="O129">
        <v>86</v>
      </c>
      <c r="P129">
        <v>77</v>
      </c>
      <c r="Q129">
        <v>75</v>
      </c>
      <c r="R129">
        <f>SUM(student_scores[[#This Row],[math_score]:[geography_score]])</f>
        <v>564</v>
      </c>
      <c r="S129" s="3">
        <f>student_scores[[#This Row],[Total_Score]]/7</f>
        <v>80.571428571428569</v>
      </c>
      <c r="T129" s="3" t="str" cm="1">
        <f t="array" ref="T129">_xlfn.IFS(student_scores[[#This Row],[weekly_self_study_hours]]&lt;=5,   "0 - 5", student_scores[[#This Row],[weekly_self_study_hours]]&lt;=10,  "6 - 10", student_scores[[#This Row],[weekly_self_study_hours]]&lt;=20,  "11 - 20",student_scores[[#This Row],[weekly_self_study_hours]]&lt;=30, "21 - 30",TRUE, "31+")</f>
        <v>11 - 20</v>
      </c>
      <c r="U129" t="str" cm="1">
        <f t="array" ref="U129">_xlfn.IFS(student_scores[[#This Row],[absence_days]]=0,"0", student_scores[[#This Row],[absence_days]]&lt;=3,"1-3", student_scores[[#This Row],[absence_days]]&lt;=6,"4-6", TRUE,"7-10")</f>
        <v>4-6</v>
      </c>
      <c r="V129" t="str">
        <f>IF(student_scores[[#This Row],[Total_Score]] &gt;= _xlfn.PERCENTILE.INC(student_scores[Total_Score], 0.8), "Yes", "No")</f>
        <v>No</v>
      </c>
    </row>
    <row r="130" spans="1:22" x14ac:dyDescent="0.35">
      <c r="A130">
        <v>129</v>
      </c>
      <c r="B130" t="s">
        <v>369</v>
      </c>
      <c r="C130" t="s">
        <v>370</v>
      </c>
      <c r="D130" t="s">
        <v>371</v>
      </c>
      <c r="E130" t="s">
        <v>25</v>
      </c>
      <c r="F130" t="b">
        <v>0</v>
      </c>
      <c r="G130">
        <v>4</v>
      </c>
      <c r="H130" t="b">
        <v>0</v>
      </c>
      <c r="I130">
        <v>26</v>
      </c>
      <c r="J130" t="s">
        <v>38</v>
      </c>
      <c r="K130">
        <v>82</v>
      </c>
      <c r="L130">
        <v>70</v>
      </c>
      <c r="M130">
        <v>80</v>
      </c>
      <c r="N130">
        <v>70</v>
      </c>
      <c r="O130">
        <v>96</v>
      </c>
      <c r="P130">
        <v>69</v>
      </c>
      <c r="Q130">
        <v>86</v>
      </c>
      <c r="R130">
        <f>SUM(student_scores[[#This Row],[math_score]:[geography_score]])</f>
        <v>553</v>
      </c>
      <c r="S130" s="3">
        <f>student_scores[[#This Row],[Total_Score]]/7</f>
        <v>79</v>
      </c>
      <c r="T130" s="3" t="str" cm="1">
        <f t="array" ref="T130">_xlfn.IFS(student_scores[[#This Row],[weekly_self_study_hours]]&lt;=5,   "0 - 5", student_scores[[#This Row],[weekly_self_study_hours]]&lt;=10,  "6 - 10", student_scores[[#This Row],[weekly_self_study_hours]]&lt;=20,  "11 - 20",student_scores[[#This Row],[weekly_self_study_hours]]&lt;=30, "21 - 30",TRUE, "31+")</f>
        <v>21 - 30</v>
      </c>
      <c r="U130" t="str" cm="1">
        <f t="array" ref="U130">_xlfn.IFS(student_scores[[#This Row],[absence_days]]=0,"0", student_scores[[#This Row],[absence_days]]&lt;=3,"1-3", student_scores[[#This Row],[absence_days]]&lt;=6,"4-6", TRUE,"7-10")</f>
        <v>4-6</v>
      </c>
      <c r="V130" t="str">
        <f>IF(student_scores[[#This Row],[Total_Score]] &gt;= _xlfn.PERCENTILE.INC(student_scores[Total_Score], 0.8), "Yes", "No")</f>
        <v>No</v>
      </c>
    </row>
    <row r="131" spans="1:22" x14ac:dyDescent="0.35">
      <c r="A131">
        <v>130</v>
      </c>
      <c r="B131" t="s">
        <v>139</v>
      </c>
      <c r="C131" t="s">
        <v>118</v>
      </c>
      <c r="D131" t="s">
        <v>372</v>
      </c>
      <c r="E131" t="s">
        <v>20</v>
      </c>
      <c r="F131" t="b">
        <v>0</v>
      </c>
      <c r="G131">
        <v>6</v>
      </c>
      <c r="H131" t="b">
        <v>1</v>
      </c>
      <c r="I131">
        <v>27</v>
      </c>
      <c r="J131" t="s">
        <v>38</v>
      </c>
      <c r="K131">
        <v>99</v>
      </c>
      <c r="L131">
        <v>97</v>
      </c>
      <c r="M131">
        <v>64</v>
      </c>
      <c r="N131">
        <v>90</v>
      </c>
      <c r="O131">
        <v>87</v>
      </c>
      <c r="P131">
        <v>68</v>
      </c>
      <c r="Q131">
        <v>69</v>
      </c>
      <c r="R131">
        <f>SUM(student_scores[[#This Row],[math_score]:[geography_score]])</f>
        <v>574</v>
      </c>
      <c r="S131" s="3">
        <f>student_scores[[#This Row],[Total_Score]]/7</f>
        <v>82</v>
      </c>
      <c r="T131" s="3" t="str" cm="1">
        <f t="array" ref="T131">_xlfn.IFS(student_scores[[#This Row],[weekly_self_study_hours]]&lt;=5,   "0 - 5", student_scores[[#This Row],[weekly_self_study_hours]]&lt;=10,  "6 - 10", student_scores[[#This Row],[weekly_self_study_hours]]&lt;=20,  "11 - 20",student_scores[[#This Row],[weekly_self_study_hours]]&lt;=30, "21 - 30",TRUE, "31+")</f>
        <v>21 - 30</v>
      </c>
      <c r="U131" t="str" cm="1">
        <f t="array" ref="U131">_xlfn.IFS(student_scores[[#This Row],[absence_days]]=0,"0", student_scores[[#This Row],[absence_days]]&lt;=3,"1-3", student_scores[[#This Row],[absence_days]]&lt;=6,"4-6", TRUE,"7-10")</f>
        <v>4-6</v>
      </c>
      <c r="V131" t="str">
        <f>IF(student_scores[[#This Row],[Total_Score]] &gt;= _xlfn.PERCENTILE.INC(student_scores[Total_Score], 0.8), "Yes", "No")</f>
        <v>No</v>
      </c>
    </row>
    <row r="132" spans="1:22" x14ac:dyDescent="0.35">
      <c r="A132">
        <v>131</v>
      </c>
      <c r="B132" t="s">
        <v>369</v>
      </c>
      <c r="C132" t="s">
        <v>373</v>
      </c>
      <c r="D132" t="s">
        <v>374</v>
      </c>
      <c r="E132" t="s">
        <v>25</v>
      </c>
      <c r="F132" t="b">
        <v>1</v>
      </c>
      <c r="G132">
        <v>5</v>
      </c>
      <c r="H132" t="b">
        <v>0</v>
      </c>
      <c r="I132">
        <v>25</v>
      </c>
      <c r="J132" t="s">
        <v>172</v>
      </c>
      <c r="K132">
        <v>96</v>
      </c>
      <c r="L132">
        <v>73</v>
      </c>
      <c r="M132">
        <v>90</v>
      </c>
      <c r="N132">
        <v>85</v>
      </c>
      <c r="O132">
        <v>63</v>
      </c>
      <c r="P132">
        <v>84</v>
      </c>
      <c r="Q132">
        <v>87</v>
      </c>
      <c r="R132">
        <f>SUM(student_scores[[#This Row],[math_score]:[geography_score]])</f>
        <v>578</v>
      </c>
      <c r="S132" s="3">
        <f>student_scores[[#This Row],[Total_Score]]/7</f>
        <v>82.571428571428569</v>
      </c>
      <c r="T132" s="3" t="str" cm="1">
        <f t="array" ref="T132">_xlfn.IFS(student_scores[[#This Row],[weekly_self_study_hours]]&lt;=5,   "0 - 5", student_scores[[#This Row],[weekly_self_study_hours]]&lt;=10,  "6 - 10", student_scores[[#This Row],[weekly_self_study_hours]]&lt;=20,  "11 - 20",student_scores[[#This Row],[weekly_self_study_hours]]&lt;=30, "21 - 30",TRUE, "31+")</f>
        <v>21 - 30</v>
      </c>
      <c r="U132" t="str" cm="1">
        <f t="array" ref="U132">_xlfn.IFS(student_scores[[#This Row],[absence_days]]=0,"0", student_scores[[#This Row],[absence_days]]&lt;=3,"1-3", student_scores[[#This Row],[absence_days]]&lt;=6,"4-6", TRUE,"7-10")</f>
        <v>4-6</v>
      </c>
      <c r="V132" t="str">
        <f>IF(student_scores[[#This Row],[Total_Score]] &gt;= _xlfn.PERCENTILE.INC(student_scores[Total_Score], 0.8), "Yes", "No")</f>
        <v>No</v>
      </c>
    </row>
    <row r="133" spans="1:22" x14ac:dyDescent="0.35">
      <c r="A133">
        <v>132</v>
      </c>
      <c r="B133" t="s">
        <v>251</v>
      </c>
      <c r="C133" t="s">
        <v>375</v>
      </c>
      <c r="D133" t="s">
        <v>376</v>
      </c>
      <c r="E133" t="s">
        <v>25</v>
      </c>
      <c r="F133" t="b">
        <v>1</v>
      </c>
      <c r="G133">
        <v>4</v>
      </c>
      <c r="H133" t="b">
        <v>0</v>
      </c>
      <c r="I133">
        <v>16</v>
      </c>
      <c r="J133" t="s">
        <v>105</v>
      </c>
      <c r="K133">
        <v>95</v>
      </c>
      <c r="L133">
        <v>82</v>
      </c>
      <c r="M133">
        <v>66</v>
      </c>
      <c r="N133">
        <v>63</v>
      </c>
      <c r="O133">
        <v>67</v>
      </c>
      <c r="P133">
        <v>92</v>
      </c>
      <c r="Q133">
        <v>69</v>
      </c>
      <c r="R133">
        <f>SUM(student_scores[[#This Row],[math_score]:[geography_score]])</f>
        <v>534</v>
      </c>
      <c r="S133" s="3">
        <f>student_scores[[#This Row],[Total_Score]]/7</f>
        <v>76.285714285714292</v>
      </c>
      <c r="T133" s="3" t="str" cm="1">
        <f t="array" ref="T133">_xlfn.IFS(student_scores[[#This Row],[weekly_self_study_hours]]&lt;=5,   "0 - 5", student_scores[[#This Row],[weekly_self_study_hours]]&lt;=10,  "6 - 10", student_scores[[#This Row],[weekly_self_study_hours]]&lt;=20,  "11 - 20",student_scores[[#This Row],[weekly_self_study_hours]]&lt;=30, "21 - 30",TRUE, "31+")</f>
        <v>11 - 20</v>
      </c>
      <c r="U133" t="str" cm="1">
        <f t="array" ref="U133">_xlfn.IFS(student_scores[[#This Row],[absence_days]]=0,"0", student_scores[[#This Row],[absence_days]]&lt;=3,"1-3", student_scores[[#This Row],[absence_days]]&lt;=6,"4-6", TRUE,"7-10")</f>
        <v>4-6</v>
      </c>
      <c r="V133" t="str">
        <f>IF(student_scores[[#This Row],[Total_Score]] &gt;= _xlfn.PERCENTILE.INC(student_scores[Total_Score], 0.8), "Yes", "No")</f>
        <v>No</v>
      </c>
    </row>
    <row r="134" spans="1:22" x14ac:dyDescent="0.35">
      <c r="A134">
        <v>133</v>
      </c>
      <c r="B134" t="s">
        <v>27</v>
      </c>
      <c r="C134" t="s">
        <v>377</v>
      </c>
      <c r="D134" t="s">
        <v>378</v>
      </c>
      <c r="E134" t="s">
        <v>25</v>
      </c>
      <c r="F134" t="b">
        <v>0</v>
      </c>
      <c r="G134">
        <v>4</v>
      </c>
      <c r="H134" t="b">
        <v>0</v>
      </c>
      <c r="I134">
        <v>27</v>
      </c>
      <c r="J134" t="s">
        <v>44</v>
      </c>
      <c r="K134">
        <v>90</v>
      </c>
      <c r="L134">
        <v>63</v>
      </c>
      <c r="M134">
        <v>69</v>
      </c>
      <c r="N134">
        <v>80</v>
      </c>
      <c r="O134">
        <v>99</v>
      </c>
      <c r="P134">
        <v>69</v>
      </c>
      <c r="Q134">
        <v>79</v>
      </c>
      <c r="R134">
        <f>SUM(student_scores[[#This Row],[math_score]:[geography_score]])</f>
        <v>549</v>
      </c>
      <c r="S134" s="3">
        <f>student_scores[[#This Row],[Total_Score]]/7</f>
        <v>78.428571428571431</v>
      </c>
      <c r="T134" s="3" t="str" cm="1">
        <f t="array" ref="T134">_xlfn.IFS(student_scores[[#This Row],[weekly_self_study_hours]]&lt;=5,   "0 - 5", student_scores[[#This Row],[weekly_self_study_hours]]&lt;=10,  "6 - 10", student_scores[[#This Row],[weekly_self_study_hours]]&lt;=20,  "11 - 20",student_scores[[#This Row],[weekly_self_study_hours]]&lt;=30, "21 - 30",TRUE, "31+")</f>
        <v>21 - 30</v>
      </c>
      <c r="U134" t="str" cm="1">
        <f t="array" ref="U134">_xlfn.IFS(student_scores[[#This Row],[absence_days]]=0,"0", student_scores[[#This Row],[absence_days]]&lt;=3,"1-3", student_scores[[#This Row],[absence_days]]&lt;=6,"4-6", TRUE,"7-10")</f>
        <v>4-6</v>
      </c>
      <c r="V134" t="str">
        <f>IF(student_scores[[#This Row],[Total_Score]] &gt;= _xlfn.PERCENTILE.INC(student_scores[Total_Score], 0.8), "Yes", "No")</f>
        <v>No</v>
      </c>
    </row>
    <row r="135" spans="1:22" x14ac:dyDescent="0.35">
      <c r="A135">
        <v>134</v>
      </c>
      <c r="B135" t="s">
        <v>379</v>
      </c>
      <c r="C135" t="s">
        <v>231</v>
      </c>
      <c r="D135" t="s">
        <v>380</v>
      </c>
      <c r="E135" t="s">
        <v>20</v>
      </c>
      <c r="F135" t="b">
        <v>1</v>
      </c>
      <c r="G135">
        <v>6</v>
      </c>
      <c r="H135" t="b">
        <v>0</v>
      </c>
      <c r="I135">
        <v>0</v>
      </c>
      <c r="J135" t="s">
        <v>64</v>
      </c>
      <c r="K135">
        <v>88</v>
      </c>
      <c r="L135">
        <v>52</v>
      </c>
      <c r="M135">
        <v>53</v>
      </c>
      <c r="N135">
        <v>56</v>
      </c>
      <c r="O135">
        <v>85</v>
      </c>
      <c r="P135">
        <v>93</v>
      </c>
      <c r="Q135">
        <v>78</v>
      </c>
      <c r="R135">
        <f>SUM(student_scores[[#This Row],[math_score]:[geography_score]])</f>
        <v>505</v>
      </c>
      <c r="S135" s="3">
        <f>student_scores[[#This Row],[Total_Score]]/7</f>
        <v>72.142857142857139</v>
      </c>
      <c r="T135" s="3" t="str" cm="1">
        <f t="array" ref="T135">_xlfn.IFS(student_scores[[#This Row],[weekly_self_study_hours]]&lt;=5,   "0 - 5", student_scores[[#This Row],[weekly_self_study_hours]]&lt;=10,  "6 - 10", student_scores[[#This Row],[weekly_self_study_hours]]&lt;=20,  "11 - 20",student_scores[[#This Row],[weekly_self_study_hours]]&lt;=30, "21 - 30",TRUE, "31+")</f>
        <v>0 - 5</v>
      </c>
      <c r="U135" t="str" cm="1">
        <f t="array" ref="U135">_xlfn.IFS(student_scores[[#This Row],[absence_days]]=0,"0", student_scores[[#This Row],[absence_days]]&lt;=3,"1-3", student_scores[[#This Row],[absence_days]]&lt;=6,"4-6", TRUE,"7-10")</f>
        <v>4-6</v>
      </c>
      <c r="V135" t="str">
        <f>IF(student_scores[[#This Row],[Total_Score]] &gt;= _xlfn.PERCENTILE.INC(student_scores[Total_Score], 0.8), "Yes", "No")</f>
        <v>No</v>
      </c>
    </row>
    <row r="136" spans="1:22" x14ac:dyDescent="0.35">
      <c r="A136">
        <v>135</v>
      </c>
      <c r="B136" t="s">
        <v>145</v>
      </c>
      <c r="C136" t="s">
        <v>381</v>
      </c>
      <c r="D136" t="s">
        <v>382</v>
      </c>
      <c r="E136" t="s">
        <v>20</v>
      </c>
      <c r="F136" t="b">
        <v>0</v>
      </c>
      <c r="G136">
        <v>1</v>
      </c>
      <c r="H136" t="b">
        <v>0</v>
      </c>
      <c r="I136">
        <v>3</v>
      </c>
      <c r="J136" t="s">
        <v>123</v>
      </c>
      <c r="K136">
        <v>87</v>
      </c>
      <c r="L136">
        <v>62</v>
      </c>
      <c r="M136">
        <v>87</v>
      </c>
      <c r="N136">
        <v>96</v>
      </c>
      <c r="O136">
        <v>85</v>
      </c>
      <c r="P136">
        <v>90</v>
      </c>
      <c r="Q136">
        <v>74</v>
      </c>
      <c r="R136">
        <f>SUM(student_scores[[#This Row],[math_score]:[geography_score]])</f>
        <v>581</v>
      </c>
      <c r="S136" s="3">
        <f>student_scores[[#This Row],[Total_Score]]/7</f>
        <v>83</v>
      </c>
      <c r="T136" s="3" t="str" cm="1">
        <f t="array" ref="T136">_xlfn.IFS(student_scores[[#This Row],[weekly_self_study_hours]]&lt;=5,   "0 - 5", student_scores[[#This Row],[weekly_self_study_hours]]&lt;=10,  "6 - 10", student_scores[[#This Row],[weekly_self_study_hours]]&lt;=20,  "11 - 20",student_scores[[#This Row],[weekly_self_study_hours]]&lt;=30, "21 - 30",TRUE, "31+")</f>
        <v>0 - 5</v>
      </c>
      <c r="U136" t="str" cm="1">
        <f t="array" ref="U136">_xlfn.IFS(student_scores[[#This Row],[absence_days]]=0,"0", student_scores[[#This Row],[absence_days]]&lt;=3,"1-3", student_scores[[#This Row],[absence_days]]&lt;=6,"4-6", TRUE,"7-10")</f>
        <v>1-3</v>
      </c>
      <c r="V136" t="str">
        <f>IF(student_scores[[#This Row],[Total_Score]] &gt;= _xlfn.PERCENTILE.INC(student_scores[Total_Score], 0.8), "Yes", "No")</f>
        <v>No</v>
      </c>
    </row>
    <row r="137" spans="1:22" x14ac:dyDescent="0.35">
      <c r="A137">
        <v>136</v>
      </c>
      <c r="B137" t="s">
        <v>383</v>
      </c>
      <c r="C137" t="s">
        <v>36</v>
      </c>
      <c r="D137" t="s">
        <v>384</v>
      </c>
      <c r="E137" t="s">
        <v>25</v>
      </c>
      <c r="F137" t="b">
        <v>0</v>
      </c>
      <c r="G137">
        <v>2</v>
      </c>
      <c r="H137" t="b">
        <v>0</v>
      </c>
      <c r="I137">
        <v>6</v>
      </c>
      <c r="J137" t="s">
        <v>123</v>
      </c>
      <c r="K137">
        <v>62</v>
      </c>
      <c r="L137">
        <v>83</v>
      </c>
      <c r="M137">
        <v>84</v>
      </c>
      <c r="N137">
        <v>75</v>
      </c>
      <c r="O137">
        <v>83</v>
      </c>
      <c r="P137">
        <v>85</v>
      </c>
      <c r="Q137">
        <v>86</v>
      </c>
      <c r="R137">
        <f>SUM(student_scores[[#This Row],[math_score]:[geography_score]])</f>
        <v>558</v>
      </c>
      <c r="S137" s="3">
        <f>student_scores[[#This Row],[Total_Score]]/7</f>
        <v>79.714285714285708</v>
      </c>
      <c r="T137" s="3" t="str" cm="1">
        <f t="array" ref="T137">_xlfn.IFS(student_scores[[#This Row],[weekly_self_study_hours]]&lt;=5,   "0 - 5", student_scores[[#This Row],[weekly_self_study_hours]]&lt;=10,  "6 - 10", student_scores[[#This Row],[weekly_self_study_hours]]&lt;=20,  "11 - 20",student_scores[[#This Row],[weekly_self_study_hours]]&lt;=30, "21 - 30",TRUE, "31+")</f>
        <v>6 - 10</v>
      </c>
      <c r="U137" t="str" cm="1">
        <f t="array" ref="U137">_xlfn.IFS(student_scores[[#This Row],[absence_days]]=0,"0", student_scores[[#This Row],[absence_days]]&lt;=3,"1-3", student_scores[[#This Row],[absence_days]]&lt;=6,"4-6", TRUE,"7-10")</f>
        <v>1-3</v>
      </c>
      <c r="V137" t="str">
        <f>IF(student_scores[[#This Row],[Total_Score]] &gt;= _xlfn.PERCENTILE.INC(student_scores[Total_Score], 0.8), "Yes", "No")</f>
        <v>No</v>
      </c>
    </row>
    <row r="138" spans="1:22" x14ac:dyDescent="0.35">
      <c r="A138">
        <v>137</v>
      </c>
      <c r="B138" t="s">
        <v>160</v>
      </c>
      <c r="C138" t="s">
        <v>385</v>
      </c>
      <c r="D138" t="s">
        <v>386</v>
      </c>
      <c r="E138" t="s">
        <v>20</v>
      </c>
      <c r="F138" t="b">
        <v>0</v>
      </c>
      <c r="G138">
        <v>2</v>
      </c>
      <c r="H138" t="b">
        <v>0</v>
      </c>
      <c r="I138">
        <v>12</v>
      </c>
      <c r="J138" t="s">
        <v>105</v>
      </c>
      <c r="K138">
        <v>85</v>
      </c>
      <c r="L138">
        <v>65</v>
      </c>
      <c r="M138">
        <v>60</v>
      </c>
      <c r="N138">
        <v>78</v>
      </c>
      <c r="O138">
        <v>81</v>
      </c>
      <c r="P138">
        <v>96</v>
      </c>
      <c r="Q138">
        <v>76</v>
      </c>
      <c r="R138">
        <f>SUM(student_scores[[#This Row],[math_score]:[geography_score]])</f>
        <v>541</v>
      </c>
      <c r="S138" s="3">
        <f>student_scores[[#This Row],[Total_Score]]/7</f>
        <v>77.285714285714292</v>
      </c>
      <c r="T138" s="3" t="str" cm="1">
        <f t="array" ref="T138">_xlfn.IFS(student_scores[[#This Row],[weekly_self_study_hours]]&lt;=5,   "0 - 5", student_scores[[#This Row],[weekly_self_study_hours]]&lt;=10,  "6 - 10", student_scores[[#This Row],[weekly_self_study_hours]]&lt;=20,  "11 - 20",student_scores[[#This Row],[weekly_self_study_hours]]&lt;=30, "21 - 30",TRUE, "31+")</f>
        <v>11 - 20</v>
      </c>
      <c r="U138" t="str" cm="1">
        <f t="array" ref="U138">_xlfn.IFS(student_scores[[#This Row],[absence_days]]=0,"0", student_scores[[#This Row],[absence_days]]&lt;=3,"1-3", student_scores[[#This Row],[absence_days]]&lt;=6,"4-6", TRUE,"7-10")</f>
        <v>1-3</v>
      </c>
      <c r="V138" t="str">
        <f>IF(student_scores[[#This Row],[Total_Score]] &gt;= _xlfn.PERCENTILE.INC(student_scores[Total_Score], 0.8), "Yes", "No")</f>
        <v>No</v>
      </c>
    </row>
    <row r="139" spans="1:22" x14ac:dyDescent="0.35">
      <c r="A139">
        <v>138</v>
      </c>
      <c r="B139" t="s">
        <v>202</v>
      </c>
      <c r="C139" t="s">
        <v>115</v>
      </c>
      <c r="D139" t="s">
        <v>387</v>
      </c>
      <c r="E139" t="s">
        <v>25</v>
      </c>
      <c r="F139" t="b">
        <v>0</v>
      </c>
      <c r="G139">
        <v>1</v>
      </c>
      <c r="H139" t="b">
        <v>1</v>
      </c>
      <c r="I139">
        <v>11</v>
      </c>
      <c r="J139" t="s">
        <v>105</v>
      </c>
      <c r="K139">
        <v>79</v>
      </c>
      <c r="L139">
        <v>97</v>
      </c>
      <c r="M139">
        <v>76</v>
      </c>
      <c r="N139">
        <v>67</v>
      </c>
      <c r="O139">
        <v>61</v>
      </c>
      <c r="P139">
        <v>90</v>
      </c>
      <c r="Q139">
        <v>95</v>
      </c>
      <c r="R139">
        <f>SUM(student_scores[[#This Row],[math_score]:[geography_score]])</f>
        <v>565</v>
      </c>
      <c r="S139" s="3">
        <f>student_scores[[#This Row],[Total_Score]]/7</f>
        <v>80.714285714285708</v>
      </c>
      <c r="T139" s="3" t="str" cm="1">
        <f t="array" ref="T139">_xlfn.IFS(student_scores[[#This Row],[weekly_self_study_hours]]&lt;=5,   "0 - 5", student_scores[[#This Row],[weekly_self_study_hours]]&lt;=10,  "6 - 10", student_scores[[#This Row],[weekly_self_study_hours]]&lt;=20,  "11 - 20",student_scores[[#This Row],[weekly_self_study_hours]]&lt;=30, "21 - 30",TRUE, "31+")</f>
        <v>11 - 20</v>
      </c>
      <c r="U139" t="str" cm="1">
        <f t="array" ref="U139">_xlfn.IFS(student_scores[[#This Row],[absence_days]]=0,"0", student_scores[[#This Row],[absence_days]]&lt;=3,"1-3", student_scores[[#This Row],[absence_days]]&lt;=6,"4-6", TRUE,"7-10")</f>
        <v>1-3</v>
      </c>
      <c r="V139" t="str">
        <f>IF(student_scores[[#This Row],[Total_Score]] &gt;= _xlfn.PERCENTILE.INC(student_scores[Total_Score], 0.8), "Yes", "No")</f>
        <v>No</v>
      </c>
    </row>
    <row r="140" spans="1:22" x14ac:dyDescent="0.35">
      <c r="A140">
        <v>139</v>
      </c>
      <c r="B140" t="s">
        <v>388</v>
      </c>
      <c r="C140" t="s">
        <v>389</v>
      </c>
      <c r="D140" t="s">
        <v>390</v>
      </c>
      <c r="E140" t="s">
        <v>25</v>
      </c>
      <c r="F140" t="b">
        <v>0</v>
      </c>
      <c r="G140">
        <v>4</v>
      </c>
      <c r="H140" t="b">
        <v>0</v>
      </c>
      <c r="I140">
        <v>23</v>
      </c>
      <c r="J140" t="s">
        <v>44</v>
      </c>
      <c r="K140">
        <v>90</v>
      </c>
      <c r="L140">
        <v>94</v>
      </c>
      <c r="M140">
        <v>98</v>
      </c>
      <c r="N140">
        <v>96</v>
      </c>
      <c r="O140">
        <v>68</v>
      </c>
      <c r="P140">
        <v>82</v>
      </c>
      <c r="Q140">
        <v>81</v>
      </c>
      <c r="R140">
        <f>SUM(student_scores[[#This Row],[math_score]:[geography_score]])</f>
        <v>609</v>
      </c>
      <c r="S140" s="3">
        <f>student_scores[[#This Row],[Total_Score]]/7</f>
        <v>87</v>
      </c>
      <c r="T140" s="3" t="str" cm="1">
        <f t="array" ref="T140">_xlfn.IFS(student_scores[[#This Row],[weekly_self_study_hours]]&lt;=5,   "0 - 5", student_scores[[#This Row],[weekly_self_study_hours]]&lt;=10,  "6 - 10", student_scores[[#This Row],[weekly_self_study_hours]]&lt;=20,  "11 - 20",student_scores[[#This Row],[weekly_self_study_hours]]&lt;=30, "21 - 30",TRUE, "31+")</f>
        <v>21 - 30</v>
      </c>
      <c r="U140" t="str" cm="1">
        <f t="array" ref="U140">_xlfn.IFS(student_scores[[#This Row],[absence_days]]=0,"0", student_scores[[#This Row],[absence_days]]&lt;=3,"1-3", student_scores[[#This Row],[absence_days]]&lt;=6,"4-6", TRUE,"7-10")</f>
        <v>4-6</v>
      </c>
      <c r="V140" t="str">
        <f>IF(student_scores[[#This Row],[Total_Score]] &gt;= _xlfn.PERCENTILE.INC(student_scores[Total_Score], 0.8), "Yes", "No")</f>
        <v>Yes</v>
      </c>
    </row>
    <row r="141" spans="1:22" x14ac:dyDescent="0.35">
      <c r="A141">
        <v>140</v>
      </c>
      <c r="B141" t="s">
        <v>391</v>
      </c>
      <c r="C141" t="s">
        <v>392</v>
      </c>
      <c r="D141" t="s">
        <v>393</v>
      </c>
      <c r="E141" t="s">
        <v>20</v>
      </c>
      <c r="F141" t="b">
        <v>0</v>
      </c>
      <c r="G141">
        <v>2</v>
      </c>
      <c r="H141" t="b">
        <v>0</v>
      </c>
      <c r="I141">
        <v>23</v>
      </c>
      <c r="J141" t="s">
        <v>26</v>
      </c>
      <c r="K141">
        <v>97</v>
      </c>
      <c r="L141">
        <v>71</v>
      </c>
      <c r="M141">
        <v>82</v>
      </c>
      <c r="N141">
        <v>80</v>
      </c>
      <c r="O141">
        <v>97</v>
      </c>
      <c r="P141">
        <v>93</v>
      </c>
      <c r="Q141">
        <v>78</v>
      </c>
      <c r="R141">
        <f>SUM(student_scores[[#This Row],[math_score]:[geography_score]])</f>
        <v>598</v>
      </c>
      <c r="S141" s="3">
        <f>student_scores[[#This Row],[Total_Score]]/7</f>
        <v>85.428571428571431</v>
      </c>
      <c r="T141" s="3" t="str" cm="1">
        <f t="array" ref="T141">_xlfn.IFS(student_scores[[#This Row],[weekly_self_study_hours]]&lt;=5,   "0 - 5", student_scores[[#This Row],[weekly_self_study_hours]]&lt;=10,  "6 - 10", student_scores[[#This Row],[weekly_self_study_hours]]&lt;=20,  "11 - 20",student_scores[[#This Row],[weekly_self_study_hours]]&lt;=30, "21 - 30",TRUE, "31+")</f>
        <v>21 - 30</v>
      </c>
      <c r="U141" t="str" cm="1">
        <f t="array" ref="U141">_xlfn.IFS(student_scores[[#This Row],[absence_days]]=0,"0", student_scores[[#This Row],[absence_days]]&lt;=3,"1-3", student_scores[[#This Row],[absence_days]]&lt;=6,"4-6", TRUE,"7-10")</f>
        <v>1-3</v>
      </c>
      <c r="V141" t="str">
        <f>IF(student_scores[[#This Row],[Total_Score]] &gt;= _xlfn.PERCENTILE.INC(student_scores[Total_Score], 0.8), "Yes", "No")</f>
        <v>No</v>
      </c>
    </row>
    <row r="142" spans="1:22" x14ac:dyDescent="0.35">
      <c r="A142">
        <v>141</v>
      </c>
      <c r="B142" t="s">
        <v>266</v>
      </c>
      <c r="C142" t="s">
        <v>394</v>
      </c>
      <c r="D142" t="s">
        <v>395</v>
      </c>
      <c r="E142" t="s">
        <v>20</v>
      </c>
      <c r="F142" t="b">
        <v>0</v>
      </c>
      <c r="G142">
        <v>0</v>
      </c>
      <c r="H142" t="b">
        <v>0</v>
      </c>
      <c r="I142">
        <v>16</v>
      </c>
      <c r="J142" t="s">
        <v>44</v>
      </c>
      <c r="K142">
        <v>88</v>
      </c>
      <c r="L142">
        <v>69</v>
      </c>
      <c r="M142">
        <v>87</v>
      </c>
      <c r="N142">
        <v>81</v>
      </c>
      <c r="O142">
        <v>77</v>
      </c>
      <c r="P142">
        <v>67</v>
      </c>
      <c r="Q142">
        <v>93</v>
      </c>
      <c r="R142">
        <f>SUM(student_scores[[#This Row],[math_score]:[geography_score]])</f>
        <v>562</v>
      </c>
      <c r="S142" s="3">
        <f>student_scores[[#This Row],[Total_Score]]/7</f>
        <v>80.285714285714292</v>
      </c>
      <c r="T142" s="3" t="str" cm="1">
        <f t="array" ref="T142">_xlfn.IFS(student_scores[[#This Row],[weekly_self_study_hours]]&lt;=5,   "0 - 5", student_scores[[#This Row],[weekly_self_study_hours]]&lt;=10,  "6 - 10", student_scores[[#This Row],[weekly_self_study_hours]]&lt;=20,  "11 - 20",student_scores[[#This Row],[weekly_self_study_hours]]&lt;=30, "21 - 30",TRUE, "31+")</f>
        <v>11 - 20</v>
      </c>
      <c r="U142" t="str" cm="1">
        <f t="array" ref="U142">_xlfn.IFS(student_scores[[#This Row],[absence_days]]=0,"0", student_scores[[#This Row],[absence_days]]&lt;=3,"1-3", student_scores[[#This Row],[absence_days]]&lt;=6,"4-6", TRUE,"7-10")</f>
        <v>0</v>
      </c>
      <c r="V142" t="str">
        <f>IF(student_scores[[#This Row],[Total_Score]] &gt;= _xlfn.PERCENTILE.INC(student_scores[Total_Score], 0.8), "Yes", "No")</f>
        <v>No</v>
      </c>
    </row>
    <row r="143" spans="1:22" x14ac:dyDescent="0.35">
      <c r="A143">
        <v>142</v>
      </c>
      <c r="B143" t="s">
        <v>396</v>
      </c>
      <c r="C143" t="s">
        <v>397</v>
      </c>
      <c r="D143" t="s">
        <v>398</v>
      </c>
      <c r="E143" t="s">
        <v>20</v>
      </c>
      <c r="F143" t="b">
        <v>1</v>
      </c>
      <c r="G143">
        <v>2</v>
      </c>
      <c r="H143" t="b">
        <v>1</v>
      </c>
      <c r="I143">
        <v>3</v>
      </c>
      <c r="J143" t="s">
        <v>34</v>
      </c>
      <c r="K143">
        <v>71</v>
      </c>
      <c r="L143">
        <v>85</v>
      </c>
      <c r="M143">
        <v>77</v>
      </c>
      <c r="N143">
        <v>89</v>
      </c>
      <c r="O143">
        <v>98</v>
      </c>
      <c r="P143">
        <v>63</v>
      </c>
      <c r="Q143">
        <v>100</v>
      </c>
      <c r="R143">
        <f>SUM(student_scores[[#This Row],[math_score]:[geography_score]])</f>
        <v>583</v>
      </c>
      <c r="S143" s="3">
        <f>student_scores[[#This Row],[Total_Score]]/7</f>
        <v>83.285714285714292</v>
      </c>
      <c r="T143" s="3" t="str" cm="1">
        <f t="array" ref="T143">_xlfn.IFS(student_scores[[#This Row],[weekly_self_study_hours]]&lt;=5,   "0 - 5", student_scores[[#This Row],[weekly_self_study_hours]]&lt;=10,  "6 - 10", student_scores[[#This Row],[weekly_self_study_hours]]&lt;=20,  "11 - 20",student_scores[[#This Row],[weekly_self_study_hours]]&lt;=30, "21 - 30",TRUE, "31+")</f>
        <v>0 - 5</v>
      </c>
      <c r="U143" t="str" cm="1">
        <f t="array" ref="U143">_xlfn.IFS(student_scores[[#This Row],[absence_days]]=0,"0", student_scores[[#This Row],[absence_days]]&lt;=3,"1-3", student_scores[[#This Row],[absence_days]]&lt;=6,"4-6", TRUE,"7-10")</f>
        <v>1-3</v>
      </c>
      <c r="V143" t="str">
        <f>IF(student_scores[[#This Row],[Total_Score]] &gt;= _xlfn.PERCENTILE.INC(student_scores[Total_Score], 0.8), "Yes", "No")</f>
        <v>No</v>
      </c>
    </row>
    <row r="144" spans="1:22" x14ac:dyDescent="0.35">
      <c r="A144">
        <v>143</v>
      </c>
      <c r="B144" t="s">
        <v>399</v>
      </c>
      <c r="C144" t="s">
        <v>400</v>
      </c>
      <c r="D144" t="s">
        <v>401</v>
      </c>
      <c r="E144" t="s">
        <v>25</v>
      </c>
      <c r="F144" t="b">
        <v>0</v>
      </c>
      <c r="G144">
        <v>1</v>
      </c>
      <c r="H144" t="b">
        <v>0</v>
      </c>
      <c r="I144">
        <v>29</v>
      </c>
      <c r="J144" t="s">
        <v>21</v>
      </c>
      <c r="K144">
        <v>70</v>
      </c>
      <c r="L144">
        <v>99</v>
      </c>
      <c r="M144">
        <v>79</v>
      </c>
      <c r="N144">
        <v>96</v>
      </c>
      <c r="O144">
        <v>60</v>
      </c>
      <c r="P144">
        <v>97</v>
      </c>
      <c r="Q144">
        <v>100</v>
      </c>
      <c r="R144">
        <f>SUM(student_scores[[#This Row],[math_score]:[geography_score]])</f>
        <v>601</v>
      </c>
      <c r="S144" s="3">
        <f>student_scores[[#This Row],[Total_Score]]/7</f>
        <v>85.857142857142861</v>
      </c>
      <c r="T144" s="3" t="str" cm="1">
        <f t="array" ref="T144">_xlfn.IFS(student_scores[[#This Row],[weekly_self_study_hours]]&lt;=5,   "0 - 5", student_scores[[#This Row],[weekly_self_study_hours]]&lt;=10,  "6 - 10", student_scores[[#This Row],[weekly_self_study_hours]]&lt;=20,  "11 - 20",student_scores[[#This Row],[weekly_self_study_hours]]&lt;=30, "21 - 30",TRUE, "31+")</f>
        <v>21 - 30</v>
      </c>
      <c r="U144" t="str" cm="1">
        <f t="array" ref="U144">_xlfn.IFS(student_scores[[#This Row],[absence_days]]=0,"0", student_scores[[#This Row],[absence_days]]&lt;=3,"1-3", student_scores[[#This Row],[absence_days]]&lt;=6,"4-6", TRUE,"7-10")</f>
        <v>1-3</v>
      </c>
      <c r="V144" t="str">
        <f>IF(student_scores[[#This Row],[Total_Score]] &gt;= _xlfn.PERCENTILE.INC(student_scores[Total_Score], 0.8), "Yes", "No")</f>
        <v>Yes</v>
      </c>
    </row>
    <row r="145" spans="1:22" x14ac:dyDescent="0.35">
      <c r="A145">
        <v>144</v>
      </c>
      <c r="B145" t="s">
        <v>402</v>
      </c>
      <c r="C145" t="s">
        <v>403</v>
      </c>
      <c r="D145" t="s">
        <v>404</v>
      </c>
      <c r="E145" t="s">
        <v>20</v>
      </c>
      <c r="F145" t="b">
        <v>0</v>
      </c>
      <c r="G145">
        <v>3</v>
      </c>
      <c r="H145" t="b">
        <v>1</v>
      </c>
      <c r="I145">
        <v>18</v>
      </c>
      <c r="J145" t="s">
        <v>44</v>
      </c>
      <c r="K145">
        <v>93</v>
      </c>
      <c r="L145">
        <v>68</v>
      </c>
      <c r="M145">
        <v>76</v>
      </c>
      <c r="N145">
        <v>99</v>
      </c>
      <c r="O145">
        <v>80</v>
      </c>
      <c r="P145">
        <v>80</v>
      </c>
      <c r="Q145">
        <v>75</v>
      </c>
      <c r="R145">
        <f>SUM(student_scores[[#This Row],[math_score]:[geography_score]])</f>
        <v>571</v>
      </c>
      <c r="S145" s="3">
        <f>student_scores[[#This Row],[Total_Score]]/7</f>
        <v>81.571428571428569</v>
      </c>
      <c r="T145" s="3" t="str" cm="1">
        <f t="array" ref="T145">_xlfn.IFS(student_scores[[#This Row],[weekly_self_study_hours]]&lt;=5,   "0 - 5", student_scores[[#This Row],[weekly_self_study_hours]]&lt;=10,  "6 - 10", student_scores[[#This Row],[weekly_self_study_hours]]&lt;=20,  "11 - 20",student_scores[[#This Row],[weekly_self_study_hours]]&lt;=30, "21 - 30",TRUE, "31+")</f>
        <v>11 - 20</v>
      </c>
      <c r="U145" t="str" cm="1">
        <f t="array" ref="U145">_xlfn.IFS(student_scores[[#This Row],[absence_days]]=0,"0", student_scores[[#This Row],[absence_days]]&lt;=3,"1-3", student_scores[[#This Row],[absence_days]]&lt;=6,"4-6", TRUE,"7-10")</f>
        <v>1-3</v>
      </c>
      <c r="V145" t="str">
        <f>IF(student_scores[[#This Row],[Total_Score]] &gt;= _xlfn.PERCENTILE.INC(student_scores[Total_Score], 0.8), "Yes", "No")</f>
        <v>No</v>
      </c>
    </row>
    <row r="146" spans="1:22" x14ac:dyDescent="0.35">
      <c r="A146">
        <v>145</v>
      </c>
      <c r="B146" t="s">
        <v>405</v>
      </c>
      <c r="C146" t="s">
        <v>406</v>
      </c>
      <c r="D146" t="s">
        <v>407</v>
      </c>
      <c r="E146" t="s">
        <v>25</v>
      </c>
      <c r="F146" t="b">
        <v>0</v>
      </c>
      <c r="G146">
        <v>0</v>
      </c>
      <c r="H146" t="b">
        <v>0</v>
      </c>
      <c r="I146">
        <v>3</v>
      </c>
      <c r="J146" t="s">
        <v>159</v>
      </c>
      <c r="K146">
        <v>92</v>
      </c>
      <c r="L146">
        <v>79</v>
      </c>
      <c r="M146">
        <v>81</v>
      </c>
      <c r="N146">
        <v>61</v>
      </c>
      <c r="O146">
        <v>86</v>
      </c>
      <c r="P146">
        <v>72</v>
      </c>
      <c r="Q146">
        <v>88</v>
      </c>
      <c r="R146">
        <f>SUM(student_scores[[#This Row],[math_score]:[geography_score]])</f>
        <v>559</v>
      </c>
      <c r="S146" s="3">
        <f>student_scores[[#This Row],[Total_Score]]/7</f>
        <v>79.857142857142861</v>
      </c>
      <c r="T146" s="3" t="str" cm="1">
        <f t="array" ref="T146">_xlfn.IFS(student_scores[[#This Row],[weekly_self_study_hours]]&lt;=5,   "0 - 5", student_scores[[#This Row],[weekly_self_study_hours]]&lt;=10,  "6 - 10", student_scores[[#This Row],[weekly_self_study_hours]]&lt;=20,  "11 - 20",student_scores[[#This Row],[weekly_self_study_hours]]&lt;=30, "21 - 30",TRUE, "31+")</f>
        <v>0 - 5</v>
      </c>
      <c r="U146" t="str" cm="1">
        <f t="array" ref="U146">_xlfn.IFS(student_scores[[#This Row],[absence_days]]=0,"0", student_scores[[#This Row],[absence_days]]&lt;=3,"1-3", student_scores[[#This Row],[absence_days]]&lt;=6,"4-6", TRUE,"7-10")</f>
        <v>0</v>
      </c>
      <c r="V146" t="str">
        <f>IF(student_scores[[#This Row],[Total_Score]] &gt;= _xlfn.PERCENTILE.INC(student_scores[Total_Score], 0.8), "Yes", "No")</f>
        <v>No</v>
      </c>
    </row>
    <row r="147" spans="1:22" x14ac:dyDescent="0.35">
      <c r="A147">
        <v>146</v>
      </c>
      <c r="B147" t="s">
        <v>408</v>
      </c>
      <c r="C147" t="s">
        <v>295</v>
      </c>
      <c r="D147" t="s">
        <v>409</v>
      </c>
      <c r="E147" t="s">
        <v>20</v>
      </c>
      <c r="F147" t="b">
        <v>0</v>
      </c>
      <c r="G147">
        <v>3</v>
      </c>
      <c r="H147" t="b">
        <v>0</v>
      </c>
      <c r="I147">
        <v>6</v>
      </c>
      <c r="J147" t="s">
        <v>224</v>
      </c>
      <c r="K147">
        <v>83</v>
      </c>
      <c r="L147">
        <v>72</v>
      </c>
      <c r="M147">
        <v>68</v>
      </c>
      <c r="N147">
        <v>94</v>
      </c>
      <c r="O147">
        <v>100</v>
      </c>
      <c r="P147">
        <v>98</v>
      </c>
      <c r="Q147">
        <v>92</v>
      </c>
      <c r="R147">
        <f>SUM(student_scores[[#This Row],[math_score]:[geography_score]])</f>
        <v>607</v>
      </c>
      <c r="S147" s="3">
        <f>student_scores[[#This Row],[Total_Score]]/7</f>
        <v>86.714285714285708</v>
      </c>
      <c r="T147" s="3" t="str" cm="1">
        <f t="array" ref="T147">_xlfn.IFS(student_scores[[#This Row],[weekly_self_study_hours]]&lt;=5,   "0 - 5", student_scores[[#This Row],[weekly_self_study_hours]]&lt;=10,  "6 - 10", student_scores[[#This Row],[weekly_self_study_hours]]&lt;=20,  "11 - 20",student_scores[[#This Row],[weekly_self_study_hours]]&lt;=30, "21 - 30",TRUE, "31+")</f>
        <v>6 - 10</v>
      </c>
      <c r="U147" t="str" cm="1">
        <f t="array" ref="U147">_xlfn.IFS(student_scores[[#This Row],[absence_days]]=0,"0", student_scores[[#This Row],[absence_days]]&lt;=3,"1-3", student_scores[[#This Row],[absence_days]]&lt;=6,"4-6", TRUE,"7-10")</f>
        <v>1-3</v>
      </c>
      <c r="V147" t="str">
        <f>IF(student_scores[[#This Row],[Total_Score]] &gt;= _xlfn.PERCENTILE.INC(student_scores[Total_Score], 0.8), "Yes", "No")</f>
        <v>Yes</v>
      </c>
    </row>
    <row r="148" spans="1:22" x14ac:dyDescent="0.35">
      <c r="A148">
        <v>147</v>
      </c>
      <c r="B148" t="s">
        <v>410</v>
      </c>
      <c r="C148" t="s">
        <v>411</v>
      </c>
      <c r="D148" t="s">
        <v>412</v>
      </c>
      <c r="E148" t="s">
        <v>20</v>
      </c>
      <c r="F148" t="b">
        <v>0</v>
      </c>
      <c r="G148">
        <v>8</v>
      </c>
      <c r="H148" t="b">
        <v>0</v>
      </c>
      <c r="I148">
        <v>2</v>
      </c>
      <c r="J148" t="s">
        <v>64</v>
      </c>
      <c r="K148">
        <v>68</v>
      </c>
      <c r="L148">
        <v>97</v>
      </c>
      <c r="M148">
        <v>51</v>
      </c>
      <c r="N148">
        <v>93</v>
      </c>
      <c r="O148">
        <v>68</v>
      </c>
      <c r="P148">
        <v>58</v>
      </c>
      <c r="Q148">
        <v>78</v>
      </c>
      <c r="R148">
        <f>SUM(student_scores[[#This Row],[math_score]:[geography_score]])</f>
        <v>513</v>
      </c>
      <c r="S148" s="3">
        <f>student_scores[[#This Row],[Total_Score]]/7</f>
        <v>73.285714285714292</v>
      </c>
      <c r="T148" s="3" t="str" cm="1">
        <f t="array" ref="T148">_xlfn.IFS(student_scores[[#This Row],[weekly_self_study_hours]]&lt;=5,   "0 - 5", student_scores[[#This Row],[weekly_self_study_hours]]&lt;=10,  "6 - 10", student_scores[[#This Row],[weekly_self_study_hours]]&lt;=20,  "11 - 20",student_scores[[#This Row],[weekly_self_study_hours]]&lt;=30, "21 - 30",TRUE, "31+")</f>
        <v>0 - 5</v>
      </c>
      <c r="U148" t="str" cm="1">
        <f t="array" ref="U148">_xlfn.IFS(student_scores[[#This Row],[absence_days]]=0,"0", student_scores[[#This Row],[absence_days]]&lt;=3,"1-3", student_scores[[#This Row],[absence_days]]&lt;=6,"4-6", TRUE,"7-10")</f>
        <v>7-10</v>
      </c>
      <c r="V148" t="str">
        <f>IF(student_scores[[#This Row],[Total_Score]] &gt;= _xlfn.PERCENTILE.INC(student_scores[Total_Score], 0.8), "Yes", "No")</f>
        <v>No</v>
      </c>
    </row>
    <row r="149" spans="1:22" x14ac:dyDescent="0.35">
      <c r="A149">
        <v>148</v>
      </c>
      <c r="B149" t="s">
        <v>413</v>
      </c>
      <c r="C149" t="s">
        <v>66</v>
      </c>
      <c r="D149" t="s">
        <v>414</v>
      </c>
      <c r="E149" t="s">
        <v>20</v>
      </c>
      <c r="F149" t="b">
        <v>0</v>
      </c>
      <c r="G149">
        <v>0</v>
      </c>
      <c r="H149" t="b">
        <v>0</v>
      </c>
      <c r="I149">
        <v>34</v>
      </c>
      <c r="J149" t="s">
        <v>21</v>
      </c>
      <c r="K149">
        <v>92</v>
      </c>
      <c r="L149">
        <v>90</v>
      </c>
      <c r="M149">
        <v>65</v>
      </c>
      <c r="N149">
        <v>79</v>
      </c>
      <c r="O149">
        <v>96</v>
      </c>
      <c r="P149">
        <v>87</v>
      </c>
      <c r="Q149">
        <v>74</v>
      </c>
      <c r="R149">
        <f>SUM(student_scores[[#This Row],[math_score]:[geography_score]])</f>
        <v>583</v>
      </c>
      <c r="S149" s="3">
        <f>student_scores[[#This Row],[Total_Score]]/7</f>
        <v>83.285714285714292</v>
      </c>
      <c r="T149" s="3" t="str" cm="1">
        <f t="array" ref="T149">_xlfn.IFS(student_scores[[#This Row],[weekly_self_study_hours]]&lt;=5,   "0 - 5", student_scores[[#This Row],[weekly_self_study_hours]]&lt;=10,  "6 - 10", student_scores[[#This Row],[weekly_self_study_hours]]&lt;=20,  "11 - 20",student_scores[[#This Row],[weekly_self_study_hours]]&lt;=30, "21 - 30",TRUE, "31+")</f>
        <v>31+</v>
      </c>
      <c r="U149" t="str" cm="1">
        <f t="array" ref="U149">_xlfn.IFS(student_scores[[#This Row],[absence_days]]=0,"0", student_scores[[#This Row],[absence_days]]&lt;=3,"1-3", student_scores[[#This Row],[absence_days]]&lt;=6,"4-6", TRUE,"7-10")</f>
        <v>0</v>
      </c>
      <c r="V149" t="str">
        <f>IF(student_scores[[#This Row],[Total_Score]] &gt;= _xlfn.PERCENTILE.INC(student_scores[Total_Score], 0.8), "Yes", "No")</f>
        <v>No</v>
      </c>
    </row>
    <row r="150" spans="1:22" x14ac:dyDescent="0.35">
      <c r="A150">
        <v>149</v>
      </c>
      <c r="B150" t="s">
        <v>415</v>
      </c>
      <c r="C150" t="s">
        <v>87</v>
      </c>
      <c r="D150" t="s">
        <v>416</v>
      </c>
      <c r="E150" t="s">
        <v>25</v>
      </c>
      <c r="F150" t="b">
        <v>0</v>
      </c>
      <c r="G150">
        <v>4</v>
      </c>
      <c r="H150" t="b">
        <v>1</v>
      </c>
      <c r="I150">
        <v>22</v>
      </c>
      <c r="J150" t="s">
        <v>38</v>
      </c>
      <c r="K150">
        <v>69</v>
      </c>
      <c r="L150">
        <v>91</v>
      </c>
      <c r="M150">
        <v>82</v>
      </c>
      <c r="N150">
        <v>99</v>
      </c>
      <c r="O150">
        <v>94</v>
      </c>
      <c r="P150">
        <v>75</v>
      </c>
      <c r="Q150">
        <v>74</v>
      </c>
      <c r="R150">
        <f>SUM(student_scores[[#This Row],[math_score]:[geography_score]])</f>
        <v>584</v>
      </c>
      <c r="S150" s="3">
        <f>student_scores[[#This Row],[Total_Score]]/7</f>
        <v>83.428571428571431</v>
      </c>
      <c r="T150" s="3" t="str" cm="1">
        <f t="array" ref="T150">_xlfn.IFS(student_scores[[#This Row],[weekly_self_study_hours]]&lt;=5,   "0 - 5", student_scores[[#This Row],[weekly_self_study_hours]]&lt;=10,  "6 - 10", student_scores[[#This Row],[weekly_self_study_hours]]&lt;=20,  "11 - 20",student_scores[[#This Row],[weekly_self_study_hours]]&lt;=30, "21 - 30",TRUE, "31+")</f>
        <v>21 - 30</v>
      </c>
      <c r="U150" t="str" cm="1">
        <f t="array" ref="U150">_xlfn.IFS(student_scores[[#This Row],[absence_days]]=0,"0", student_scores[[#This Row],[absence_days]]&lt;=3,"1-3", student_scores[[#This Row],[absence_days]]&lt;=6,"4-6", TRUE,"7-10")</f>
        <v>4-6</v>
      </c>
      <c r="V150" t="str">
        <f>IF(student_scores[[#This Row],[Total_Score]] &gt;= _xlfn.PERCENTILE.INC(student_scores[Total_Score], 0.8), "Yes", "No")</f>
        <v>No</v>
      </c>
    </row>
    <row r="151" spans="1:22" x14ac:dyDescent="0.35">
      <c r="A151">
        <v>150</v>
      </c>
      <c r="B151" t="s">
        <v>417</v>
      </c>
      <c r="C151" t="s">
        <v>418</v>
      </c>
      <c r="D151" t="s">
        <v>419</v>
      </c>
      <c r="E151" t="s">
        <v>25</v>
      </c>
      <c r="F151" t="b">
        <v>1</v>
      </c>
      <c r="G151">
        <v>5</v>
      </c>
      <c r="H151" t="b">
        <v>0</v>
      </c>
      <c r="I151">
        <v>4</v>
      </c>
      <c r="J151" t="s">
        <v>64</v>
      </c>
      <c r="K151">
        <v>76</v>
      </c>
      <c r="L151">
        <v>72</v>
      </c>
      <c r="M151">
        <v>72</v>
      </c>
      <c r="N151">
        <v>65</v>
      </c>
      <c r="O151">
        <v>82</v>
      </c>
      <c r="P151">
        <v>71</v>
      </c>
      <c r="Q151">
        <v>93</v>
      </c>
      <c r="R151">
        <f>SUM(student_scores[[#This Row],[math_score]:[geography_score]])</f>
        <v>531</v>
      </c>
      <c r="S151" s="3">
        <f>student_scores[[#This Row],[Total_Score]]/7</f>
        <v>75.857142857142861</v>
      </c>
      <c r="T151" s="3" t="str" cm="1">
        <f t="array" ref="T151">_xlfn.IFS(student_scores[[#This Row],[weekly_self_study_hours]]&lt;=5,   "0 - 5", student_scores[[#This Row],[weekly_self_study_hours]]&lt;=10,  "6 - 10", student_scores[[#This Row],[weekly_self_study_hours]]&lt;=20,  "11 - 20",student_scores[[#This Row],[weekly_self_study_hours]]&lt;=30, "21 - 30",TRUE, "31+")</f>
        <v>0 - 5</v>
      </c>
      <c r="U151" t="str" cm="1">
        <f t="array" ref="U151">_xlfn.IFS(student_scores[[#This Row],[absence_days]]=0,"0", student_scores[[#This Row],[absence_days]]&lt;=3,"1-3", student_scores[[#This Row],[absence_days]]&lt;=6,"4-6", TRUE,"7-10")</f>
        <v>4-6</v>
      </c>
      <c r="V151" t="str">
        <f>IF(student_scores[[#This Row],[Total_Score]] &gt;= _xlfn.PERCENTILE.INC(student_scores[Total_Score], 0.8), "Yes", "No")</f>
        <v>No</v>
      </c>
    </row>
    <row r="152" spans="1:22" x14ac:dyDescent="0.35">
      <c r="A152">
        <v>151</v>
      </c>
      <c r="B152" t="s">
        <v>420</v>
      </c>
      <c r="C152" t="s">
        <v>421</v>
      </c>
      <c r="D152" t="s">
        <v>422</v>
      </c>
      <c r="E152" t="s">
        <v>25</v>
      </c>
      <c r="F152" t="b">
        <v>0</v>
      </c>
      <c r="G152">
        <v>3</v>
      </c>
      <c r="H152" t="b">
        <v>0</v>
      </c>
      <c r="I152">
        <v>3</v>
      </c>
      <c r="J152" t="s">
        <v>38</v>
      </c>
      <c r="K152">
        <v>86</v>
      </c>
      <c r="L152">
        <v>92</v>
      </c>
      <c r="M152">
        <v>79</v>
      </c>
      <c r="N152">
        <v>73</v>
      </c>
      <c r="O152">
        <v>73</v>
      </c>
      <c r="P152">
        <v>61</v>
      </c>
      <c r="Q152">
        <v>60</v>
      </c>
      <c r="R152">
        <f>SUM(student_scores[[#This Row],[math_score]:[geography_score]])</f>
        <v>524</v>
      </c>
      <c r="S152" s="3">
        <f>student_scores[[#This Row],[Total_Score]]/7</f>
        <v>74.857142857142861</v>
      </c>
      <c r="T152" s="3" t="str" cm="1">
        <f t="array" ref="T152">_xlfn.IFS(student_scores[[#This Row],[weekly_self_study_hours]]&lt;=5,   "0 - 5", student_scores[[#This Row],[weekly_self_study_hours]]&lt;=10,  "6 - 10", student_scores[[#This Row],[weekly_self_study_hours]]&lt;=20,  "11 - 20",student_scores[[#This Row],[weekly_self_study_hours]]&lt;=30, "21 - 30",TRUE, "31+")</f>
        <v>0 - 5</v>
      </c>
      <c r="U152" t="str" cm="1">
        <f t="array" ref="U152">_xlfn.IFS(student_scores[[#This Row],[absence_days]]=0,"0", student_scores[[#This Row],[absence_days]]&lt;=3,"1-3", student_scores[[#This Row],[absence_days]]&lt;=6,"4-6", TRUE,"7-10")</f>
        <v>1-3</v>
      </c>
      <c r="V152" t="str">
        <f>IF(student_scores[[#This Row],[Total_Score]] &gt;= _xlfn.PERCENTILE.INC(student_scores[Total_Score], 0.8), "Yes", "No")</f>
        <v>No</v>
      </c>
    </row>
    <row r="153" spans="1:22" x14ac:dyDescent="0.35">
      <c r="A153">
        <v>152</v>
      </c>
      <c r="B153" t="s">
        <v>312</v>
      </c>
      <c r="C153" t="s">
        <v>423</v>
      </c>
      <c r="D153" t="s">
        <v>424</v>
      </c>
      <c r="E153" t="s">
        <v>20</v>
      </c>
      <c r="F153" t="b">
        <v>1</v>
      </c>
      <c r="G153">
        <v>10</v>
      </c>
      <c r="H153" t="b">
        <v>0</v>
      </c>
      <c r="I153">
        <v>2</v>
      </c>
      <c r="J153" t="s">
        <v>64</v>
      </c>
      <c r="K153">
        <v>41</v>
      </c>
      <c r="L153">
        <v>57</v>
      </c>
      <c r="M153">
        <v>97</v>
      </c>
      <c r="N153">
        <v>56</v>
      </c>
      <c r="O153">
        <v>50</v>
      </c>
      <c r="P153">
        <v>98</v>
      </c>
      <c r="Q153">
        <v>83</v>
      </c>
      <c r="R153">
        <f>SUM(student_scores[[#This Row],[math_score]:[geography_score]])</f>
        <v>482</v>
      </c>
      <c r="S153" s="3">
        <f>student_scores[[#This Row],[Total_Score]]/7</f>
        <v>68.857142857142861</v>
      </c>
      <c r="T153" s="3" t="str" cm="1">
        <f t="array" ref="T153">_xlfn.IFS(student_scores[[#This Row],[weekly_self_study_hours]]&lt;=5,   "0 - 5", student_scores[[#This Row],[weekly_self_study_hours]]&lt;=10,  "6 - 10", student_scores[[#This Row],[weekly_self_study_hours]]&lt;=20,  "11 - 20",student_scores[[#This Row],[weekly_self_study_hours]]&lt;=30, "21 - 30",TRUE, "31+")</f>
        <v>0 - 5</v>
      </c>
      <c r="U153" t="str" cm="1">
        <f t="array" ref="U153">_xlfn.IFS(student_scores[[#This Row],[absence_days]]=0,"0", student_scores[[#This Row],[absence_days]]&lt;=3,"1-3", student_scores[[#This Row],[absence_days]]&lt;=6,"4-6", TRUE,"7-10")</f>
        <v>7-10</v>
      </c>
      <c r="V153" t="str">
        <f>IF(student_scores[[#This Row],[Total_Score]] &gt;= _xlfn.PERCENTILE.INC(student_scores[Total_Score], 0.8), "Yes", "No")</f>
        <v>No</v>
      </c>
    </row>
    <row r="154" spans="1:22" x14ac:dyDescent="0.35">
      <c r="A154">
        <v>153</v>
      </c>
      <c r="B154" t="s">
        <v>166</v>
      </c>
      <c r="C154" t="s">
        <v>292</v>
      </c>
      <c r="D154" t="s">
        <v>425</v>
      </c>
      <c r="E154" t="s">
        <v>25</v>
      </c>
      <c r="F154" t="b">
        <v>0</v>
      </c>
      <c r="G154">
        <v>5</v>
      </c>
      <c r="H154" t="b">
        <v>0</v>
      </c>
      <c r="I154">
        <v>18</v>
      </c>
      <c r="J154" t="s">
        <v>38</v>
      </c>
      <c r="K154">
        <v>91</v>
      </c>
      <c r="L154">
        <v>100</v>
      </c>
      <c r="M154">
        <v>84</v>
      </c>
      <c r="N154">
        <v>72</v>
      </c>
      <c r="O154">
        <v>84</v>
      </c>
      <c r="P154">
        <v>90</v>
      </c>
      <c r="Q154">
        <v>82</v>
      </c>
      <c r="R154">
        <f>SUM(student_scores[[#This Row],[math_score]:[geography_score]])</f>
        <v>603</v>
      </c>
      <c r="S154" s="3">
        <f>student_scores[[#This Row],[Total_Score]]/7</f>
        <v>86.142857142857139</v>
      </c>
      <c r="T154" s="3" t="str" cm="1">
        <f t="array" ref="T154">_xlfn.IFS(student_scores[[#This Row],[weekly_self_study_hours]]&lt;=5,   "0 - 5", student_scores[[#This Row],[weekly_self_study_hours]]&lt;=10,  "6 - 10", student_scores[[#This Row],[weekly_self_study_hours]]&lt;=20,  "11 - 20",student_scores[[#This Row],[weekly_self_study_hours]]&lt;=30, "21 - 30",TRUE, "31+")</f>
        <v>11 - 20</v>
      </c>
      <c r="U154" t="str" cm="1">
        <f t="array" ref="U154">_xlfn.IFS(student_scores[[#This Row],[absence_days]]=0,"0", student_scores[[#This Row],[absence_days]]&lt;=3,"1-3", student_scores[[#This Row],[absence_days]]&lt;=6,"4-6", TRUE,"7-10")</f>
        <v>4-6</v>
      </c>
      <c r="V154" t="str">
        <f>IF(student_scores[[#This Row],[Total_Score]] &gt;= _xlfn.PERCENTILE.INC(student_scores[Total_Score], 0.8), "Yes", "No")</f>
        <v>Yes</v>
      </c>
    </row>
    <row r="155" spans="1:22" x14ac:dyDescent="0.35">
      <c r="A155">
        <v>154</v>
      </c>
      <c r="B155" t="s">
        <v>280</v>
      </c>
      <c r="C155" t="s">
        <v>426</v>
      </c>
      <c r="D155" t="s">
        <v>427</v>
      </c>
      <c r="E155" t="s">
        <v>20</v>
      </c>
      <c r="F155" t="b">
        <v>0</v>
      </c>
      <c r="G155">
        <v>0</v>
      </c>
      <c r="H155" t="b">
        <v>0</v>
      </c>
      <c r="I155">
        <v>8</v>
      </c>
      <c r="J155" t="s">
        <v>224</v>
      </c>
      <c r="K155">
        <v>78</v>
      </c>
      <c r="L155">
        <v>67</v>
      </c>
      <c r="M155">
        <v>82</v>
      </c>
      <c r="N155">
        <v>70</v>
      </c>
      <c r="O155">
        <v>65</v>
      </c>
      <c r="P155">
        <v>68</v>
      </c>
      <c r="Q155">
        <v>81</v>
      </c>
      <c r="R155">
        <f>SUM(student_scores[[#This Row],[math_score]:[geography_score]])</f>
        <v>511</v>
      </c>
      <c r="S155" s="3">
        <f>student_scores[[#This Row],[Total_Score]]/7</f>
        <v>73</v>
      </c>
      <c r="T155" s="3" t="str" cm="1">
        <f t="array" ref="T155">_xlfn.IFS(student_scores[[#This Row],[weekly_self_study_hours]]&lt;=5,   "0 - 5", student_scores[[#This Row],[weekly_self_study_hours]]&lt;=10,  "6 - 10", student_scores[[#This Row],[weekly_self_study_hours]]&lt;=20,  "11 - 20",student_scores[[#This Row],[weekly_self_study_hours]]&lt;=30, "21 - 30",TRUE, "31+")</f>
        <v>6 - 10</v>
      </c>
      <c r="U155" t="str" cm="1">
        <f t="array" ref="U155">_xlfn.IFS(student_scores[[#This Row],[absence_days]]=0,"0", student_scores[[#This Row],[absence_days]]&lt;=3,"1-3", student_scores[[#This Row],[absence_days]]&lt;=6,"4-6", TRUE,"7-10")</f>
        <v>0</v>
      </c>
      <c r="V155" t="str">
        <f>IF(student_scores[[#This Row],[Total_Score]] &gt;= _xlfn.PERCENTILE.INC(student_scores[Total_Score], 0.8), "Yes", "No")</f>
        <v>No</v>
      </c>
    </row>
    <row r="156" spans="1:22" x14ac:dyDescent="0.35">
      <c r="A156">
        <v>155</v>
      </c>
      <c r="B156" t="s">
        <v>428</v>
      </c>
      <c r="C156" t="s">
        <v>429</v>
      </c>
      <c r="D156" t="s">
        <v>430</v>
      </c>
      <c r="E156" t="s">
        <v>25</v>
      </c>
      <c r="F156" t="b">
        <v>0</v>
      </c>
      <c r="G156">
        <v>1</v>
      </c>
      <c r="H156" t="b">
        <v>0</v>
      </c>
      <c r="I156">
        <v>33</v>
      </c>
      <c r="J156" t="s">
        <v>44</v>
      </c>
      <c r="K156">
        <v>89</v>
      </c>
      <c r="L156">
        <v>73</v>
      </c>
      <c r="M156">
        <v>85</v>
      </c>
      <c r="N156">
        <v>84</v>
      </c>
      <c r="O156">
        <v>73</v>
      </c>
      <c r="P156">
        <v>81</v>
      </c>
      <c r="Q156">
        <v>98</v>
      </c>
      <c r="R156">
        <f>SUM(student_scores[[#This Row],[math_score]:[geography_score]])</f>
        <v>583</v>
      </c>
      <c r="S156" s="3">
        <f>student_scores[[#This Row],[Total_Score]]/7</f>
        <v>83.285714285714292</v>
      </c>
      <c r="T156" s="3" t="str" cm="1">
        <f t="array" ref="T156">_xlfn.IFS(student_scores[[#This Row],[weekly_self_study_hours]]&lt;=5,   "0 - 5", student_scores[[#This Row],[weekly_self_study_hours]]&lt;=10,  "6 - 10", student_scores[[#This Row],[weekly_self_study_hours]]&lt;=20,  "11 - 20",student_scores[[#This Row],[weekly_self_study_hours]]&lt;=30, "21 - 30",TRUE, "31+")</f>
        <v>31+</v>
      </c>
      <c r="U156" t="str" cm="1">
        <f t="array" ref="U156">_xlfn.IFS(student_scores[[#This Row],[absence_days]]=0,"0", student_scores[[#This Row],[absence_days]]&lt;=3,"1-3", student_scores[[#This Row],[absence_days]]&lt;=6,"4-6", TRUE,"7-10")</f>
        <v>1-3</v>
      </c>
      <c r="V156" t="str">
        <f>IF(student_scores[[#This Row],[Total_Score]] &gt;= _xlfn.PERCENTILE.INC(student_scores[Total_Score], 0.8), "Yes", "No")</f>
        <v>No</v>
      </c>
    </row>
    <row r="157" spans="1:22" x14ac:dyDescent="0.35">
      <c r="A157">
        <v>156</v>
      </c>
      <c r="B157" t="s">
        <v>413</v>
      </c>
      <c r="C157" t="s">
        <v>431</v>
      </c>
      <c r="D157" t="s">
        <v>432</v>
      </c>
      <c r="E157" t="s">
        <v>20</v>
      </c>
      <c r="F157" t="b">
        <v>0</v>
      </c>
      <c r="G157">
        <v>0</v>
      </c>
      <c r="H157" t="b">
        <v>1</v>
      </c>
      <c r="I157">
        <v>13</v>
      </c>
      <c r="J157" t="s">
        <v>38</v>
      </c>
      <c r="K157">
        <v>96</v>
      </c>
      <c r="L157">
        <v>71</v>
      </c>
      <c r="M157">
        <v>88</v>
      </c>
      <c r="N157">
        <v>74</v>
      </c>
      <c r="O157">
        <v>80</v>
      </c>
      <c r="P157">
        <v>92</v>
      </c>
      <c r="Q157">
        <v>65</v>
      </c>
      <c r="R157">
        <f>SUM(student_scores[[#This Row],[math_score]:[geography_score]])</f>
        <v>566</v>
      </c>
      <c r="S157" s="3">
        <f>student_scores[[#This Row],[Total_Score]]/7</f>
        <v>80.857142857142861</v>
      </c>
      <c r="T157" s="3" t="str" cm="1">
        <f t="array" ref="T157">_xlfn.IFS(student_scores[[#This Row],[weekly_self_study_hours]]&lt;=5,   "0 - 5", student_scores[[#This Row],[weekly_self_study_hours]]&lt;=10,  "6 - 10", student_scores[[#This Row],[weekly_self_study_hours]]&lt;=20,  "11 - 20",student_scores[[#This Row],[weekly_self_study_hours]]&lt;=30, "21 - 30",TRUE, "31+")</f>
        <v>11 - 20</v>
      </c>
      <c r="U157" t="str" cm="1">
        <f t="array" ref="U157">_xlfn.IFS(student_scores[[#This Row],[absence_days]]=0,"0", student_scores[[#This Row],[absence_days]]&lt;=3,"1-3", student_scores[[#This Row],[absence_days]]&lt;=6,"4-6", TRUE,"7-10")</f>
        <v>0</v>
      </c>
      <c r="V157" t="str">
        <f>IF(student_scores[[#This Row],[Total_Score]] &gt;= _xlfn.PERCENTILE.INC(student_scores[Total_Score], 0.8), "Yes", "No")</f>
        <v>No</v>
      </c>
    </row>
    <row r="158" spans="1:22" x14ac:dyDescent="0.35">
      <c r="A158">
        <v>157</v>
      </c>
      <c r="B158" t="s">
        <v>433</v>
      </c>
      <c r="C158" t="s">
        <v>429</v>
      </c>
      <c r="D158" t="s">
        <v>434</v>
      </c>
      <c r="E158" t="s">
        <v>25</v>
      </c>
      <c r="F158" t="b">
        <v>0</v>
      </c>
      <c r="G158">
        <v>0</v>
      </c>
      <c r="H158" t="b">
        <v>1</v>
      </c>
      <c r="I158">
        <v>17</v>
      </c>
      <c r="J158" t="s">
        <v>38</v>
      </c>
      <c r="K158">
        <v>66</v>
      </c>
      <c r="L158">
        <v>99</v>
      </c>
      <c r="M158">
        <v>85</v>
      </c>
      <c r="N158">
        <v>90</v>
      </c>
      <c r="O158">
        <v>76</v>
      </c>
      <c r="P158">
        <v>64</v>
      </c>
      <c r="Q158">
        <v>95</v>
      </c>
      <c r="R158">
        <f>SUM(student_scores[[#This Row],[math_score]:[geography_score]])</f>
        <v>575</v>
      </c>
      <c r="S158" s="3">
        <f>student_scores[[#This Row],[Total_Score]]/7</f>
        <v>82.142857142857139</v>
      </c>
      <c r="T158" s="3" t="str" cm="1">
        <f t="array" ref="T158">_xlfn.IFS(student_scores[[#This Row],[weekly_self_study_hours]]&lt;=5,   "0 - 5", student_scores[[#This Row],[weekly_self_study_hours]]&lt;=10,  "6 - 10", student_scores[[#This Row],[weekly_self_study_hours]]&lt;=20,  "11 - 20",student_scores[[#This Row],[weekly_self_study_hours]]&lt;=30, "21 - 30",TRUE, "31+")</f>
        <v>11 - 20</v>
      </c>
      <c r="U158" t="str" cm="1">
        <f t="array" ref="U158">_xlfn.IFS(student_scores[[#This Row],[absence_days]]=0,"0", student_scores[[#This Row],[absence_days]]&lt;=3,"1-3", student_scores[[#This Row],[absence_days]]&lt;=6,"4-6", TRUE,"7-10")</f>
        <v>0</v>
      </c>
      <c r="V158" t="str">
        <f>IF(student_scores[[#This Row],[Total_Score]] &gt;= _xlfn.PERCENTILE.INC(student_scores[Total_Score], 0.8), "Yes", "No")</f>
        <v>No</v>
      </c>
    </row>
    <row r="159" spans="1:22" x14ac:dyDescent="0.35">
      <c r="A159">
        <v>158</v>
      </c>
      <c r="B159" t="s">
        <v>208</v>
      </c>
      <c r="C159" t="s">
        <v>435</v>
      </c>
      <c r="D159" t="s">
        <v>436</v>
      </c>
      <c r="E159" t="s">
        <v>20</v>
      </c>
      <c r="F159" t="b">
        <v>1</v>
      </c>
      <c r="G159">
        <v>8</v>
      </c>
      <c r="H159" t="b">
        <v>0</v>
      </c>
      <c r="I159">
        <v>1</v>
      </c>
      <c r="J159" t="s">
        <v>64</v>
      </c>
      <c r="K159">
        <v>97</v>
      </c>
      <c r="L159">
        <v>54</v>
      </c>
      <c r="M159">
        <v>62</v>
      </c>
      <c r="N159">
        <v>66</v>
      </c>
      <c r="O159">
        <v>58</v>
      </c>
      <c r="P159">
        <v>69</v>
      </c>
      <c r="Q159">
        <v>96</v>
      </c>
      <c r="R159">
        <f>SUM(student_scores[[#This Row],[math_score]:[geography_score]])</f>
        <v>502</v>
      </c>
      <c r="S159" s="3">
        <f>student_scores[[#This Row],[Total_Score]]/7</f>
        <v>71.714285714285708</v>
      </c>
      <c r="T159" s="3" t="str" cm="1">
        <f t="array" ref="T159">_xlfn.IFS(student_scores[[#This Row],[weekly_self_study_hours]]&lt;=5,   "0 - 5", student_scores[[#This Row],[weekly_self_study_hours]]&lt;=10,  "6 - 10", student_scores[[#This Row],[weekly_self_study_hours]]&lt;=20,  "11 - 20",student_scores[[#This Row],[weekly_self_study_hours]]&lt;=30, "21 - 30",TRUE, "31+")</f>
        <v>0 - 5</v>
      </c>
      <c r="U159" t="str" cm="1">
        <f t="array" ref="U159">_xlfn.IFS(student_scores[[#This Row],[absence_days]]=0,"0", student_scores[[#This Row],[absence_days]]&lt;=3,"1-3", student_scores[[#This Row],[absence_days]]&lt;=6,"4-6", TRUE,"7-10")</f>
        <v>7-10</v>
      </c>
      <c r="V159" t="str">
        <f>IF(student_scores[[#This Row],[Total_Score]] &gt;= _xlfn.PERCENTILE.INC(student_scores[Total_Score], 0.8), "Yes", "No")</f>
        <v>No</v>
      </c>
    </row>
    <row r="160" spans="1:22" x14ac:dyDescent="0.35">
      <c r="A160">
        <v>159</v>
      </c>
      <c r="B160" t="s">
        <v>269</v>
      </c>
      <c r="C160" t="s">
        <v>406</v>
      </c>
      <c r="D160" t="s">
        <v>437</v>
      </c>
      <c r="E160" t="s">
        <v>20</v>
      </c>
      <c r="F160" t="b">
        <v>1</v>
      </c>
      <c r="G160">
        <v>7</v>
      </c>
      <c r="H160" t="b">
        <v>1</v>
      </c>
      <c r="I160">
        <v>3</v>
      </c>
      <c r="J160" t="s">
        <v>64</v>
      </c>
      <c r="K160">
        <v>49</v>
      </c>
      <c r="L160">
        <v>64</v>
      </c>
      <c r="M160">
        <v>97</v>
      </c>
      <c r="N160">
        <v>61</v>
      </c>
      <c r="O160">
        <v>62</v>
      </c>
      <c r="P160">
        <v>72</v>
      </c>
      <c r="Q160">
        <v>65</v>
      </c>
      <c r="R160">
        <f>SUM(student_scores[[#This Row],[math_score]:[geography_score]])</f>
        <v>470</v>
      </c>
      <c r="S160" s="3">
        <f>student_scores[[#This Row],[Total_Score]]/7</f>
        <v>67.142857142857139</v>
      </c>
      <c r="T160" s="3" t="str" cm="1">
        <f t="array" ref="T160">_xlfn.IFS(student_scores[[#This Row],[weekly_self_study_hours]]&lt;=5,   "0 - 5", student_scores[[#This Row],[weekly_self_study_hours]]&lt;=10,  "6 - 10", student_scores[[#This Row],[weekly_self_study_hours]]&lt;=20,  "11 - 20",student_scores[[#This Row],[weekly_self_study_hours]]&lt;=30, "21 - 30",TRUE, "31+")</f>
        <v>0 - 5</v>
      </c>
      <c r="U160" t="str" cm="1">
        <f t="array" ref="U160">_xlfn.IFS(student_scores[[#This Row],[absence_days]]=0,"0", student_scores[[#This Row],[absence_days]]&lt;=3,"1-3", student_scores[[#This Row],[absence_days]]&lt;=6,"4-6", TRUE,"7-10")</f>
        <v>7-10</v>
      </c>
      <c r="V160" t="str">
        <f>IF(student_scores[[#This Row],[Total_Score]] &gt;= _xlfn.PERCENTILE.INC(student_scores[Total_Score], 0.8), "Yes", "No")</f>
        <v>No</v>
      </c>
    </row>
    <row r="161" spans="1:22" x14ac:dyDescent="0.35">
      <c r="A161">
        <v>160</v>
      </c>
      <c r="B161" t="s">
        <v>139</v>
      </c>
      <c r="C161" t="s">
        <v>438</v>
      </c>
      <c r="D161" t="s">
        <v>439</v>
      </c>
      <c r="E161" t="s">
        <v>20</v>
      </c>
      <c r="F161" t="b">
        <v>1</v>
      </c>
      <c r="G161">
        <v>4</v>
      </c>
      <c r="H161" t="b">
        <v>1</v>
      </c>
      <c r="I161">
        <v>33</v>
      </c>
      <c r="J161" t="s">
        <v>38</v>
      </c>
      <c r="K161">
        <v>88</v>
      </c>
      <c r="L161">
        <v>66</v>
      </c>
      <c r="M161">
        <v>96</v>
      </c>
      <c r="N161">
        <v>82</v>
      </c>
      <c r="O161">
        <v>65</v>
      </c>
      <c r="P161">
        <v>76</v>
      </c>
      <c r="Q161">
        <v>79</v>
      </c>
      <c r="R161">
        <f>SUM(student_scores[[#This Row],[math_score]:[geography_score]])</f>
        <v>552</v>
      </c>
      <c r="S161" s="3">
        <f>student_scores[[#This Row],[Total_Score]]/7</f>
        <v>78.857142857142861</v>
      </c>
      <c r="T161" s="3" t="str" cm="1">
        <f t="array" ref="T161">_xlfn.IFS(student_scores[[#This Row],[weekly_self_study_hours]]&lt;=5,   "0 - 5", student_scores[[#This Row],[weekly_self_study_hours]]&lt;=10,  "6 - 10", student_scores[[#This Row],[weekly_self_study_hours]]&lt;=20,  "11 - 20",student_scores[[#This Row],[weekly_self_study_hours]]&lt;=30, "21 - 30",TRUE, "31+")</f>
        <v>31+</v>
      </c>
      <c r="U161" t="str" cm="1">
        <f t="array" ref="U161">_xlfn.IFS(student_scores[[#This Row],[absence_days]]=0,"0", student_scores[[#This Row],[absence_days]]&lt;=3,"1-3", student_scores[[#This Row],[absence_days]]&lt;=6,"4-6", TRUE,"7-10")</f>
        <v>4-6</v>
      </c>
      <c r="V161" t="str">
        <f>IF(student_scores[[#This Row],[Total_Score]] &gt;= _xlfn.PERCENTILE.INC(student_scores[Total_Score], 0.8), "Yes", "No")</f>
        <v>No</v>
      </c>
    </row>
    <row r="162" spans="1:22" x14ac:dyDescent="0.35">
      <c r="A162">
        <v>161</v>
      </c>
      <c r="B162" t="s">
        <v>135</v>
      </c>
      <c r="C162" t="s">
        <v>42</v>
      </c>
      <c r="D162" t="s">
        <v>440</v>
      </c>
      <c r="E162" t="s">
        <v>20</v>
      </c>
      <c r="F162" t="b">
        <v>0</v>
      </c>
      <c r="G162">
        <v>1</v>
      </c>
      <c r="H162" t="b">
        <v>0</v>
      </c>
      <c r="I162">
        <v>12</v>
      </c>
      <c r="J162" t="s">
        <v>38</v>
      </c>
      <c r="K162">
        <v>92</v>
      </c>
      <c r="L162">
        <v>64</v>
      </c>
      <c r="M162">
        <v>77</v>
      </c>
      <c r="N162">
        <v>61</v>
      </c>
      <c r="O162">
        <v>76</v>
      </c>
      <c r="P162">
        <v>72</v>
      </c>
      <c r="Q162">
        <v>87</v>
      </c>
      <c r="R162">
        <f>SUM(student_scores[[#This Row],[math_score]:[geography_score]])</f>
        <v>529</v>
      </c>
      <c r="S162" s="3">
        <f>student_scores[[#This Row],[Total_Score]]/7</f>
        <v>75.571428571428569</v>
      </c>
      <c r="T162" s="3" t="str" cm="1">
        <f t="array" ref="T162">_xlfn.IFS(student_scores[[#This Row],[weekly_self_study_hours]]&lt;=5,   "0 - 5", student_scores[[#This Row],[weekly_self_study_hours]]&lt;=10,  "6 - 10", student_scores[[#This Row],[weekly_self_study_hours]]&lt;=20,  "11 - 20",student_scores[[#This Row],[weekly_self_study_hours]]&lt;=30, "21 - 30",TRUE, "31+")</f>
        <v>11 - 20</v>
      </c>
      <c r="U162" t="str" cm="1">
        <f t="array" ref="U162">_xlfn.IFS(student_scores[[#This Row],[absence_days]]=0,"0", student_scores[[#This Row],[absence_days]]&lt;=3,"1-3", student_scores[[#This Row],[absence_days]]&lt;=6,"4-6", TRUE,"7-10")</f>
        <v>1-3</v>
      </c>
      <c r="V162" t="str">
        <f>IF(student_scores[[#This Row],[Total_Score]] &gt;= _xlfn.PERCENTILE.INC(student_scores[Total_Score], 0.8), "Yes", "No")</f>
        <v>No</v>
      </c>
    </row>
    <row r="163" spans="1:22" x14ac:dyDescent="0.35">
      <c r="A163">
        <v>162</v>
      </c>
      <c r="B163" t="s">
        <v>35</v>
      </c>
      <c r="C163" t="s">
        <v>441</v>
      </c>
      <c r="D163" t="s">
        <v>442</v>
      </c>
      <c r="E163" t="s">
        <v>20</v>
      </c>
      <c r="F163" t="b">
        <v>1</v>
      </c>
      <c r="G163">
        <v>3</v>
      </c>
      <c r="H163" t="b">
        <v>0</v>
      </c>
      <c r="I163">
        <v>24</v>
      </c>
      <c r="J163" t="s">
        <v>138</v>
      </c>
      <c r="K163">
        <v>96</v>
      </c>
      <c r="L163">
        <v>66</v>
      </c>
      <c r="M163">
        <v>92</v>
      </c>
      <c r="N163">
        <v>88</v>
      </c>
      <c r="O163">
        <v>65</v>
      </c>
      <c r="P163">
        <v>76</v>
      </c>
      <c r="Q163">
        <v>72</v>
      </c>
      <c r="R163">
        <f>SUM(student_scores[[#This Row],[math_score]:[geography_score]])</f>
        <v>555</v>
      </c>
      <c r="S163" s="3">
        <f>student_scores[[#This Row],[Total_Score]]/7</f>
        <v>79.285714285714292</v>
      </c>
      <c r="T163" s="3" t="str" cm="1">
        <f t="array" ref="T163">_xlfn.IFS(student_scores[[#This Row],[weekly_self_study_hours]]&lt;=5,   "0 - 5", student_scores[[#This Row],[weekly_self_study_hours]]&lt;=10,  "6 - 10", student_scores[[#This Row],[weekly_self_study_hours]]&lt;=20,  "11 - 20",student_scores[[#This Row],[weekly_self_study_hours]]&lt;=30, "21 - 30",TRUE, "31+")</f>
        <v>21 - 30</v>
      </c>
      <c r="U163" t="str" cm="1">
        <f t="array" ref="U163">_xlfn.IFS(student_scores[[#This Row],[absence_days]]=0,"0", student_scores[[#This Row],[absence_days]]&lt;=3,"1-3", student_scores[[#This Row],[absence_days]]&lt;=6,"4-6", TRUE,"7-10")</f>
        <v>1-3</v>
      </c>
      <c r="V163" t="str">
        <f>IF(student_scores[[#This Row],[Total_Score]] &gt;= _xlfn.PERCENTILE.INC(student_scores[Total_Score], 0.8), "Yes", "No")</f>
        <v>No</v>
      </c>
    </row>
    <row r="164" spans="1:22" x14ac:dyDescent="0.35">
      <c r="A164">
        <v>163</v>
      </c>
      <c r="B164" t="s">
        <v>443</v>
      </c>
      <c r="C164" t="s">
        <v>444</v>
      </c>
      <c r="D164" t="s">
        <v>445</v>
      </c>
      <c r="E164" t="s">
        <v>20</v>
      </c>
      <c r="F164" t="b">
        <v>0</v>
      </c>
      <c r="G164">
        <v>4</v>
      </c>
      <c r="H164" t="b">
        <v>0</v>
      </c>
      <c r="I164">
        <v>33</v>
      </c>
      <c r="J164" t="s">
        <v>138</v>
      </c>
      <c r="K164">
        <v>86</v>
      </c>
      <c r="L164">
        <v>88</v>
      </c>
      <c r="M164">
        <v>99</v>
      </c>
      <c r="N164">
        <v>79</v>
      </c>
      <c r="O164">
        <v>93</v>
      </c>
      <c r="P164">
        <v>97</v>
      </c>
      <c r="Q164">
        <v>91</v>
      </c>
      <c r="R164">
        <f>SUM(student_scores[[#This Row],[math_score]:[geography_score]])</f>
        <v>633</v>
      </c>
      <c r="S164" s="3">
        <f>student_scores[[#This Row],[Total_Score]]/7</f>
        <v>90.428571428571431</v>
      </c>
      <c r="T164" s="3" t="str" cm="1">
        <f t="array" ref="T164">_xlfn.IFS(student_scores[[#This Row],[weekly_self_study_hours]]&lt;=5,   "0 - 5", student_scores[[#This Row],[weekly_self_study_hours]]&lt;=10,  "6 - 10", student_scores[[#This Row],[weekly_self_study_hours]]&lt;=20,  "11 - 20",student_scores[[#This Row],[weekly_self_study_hours]]&lt;=30, "21 - 30",TRUE, "31+")</f>
        <v>31+</v>
      </c>
      <c r="U164" t="str" cm="1">
        <f t="array" ref="U164">_xlfn.IFS(student_scores[[#This Row],[absence_days]]=0,"0", student_scores[[#This Row],[absence_days]]&lt;=3,"1-3", student_scores[[#This Row],[absence_days]]&lt;=6,"4-6", TRUE,"7-10")</f>
        <v>4-6</v>
      </c>
      <c r="V164" t="str">
        <f>IF(student_scores[[#This Row],[Total_Score]] &gt;= _xlfn.PERCENTILE.INC(student_scores[Total_Score], 0.8), "Yes", "No")</f>
        <v>Yes</v>
      </c>
    </row>
    <row r="165" spans="1:22" x14ac:dyDescent="0.35">
      <c r="A165">
        <v>164</v>
      </c>
      <c r="B165" t="s">
        <v>446</v>
      </c>
      <c r="C165" t="s">
        <v>447</v>
      </c>
      <c r="D165" t="s">
        <v>448</v>
      </c>
      <c r="E165" t="s">
        <v>20</v>
      </c>
      <c r="F165" t="b">
        <v>0</v>
      </c>
      <c r="G165">
        <v>1</v>
      </c>
      <c r="H165" t="b">
        <v>1</v>
      </c>
      <c r="I165">
        <v>44</v>
      </c>
      <c r="J165" t="s">
        <v>26</v>
      </c>
      <c r="K165">
        <v>86</v>
      </c>
      <c r="L165">
        <v>100</v>
      </c>
      <c r="M165">
        <v>100</v>
      </c>
      <c r="N165">
        <v>96</v>
      </c>
      <c r="O165">
        <v>95</v>
      </c>
      <c r="P165">
        <v>97</v>
      </c>
      <c r="Q165">
        <v>93</v>
      </c>
      <c r="R165">
        <f>SUM(student_scores[[#This Row],[math_score]:[geography_score]])</f>
        <v>667</v>
      </c>
      <c r="S165" s="3">
        <f>student_scores[[#This Row],[Total_Score]]/7</f>
        <v>95.285714285714292</v>
      </c>
      <c r="T165" s="3" t="str" cm="1">
        <f t="array" ref="T165">_xlfn.IFS(student_scores[[#This Row],[weekly_self_study_hours]]&lt;=5,   "0 - 5", student_scores[[#This Row],[weekly_self_study_hours]]&lt;=10,  "6 - 10", student_scores[[#This Row],[weekly_self_study_hours]]&lt;=20,  "11 - 20",student_scores[[#This Row],[weekly_self_study_hours]]&lt;=30, "21 - 30",TRUE, "31+")</f>
        <v>31+</v>
      </c>
      <c r="U165" t="str" cm="1">
        <f t="array" ref="U165">_xlfn.IFS(student_scores[[#This Row],[absence_days]]=0,"0", student_scores[[#This Row],[absence_days]]&lt;=3,"1-3", student_scores[[#This Row],[absence_days]]&lt;=6,"4-6", TRUE,"7-10")</f>
        <v>1-3</v>
      </c>
      <c r="V165" t="str">
        <f>IF(student_scores[[#This Row],[Total_Score]] &gt;= _xlfn.PERCENTILE.INC(student_scores[Total_Score], 0.8), "Yes", "No")</f>
        <v>Yes</v>
      </c>
    </row>
    <row r="166" spans="1:22" x14ac:dyDescent="0.35">
      <c r="A166">
        <v>165</v>
      </c>
      <c r="B166" t="s">
        <v>449</v>
      </c>
      <c r="C166" t="s">
        <v>450</v>
      </c>
      <c r="D166" t="s">
        <v>451</v>
      </c>
      <c r="E166" t="s">
        <v>25</v>
      </c>
      <c r="F166" t="b">
        <v>0</v>
      </c>
      <c r="G166">
        <v>1</v>
      </c>
      <c r="H166" t="b">
        <v>0</v>
      </c>
      <c r="I166">
        <v>15</v>
      </c>
      <c r="J166" t="s">
        <v>54</v>
      </c>
      <c r="K166">
        <v>88</v>
      </c>
      <c r="L166">
        <v>72</v>
      </c>
      <c r="M166">
        <v>96</v>
      </c>
      <c r="N166">
        <v>60</v>
      </c>
      <c r="O166">
        <v>90</v>
      </c>
      <c r="P166">
        <v>80</v>
      </c>
      <c r="Q166">
        <v>88</v>
      </c>
      <c r="R166">
        <f>SUM(student_scores[[#This Row],[math_score]:[geography_score]])</f>
        <v>574</v>
      </c>
      <c r="S166" s="3">
        <f>student_scores[[#This Row],[Total_Score]]/7</f>
        <v>82</v>
      </c>
      <c r="T166" s="3" t="str" cm="1">
        <f t="array" ref="T166">_xlfn.IFS(student_scores[[#This Row],[weekly_self_study_hours]]&lt;=5,   "0 - 5", student_scores[[#This Row],[weekly_self_study_hours]]&lt;=10,  "6 - 10", student_scores[[#This Row],[weekly_self_study_hours]]&lt;=20,  "11 - 20",student_scores[[#This Row],[weekly_self_study_hours]]&lt;=30, "21 - 30",TRUE, "31+")</f>
        <v>11 - 20</v>
      </c>
      <c r="U166" t="str" cm="1">
        <f t="array" ref="U166">_xlfn.IFS(student_scores[[#This Row],[absence_days]]=0,"0", student_scores[[#This Row],[absence_days]]&lt;=3,"1-3", student_scores[[#This Row],[absence_days]]&lt;=6,"4-6", TRUE,"7-10")</f>
        <v>1-3</v>
      </c>
      <c r="V166" t="str">
        <f>IF(student_scores[[#This Row],[Total_Score]] &gt;= _xlfn.PERCENTILE.INC(student_scores[Total_Score], 0.8), "Yes", "No")</f>
        <v>No</v>
      </c>
    </row>
    <row r="167" spans="1:22" x14ac:dyDescent="0.35">
      <c r="A167">
        <v>166</v>
      </c>
      <c r="B167" t="s">
        <v>130</v>
      </c>
      <c r="C167" t="s">
        <v>452</v>
      </c>
      <c r="D167" t="s">
        <v>453</v>
      </c>
      <c r="E167" t="s">
        <v>25</v>
      </c>
      <c r="F167" t="b">
        <v>0</v>
      </c>
      <c r="G167">
        <v>2</v>
      </c>
      <c r="H167" t="b">
        <v>0</v>
      </c>
      <c r="I167">
        <v>5</v>
      </c>
      <c r="J167" t="s">
        <v>159</v>
      </c>
      <c r="K167">
        <v>92</v>
      </c>
      <c r="L167">
        <v>81</v>
      </c>
      <c r="M167">
        <v>99</v>
      </c>
      <c r="N167">
        <v>98</v>
      </c>
      <c r="O167">
        <v>77</v>
      </c>
      <c r="P167">
        <v>80</v>
      </c>
      <c r="Q167">
        <v>73</v>
      </c>
      <c r="R167">
        <f>SUM(student_scores[[#This Row],[math_score]:[geography_score]])</f>
        <v>600</v>
      </c>
      <c r="S167" s="3">
        <f>student_scores[[#This Row],[Total_Score]]/7</f>
        <v>85.714285714285708</v>
      </c>
      <c r="T167" s="3" t="str" cm="1">
        <f t="array" ref="T167">_xlfn.IFS(student_scores[[#This Row],[weekly_self_study_hours]]&lt;=5,   "0 - 5", student_scores[[#This Row],[weekly_self_study_hours]]&lt;=10,  "6 - 10", student_scores[[#This Row],[weekly_self_study_hours]]&lt;=20,  "11 - 20",student_scores[[#This Row],[weekly_self_study_hours]]&lt;=30, "21 - 30",TRUE, "31+")</f>
        <v>0 - 5</v>
      </c>
      <c r="U167" t="str" cm="1">
        <f t="array" ref="U167">_xlfn.IFS(student_scores[[#This Row],[absence_days]]=0,"0", student_scores[[#This Row],[absence_days]]&lt;=3,"1-3", student_scores[[#This Row],[absence_days]]&lt;=6,"4-6", TRUE,"7-10")</f>
        <v>1-3</v>
      </c>
      <c r="V167" t="str">
        <f>IF(student_scores[[#This Row],[Total_Score]] &gt;= _xlfn.PERCENTILE.INC(student_scores[Total_Score], 0.8), "Yes", "No")</f>
        <v>No</v>
      </c>
    </row>
    <row r="168" spans="1:22" x14ac:dyDescent="0.35">
      <c r="A168">
        <v>167</v>
      </c>
      <c r="B168" t="s">
        <v>68</v>
      </c>
      <c r="C168" t="s">
        <v>454</v>
      </c>
      <c r="D168" t="s">
        <v>455</v>
      </c>
      <c r="E168" t="s">
        <v>25</v>
      </c>
      <c r="F168" t="b">
        <v>1</v>
      </c>
      <c r="G168">
        <v>7</v>
      </c>
      <c r="H168" t="b">
        <v>0</v>
      </c>
      <c r="I168">
        <v>5</v>
      </c>
      <c r="J168" t="s">
        <v>64</v>
      </c>
      <c r="K168">
        <v>87</v>
      </c>
      <c r="L168">
        <v>76</v>
      </c>
      <c r="M168">
        <v>71</v>
      </c>
      <c r="N168">
        <v>65</v>
      </c>
      <c r="O168">
        <v>64</v>
      </c>
      <c r="P168">
        <v>81</v>
      </c>
      <c r="Q168">
        <v>61</v>
      </c>
      <c r="R168">
        <f>SUM(student_scores[[#This Row],[math_score]:[geography_score]])</f>
        <v>505</v>
      </c>
      <c r="S168" s="3">
        <f>student_scores[[#This Row],[Total_Score]]/7</f>
        <v>72.142857142857139</v>
      </c>
      <c r="T168" s="3" t="str" cm="1">
        <f t="array" ref="T168">_xlfn.IFS(student_scores[[#This Row],[weekly_self_study_hours]]&lt;=5,   "0 - 5", student_scores[[#This Row],[weekly_self_study_hours]]&lt;=10,  "6 - 10", student_scores[[#This Row],[weekly_self_study_hours]]&lt;=20,  "11 - 20",student_scores[[#This Row],[weekly_self_study_hours]]&lt;=30, "21 - 30",TRUE, "31+")</f>
        <v>0 - 5</v>
      </c>
      <c r="U168" t="str" cm="1">
        <f t="array" ref="U168">_xlfn.IFS(student_scores[[#This Row],[absence_days]]=0,"0", student_scores[[#This Row],[absence_days]]&lt;=3,"1-3", student_scores[[#This Row],[absence_days]]&lt;=6,"4-6", TRUE,"7-10")</f>
        <v>7-10</v>
      </c>
      <c r="V168" t="str">
        <f>IF(student_scores[[#This Row],[Total_Score]] &gt;= _xlfn.PERCENTILE.INC(student_scores[Total_Score], 0.8), "Yes", "No")</f>
        <v>No</v>
      </c>
    </row>
    <row r="169" spans="1:22" x14ac:dyDescent="0.35">
      <c r="A169">
        <v>168</v>
      </c>
      <c r="B169" t="s">
        <v>456</v>
      </c>
      <c r="C169" t="s">
        <v>457</v>
      </c>
      <c r="D169" t="s">
        <v>458</v>
      </c>
      <c r="E169" t="s">
        <v>25</v>
      </c>
      <c r="F169" t="b">
        <v>0</v>
      </c>
      <c r="G169">
        <v>5</v>
      </c>
      <c r="H169" t="b">
        <v>0</v>
      </c>
      <c r="I169">
        <v>22</v>
      </c>
      <c r="J169" t="s">
        <v>38</v>
      </c>
      <c r="K169">
        <v>89</v>
      </c>
      <c r="L169">
        <v>94</v>
      </c>
      <c r="M169">
        <v>67</v>
      </c>
      <c r="N169">
        <v>68</v>
      </c>
      <c r="O169">
        <v>69</v>
      </c>
      <c r="P169">
        <v>92</v>
      </c>
      <c r="Q169">
        <v>76</v>
      </c>
      <c r="R169">
        <f>SUM(student_scores[[#This Row],[math_score]:[geography_score]])</f>
        <v>555</v>
      </c>
      <c r="S169" s="3">
        <f>student_scores[[#This Row],[Total_Score]]/7</f>
        <v>79.285714285714292</v>
      </c>
      <c r="T169" s="3" t="str" cm="1">
        <f t="array" ref="T169">_xlfn.IFS(student_scores[[#This Row],[weekly_self_study_hours]]&lt;=5,   "0 - 5", student_scores[[#This Row],[weekly_self_study_hours]]&lt;=10,  "6 - 10", student_scores[[#This Row],[weekly_self_study_hours]]&lt;=20,  "11 - 20",student_scores[[#This Row],[weekly_self_study_hours]]&lt;=30, "21 - 30",TRUE, "31+")</f>
        <v>21 - 30</v>
      </c>
      <c r="U169" t="str" cm="1">
        <f t="array" ref="U169">_xlfn.IFS(student_scores[[#This Row],[absence_days]]=0,"0", student_scores[[#This Row],[absence_days]]&lt;=3,"1-3", student_scores[[#This Row],[absence_days]]&lt;=6,"4-6", TRUE,"7-10")</f>
        <v>4-6</v>
      </c>
      <c r="V169" t="str">
        <f>IF(student_scores[[#This Row],[Total_Score]] &gt;= _xlfn.PERCENTILE.INC(student_scores[Total_Score], 0.8), "Yes", "No")</f>
        <v>No</v>
      </c>
    </row>
    <row r="170" spans="1:22" x14ac:dyDescent="0.35">
      <c r="A170">
        <v>169</v>
      </c>
      <c r="B170" t="s">
        <v>459</v>
      </c>
      <c r="C170" t="s">
        <v>460</v>
      </c>
      <c r="D170" t="s">
        <v>461</v>
      </c>
      <c r="E170" t="s">
        <v>20</v>
      </c>
      <c r="F170" t="b">
        <v>0</v>
      </c>
      <c r="G170">
        <v>1</v>
      </c>
      <c r="H170" t="b">
        <v>0</v>
      </c>
      <c r="I170">
        <v>9</v>
      </c>
      <c r="J170" t="s">
        <v>38</v>
      </c>
      <c r="K170">
        <v>97</v>
      </c>
      <c r="L170">
        <v>96</v>
      </c>
      <c r="M170">
        <v>66</v>
      </c>
      <c r="N170">
        <v>96</v>
      </c>
      <c r="O170">
        <v>71</v>
      </c>
      <c r="P170">
        <v>97</v>
      </c>
      <c r="Q170">
        <v>66</v>
      </c>
      <c r="R170">
        <f>SUM(student_scores[[#This Row],[math_score]:[geography_score]])</f>
        <v>589</v>
      </c>
      <c r="S170" s="3">
        <f>student_scores[[#This Row],[Total_Score]]/7</f>
        <v>84.142857142857139</v>
      </c>
      <c r="T170" s="3" t="str" cm="1">
        <f t="array" ref="T170">_xlfn.IFS(student_scores[[#This Row],[weekly_self_study_hours]]&lt;=5,   "0 - 5", student_scores[[#This Row],[weekly_self_study_hours]]&lt;=10,  "6 - 10", student_scores[[#This Row],[weekly_self_study_hours]]&lt;=20,  "11 - 20",student_scores[[#This Row],[weekly_self_study_hours]]&lt;=30, "21 - 30",TRUE, "31+")</f>
        <v>6 - 10</v>
      </c>
      <c r="U170" t="str" cm="1">
        <f t="array" ref="U170">_xlfn.IFS(student_scores[[#This Row],[absence_days]]=0,"0", student_scores[[#This Row],[absence_days]]&lt;=3,"1-3", student_scores[[#This Row],[absence_days]]&lt;=6,"4-6", TRUE,"7-10")</f>
        <v>1-3</v>
      </c>
      <c r="V170" t="str">
        <f>IF(student_scores[[#This Row],[Total_Score]] &gt;= _xlfn.PERCENTILE.INC(student_scores[Total_Score], 0.8), "Yes", "No")</f>
        <v>No</v>
      </c>
    </row>
    <row r="171" spans="1:22" x14ac:dyDescent="0.35">
      <c r="A171">
        <v>170</v>
      </c>
      <c r="B171" t="s">
        <v>462</v>
      </c>
      <c r="C171" t="s">
        <v>463</v>
      </c>
      <c r="D171" t="s">
        <v>464</v>
      </c>
      <c r="E171" t="s">
        <v>20</v>
      </c>
      <c r="F171" t="b">
        <v>0</v>
      </c>
      <c r="G171">
        <v>4</v>
      </c>
      <c r="H171" t="b">
        <v>1</v>
      </c>
      <c r="I171">
        <v>34</v>
      </c>
      <c r="J171" t="s">
        <v>44</v>
      </c>
      <c r="K171">
        <v>100</v>
      </c>
      <c r="L171">
        <v>62</v>
      </c>
      <c r="M171">
        <v>67</v>
      </c>
      <c r="N171">
        <v>97</v>
      </c>
      <c r="O171">
        <v>73</v>
      </c>
      <c r="P171">
        <v>84</v>
      </c>
      <c r="Q171">
        <v>99</v>
      </c>
      <c r="R171">
        <f>SUM(student_scores[[#This Row],[math_score]:[geography_score]])</f>
        <v>582</v>
      </c>
      <c r="S171" s="3">
        <f>student_scores[[#This Row],[Total_Score]]/7</f>
        <v>83.142857142857139</v>
      </c>
      <c r="T171" s="3" t="str" cm="1">
        <f t="array" ref="T171">_xlfn.IFS(student_scores[[#This Row],[weekly_self_study_hours]]&lt;=5,   "0 - 5", student_scores[[#This Row],[weekly_self_study_hours]]&lt;=10,  "6 - 10", student_scores[[#This Row],[weekly_self_study_hours]]&lt;=20,  "11 - 20",student_scores[[#This Row],[weekly_self_study_hours]]&lt;=30, "21 - 30",TRUE, "31+")</f>
        <v>31+</v>
      </c>
      <c r="U171" t="str" cm="1">
        <f t="array" ref="U171">_xlfn.IFS(student_scores[[#This Row],[absence_days]]=0,"0", student_scores[[#This Row],[absence_days]]&lt;=3,"1-3", student_scores[[#This Row],[absence_days]]&lt;=6,"4-6", TRUE,"7-10")</f>
        <v>4-6</v>
      </c>
      <c r="V171" t="str">
        <f>IF(student_scores[[#This Row],[Total_Score]] &gt;= _xlfn.PERCENTILE.INC(student_scores[Total_Score], 0.8), "Yes", "No")</f>
        <v>No</v>
      </c>
    </row>
    <row r="172" spans="1:22" x14ac:dyDescent="0.35">
      <c r="A172">
        <v>171</v>
      </c>
      <c r="B172" t="s">
        <v>465</v>
      </c>
      <c r="C172" t="s">
        <v>466</v>
      </c>
      <c r="D172" t="s">
        <v>467</v>
      </c>
      <c r="E172" t="s">
        <v>25</v>
      </c>
      <c r="F172" t="b">
        <v>0</v>
      </c>
      <c r="G172">
        <v>1</v>
      </c>
      <c r="H172" t="b">
        <v>0</v>
      </c>
      <c r="I172">
        <v>34</v>
      </c>
      <c r="J172" t="s">
        <v>21</v>
      </c>
      <c r="K172">
        <v>91</v>
      </c>
      <c r="L172">
        <v>98</v>
      </c>
      <c r="M172">
        <v>76</v>
      </c>
      <c r="N172">
        <v>99</v>
      </c>
      <c r="O172">
        <v>65</v>
      </c>
      <c r="P172">
        <v>98</v>
      </c>
      <c r="Q172">
        <v>71</v>
      </c>
      <c r="R172">
        <f>SUM(student_scores[[#This Row],[math_score]:[geography_score]])</f>
        <v>598</v>
      </c>
      <c r="S172" s="3">
        <f>student_scores[[#This Row],[Total_Score]]/7</f>
        <v>85.428571428571431</v>
      </c>
      <c r="T172" s="3" t="str" cm="1">
        <f t="array" ref="T172">_xlfn.IFS(student_scores[[#This Row],[weekly_self_study_hours]]&lt;=5,   "0 - 5", student_scores[[#This Row],[weekly_self_study_hours]]&lt;=10,  "6 - 10", student_scores[[#This Row],[weekly_self_study_hours]]&lt;=20,  "11 - 20",student_scores[[#This Row],[weekly_self_study_hours]]&lt;=30, "21 - 30",TRUE, "31+")</f>
        <v>31+</v>
      </c>
      <c r="U172" t="str" cm="1">
        <f t="array" ref="U172">_xlfn.IFS(student_scores[[#This Row],[absence_days]]=0,"0", student_scores[[#This Row],[absence_days]]&lt;=3,"1-3", student_scores[[#This Row],[absence_days]]&lt;=6,"4-6", TRUE,"7-10")</f>
        <v>1-3</v>
      </c>
      <c r="V172" t="str">
        <f>IF(student_scores[[#This Row],[Total_Score]] &gt;= _xlfn.PERCENTILE.INC(student_scores[Total_Score], 0.8), "Yes", "No")</f>
        <v>No</v>
      </c>
    </row>
    <row r="173" spans="1:22" x14ac:dyDescent="0.35">
      <c r="A173">
        <v>172</v>
      </c>
      <c r="B173" t="s">
        <v>468</v>
      </c>
      <c r="C173" t="s">
        <v>469</v>
      </c>
      <c r="D173" t="s">
        <v>470</v>
      </c>
      <c r="E173" t="s">
        <v>25</v>
      </c>
      <c r="F173" t="b">
        <v>0</v>
      </c>
      <c r="G173">
        <v>4</v>
      </c>
      <c r="H173" t="b">
        <v>0</v>
      </c>
      <c r="I173">
        <v>25</v>
      </c>
      <c r="J173" t="s">
        <v>172</v>
      </c>
      <c r="K173">
        <v>81</v>
      </c>
      <c r="L173">
        <v>87</v>
      </c>
      <c r="M173">
        <v>65</v>
      </c>
      <c r="N173">
        <v>85</v>
      </c>
      <c r="O173">
        <v>74</v>
      </c>
      <c r="P173">
        <v>64</v>
      </c>
      <c r="Q173">
        <v>81</v>
      </c>
      <c r="R173">
        <f>SUM(student_scores[[#This Row],[math_score]:[geography_score]])</f>
        <v>537</v>
      </c>
      <c r="S173" s="3">
        <f>student_scores[[#This Row],[Total_Score]]/7</f>
        <v>76.714285714285708</v>
      </c>
      <c r="T173" s="3" t="str" cm="1">
        <f t="array" ref="T173">_xlfn.IFS(student_scores[[#This Row],[weekly_self_study_hours]]&lt;=5,   "0 - 5", student_scores[[#This Row],[weekly_self_study_hours]]&lt;=10,  "6 - 10", student_scores[[#This Row],[weekly_self_study_hours]]&lt;=20,  "11 - 20",student_scores[[#This Row],[weekly_self_study_hours]]&lt;=30, "21 - 30",TRUE, "31+")</f>
        <v>21 - 30</v>
      </c>
      <c r="U173" t="str" cm="1">
        <f t="array" ref="U173">_xlfn.IFS(student_scores[[#This Row],[absence_days]]=0,"0", student_scores[[#This Row],[absence_days]]&lt;=3,"1-3", student_scores[[#This Row],[absence_days]]&lt;=6,"4-6", TRUE,"7-10")</f>
        <v>4-6</v>
      </c>
      <c r="V173" t="str">
        <f>IF(student_scores[[#This Row],[Total_Score]] &gt;= _xlfn.PERCENTILE.INC(student_scores[Total_Score], 0.8), "Yes", "No")</f>
        <v>No</v>
      </c>
    </row>
    <row r="174" spans="1:22" x14ac:dyDescent="0.35">
      <c r="A174">
        <v>173</v>
      </c>
      <c r="B174" t="s">
        <v>248</v>
      </c>
      <c r="C174" t="s">
        <v>471</v>
      </c>
      <c r="D174" t="s">
        <v>472</v>
      </c>
      <c r="E174" t="s">
        <v>25</v>
      </c>
      <c r="F174" t="b">
        <v>0</v>
      </c>
      <c r="G174">
        <v>5</v>
      </c>
      <c r="H174" t="b">
        <v>1</v>
      </c>
      <c r="I174">
        <v>31</v>
      </c>
      <c r="J174" t="s">
        <v>113</v>
      </c>
      <c r="K174">
        <v>82</v>
      </c>
      <c r="L174">
        <v>66</v>
      </c>
      <c r="M174">
        <v>89</v>
      </c>
      <c r="N174">
        <v>76</v>
      </c>
      <c r="O174">
        <v>68</v>
      </c>
      <c r="P174">
        <v>83</v>
      </c>
      <c r="Q174">
        <v>79</v>
      </c>
      <c r="R174">
        <f>SUM(student_scores[[#This Row],[math_score]:[geography_score]])</f>
        <v>543</v>
      </c>
      <c r="S174" s="3">
        <f>student_scores[[#This Row],[Total_Score]]/7</f>
        <v>77.571428571428569</v>
      </c>
      <c r="T174" s="3" t="str" cm="1">
        <f t="array" ref="T174">_xlfn.IFS(student_scores[[#This Row],[weekly_self_study_hours]]&lt;=5,   "0 - 5", student_scores[[#This Row],[weekly_self_study_hours]]&lt;=10,  "6 - 10", student_scores[[#This Row],[weekly_self_study_hours]]&lt;=20,  "11 - 20",student_scores[[#This Row],[weekly_self_study_hours]]&lt;=30, "21 - 30",TRUE, "31+")</f>
        <v>31+</v>
      </c>
      <c r="U174" t="str" cm="1">
        <f t="array" ref="U174">_xlfn.IFS(student_scores[[#This Row],[absence_days]]=0,"0", student_scores[[#This Row],[absence_days]]&lt;=3,"1-3", student_scores[[#This Row],[absence_days]]&lt;=6,"4-6", TRUE,"7-10")</f>
        <v>4-6</v>
      </c>
      <c r="V174" t="str">
        <f>IF(student_scores[[#This Row],[Total_Score]] &gt;= _xlfn.PERCENTILE.INC(student_scores[Total_Score], 0.8), "Yes", "No")</f>
        <v>No</v>
      </c>
    </row>
    <row r="175" spans="1:22" x14ac:dyDescent="0.35">
      <c r="A175">
        <v>174</v>
      </c>
      <c r="B175" t="s">
        <v>473</v>
      </c>
      <c r="C175" t="s">
        <v>355</v>
      </c>
      <c r="D175" t="s">
        <v>474</v>
      </c>
      <c r="E175" t="s">
        <v>20</v>
      </c>
      <c r="F175" t="b">
        <v>0</v>
      </c>
      <c r="G175">
        <v>1</v>
      </c>
      <c r="H175" t="b">
        <v>0</v>
      </c>
      <c r="I175">
        <v>33</v>
      </c>
      <c r="J175" t="s">
        <v>21</v>
      </c>
      <c r="K175">
        <v>100</v>
      </c>
      <c r="L175">
        <v>96</v>
      </c>
      <c r="M175">
        <v>75</v>
      </c>
      <c r="N175">
        <v>68</v>
      </c>
      <c r="O175">
        <v>77</v>
      </c>
      <c r="P175">
        <v>97</v>
      </c>
      <c r="Q175">
        <v>81</v>
      </c>
      <c r="R175">
        <f>SUM(student_scores[[#This Row],[math_score]:[geography_score]])</f>
        <v>594</v>
      </c>
      <c r="S175" s="3">
        <f>student_scores[[#This Row],[Total_Score]]/7</f>
        <v>84.857142857142861</v>
      </c>
      <c r="T175" s="3" t="str" cm="1">
        <f t="array" ref="T175">_xlfn.IFS(student_scores[[#This Row],[weekly_self_study_hours]]&lt;=5,   "0 - 5", student_scores[[#This Row],[weekly_self_study_hours]]&lt;=10,  "6 - 10", student_scores[[#This Row],[weekly_self_study_hours]]&lt;=20,  "11 - 20",student_scores[[#This Row],[weekly_self_study_hours]]&lt;=30, "21 - 30",TRUE, "31+")</f>
        <v>31+</v>
      </c>
      <c r="U175" t="str" cm="1">
        <f t="array" ref="U175">_xlfn.IFS(student_scores[[#This Row],[absence_days]]=0,"0", student_scores[[#This Row],[absence_days]]&lt;=3,"1-3", student_scores[[#This Row],[absence_days]]&lt;=6,"4-6", TRUE,"7-10")</f>
        <v>1-3</v>
      </c>
      <c r="V175" t="str">
        <f>IF(student_scores[[#This Row],[Total_Score]] &gt;= _xlfn.PERCENTILE.INC(student_scores[Total_Score], 0.8), "Yes", "No")</f>
        <v>No</v>
      </c>
    </row>
    <row r="176" spans="1:22" x14ac:dyDescent="0.35">
      <c r="A176">
        <v>175</v>
      </c>
      <c r="B176" t="s">
        <v>369</v>
      </c>
      <c r="C176" t="s">
        <v>191</v>
      </c>
      <c r="D176" t="s">
        <v>475</v>
      </c>
      <c r="E176" t="s">
        <v>25</v>
      </c>
      <c r="F176" t="b">
        <v>0</v>
      </c>
      <c r="G176">
        <v>10</v>
      </c>
      <c r="H176" t="b">
        <v>1</v>
      </c>
      <c r="I176">
        <v>3</v>
      </c>
      <c r="J176" t="s">
        <v>64</v>
      </c>
      <c r="K176">
        <v>65</v>
      </c>
      <c r="L176">
        <v>100</v>
      </c>
      <c r="M176">
        <v>80</v>
      </c>
      <c r="N176">
        <v>83</v>
      </c>
      <c r="O176">
        <v>57</v>
      </c>
      <c r="P176">
        <v>81</v>
      </c>
      <c r="Q176">
        <v>81</v>
      </c>
      <c r="R176">
        <f>SUM(student_scores[[#This Row],[math_score]:[geography_score]])</f>
        <v>547</v>
      </c>
      <c r="S176" s="3">
        <f>student_scores[[#This Row],[Total_Score]]/7</f>
        <v>78.142857142857139</v>
      </c>
      <c r="T176" s="3" t="str" cm="1">
        <f t="array" ref="T176">_xlfn.IFS(student_scores[[#This Row],[weekly_self_study_hours]]&lt;=5,   "0 - 5", student_scores[[#This Row],[weekly_self_study_hours]]&lt;=10,  "6 - 10", student_scores[[#This Row],[weekly_self_study_hours]]&lt;=20,  "11 - 20",student_scores[[#This Row],[weekly_self_study_hours]]&lt;=30, "21 - 30",TRUE, "31+")</f>
        <v>0 - 5</v>
      </c>
      <c r="U176" t="str" cm="1">
        <f t="array" ref="U176">_xlfn.IFS(student_scores[[#This Row],[absence_days]]=0,"0", student_scores[[#This Row],[absence_days]]&lt;=3,"1-3", student_scores[[#This Row],[absence_days]]&lt;=6,"4-6", TRUE,"7-10")</f>
        <v>7-10</v>
      </c>
      <c r="V176" t="str">
        <f>IF(student_scores[[#This Row],[Total_Score]] &gt;= _xlfn.PERCENTILE.INC(student_scores[Total_Score], 0.8), "Yes", "No")</f>
        <v>No</v>
      </c>
    </row>
    <row r="177" spans="1:22" x14ac:dyDescent="0.35">
      <c r="A177">
        <v>176</v>
      </c>
      <c r="B177" t="s">
        <v>476</v>
      </c>
      <c r="C177" t="s">
        <v>477</v>
      </c>
      <c r="D177" t="s">
        <v>478</v>
      </c>
      <c r="E177" t="s">
        <v>20</v>
      </c>
      <c r="F177" t="b">
        <v>0</v>
      </c>
      <c r="G177">
        <v>2</v>
      </c>
      <c r="H177" t="b">
        <v>0</v>
      </c>
      <c r="I177">
        <v>20</v>
      </c>
      <c r="J177" t="s">
        <v>38</v>
      </c>
      <c r="K177">
        <v>68</v>
      </c>
      <c r="L177">
        <v>100</v>
      </c>
      <c r="M177">
        <v>89</v>
      </c>
      <c r="N177">
        <v>75</v>
      </c>
      <c r="O177">
        <v>84</v>
      </c>
      <c r="P177">
        <v>78</v>
      </c>
      <c r="Q177">
        <v>90</v>
      </c>
      <c r="R177">
        <f>SUM(student_scores[[#This Row],[math_score]:[geography_score]])</f>
        <v>584</v>
      </c>
      <c r="S177" s="3">
        <f>student_scores[[#This Row],[Total_Score]]/7</f>
        <v>83.428571428571431</v>
      </c>
      <c r="T177" s="3" t="str" cm="1">
        <f t="array" ref="T177">_xlfn.IFS(student_scores[[#This Row],[weekly_self_study_hours]]&lt;=5,   "0 - 5", student_scores[[#This Row],[weekly_self_study_hours]]&lt;=10,  "6 - 10", student_scores[[#This Row],[weekly_self_study_hours]]&lt;=20,  "11 - 20",student_scores[[#This Row],[weekly_self_study_hours]]&lt;=30, "21 - 30",TRUE, "31+")</f>
        <v>11 - 20</v>
      </c>
      <c r="U177" t="str" cm="1">
        <f t="array" ref="U177">_xlfn.IFS(student_scores[[#This Row],[absence_days]]=0,"0", student_scores[[#This Row],[absence_days]]&lt;=3,"1-3", student_scores[[#This Row],[absence_days]]&lt;=6,"4-6", TRUE,"7-10")</f>
        <v>1-3</v>
      </c>
      <c r="V177" t="str">
        <f>IF(student_scores[[#This Row],[Total_Score]] &gt;= _xlfn.PERCENTILE.INC(student_scores[Total_Score], 0.8), "Yes", "No")</f>
        <v>No</v>
      </c>
    </row>
    <row r="178" spans="1:22" x14ac:dyDescent="0.35">
      <c r="A178">
        <v>177</v>
      </c>
      <c r="B178" t="s">
        <v>473</v>
      </c>
      <c r="C178" t="s">
        <v>281</v>
      </c>
      <c r="D178" t="s">
        <v>479</v>
      </c>
      <c r="E178" t="s">
        <v>20</v>
      </c>
      <c r="F178" t="b">
        <v>0</v>
      </c>
      <c r="G178">
        <v>3</v>
      </c>
      <c r="H178" t="b">
        <v>0</v>
      </c>
      <c r="I178">
        <v>15</v>
      </c>
      <c r="J178" t="s">
        <v>113</v>
      </c>
      <c r="K178">
        <v>97</v>
      </c>
      <c r="L178">
        <v>92</v>
      </c>
      <c r="M178">
        <v>95</v>
      </c>
      <c r="N178">
        <v>75</v>
      </c>
      <c r="O178">
        <v>95</v>
      </c>
      <c r="P178">
        <v>90</v>
      </c>
      <c r="Q178">
        <v>83</v>
      </c>
      <c r="R178">
        <f>SUM(student_scores[[#This Row],[math_score]:[geography_score]])</f>
        <v>627</v>
      </c>
      <c r="S178" s="3">
        <f>student_scores[[#This Row],[Total_Score]]/7</f>
        <v>89.571428571428569</v>
      </c>
      <c r="T178" s="3" t="str" cm="1">
        <f t="array" ref="T178">_xlfn.IFS(student_scores[[#This Row],[weekly_self_study_hours]]&lt;=5,   "0 - 5", student_scores[[#This Row],[weekly_self_study_hours]]&lt;=10,  "6 - 10", student_scores[[#This Row],[weekly_self_study_hours]]&lt;=20,  "11 - 20",student_scores[[#This Row],[weekly_self_study_hours]]&lt;=30, "21 - 30",TRUE, "31+")</f>
        <v>11 - 20</v>
      </c>
      <c r="U178" t="str" cm="1">
        <f t="array" ref="U178">_xlfn.IFS(student_scores[[#This Row],[absence_days]]=0,"0", student_scores[[#This Row],[absence_days]]&lt;=3,"1-3", student_scores[[#This Row],[absence_days]]&lt;=6,"4-6", TRUE,"7-10")</f>
        <v>1-3</v>
      </c>
      <c r="V178" t="str">
        <f>IF(student_scores[[#This Row],[Total_Score]] &gt;= _xlfn.PERCENTILE.INC(student_scores[Total_Score], 0.8), "Yes", "No")</f>
        <v>Yes</v>
      </c>
    </row>
    <row r="179" spans="1:22" x14ac:dyDescent="0.35">
      <c r="A179">
        <v>178</v>
      </c>
      <c r="B179" t="s">
        <v>480</v>
      </c>
      <c r="C179" t="s">
        <v>389</v>
      </c>
      <c r="D179" t="s">
        <v>481</v>
      </c>
      <c r="E179" t="s">
        <v>25</v>
      </c>
      <c r="F179" t="b">
        <v>0</v>
      </c>
      <c r="G179">
        <v>3</v>
      </c>
      <c r="H179" t="b">
        <v>0</v>
      </c>
      <c r="I179">
        <v>26</v>
      </c>
      <c r="J179" t="s">
        <v>105</v>
      </c>
      <c r="K179">
        <v>76</v>
      </c>
      <c r="L179">
        <v>94</v>
      </c>
      <c r="M179">
        <v>77</v>
      </c>
      <c r="N179">
        <v>88</v>
      </c>
      <c r="O179">
        <v>85</v>
      </c>
      <c r="P179">
        <v>91</v>
      </c>
      <c r="Q179">
        <v>61</v>
      </c>
      <c r="R179">
        <f>SUM(student_scores[[#This Row],[math_score]:[geography_score]])</f>
        <v>572</v>
      </c>
      <c r="S179" s="3">
        <f>student_scores[[#This Row],[Total_Score]]/7</f>
        <v>81.714285714285708</v>
      </c>
      <c r="T179" s="3" t="str" cm="1">
        <f t="array" ref="T179">_xlfn.IFS(student_scores[[#This Row],[weekly_self_study_hours]]&lt;=5,   "0 - 5", student_scores[[#This Row],[weekly_self_study_hours]]&lt;=10,  "6 - 10", student_scores[[#This Row],[weekly_self_study_hours]]&lt;=20,  "11 - 20",student_scores[[#This Row],[weekly_self_study_hours]]&lt;=30, "21 - 30",TRUE, "31+")</f>
        <v>21 - 30</v>
      </c>
      <c r="U179" t="str" cm="1">
        <f t="array" ref="U179">_xlfn.IFS(student_scores[[#This Row],[absence_days]]=0,"0", student_scores[[#This Row],[absence_days]]&lt;=3,"1-3", student_scores[[#This Row],[absence_days]]&lt;=6,"4-6", TRUE,"7-10")</f>
        <v>1-3</v>
      </c>
      <c r="V179" t="str">
        <f>IF(student_scores[[#This Row],[Total_Score]] &gt;= _xlfn.PERCENTILE.INC(student_scores[Total_Score], 0.8), "Yes", "No")</f>
        <v>No</v>
      </c>
    </row>
    <row r="180" spans="1:22" x14ac:dyDescent="0.35">
      <c r="A180">
        <v>179</v>
      </c>
      <c r="B180" t="s">
        <v>166</v>
      </c>
      <c r="C180" t="s">
        <v>264</v>
      </c>
      <c r="D180" t="s">
        <v>482</v>
      </c>
      <c r="E180" t="s">
        <v>25</v>
      </c>
      <c r="F180" t="b">
        <v>0</v>
      </c>
      <c r="G180">
        <v>5</v>
      </c>
      <c r="H180" t="b">
        <v>0</v>
      </c>
      <c r="I180">
        <v>35</v>
      </c>
      <c r="J180" t="s">
        <v>44</v>
      </c>
      <c r="K180">
        <v>91</v>
      </c>
      <c r="L180">
        <v>99</v>
      </c>
      <c r="M180">
        <v>94</v>
      </c>
      <c r="N180">
        <v>94</v>
      </c>
      <c r="O180">
        <v>95</v>
      </c>
      <c r="P180">
        <v>98</v>
      </c>
      <c r="Q180">
        <v>89</v>
      </c>
      <c r="R180">
        <f>SUM(student_scores[[#This Row],[math_score]:[geography_score]])</f>
        <v>660</v>
      </c>
      <c r="S180" s="3">
        <f>student_scores[[#This Row],[Total_Score]]/7</f>
        <v>94.285714285714292</v>
      </c>
      <c r="T180" s="3" t="str" cm="1">
        <f t="array" ref="T180">_xlfn.IFS(student_scores[[#This Row],[weekly_self_study_hours]]&lt;=5,   "0 - 5", student_scores[[#This Row],[weekly_self_study_hours]]&lt;=10,  "6 - 10", student_scores[[#This Row],[weekly_self_study_hours]]&lt;=20,  "11 - 20",student_scores[[#This Row],[weekly_self_study_hours]]&lt;=30, "21 - 30",TRUE, "31+")</f>
        <v>31+</v>
      </c>
      <c r="U180" t="str" cm="1">
        <f t="array" ref="U180">_xlfn.IFS(student_scores[[#This Row],[absence_days]]=0,"0", student_scores[[#This Row],[absence_days]]&lt;=3,"1-3", student_scores[[#This Row],[absence_days]]&lt;=6,"4-6", TRUE,"7-10")</f>
        <v>4-6</v>
      </c>
      <c r="V180" t="str">
        <f>IF(student_scores[[#This Row],[Total_Score]] &gt;= _xlfn.PERCENTILE.INC(student_scores[Total_Score], 0.8), "Yes", "No")</f>
        <v>Yes</v>
      </c>
    </row>
    <row r="181" spans="1:22" x14ac:dyDescent="0.35">
      <c r="A181">
        <v>180</v>
      </c>
      <c r="B181" t="s">
        <v>483</v>
      </c>
      <c r="C181" t="s">
        <v>32</v>
      </c>
      <c r="D181" t="s">
        <v>484</v>
      </c>
      <c r="E181" t="s">
        <v>20</v>
      </c>
      <c r="F181" t="b">
        <v>0</v>
      </c>
      <c r="G181">
        <v>4</v>
      </c>
      <c r="H181" t="b">
        <v>0</v>
      </c>
      <c r="I181">
        <v>12</v>
      </c>
      <c r="J181" t="s">
        <v>138</v>
      </c>
      <c r="K181">
        <v>85</v>
      </c>
      <c r="L181">
        <v>73</v>
      </c>
      <c r="M181">
        <v>89</v>
      </c>
      <c r="N181">
        <v>73</v>
      </c>
      <c r="O181">
        <v>97</v>
      </c>
      <c r="P181">
        <v>66</v>
      </c>
      <c r="Q181">
        <v>79</v>
      </c>
      <c r="R181">
        <f>SUM(student_scores[[#This Row],[math_score]:[geography_score]])</f>
        <v>562</v>
      </c>
      <c r="S181" s="3">
        <f>student_scores[[#This Row],[Total_Score]]/7</f>
        <v>80.285714285714292</v>
      </c>
      <c r="T181" s="3" t="str" cm="1">
        <f t="array" ref="T181">_xlfn.IFS(student_scores[[#This Row],[weekly_self_study_hours]]&lt;=5,   "0 - 5", student_scores[[#This Row],[weekly_self_study_hours]]&lt;=10,  "6 - 10", student_scores[[#This Row],[weekly_self_study_hours]]&lt;=20,  "11 - 20",student_scores[[#This Row],[weekly_self_study_hours]]&lt;=30, "21 - 30",TRUE, "31+")</f>
        <v>11 - 20</v>
      </c>
      <c r="U181" t="str" cm="1">
        <f t="array" ref="U181">_xlfn.IFS(student_scores[[#This Row],[absence_days]]=0,"0", student_scores[[#This Row],[absence_days]]&lt;=3,"1-3", student_scores[[#This Row],[absence_days]]&lt;=6,"4-6", TRUE,"7-10")</f>
        <v>4-6</v>
      </c>
      <c r="V181" t="str">
        <f>IF(student_scores[[#This Row],[Total_Score]] &gt;= _xlfn.PERCENTILE.INC(student_scores[Total_Score], 0.8), "Yes", "No")</f>
        <v>No</v>
      </c>
    </row>
    <row r="182" spans="1:22" x14ac:dyDescent="0.35">
      <c r="A182">
        <v>181</v>
      </c>
      <c r="B182" t="s">
        <v>145</v>
      </c>
      <c r="C182" t="s">
        <v>485</v>
      </c>
      <c r="D182" t="s">
        <v>486</v>
      </c>
      <c r="E182" t="s">
        <v>20</v>
      </c>
      <c r="F182" t="b">
        <v>0</v>
      </c>
      <c r="G182">
        <v>2</v>
      </c>
      <c r="H182" t="b">
        <v>1</v>
      </c>
      <c r="I182">
        <v>5</v>
      </c>
      <c r="J182" t="s">
        <v>38</v>
      </c>
      <c r="K182">
        <v>68</v>
      </c>
      <c r="L182">
        <v>69</v>
      </c>
      <c r="M182">
        <v>86</v>
      </c>
      <c r="N182">
        <v>87</v>
      </c>
      <c r="O182">
        <v>72</v>
      </c>
      <c r="P182">
        <v>80</v>
      </c>
      <c r="Q182">
        <v>93</v>
      </c>
      <c r="R182">
        <f>SUM(student_scores[[#This Row],[math_score]:[geography_score]])</f>
        <v>555</v>
      </c>
      <c r="S182" s="3">
        <f>student_scores[[#This Row],[Total_Score]]/7</f>
        <v>79.285714285714292</v>
      </c>
      <c r="T182" s="3" t="str" cm="1">
        <f t="array" ref="T182">_xlfn.IFS(student_scores[[#This Row],[weekly_self_study_hours]]&lt;=5,   "0 - 5", student_scores[[#This Row],[weekly_self_study_hours]]&lt;=10,  "6 - 10", student_scores[[#This Row],[weekly_self_study_hours]]&lt;=20,  "11 - 20",student_scores[[#This Row],[weekly_self_study_hours]]&lt;=30, "21 - 30",TRUE, "31+")</f>
        <v>0 - 5</v>
      </c>
      <c r="U182" t="str" cm="1">
        <f t="array" ref="U182">_xlfn.IFS(student_scores[[#This Row],[absence_days]]=0,"0", student_scores[[#This Row],[absence_days]]&lt;=3,"1-3", student_scores[[#This Row],[absence_days]]&lt;=6,"4-6", TRUE,"7-10")</f>
        <v>1-3</v>
      </c>
      <c r="V182" t="str">
        <f>IF(student_scores[[#This Row],[Total_Score]] &gt;= _xlfn.PERCENTILE.INC(student_scores[Total_Score], 0.8), "Yes", "No")</f>
        <v>No</v>
      </c>
    </row>
    <row r="183" spans="1:22" x14ac:dyDescent="0.35">
      <c r="A183">
        <v>182</v>
      </c>
      <c r="B183" t="s">
        <v>102</v>
      </c>
      <c r="C183" t="s">
        <v>346</v>
      </c>
      <c r="D183" t="s">
        <v>487</v>
      </c>
      <c r="E183" t="s">
        <v>20</v>
      </c>
      <c r="F183" t="b">
        <v>0</v>
      </c>
      <c r="G183">
        <v>1</v>
      </c>
      <c r="H183" t="b">
        <v>0</v>
      </c>
      <c r="I183">
        <v>31</v>
      </c>
      <c r="J183" t="s">
        <v>21</v>
      </c>
      <c r="K183">
        <v>73</v>
      </c>
      <c r="L183">
        <v>99</v>
      </c>
      <c r="M183">
        <v>75</v>
      </c>
      <c r="N183">
        <v>70</v>
      </c>
      <c r="O183">
        <v>100</v>
      </c>
      <c r="P183">
        <v>86</v>
      </c>
      <c r="Q183">
        <v>62</v>
      </c>
      <c r="R183">
        <f>SUM(student_scores[[#This Row],[math_score]:[geography_score]])</f>
        <v>565</v>
      </c>
      <c r="S183" s="3">
        <f>student_scores[[#This Row],[Total_Score]]/7</f>
        <v>80.714285714285708</v>
      </c>
      <c r="T183" s="3" t="str" cm="1">
        <f t="array" ref="T183">_xlfn.IFS(student_scores[[#This Row],[weekly_self_study_hours]]&lt;=5,   "0 - 5", student_scores[[#This Row],[weekly_self_study_hours]]&lt;=10,  "6 - 10", student_scores[[#This Row],[weekly_self_study_hours]]&lt;=20,  "11 - 20",student_scores[[#This Row],[weekly_self_study_hours]]&lt;=30, "21 - 30",TRUE, "31+")</f>
        <v>31+</v>
      </c>
      <c r="U183" t="str" cm="1">
        <f t="array" ref="U183">_xlfn.IFS(student_scores[[#This Row],[absence_days]]=0,"0", student_scores[[#This Row],[absence_days]]&lt;=3,"1-3", student_scores[[#This Row],[absence_days]]&lt;=6,"4-6", TRUE,"7-10")</f>
        <v>1-3</v>
      </c>
      <c r="V183" t="str">
        <f>IF(student_scores[[#This Row],[Total_Score]] &gt;= _xlfn.PERCENTILE.INC(student_scores[Total_Score], 0.8), "Yes", "No")</f>
        <v>No</v>
      </c>
    </row>
    <row r="184" spans="1:22" x14ac:dyDescent="0.35">
      <c r="A184">
        <v>183</v>
      </c>
      <c r="B184" t="s">
        <v>294</v>
      </c>
      <c r="C184" t="s">
        <v>488</v>
      </c>
      <c r="D184" t="s">
        <v>489</v>
      </c>
      <c r="E184" t="s">
        <v>25</v>
      </c>
      <c r="F184" t="b">
        <v>0</v>
      </c>
      <c r="G184">
        <v>3</v>
      </c>
      <c r="H184" t="b">
        <v>1</v>
      </c>
      <c r="I184">
        <v>28</v>
      </c>
      <c r="J184" t="s">
        <v>38</v>
      </c>
      <c r="K184">
        <v>65</v>
      </c>
      <c r="L184">
        <v>90</v>
      </c>
      <c r="M184">
        <v>75</v>
      </c>
      <c r="N184">
        <v>96</v>
      </c>
      <c r="O184">
        <v>91</v>
      </c>
      <c r="P184">
        <v>93</v>
      </c>
      <c r="Q184">
        <v>85</v>
      </c>
      <c r="R184">
        <f>SUM(student_scores[[#This Row],[math_score]:[geography_score]])</f>
        <v>595</v>
      </c>
      <c r="S184" s="3">
        <f>student_scores[[#This Row],[Total_Score]]/7</f>
        <v>85</v>
      </c>
      <c r="T184" s="3" t="str" cm="1">
        <f t="array" ref="T184">_xlfn.IFS(student_scores[[#This Row],[weekly_self_study_hours]]&lt;=5,   "0 - 5", student_scores[[#This Row],[weekly_self_study_hours]]&lt;=10,  "6 - 10", student_scores[[#This Row],[weekly_self_study_hours]]&lt;=20,  "11 - 20",student_scores[[#This Row],[weekly_self_study_hours]]&lt;=30, "21 - 30",TRUE, "31+")</f>
        <v>21 - 30</v>
      </c>
      <c r="U184" t="str" cm="1">
        <f t="array" ref="U184">_xlfn.IFS(student_scores[[#This Row],[absence_days]]=0,"0", student_scores[[#This Row],[absence_days]]&lt;=3,"1-3", student_scores[[#This Row],[absence_days]]&lt;=6,"4-6", TRUE,"7-10")</f>
        <v>1-3</v>
      </c>
      <c r="V184" t="str">
        <f>IF(student_scores[[#This Row],[Total_Score]] &gt;= _xlfn.PERCENTILE.INC(student_scores[Total_Score], 0.8), "Yes", "No")</f>
        <v>No</v>
      </c>
    </row>
    <row r="185" spans="1:22" x14ac:dyDescent="0.35">
      <c r="A185">
        <v>184</v>
      </c>
      <c r="B185" t="s">
        <v>490</v>
      </c>
      <c r="C185" t="s">
        <v>491</v>
      </c>
      <c r="D185" t="s">
        <v>492</v>
      </c>
      <c r="E185" t="s">
        <v>20</v>
      </c>
      <c r="F185" t="b">
        <v>0</v>
      </c>
      <c r="G185">
        <v>8</v>
      </c>
      <c r="H185" t="b">
        <v>1</v>
      </c>
      <c r="I185">
        <v>5</v>
      </c>
      <c r="J185" t="s">
        <v>64</v>
      </c>
      <c r="K185">
        <v>46</v>
      </c>
      <c r="L185">
        <v>79</v>
      </c>
      <c r="M185">
        <v>75</v>
      </c>
      <c r="N185">
        <v>86</v>
      </c>
      <c r="O185">
        <v>91</v>
      </c>
      <c r="P185">
        <v>88</v>
      </c>
      <c r="Q185">
        <v>77</v>
      </c>
      <c r="R185">
        <f>SUM(student_scores[[#This Row],[math_score]:[geography_score]])</f>
        <v>542</v>
      </c>
      <c r="S185" s="3">
        <f>student_scores[[#This Row],[Total_Score]]/7</f>
        <v>77.428571428571431</v>
      </c>
      <c r="T185" s="3" t="str" cm="1">
        <f t="array" ref="T185">_xlfn.IFS(student_scores[[#This Row],[weekly_self_study_hours]]&lt;=5,   "0 - 5", student_scores[[#This Row],[weekly_self_study_hours]]&lt;=10,  "6 - 10", student_scores[[#This Row],[weekly_self_study_hours]]&lt;=20,  "11 - 20",student_scores[[#This Row],[weekly_self_study_hours]]&lt;=30, "21 - 30",TRUE, "31+")</f>
        <v>0 - 5</v>
      </c>
      <c r="U185" t="str" cm="1">
        <f t="array" ref="U185">_xlfn.IFS(student_scores[[#This Row],[absence_days]]=0,"0", student_scores[[#This Row],[absence_days]]&lt;=3,"1-3", student_scores[[#This Row],[absence_days]]&lt;=6,"4-6", TRUE,"7-10")</f>
        <v>7-10</v>
      </c>
      <c r="V185" t="str">
        <f>IF(student_scores[[#This Row],[Total_Score]] &gt;= _xlfn.PERCENTILE.INC(student_scores[Total_Score], 0.8), "Yes", "No")</f>
        <v>No</v>
      </c>
    </row>
    <row r="186" spans="1:22" x14ac:dyDescent="0.35">
      <c r="A186">
        <v>185</v>
      </c>
      <c r="B186" t="s">
        <v>493</v>
      </c>
      <c r="C186" t="s">
        <v>115</v>
      </c>
      <c r="D186" t="s">
        <v>494</v>
      </c>
      <c r="E186" t="s">
        <v>25</v>
      </c>
      <c r="F186" t="b">
        <v>0</v>
      </c>
      <c r="G186">
        <v>1</v>
      </c>
      <c r="H186" t="b">
        <v>0</v>
      </c>
      <c r="I186">
        <v>33</v>
      </c>
      <c r="J186" t="s">
        <v>44</v>
      </c>
      <c r="K186">
        <v>92</v>
      </c>
      <c r="L186">
        <v>84</v>
      </c>
      <c r="M186">
        <v>85</v>
      </c>
      <c r="N186">
        <v>77</v>
      </c>
      <c r="O186">
        <v>81</v>
      </c>
      <c r="P186">
        <v>69</v>
      </c>
      <c r="Q186">
        <v>95</v>
      </c>
      <c r="R186">
        <f>SUM(student_scores[[#This Row],[math_score]:[geography_score]])</f>
        <v>583</v>
      </c>
      <c r="S186" s="3">
        <f>student_scores[[#This Row],[Total_Score]]/7</f>
        <v>83.285714285714292</v>
      </c>
      <c r="T186" s="3" t="str" cm="1">
        <f t="array" ref="T186">_xlfn.IFS(student_scores[[#This Row],[weekly_self_study_hours]]&lt;=5,   "0 - 5", student_scores[[#This Row],[weekly_self_study_hours]]&lt;=10,  "6 - 10", student_scores[[#This Row],[weekly_self_study_hours]]&lt;=20,  "11 - 20",student_scores[[#This Row],[weekly_self_study_hours]]&lt;=30, "21 - 30",TRUE, "31+")</f>
        <v>31+</v>
      </c>
      <c r="U186" t="str" cm="1">
        <f t="array" ref="U186">_xlfn.IFS(student_scores[[#This Row],[absence_days]]=0,"0", student_scores[[#This Row],[absence_days]]&lt;=3,"1-3", student_scores[[#This Row],[absence_days]]&lt;=6,"4-6", TRUE,"7-10")</f>
        <v>1-3</v>
      </c>
      <c r="V186" t="str">
        <f>IF(student_scores[[#This Row],[Total_Score]] &gt;= _xlfn.PERCENTILE.INC(student_scores[Total_Score], 0.8), "Yes", "No")</f>
        <v>No</v>
      </c>
    </row>
    <row r="187" spans="1:22" x14ac:dyDescent="0.35">
      <c r="A187">
        <v>186</v>
      </c>
      <c r="B187" t="s">
        <v>495</v>
      </c>
      <c r="C187" t="s">
        <v>496</v>
      </c>
      <c r="D187" t="s">
        <v>497</v>
      </c>
      <c r="E187" t="s">
        <v>25</v>
      </c>
      <c r="F187" t="b">
        <v>0</v>
      </c>
      <c r="G187">
        <v>3</v>
      </c>
      <c r="H187" t="b">
        <v>0</v>
      </c>
      <c r="I187">
        <v>2</v>
      </c>
      <c r="J187" t="s">
        <v>34</v>
      </c>
      <c r="K187">
        <v>69</v>
      </c>
      <c r="L187">
        <v>78</v>
      </c>
      <c r="M187">
        <v>69</v>
      </c>
      <c r="N187">
        <v>70</v>
      </c>
      <c r="O187">
        <v>100</v>
      </c>
      <c r="P187">
        <v>88</v>
      </c>
      <c r="Q187">
        <v>85</v>
      </c>
      <c r="R187">
        <f>SUM(student_scores[[#This Row],[math_score]:[geography_score]])</f>
        <v>559</v>
      </c>
      <c r="S187" s="3">
        <f>student_scores[[#This Row],[Total_Score]]/7</f>
        <v>79.857142857142861</v>
      </c>
      <c r="T187" s="3" t="str" cm="1">
        <f t="array" ref="T187">_xlfn.IFS(student_scores[[#This Row],[weekly_self_study_hours]]&lt;=5,   "0 - 5", student_scores[[#This Row],[weekly_self_study_hours]]&lt;=10,  "6 - 10", student_scores[[#This Row],[weekly_self_study_hours]]&lt;=20,  "11 - 20",student_scores[[#This Row],[weekly_self_study_hours]]&lt;=30, "21 - 30",TRUE, "31+")</f>
        <v>0 - 5</v>
      </c>
      <c r="U187" t="str" cm="1">
        <f t="array" ref="U187">_xlfn.IFS(student_scores[[#This Row],[absence_days]]=0,"0", student_scores[[#This Row],[absence_days]]&lt;=3,"1-3", student_scores[[#This Row],[absence_days]]&lt;=6,"4-6", TRUE,"7-10")</f>
        <v>1-3</v>
      </c>
      <c r="V187" t="str">
        <f>IF(student_scores[[#This Row],[Total_Score]] &gt;= _xlfn.PERCENTILE.INC(student_scores[Total_Score], 0.8), "Yes", "No")</f>
        <v>No</v>
      </c>
    </row>
    <row r="188" spans="1:22" x14ac:dyDescent="0.35">
      <c r="A188">
        <v>187</v>
      </c>
      <c r="B188" t="s">
        <v>498</v>
      </c>
      <c r="C188" t="s">
        <v>499</v>
      </c>
      <c r="D188" t="s">
        <v>500</v>
      </c>
      <c r="E188" t="s">
        <v>25</v>
      </c>
      <c r="F188" t="b">
        <v>0</v>
      </c>
      <c r="G188">
        <v>5</v>
      </c>
      <c r="H188" t="b">
        <v>1</v>
      </c>
      <c r="I188">
        <v>9</v>
      </c>
      <c r="J188" t="s">
        <v>224</v>
      </c>
      <c r="K188">
        <v>78</v>
      </c>
      <c r="L188">
        <v>99</v>
      </c>
      <c r="M188">
        <v>64</v>
      </c>
      <c r="N188">
        <v>99</v>
      </c>
      <c r="O188">
        <v>65</v>
      </c>
      <c r="P188">
        <v>84</v>
      </c>
      <c r="Q188">
        <v>80</v>
      </c>
      <c r="R188">
        <f>SUM(student_scores[[#This Row],[math_score]:[geography_score]])</f>
        <v>569</v>
      </c>
      <c r="S188" s="3">
        <f>student_scores[[#This Row],[Total_Score]]/7</f>
        <v>81.285714285714292</v>
      </c>
      <c r="T188" s="3" t="str" cm="1">
        <f t="array" ref="T188">_xlfn.IFS(student_scores[[#This Row],[weekly_self_study_hours]]&lt;=5,   "0 - 5", student_scores[[#This Row],[weekly_self_study_hours]]&lt;=10,  "6 - 10", student_scores[[#This Row],[weekly_self_study_hours]]&lt;=20,  "11 - 20",student_scores[[#This Row],[weekly_self_study_hours]]&lt;=30, "21 - 30",TRUE, "31+")</f>
        <v>6 - 10</v>
      </c>
      <c r="U188" t="str" cm="1">
        <f t="array" ref="U188">_xlfn.IFS(student_scores[[#This Row],[absence_days]]=0,"0", student_scores[[#This Row],[absence_days]]&lt;=3,"1-3", student_scores[[#This Row],[absence_days]]&lt;=6,"4-6", TRUE,"7-10")</f>
        <v>4-6</v>
      </c>
      <c r="V188" t="str">
        <f>IF(student_scores[[#This Row],[Total_Score]] &gt;= _xlfn.PERCENTILE.INC(student_scores[Total_Score], 0.8), "Yes", "No")</f>
        <v>No</v>
      </c>
    </row>
    <row r="189" spans="1:22" x14ac:dyDescent="0.35">
      <c r="A189">
        <v>188</v>
      </c>
      <c r="B189" t="s">
        <v>173</v>
      </c>
      <c r="C189" t="s">
        <v>501</v>
      </c>
      <c r="D189" t="s">
        <v>502</v>
      </c>
      <c r="E189" t="s">
        <v>25</v>
      </c>
      <c r="F189" t="b">
        <v>1</v>
      </c>
      <c r="G189">
        <v>2</v>
      </c>
      <c r="H189" t="b">
        <v>1</v>
      </c>
      <c r="I189">
        <v>0</v>
      </c>
      <c r="J189" t="s">
        <v>64</v>
      </c>
      <c r="K189">
        <v>92</v>
      </c>
      <c r="L189">
        <v>62</v>
      </c>
      <c r="M189">
        <v>86</v>
      </c>
      <c r="N189">
        <v>97</v>
      </c>
      <c r="O189">
        <v>54</v>
      </c>
      <c r="P189">
        <v>76</v>
      </c>
      <c r="Q189">
        <v>76</v>
      </c>
      <c r="R189">
        <f>SUM(student_scores[[#This Row],[math_score]:[geography_score]])</f>
        <v>543</v>
      </c>
      <c r="S189" s="3">
        <f>student_scores[[#This Row],[Total_Score]]/7</f>
        <v>77.571428571428569</v>
      </c>
      <c r="T189" s="3" t="str" cm="1">
        <f t="array" ref="T189">_xlfn.IFS(student_scores[[#This Row],[weekly_self_study_hours]]&lt;=5,   "0 - 5", student_scores[[#This Row],[weekly_self_study_hours]]&lt;=10,  "6 - 10", student_scores[[#This Row],[weekly_self_study_hours]]&lt;=20,  "11 - 20",student_scores[[#This Row],[weekly_self_study_hours]]&lt;=30, "21 - 30",TRUE, "31+")</f>
        <v>0 - 5</v>
      </c>
      <c r="U189" t="str" cm="1">
        <f t="array" ref="U189">_xlfn.IFS(student_scores[[#This Row],[absence_days]]=0,"0", student_scores[[#This Row],[absence_days]]&lt;=3,"1-3", student_scores[[#This Row],[absence_days]]&lt;=6,"4-6", TRUE,"7-10")</f>
        <v>1-3</v>
      </c>
      <c r="V189" t="str">
        <f>IF(student_scores[[#This Row],[Total_Score]] &gt;= _xlfn.PERCENTILE.INC(student_scores[Total_Score], 0.8), "Yes", "No")</f>
        <v>No</v>
      </c>
    </row>
    <row r="190" spans="1:22" x14ac:dyDescent="0.35">
      <c r="A190">
        <v>189</v>
      </c>
      <c r="B190" t="s">
        <v>221</v>
      </c>
      <c r="C190" t="s">
        <v>352</v>
      </c>
      <c r="D190" t="s">
        <v>503</v>
      </c>
      <c r="E190" t="s">
        <v>20</v>
      </c>
      <c r="F190" t="b">
        <v>0</v>
      </c>
      <c r="G190">
        <v>5</v>
      </c>
      <c r="H190" t="b">
        <v>0</v>
      </c>
      <c r="I190">
        <v>26</v>
      </c>
      <c r="J190" t="s">
        <v>38</v>
      </c>
      <c r="K190">
        <v>70</v>
      </c>
      <c r="L190">
        <v>77</v>
      </c>
      <c r="M190">
        <v>91</v>
      </c>
      <c r="N190">
        <v>96</v>
      </c>
      <c r="O190">
        <v>100</v>
      </c>
      <c r="P190">
        <v>89</v>
      </c>
      <c r="Q190">
        <v>67</v>
      </c>
      <c r="R190">
        <f>SUM(student_scores[[#This Row],[math_score]:[geography_score]])</f>
        <v>590</v>
      </c>
      <c r="S190" s="3">
        <f>student_scores[[#This Row],[Total_Score]]/7</f>
        <v>84.285714285714292</v>
      </c>
      <c r="T190" s="3" t="str" cm="1">
        <f t="array" ref="T190">_xlfn.IFS(student_scores[[#This Row],[weekly_self_study_hours]]&lt;=5,   "0 - 5", student_scores[[#This Row],[weekly_self_study_hours]]&lt;=10,  "6 - 10", student_scores[[#This Row],[weekly_self_study_hours]]&lt;=20,  "11 - 20",student_scores[[#This Row],[weekly_self_study_hours]]&lt;=30, "21 - 30",TRUE, "31+")</f>
        <v>21 - 30</v>
      </c>
      <c r="U190" t="str" cm="1">
        <f t="array" ref="U190">_xlfn.IFS(student_scores[[#This Row],[absence_days]]=0,"0", student_scores[[#This Row],[absence_days]]&lt;=3,"1-3", student_scores[[#This Row],[absence_days]]&lt;=6,"4-6", TRUE,"7-10")</f>
        <v>4-6</v>
      </c>
      <c r="V190" t="str">
        <f>IF(student_scores[[#This Row],[Total_Score]] &gt;= _xlfn.PERCENTILE.INC(student_scores[Total_Score], 0.8), "Yes", "No")</f>
        <v>No</v>
      </c>
    </row>
    <row r="191" spans="1:22" x14ac:dyDescent="0.35">
      <c r="A191">
        <v>190</v>
      </c>
      <c r="B191" t="s">
        <v>175</v>
      </c>
      <c r="C191" t="s">
        <v>504</v>
      </c>
      <c r="D191" t="s">
        <v>505</v>
      </c>
      <c r="E191" t="s">
        <v>25</v>
      </c>
      <c r="F191" t="b">
        <v>0</v>
      </c>
      <c r="G191">
        <v>5</v>
      </c>
      <c r="H191" t="b">
        <v>0</v>
      </c>
      <c r="I191">
        <v>30</v>
      </c>
      <c r="J191" t="s">
        <v>76</v>
      </c>
      <c r="K191">
        <v>95</v>
      </c>
      <c r="L191">
        <v>79</v>
      </c>
      <c r="M191">
        <v>98</v>
      </c>
      <c r="N191">
        <v>95</v>
      </c>
      <c r="O191">
        <v>89</v>
      </c>
      <c r="P191">
        <v>99</v>
      </c>
      <c r="Q191">
        <v>87</v>
      </c>
      <c r="R191">
        <f>SUM(student_scores[[#This Row],[math_score]:[geography_score]])</f>
        <v>642</v>
      </c>
      <c r="S191" s="3">
        <f>student_scores[[#This Row],[Total_Score]]/7</f>
        <v>91.714285714285708</v>
      </c>
      <c r="T191" s="3" t="str" cm="1">
        <f t="array" ref="T191">_xlfn.IFS(student_scores[[#This Row],[weekly_self_study_hours]]&lt;=5,   "0 - 5", student_scores[[#This Row],[weekly_self_study_hours]]&lt;=10,  "6 - 10", student_scores[[#This Row],[weekly_self_study_hours]]&lt;=20,  "11 - 20",student_scores[[#This Row],[weekly_self_study_hours]]&lt;=30, "21 - 30",TRUE, "31+")</f>
        <v>21 - 30</v>
      </c>
      <c r="U191" t="str" cm="1">
        <f t="array" ref="U191">_xlfn.IFS(student_scores[[#This Row],[absence_days]]=0,"0", student_scores[[#This Row],[absence_days]]&lt;=3,"1-3", student_scores[[#This Row],[absence_days]]&lt;=6,"4-6", TRUE,"7-10")</f>
        <v>4-6</v>
      </c>
      <c r="V191" t="str">
        <f>IF(student_scores[[#This Row],[Total_Score]] &gt;= _xlfn.PERCENTILE.INC(student_scores[Total_Score], 0.8), "Yes", "No")</f>
        <v>Yes</v>
      </c>
    </row>
    <row r="192" spans="1:22" x14ac:dyDescent="0.35">
      <c r="A192">
        <v>191</v>
      </c>
      <c r="B192" t="s">
        <v>506</v>
      </c>
      <c r="C192" t="s">
        <v>231</v>
      </c>
      <c r="D192" t="s">
        <v>507</v>
      </c>
      <c r="E192" t="s">
        <v>25</v>
      </c>
      <c r="F192" t="b">
        <v>0</v>
      </c>
      <c r="G192">
        <v>7</v>
      </c>
      <c r="H192" t="b">
        <v>0</v>
      </c>
      <c r="I192">
        <v>1</v>
      </c>
      <c r="J192" t="s">
        <v>159</v>
      </c>
      <c r="K192">
        <v>99</v>
      </c>
      <c r="L192">
        <v>82</v>
      </c>
      <c r="M192">
        <v>93</v>
      </c>
      <c r="N192">
        <v>83</v>
      </c>
      <c r="O192">
        <v>92</v>
      </c>
      <c r="P192">
        <v>90</v>
      </c>
      <c r="Q192">
        <v>60</v>
      </c>
      <c r="R192">
        <f>SUM(student_scores[[#This Row],[math_score]:[geography_score]])</f>
        <v>599</v>
      </c>
      <c r="S192" s="3">
        <f>student_scores[[#This Row],[Total_Score]]/7</f>
        <v>85.571428571428569</v>
      </c>
      <c r="T192" s="3" t="str" cm="1">
        <f t="array" ref="T192">_xlfn.IFS(student_scores[[#This Row],[weekly_self_study_hours]]&lt;=5,   "0 - 5", student_scores[[#This Row],[weekly_self_study_hours]]&lt;=10,  "6 - 10", student_scores[[#This Row],[weekly_self_study_hours]]&lt;=20,  "11 - 20",student_scores[[#This Row],[weekly_self_study_hours]]&lt;=30, "21 - 30",TRUE, "31+")</f>
        <v>0 - 5</v>
      </c>
      <c r="U192" t="str" cm="1">
        <f t="array" ref="U192">_xlfn.IFS(student_scores[[#This Row],[absence_days]]=0,"0", student_scores[[#This Row],[absence_days]]&lt;=3,"1-3", student_scores[[#This Row],[absence_days]]&lt;=6,"4-6", TRUE,"7-10")</f>
        <v>7-10</v>
      </c>
      <c r="V192" t="str">
        <f>IF(student_scores[[#This Row],[Total_Score]] &gt;= _xlfn.PERCENTILE.INC(student_scores[Total_Score], 0.8), "Yes", "No")</f>
        <v>No</v>
      </c>
    </row>
    <row r="193" spans="1:22" x14ac:dyDescent="0.35">
      <c r="A193">
        <v>192</v>
      </c>
      <c r="B193" t="s">
        <v>508</v>
      </c>
      <c r="C193" t="s">
        <v>259</v>
      </c>
      <c r="D193" t="s">
        <v>509</v>
      </c>
      <c r="E193" t="s">
        <v>20</v>
      </c>
      <c r="F193" t="b">
        <v>0</v>
      </c>
      <c r="G193">
        <v>1</v>
      </c>
      <c r="H193" t="b">
        <v>1</v>
      </c>
      <c r="I193">
        <v>26</v>
      </c>
      <c r="J193" t="s">
        <v>44</v>
      </c>
      <c r="K193">
        <v>96</v>
      </c>
      <c r="L193">
        <v>66</v>
      </c>
      <c r="M193">
        <v>79</v>
      </c>
      <c r="N193">
        <v>80</v>
      </c>
      <c r="O193">
        <v>88</v>
      </c>
      <c r="P193">
        <v>61</v>
      </c>
      <c r="Q193">
        <v>85</v>
      </c>
      <c r="R193">
        <f>SUM(student_scores[[#This Row],[math_score]:[geography_score]])</f>
        <v>555</v>
      </c>
      <c r="S193" s="3">
        <f>student_scores[[#This Row],[Total_Score]]/7</f>
        <v>79.285714285714292</v>
      </c>
      <c r="T193" s="3" t="str" cm="1">
        <f t="array" ref="T193">_xlfn.IFS(student_scores[[#This Row],[weekly_self_study_hours]]&lt;=5,   "0 - 5", student_scores[[#This Row],[weekly_self_study_hours]]&lt;=10,  "6 - 10", student_scores[[#This Row],[weekly_self_study_hours]]&lt;=20,  "11 - 20",student_scores[[#This Row],[weekly_self_study_hours]]&lt;=30, "21 - 30",TRUE, "31+")</f>
        <v>21 - 30</v>
      </c>
      <c r="U193" t="str" cm="1">
        <f t="array" ref="U193">_xlfn.IFS(student_scores[[#This Row],[absence_days]]=0,"0", student_scores[[#This Row],[absence_days]]&lt;=3,"1-3", student_scores[[#This Row],[absence_days]]&lt;=6,"4-6", TRUE,"7-10")</f>
        <v>1-3</v>
      </c>
      <c r="V193" t="str">
        <f>IF(student_scores[[#This Row],[Total_Score]] &gt;= _xlfn.PERCENTILE.INC(student_scores[Total_Score], 0.8), "Yes", "No")</f>
        <v>No</v>
      </c>
    </row>
    <row r="194" spans="1:22" x14ac:dyDescent="0.35">
      <c r="A194">
        <v>193</v>
      </c>
      <c r="B194" t="s">
        <v>510</v>
      </c>
      <c r="C194" t="s">
        <v>511</v>
      </c>
      <c r="D194" t="s">
        <v>512</v>
      </c>
      <c r="E194" t="s">
        <v>25</v>
      </c>
      <c r="F194" t="b">
        <v>0</v>
      </c>
      <c r="G194">
        <v>2</v>
      </c>
      <c r="H194" t="b">
        <v>0</v>
      </c>
      <c r="I194">
        <v>2</v>
      </c>
      <c r="J194" t="s">
        <v>159</v>
      </c>
      <c r="K194">
        <v>85</v>
      </c>
      <c r="L194">
        <v>90</v>
      </c>
      <c r="M194">
        <v>85</v>
      </c>
      <c r="N194">
        <v>74</v>
      </c>
      <c r="O194">
        <v>96</v>
      </c>
      <c r="P194">
        <v>71</v>
      </c>
      <c r="Q194">
        <v>80</v>
      </c>
      <c r="R194">
        <f>SUM(student_scores[[#This Row],[math_score]:[geography_score]])</f>
        <v>581</v>
      </c>
      <c r="S194" s="3">
        <f>student_scores[[#This Row],[Total_Score]]/7</f>
        <v>83</v>
      </c>
      <c r="T194" s="3" t="str" cm="1">
        <f t="array" ref="T194">_xlfn.IFS(student_scores[[#This Row],[weekly_self_study_hours]]&lt;=5,   "0 - 5", student_scores[[#This Row],[weekly_self_study_hours]]&lt;=10,  "6 - 10", student_scores[[#This Row],[weekly_self_study_hours]]&lt;=20,  "11 - 20",student_scores[[#This Row],[weekly_self_study_hours]]&lt;=30, "21 - 30",TRUE, "31+")</f>
        <v>0 - 5</v>
      </c>
      <c r="U194" t="str" cm="1">
        <f t="array" ref="U194">_xlfn.IFS(student_scores[[#This Row],[absence_days]]=0,"0", student_scores[[#This Row],[absence_days]]&lt;=3,"1-3", student_scores[[#This Row],[absence_days]]&lt;=6,"4-6", TRUE,"7-10")</f>
        <v>1-3</v>
      </c>
      <c r="V194" t="str">
        <f>IF(student_scores[[#This Row],[Total_Score]] &gt;= _xlfn.PERCENTILE.INC(student_scores[Total_Score], 0.8), "Yes", "No")</f>
        <v>No</v>
      </c>
    </row>
    <row r="195" spans="1:22" x14ac:dyDescent="0.35">
      <c r="A195">
        <v>194</v>
      </c>
      <c r="B195" t="s">
        <v>402</v>
      </c>
      <c r="C195" t="s">
        <v>236</v>
      </c>
      <c r="D195" t="s">
        <v>513</v>
      </c>
      <c r="E195" t="s">
        <v>20</v>
      </c>
      <c r="F195" t="b">
        <v>0</v>
      </c>
      <c r="G195">
        <v>5</v>
      </c>
      <c r="H195" t="b">
        <v>0</v>
      </c>
      <c r="I195">
        <v>9</v>
      </c>
      <c r="J195" t="s">
        <v>172</v>
      </c>
      <c r="K195">
        <v>91</v>
      </c>
      <c r="L195">
        <v>94</v>
      </c>
      <c r="M195">
        <v>82</v>
      </c>
      <c r="N195">
        <v>100</v>
      </c>
      <c r="O195">
        <v>68</v>
      </c>
      <c r="P195">
        <v>66</v>
      </c>
      <c r="Q195">
        <v>69</v>
      </c>
      <c r="R195">
        <f>SUM(student_scores[[#This Row],[math_score]:[geography_score]])</f>
        <v>570</v>
      </c>
      <c r="S195" s="3">
        <f>student_scores[[#This Row],[Total_Score]]/7</f>
        <v>81.428571428571431</v>
      </c>
      <c r="T195" s="3" t="str" cm="1">
        <f t="array" ref="T195">_xlfn.IFS(student_scores[[#This Row],[weekly_self_study_hours]]&lt;=5,   "0 - 5", student_scores[[#This Row],[weekly_self_study_hours]]&lt;=10,  "6 - 10", student_scores[[#This Row],[weekly_self_study_hours]]&lt;=20,  "11 - 20",student_scores[[#This Row],[weekly_self_study_hours]]&lt;=30, "21 - 30",TRUE, "31+")</f>
        <v>6 - 10</v>
      </c>
      <c r="U195" t="str" cm="1">
        <f t="array" ref="U195">_xlfn.IFS(student_scores[[#This Row],[absence_days]]=0,"0", student_scores[[#This Row],[absence_days]]&lt;=3,"1-3", student_scores[[#This Row],[absence_days]]&lt;=6,"4-6", TRUE,"7-10")</f>
        <v>4-6</v>
      </c>
      <c r="V195" t="str">
        <f>IF(student_scores[[#This Row],[Total_Score]] &gt;= _xlfn.PERCENTILE.INC(student_scores[Total_Score], 0.8), "Yes", "No")</f>
        <v>No</v>
      </c>
    </row>
    <row r="196" spans="1:22" x14ac:dyDescent="0.35">
      <c r="A196">
        <v>195</v>
      </c>
      <c r="B196" t="s">
        <v>514</v>
      </c>
      <c r="C196" t="s">
        <v>515</v>
      </c>
      <c r="D196" t="s">
        <v>516</v>
      </c>
      <c r="E196" t="s">
        <v>25</v>
      </c>
      <c r="F196" t="b">
        <v>0</v>
      </c>
      <c r="G196">
        <v>2</v>
      </c>
      <c r="H196" t="b">
        <v>0</v>
      </c>
      <c r="I196">
        <v>30</v>
      </c>
      <c r="J196" t="s">
        <v>76</v>
      </c>
      <c r="K196">
        <v>85</v>
      </c>
      <c r="L196">
        <v>64</v>
      </c>
      <c r="M196">
        <v>93</v>
      </c>
      <c r="N196">
        <v>80</v>
      </c>
      <c r="O196">
        <v>82</v>
      </c>
      <c r="P196">
        <v>70</v>
      </c>
      <c r="Q196">
        <v>94</v>
      </c>
      <c r="R196">
        <f>SUM(student_scores[[#This Row],[math_score]:[geography_score]])</f>
        <v>568</v>
      </c>
      <c r="S196" s="3">
        <f>student_scores[[#This Row],[Total_Score]]/7</f>
        <v>81.142857142857139</v>
      </c>
      <c r="T196" s="3" t="str" cm="1">
        <f t="array" ref="T196">_xlfn.IFS(student_scores[[#This Row],[weekly_self_study_hours]]&lt;=5,   "0 - 5", student_scores[[#This Row],[weekly_self_study_hours]]&lt;=10,  "6 - 10", student_scores[[#This Row],[weekly_self_study_hours]]&lt;=20,  "11 - 20",student_scores[[#This Row],[weekly_self_study_hours]]&lt;=30, "21 - 30",TRUE, "31+")</f>
        <v>21 - 30</v>
      </c>
      <c r="U196" t="str" cm="1">
        <f t="array" ref="U196">_xlfn.IFS(student_scores[[#This Row],[absence_days]]=0,"0", student_scores[[#This Row],[absence_days]]&lt;=3,"1-3", student_scores[[#This Row],[absence_days]]&lt;=6,"4-6", TRUE,"7-10")</f>
        <v>1-3</v>
      </c>
      <c r="V196" t="str">
        <f>IF(student_scores[[#This Row],[Total_Score]] &gt;= _xlfn.PERCENTILE.INC(student_scores[Total_Score], 0.8), "Yes", "No")</f>
        <v>No</v>
      </c>
    </row>
    <row r="197" spans="1:22" x14ac:dyDescent="0.35">
      <c r="A197">
        <v>196</v>
      </c>
      <c r="B197" t="s">
        <v>517</v>
      </c>
      <c r="C197" t="s">
        <v>518</v>
      </c>
      <c r="D197" t="s">
        <v>519</v>
      </c>
      <c r="E197" t="s">
        <v>25</v>
      </c>
      <c r="F197" t="b">
        <v>0</v>
      </c>
      <c r="G197">
        <v>3</v>
      </c>
      <c r="H197" t="b">
        <v>0</v>
      </c>
      <c r="I197">
        <v>24</v>
      </c>
      <c r="J197" t="s">
        <v>172</v>
      </c>
      <c r="K197">
        <v>94</v>
      </c>
      <c r="L197">
        <v>73</v>
      </c>
      <c r="M197">
        <v>61</v>
      </c>
      <c r="N197">
        <v>68</v>
      </c>
      <c r="O197">
        <v>65</v>
      </c>
      <c r="P197">
        <v>85</v>
      </c>
      <c r="Q197">
        <v>67</v>
      </c>
      <c r="R197">
        <f>SUM(student_scores[[#This Row],[math_score]:[geography_score]])</f>
        <v>513</v>
      </c>
      <c r="S197" s="3">
        <f>student_scores[[#This Row],[Total_Score]]/7</f>
        <v>73.285714285714292</v>
      </c>
      <c r="T197" s="3" t="str" cm="1">
        <f t="array" ref="T197">_xlfn.IFS(student_scores[[#This Row],[weekly_self_study_hours]]&lt;=5,   "0 - 5", student_scores[[#This Row],[weekly_self_study_hours]]&lt;=10,  "6 - 10", student_scores[[#This Row],[weekly_self_study_hours]]&lt;=20,  "11 - 20",student_scores[[#This Row],[weekly_self_study_hours]]&lt;=30, "21 - 30",TRUE, "31+")</f>
        <v>21 - 30</v>
      </c>
      <c r="U197" t="str" cm="1">
        <f t="array" ref="U197">_xlfn.IFS(student_scores[[#This Row],[absence_days]]=0,"0", student_scores[[#This Row],[absence_days]]&lt;=3,"1-3", student_scores[[#This Row],[absence_days]]&lt;=6,"4-6", TRUE,"7-10")</f>
        <v>1-3</v>
      </c>
      <c r="V197" t="str">
        <f>IF(student_scores[[#This Row],[Total_Score]] &gt;= _xlfn.PERCENTILE.INC(student_scores[Total_Score], 0.8), "Yes", "No")</f>
        <v>No</v>
      </c>
    </row>
    <row r="198" spans="1:22" x14ac:dyDescent="0.35">
      <c r="A198">
        <v>197</v>
      </c>
      <c r="B198" t="s">
        <v>410</v>
      </c>
      <c r="C198" t="s">
        <v>520</v>
      </c>
      <c r="D198" t="s">
        <v>521</v>
      </c>
      <c r="E198" t="s">
        <v>20</v>
      </c>
      <c r="F198" t="b">
        <v>0</v>
      </c>
      <c r="G198">
        <v>4</v>
      </c>
      <c r="H198" t="b">
        <v>0</v>
      </c>
      <c r="I198">
        <v>21</v>
      </c>
      <c r="J198" t="s">
        <v>44</v>
      </c>
      <c r="K198">
        <v>95</v>
      </c>
      <c r="L198">
        <v>69</v>
      </c>
      <c r="M198">
        <v>62</v>
      </c>
      <c r="N198">
        <v>87</v>
      </c>
      <c r="O198">
        <v>84</v>
      </c>
      <c r="P198">
        <v>83</v>
      </c>
      <c r="Q198">
        <v>64</v>
      </c>
      <c r="R198">
        <f>SUM(student_scores[[#This Row],[math_score]:[geography_score]])</f>
        <v>544</v>
      </c>
      <c r="S198" s="3">
        <f>student_scores[[#This Row],[Total_Score]]/7</f>
        <v>77.714285714285708</v>
      </c>
      <c r="T198" s="3" t="str" cm="1">
        <f t="array" ref="T198">_xlfn.IFS(student_scores[[#This Row],[weekly_self_study_hours]]&lt;=5,   "0 - 5", student_scores[[#This Row],[weekly_self_study_hours]]&lt;=10,  "6 - 10", student_scores[[#This Row],[weekly_self_study_hours]]&lt;=20,  "11 - 20",student_scores[[#This Row],[weekly_self_study_hours]]&lt;=30, "21 - 30",TRUE, "31+")</f>
        <v>21 - 30</v>
      </c>
      <c r="U198" t="str" cm="1">
        <f t="array" ref="U198">_xlfn.IFS(student_scores[[#This Row],[absence_days]]=0,"0", student_scores[[#This Row],[absence_days]]&lt;=3,"1-3", student_scores[[#This Row],[absence_days]]&lt;=6,"4-6", TRUE,"7-10")</f>
        <v>4-6</v>
      </c>
      <c r="V198" t="str">
        <f>IF(student_scores[[#This Row],[Total_Score]] &gt;= _xlfn.PERCENTILE.INC(student_scores[Total_Score], 0.8), "Yes", "No")</f>
        <v>No</v>
      </c>
    </row>
    <row r="199" spans="1:22" x14ac:dyDescent="0.35">
      <c r="A199">
        <v>198</v>
      </c>
      <c r="B199" t="s">
        <v>468</v>
      </c>
      <c r="C199" t="s">
        <v>522</v>
      </c>
      <c r="D199" t="s">
        <v>523</v>
      </c>
      <c r="E199" t="s">
        <v>25</v>
      </c>
      <c r="F199" t="b">
        <v>0</v>
      </c>
      <c r="G199">
        <v>2</v>
      </c>
      <c r="H199" t="b">
        <v>0</v>
      </c>
      <c r="I199">
        <v>14</v>
      </c>
      <c r="J199" t="s">
        <v>54</v>
      </c>
      <c r="K199">
        <v>69</v>
      </c>
      <c r="L199">
        <v>90</v>
      </c>
      <c r="M199">
        <v>83</v>
      </c>
      <c r="N199">
        <v>70</v>
      </c>
      <c r="O199">
        <v>83</v>
      </c>
      <c r="P199">
        <v>91</v>
      </c>
      <c r="Q199">
        <v>67</v>
      </c>
      <c r="R199">
        <f>SUM(student_scores[[#This Row],[math_score]:[geography_score]])</f>
        <v>553</v>
      </c>
      <c r="S199" s="3">
        <f>student_scores[[#This Row],[Total_Score]]/7</f>
        <v>79</v>
      </c>
      <c r="T199" s="3" t="str" cm="1">
        <f t="array" ref="T199">_xlfn.IFS(student_scores[[#This Row],[weekly_self_study_hours]]&lt;=5,   "0 - 5", student_scores[[#This Row],[weekly_self_study_hours]]&lt;=10,  "6 - 10", student_scores[[#This Row],[weekly_self_study_hours]]&lt;=20,  "11 - 20",student_scores[[#This Row],[weekly_self_study_hours]]&lt;=30, "21 - 30",TRUE, "31+")</f>
        <v>11 - 20</v>
      </c>
      <c r="U199" t="str" cm="1">
        <f t="array" ref="U199">_xlfn.IFS(student_scores[[#This Row],[absence_days]]=0,"0", student_scores[[#This Row],[absence_days]]&lt;=3,"1-3", student_scores[[#This Row],[absence_days]]&lt;=6,"4-6", TRUE,"7-10")</f>
        <v>1-3</v>
      </c>
      <c r="V199" t="str">
        <f>IF(student_scores[[#This Row],[Total_Score]] &gt;= _xlfn.PERCENTILE.INC(student_scores[Total_Score], 0.8), "Yes", "No")</f>
        <v>No</v>
      </c>
    </row>
    <row r="200" spans="1:22" x14ac:dyDescent="0.35">
      <c r="A200">
        <v>199</v>
      </c>
      <c r="B200" t="s">
        <v>524</v>
      </c>
      <c r="C200" t="s">
        <v>525</v>
      </c>
      <c r="D200" t="s">
        <v>526</v>
      </c>
      <c r="E200" t="s">
        <v>25</v>
      </c>
      <c r="F200" t="b">
        <v>0</v>
      </c>
      <c r="G200">
        <v>1</v>
      </c>
      <c r="H200" t="b">
        <v>0</v>
      </c>
      <c r="I200">
        <v>24</v>
      </c>
      <c r="J200" t="s">
        <v>44</v>
      </c>
      <c r="K200">
        <v>95</v>
      </c>
      <c r="L200">
        <v>72</v>
      </c>
      <c r="M200">
        <v>94</v>
      </c>
      <c r="N200">
        <v>96</v>
      </c>
      <c r="O200">
        <v>91</v>
      </c>
      <c r="P200">
        <v>61</v>
      </c>
      <c r="Q200">
        <v>94</v>
      </c>
      <c r="R200">
        <f>SUM(student_scores[[#This Row],[math_score]:[geography_score]])</f>
        <v>603</v>
      </c>
      <c r="S200" s="3">
        <f>student_scores[[#This Row],[Total_Score]]/7</f>
        <v>86.142857142857139</v>
      </c>
      <c r="T200" s="3" t="str" cm="1">
        <f t="array" ref="T200">_xlfn.IFS(student_scores[[#This Row],[weekly_self_study_hours]]&lt;=5,   "0 - 5", student_scores[[#This Row],[weekly_self_study_hours]]&lt;=10,  "6 - 10", student_scores[[#This Row],[weekly_self_study_hours]]&lt;=20,  "11 - 20",student_scores[[#This Row],[weekly_self_study_hours]]&lt;=30, "21 - 30",TRUE, "31+")</f>
        <v>21 - 30</v>
      </c>
      <c r="U200" t="str" cm="1">
        <f t="array" ref="U200">_xlfn.IFS(student_scores[[#This Row],[absence_days]]=0,"0", student_scores[[#This Row],[absence_days]]&lt;=3,"1-3", student_scores[[#This Row],[absence_days]]&lt;=6,"4-6", TRUE,"7-10")</f>
        <v>1-3</v>
      </c>
      <c r="V200" t="str">
        <f>IF(student_scores[[#This Row],[Total_Score]] &gt;= _xlfn.PERCENTILE.INC(student_scores[Total_Score], 0.8), "Yes", "No")</f>
        <v>Yes</v>
      </c>
    </row>
    <row r="201" spans="1:22" x14ac:dyDescent="0.35">
      <c r="A201">
        <v>200</v>
      </c>
      <c r="B201" t="s">
        <v>527</v>
      </c>
      <c r="C201" t="s">
        <v>528</v>
      </c>
      <c r="D201" t="s">
        <v>529</v>
      </c>
      <c r="E201" t="s">
        <v>25</v>
      </c>
      <c r="F201" t="b">
        <v>0</v>
      </c>
      <c r="G201">
        <v>3</v>
      </c>
      <c r="H201" t="b">
        <v>0</v>
      </c>
      <c r="I201">
        <v>34</v>
      </c>
      <c r="J201" t="s">
        <v>21</v>
      </c>
      <c r="K201">
        <v>94</v>
      </c>
      <c r="L201">
        <v>88</v>
      </c>
      <c r="M201">
        <v>65</v>
      </c>
      <c r="N201">
        <v>88</v>
      </c>
      <c r="O201">
        <v>60</v>
      </c>
      <c r="P201">
        <v>81</v>
      </c>
      <c r="Q201">
        <v>78</v>
      </c>
      <c r="R201">
        <f>SUM(student_scores[[#This Row],[math_score]:[geography_score]])</f>
        <v>554</v>
      </c>
      <c r="S201" s="3">
        <f>student_scores[[#This Row],[Total_Score]]/7</f>
        <v>79.142857142857139</v>
      </c>
      <c r="T201" s="3" t="str" cm="1">
        <f t="array" ref="T201">_xlfn.IFS(student_scores[[#This Row],[weekly_self_study_hours]]&lt;=5,   "0 - 5", student_scores[[#This Row],[weekly_self_study_hours]]&lt;=10,  "6 - 10", student_scores[[#This Row],[weekly_self_study_hours]]&lt;=20,  "11 - 20",student_scores[[#This Row],[weekly_self_study_hours]]&lt;=30, "21 - 30",TRUE, "31+")</f>
        <v>31+</v>
      </c>
      <c r="U201" t="str" cm="1">
        <f t="array" ref="U201">_xlfn.IFS(student_scores[[#This Row],[absence_days]]=0,"0", student_scores[[#This Row],[absence_days]]&lt;=3,"1-3", student_scores[[#This Row],[absence_days]]&lt;=6,"4-6", TRUE,"7-10")</f>
        <v>1-3</v>
      </c>
      <c r="V201" t="str">
        <f>IF(student_scores[[#This Row],[Total_Score]] &gt;= _xlfn.PERCENTILE.INC(student_scores[Total_Score], 0.8), "Yes", "No")</f>
        <v>No</v>
      </c>
    </row>
    <row r="202" spans="1:22" x14ac:dyDescent="0.35">
      <c r="A202">
        <v>201</v>
      </c>
      <c r="B202" t="s">
        <v>35</v>
      </c>
      <c r="C202" t="s">
        <v>66</v>
      </c>
      <c r="D202" t="s">
        <v>530</v>
      </c>
      <c r="E202" t="s">
        <v>20</v>
      </c>
      <c r="F202" t="b">
        <v>0</v>
      </c>
      <c r="G202">
        <v>1</v>
      </c>
      <c r="H202" t="b">
        <v>1</v>
      </c>
      <c r="I202">
        <v>34</v>
      </c>
      <c r="J202" t="s">
        <v>113</v>
      </c>
      <c r="K202">
        <v>82</v>
      </c>
      <c r="L202">
        <v>81</v>
      </c>
      <c r="M202">
        <v>100</v>
      </c>
      <c r="N202">
        <v>81</v>
      </c>
      <c r="O202">
        <v>60</v>
      </c>
      <c r="P202">
        <v>79</v>
      </c>
      <c r="Q202">
        <v>96</v>
      </c>
      <c r="R202">
        <f>SUM(student_scores[[#This Row],[math_score]:[geography_score]])</f>
        <v>579</v>
      </c>
      <c r="S202" s="3">
        <f>student_scores[[#This Row],[Total_Score]]/7</f>
        <v>82.714285714285708</v>
      </c>
      <c r="T202" s="3" t="str" cm="1">
        <f t="array" ref="T202">_xlfn.IFS(student_scores[[#This Row],[weekly_self_study_hours]]&lt;=5,   "0 - 5", student_scores[[#This Row],[weekly_self_study_hours]]&lt;=10,  "6 - 10", student_scores[[#This Row],[weekly_self_study_hours]]&lt;=20,  "11 - 20",student_scores[[#This Row],[weekly_self_study_hours]]&lt;=30, "21 - 30",TRUE, "31+")</f>
        <v>31+</v>
      </c>
      <c r="U202" t="str" cm="1">
        <f t="array" ref="U202">_xlfn.IFS(student_scores[[#This Row],[absence_days]]=0,"0", student_scores[[#This Row],[absence_days]]&lt;=3,"1-3", student_scores[[#This Row],[absence_days]]&lt;=6,"4-6", TRUE,"7-10")</f>
        <v>1-3</v>
      </c>
      <c r="V202" t="str">
        <f>IF(student_scores[[#This Row],[Total_Score]] &gt;= _xlfn.PERCENTILE.INC(student_scores[Total_Score], 0.8), "Yes", "No")</f>
        <v>No</v>
      </c>
    </row>
    <row r="203" spans="1:22" x14ac:dyDescent="0.35">
      <c r="A203">
        <v>202</v>
      </c>
      <c r="B203" t="s">
        <v>354</v>
      </c>
      <c r="C203" t="s">
        <v>231</v>
      </c>
      <c r="D203" t="s">
        <v>531</v>
      </c>
      <c r="E203" t="s">
        <v>20</v>
      </c>
      <c r="F203" t="b">
        <v>0</v>
      </c>
      <c r="G203">
        <v>6</v>
      </c>
      <c r="H203" t="b">
        <v>1</v>
      </c>
      <c r="I203">
        <v>27</v>
      </c>
      <c r="J203" t="s">
        <v>44</v>
      </c>
      <c r="K203">
        <v>99</v>
      </c>
      <c r="L203">
        <v>73</v>
      </c>
      <c r="M203">
        <v>91</v>
      </c>
      <c r="N203">
        <v>91</v>
      </c>
      <c r="O203">
        <v>93</v>
      </c>
      <c r="P203">
        <v>80</v>
      </c>
      <c r="Q203">
        <v>100</v>
      </c>
      <c r="R203">
        <f>SUM(student_scores[[#This Row],[math_score]:[geography_score]])</f>
        <v>627</v>
      </c>
      <c r="S203" s="3">
        <f>student_scores[[#This Row],[Total_Score]]/7</f>
        <v>89.571428571428569</v>
      </c>
      <c r="T203" s="3" t="str" cm="1">
        <f t="array" ref="T203">_xlfn.IFS(student_scores[[#This Row],[weekly_self_study_hours]]&lt;=5,   "0 - 5", student_scores[[#This Row],[weekly_self_study_hours]]&lt;=10,  "6 - 10", student_scores[[#This Row],[weekly_self_study_hours]]&lt;=20,  "11 - 20",student_scores[[#This Row],[weekly_self_study_hours]]&lt;=30, "21 - 30",TRUE, "31+")</f>
        <v>21 - 30</v>
      </c>
      <c r="U203" t="str" cm="1">
        <f t="array" ref="U203">_xlfn.IFS(student_scores[[#This Row],[absence_days]]=0,"0", student_scores[[#This Row],[absence_days]]&lt;=3,"1-3", student_scores[[#This Row],[absence_days]]&lt;=6,"4-6", TRUE,"7-10")</f>
        <v>4-6</v>
      </c>
      <c r="V203" t="str">
        <f>IF(student_scores[[#This Row],[Total_Score]] &gt;= _xlfn.PERCENTILE.INC(student_scores[Total_Score], 0.8), "Yes", "No")</f>
        <v>Yes</v>
      </c>
    </row>
    <row r="204" spans="1:22" x14ac:dyDescent="0.35">
      <c r="A204">
        <v>203</v>
      </c>
      <c r="B204" t="s">
        <v>190</v>
      </c>
      <c r="C204" t="s">
        <v>532</v>
      </c>
      <c r="D204" t="s">
        <v>533</v>
      </c>
      <c r="E204" t="s">
        <v>25</v>
      </c>
      <c r="F204" t="b">
        <v>0</v>
      </c>
      <c r="G204">
        <v>3</v>
      </c>
      <c r="H204" t="b">
        <v>0</v>
      </c>
      <c r="I204">
        <v>16</v>
      </c>
      <c r="J204" t="s">
        <v>113</v>
      </c>
      <c r="K204">
        <v>85</v>
      </c>
      <c r="L204">
        <v>62</v>
      </c>
      <c r="M204">
        <v>84</v>
      </c>
      <c r="N204">
        <v>80</v>
      </c>
      <c r="O204">
        <v>37</v>
      </c>
      <c r="P204">
        <v>80</v>
      </c>
      <c r="Q204">
        <v>71</v>
      </c>
      <c r="R204">
        <f>SUM(student_scores[[#This Row],[math_score]:[geography_score]])</f>
        <v>499</v>
      </c>
      <c r="S204" s="3">
        <f>student_scores[[#This Row],[Total_Score]]/7</f>
        <v>71.285714285714292</v>
      </c>
      <c r="T204" s="3" t="str" cm="1">
        <f t="array" ref="T204">_xlfn.IFS(student_scores[[#This Row],[weekly_self_study_hours]]&lt;=5,   "0 - 5", student_scores[[#This Row],[weekly_self_study_hours]]&lt;=10,  "6 - 10", student_scores[[#This Row],[weekly_self_study_hours]]&lt;=20,  "11 - 20",student_scores[[#This Row],[weekly_self_study_hours]]&lt;=30, "21 - 30",TRUE, "31+")</f>
        <v>11 - 20</v>
      </c>
      <c r="U204" t="str" cm="1">
        <f t="array" ref="U204">_xlfn.IFS(student_scores[[#This Row],[absence_days]]=0,"0", student_scores[[#This Row],[absence_days]]&lt;=3,"1-3", student_scores[[#This Row],[absence_days]]&lt;=6,"4-6", TRUE,"7-10")</f>
        <v>1-3</v>
      </c>
      <c r="V204" t="str">
        <f>IF(student_scores[[#This Row],[Total_Score]] &gt;= _xlfn.PERCENTILE.INC(student_scores[Total_Score], 0.8), "Yes", "No")</f>
        <v>No</v>
      </c>
    </row>
    <row r="205" spans="1:22" x14ac:dyDescent="0.35">
      <c r="A205">
        <v>204</v>
      </c>
      <c r="B205" t="s">
        <v>534</v>
      </c>
      <c r="C205" t="s">
        <v>164</v>
      </c>
      <c r="D205" t="s">
        <v>535</v>
      </c>
      <c r="E205" t="s">
        <v>25</v>
      </c>
      <c r="F205" t="b">
        <v>0</v>
      </c>
      <c r="G205">
        <v>1</v>
      </c>
      <c r="H205" t="b">
        <v>1</v>
      </c>
      <c r="I205">
        <v>21</v>
      </c>
      <c r="J205" t="s">
        <v>113</v>
      </c>
      <c r="K205">
        <v>100</v>
      </c>
      <c r="L205">
        <v>87</v>
      </c>
      <c r="M205">
        <v>60</v>
      </c>
      <c r="N205">
        <v>92</v>
      </c>
      <c r="O205">
        <v>46</v>
      </c>
      <c r="P205">
        <v>67</v>
      </c>
      <c r="Q205">
        <v>96</v>
      </c>
      <c r="R205">
        <f>SUM(student_scores[[#This Row],[math_score]:[geography_score]])</f>
        <v>548</v>
      </c>
      <c r="S205" s="3">
        <f>student_scores[[#This Row],[Total_Score]]/7</f>
        <v>78.285714285714292</v>
      </c>
      <c r="T205" s="3" t="str" cm="1">
        <f t="array" ref="T205">_xlfn.IFS(student_scores[[#This Row],[weekly_self_study_hours]]&lt;=5,   "0 - 5", student_scores[[#This Row],[weekly_self_study_hours]]&lt;=10,  "6 - 10", student_scores[[#This Row],[weekly_self_study_hours]]&lt;=20,  "11 - 20",student_scores[[#This Row],[weekly_self_study_hours]]&lt;=30, "21 - 30",TRUE, "31+")</f>
        <v>21 - 30</v>
      </c>
      <c r="U205" t="str" cm="1">
        <f t="array" ref="U205">_xlfn.IFS(student_scores[[#This Row],[absence_days]]=0,"0", student_scores[[#This Row],[absence_days]]&lt;=3,"1-3", student_scores[[#This Row],[absence_days]]&lt;=6,"4-6", TRUE,"7-10")</f>
        <v>1-3</v>
      </c>
      <c r="V205" t="str">
        <f>IF(student_scores[[#This Row],[Total_Score]] &gt;= _xlfn.PERCENTILE.INC(student_scores[Total_Score], 0.8), "Yes", "No")</f>
        <v>No</v>
      </c>
    </row>
    <row r="206" spans="1:22" x14ac:dyDescent="0.35">
      <c r="A206">
        <v>205</v>
      </c>
      <c r="B206" t="s">
        <v>536</v>
      </c>
      <c r="C206" t="s">
        <v>135</v>
      </c>
      <c r="D206" t="s">
        <v>537</v>
      </c>
      <c r="E206" t="s">
        <v>25</v>
      </c>
      <c r="F206" t="b">
        <v>0</v>
      </c>
      <c r="G206">
        <v>1</v>
      </c>
      <c r="H206" t="b">
        <v>0</v>
      </c>
      <c r="I206">
        <v>1</v>
      </c>
      <c r="J206" t="s">
        <v>34</v>
      </c>
      <c r="K206">
        <v>98</v>
      </c>
      <c r="L206">
        <v>95</v>
      </c>
      <c r="M206">
        <v>90</v>
      </c>
      <c r="N206">
        <v>81</v>
      </c>
      <c r="O206">
        <v>82</v>
      </c>
      <c r="P206">
        <v>86</v>
      </c>
      <c r="Q206">
        <v>98</v>
      </c>
      <c r="R206">
        <f>SUM(student_scores[[#This Row],[math_score]:[geography_score]])</f>
        <v>630</v>
      </c>
      <c r="S206" s="3">
        <f>student_scores[[#This Row],[Total_Score]]/7</f>
        <v>90</v>
      </c>
      <c r="T206" s="3" t="str" cm="1">
        <f t="array" ref="T206">_xlfn.IFS(student_scores[[#This Row],[weekly_self_study_hours]]&lt;=5,   "0 - 5", student_scores[[#This Row],[weekly_self_study_hours]]&lt;=10,  "6 - 10", student_scores[[#This Row],[weekly_self_study_hours]]&lt;=20,  "11 - 20",student_scores[[#This Row],[weekly_self_study_hours]]&lt;=30, "21 - 30",TRUE, "31+")</f>
        <v>0 - 5</v>
      </c>
      <c r="U206" t="str" cm="1">
        <f t="array" ref="U206">_xlfn.IFS(student_scores[[#This Row],[absence_days]]=0,"0", student_scores[[#This Row],[absence_days]]&lt;=3,"1-3", student_scores[[#This Row],[absence_days]]&lt;=6,"4-6", TRUE,"7-10")</f>
        <v>1-3</v>
      </c>
      <c r="V206" t="str">
        <f>IF(student_scores[[#This Row],[Total_Score]] &gt;= _xlfn.PERCENTILE.INC(student_scores[Total_Score], 0.8), "Yes", "No")</f>
        <v>Yes</v>
      </c>
    </row>
    <row r="207" spans="1:22" x14ac:dyDescent="0.35">
      <c r="A207">
        <v>206</v>
      </c>
      <c r="B207" t="s">
        <v>77</v>
      </c>
      <c r="C207" t="s">
        <v>164</v>
      </c>
      <c r="D207" t="s">
        <v>538</v>
      </c>
      <c r="E207" t="s">
        <v>20</v>
      </c>
      <c r="F207" t="b">
        <v>0</v>
      </c>
      <c r="G207">
        <v>3</v>
      </c>
      <c r="H207" t="b">
        <v>0</v>
      </c>
      <c r="I207">
        <v>17</v>
      </c>
      <c r="J207" t="s">
        <v>44</v>
      </c>
      <c r="K207">
        <v>97</v>
      </c>
      <c r="L207">
        <v>78</v>
      </c>
      <c r="M207">
        <v>81</v>
      </c>
      <c r="N207">
        <v>67</v>
      </c>
      <c r="O207">
        <v>90</v>
      </c>
      <c r="P207">
        <v>95</v>
      </c>
      <c r="Q207">
        <v>79</v>
      </c>
      <c r="R207">
        <f>SUM(student_scores[[#This Row],[math_score]:[geography_score]])</f>
        <v>587</v>
      </c>
      <c r="S207" s="3">
        <f>student_scores[[#This Row],[Total_Score]]/7</f>
        <v>83.857142857142861</v>
      </c>
      <c r="T207" s="3" t="str" cm="1">
        <f t="array" ref="T207">_xlfn.IFS(student_scores[[#This Row],[weekly_self_study_hours]]&lt;=5,   "0 - 5", student_scores[[#This Row],[weekly_self_study_hours]]&lt;=10,  "6 - 10", student_scores[[#This Row],[weekly_self_study_hours]]&lt;=20,  "11 - 20",student_scores[[#This Row],[weekly_self_study_hours]]&lt;=30, "21 - 30",TRUE, "31+")</f>
        <v>11 - 20</v>
      </c>
      <c r="U207" t="str" cm="1">
        <f t="array" ref="U207">_xlfn.IFS(student_scores[[#This Row],[absence_days]]=0,"0", student_scores[[#This Row],[absence_days]]&lt;=3,"1-3", student_scores[[#This Row],[absence_days]]&lt;=6,"4-6", TRUE,"7-10")</f>
        <v>1-3</v>
      </c>
      <c r="V207" t="str">
        <f>IF(student_scores[[#This Row],[Total_Score]] &gt;= _xlfn.PERCENTILE.INC(student_scores[Total_Score], 0.8), "Yes", "No")</f>
        <v>No</v>
      </c>
    </row>
    <row r="208" spans="1:22" x14ac:dyDescent="0.35">
      <c r="A208">
        <v>207</v>
      </c>
      <c r="B208" t="s">
        <v>413</v>
      </c>
      <c r="C208" t="s">
        <v>539</v>
      </c>
      <c r="D208" t="s">
        <v>540</v>
      </c>
      <c r="E208" t="s">
        <v>20</v>
      </c>
      <c r="F208" t="b">
        <v>0</v>
      </c>
      <c r="G208">
        <v>5</v>
      </c>
      <c r="H208" t="b">
        <v>0</v>
      </c>
      <c r="I208">
        <v>0</v>
      </c>
      <c r="J208" t="s">
        <v>38</v>
      </c>
      <c r="K208">
        <v>99</v>
      </c>
      <c r="L208">
        <v>86</v>
      </c>
      <c r="M208">
        <v>68</v>
      </c>
      <c r="N208">
        <v>94</v>
      </c>
      <c r="O208">
        <v>97</v>
      </c>
      <c r="P208">
        <v>77</v>
      </c>
      <c r="Q208">
        <v>92</v>
      </c>
      <c r="R208">
        <f>SUM(student_scores[[#This Row],[math_score]:[geography_score]])</f>
        <v>613</v>
      </c>
      <c r="S208" s="3">
        <f>student_scores[[#This Row],[Total_Score]]/7</f>
        <v>87.571428571428569</v>
      </c>
      <c r="T208" s="3" t="str" cm="1">
        <f t="array" ref="T208">_xlfn.IFS(student_scores[[#This Row],[weekly_self_study_hours]]&lt;=5,   "0 - 5", student_scores[[#This Row],[weekly_self_study_hours]]&lt;=10,  "6 - 10", student_scores[[#This Row],[weekly_self_study_hours]]&lt;=20,  "11 - 20",student_scores[[#This Row],[weekly_self_study_hours]]&lt;=30, "21 - 30",TRUE, "31+")</f>
        <v>0 - 5</v>
      </c>
      <c r="U208" t="str" cm="1">
        <f t="array" ref="U208">_xlfn.IFS(student_scores[[#This Row],[absence_days]]=0,"0", student_scores[[#This Row],[absence_days]]&lt;=3,"1-3", student_scores[[#This Row],[absence_days]]&lt;=6,"4-6", TRUE,"7-10")</f>
        <v>4-6</v>
      </c>
      <c r="V208" t="str">
        <f>IF(student_scores[[#This Row],[Total_Score]] &gt;= _xlfn.PERCENTILE.INC(student_scores[Total_Score], 0.8), "Yes", "No")</f>
        <v>Yes</v>
      </c>
    </row>
    <row r="209" spans="1:23" x14ac:dyDescent="0.35">
      <c r="A209">
        <v>208</v>
      </c>
      <c r="B209" t="s">
        <v>277</v>
      </c>
      <c r="C209" t="s">
        <v>541</v>
      </c>
      <c r="D209" t="s">
        <v>542</v>
      </c>
      <c r="E209" t="s">
        <v>20</v>
      </c>
      <c r="F209" t="b">
        <v>0</v>
      </c>
      <c r="G209">
        <v>3</v>
      </c>
      <c r="H209" t="b">
        <v>1</v>
      </c>
      <c r="I209">
        <v>12</v>
      </c>
      <c r="J209" t="s">
        <v>113</v>
      </c>
      <c r="K209">
        <v>99</v>
      </c>
      <c r="L209">
        <v>73</v>
      </c>
      <c r="M209">
        <v>77</v>
      </c>
      <c r="N209">
        <v>74</v>
      </c>
      <c r="O209">
        <v>62</v>
      </c>
      <c r="P209">
        <v>68</v>
      </c>
      <c r="Q209">
        <v>99</v>
      </c>
      <c r="R209">
        <f>SUM(student_scores[[#This Row],[math_score]:[geography_score]])</f>
        <v>552</v>
      </c>
      <c r="S209" s="3">
        <f>student_scores[[#This Row],[Total_Score]]/7</f>
        <v>78.857142857142861</v>
      </c>
      <c r="T209" s="3" t="str" cm="1">
        <f t="array" ref="T209">_xlfn.IFS(student_scores[[#This Row],[weekly_self_study_hours]]&lt;=5,   "0 - 5", student_scores[[#This Row],[weekly_self_study_hours]]&lt;=10,  "6 - 10", student_scores[[#This Row],[weekly_self_study_hours]]&lt;=20,  "11 - 20",student_scores[[#This Row],[weekly_self_study_hours]]&lt;=30, "21 - 30",TRUE, "31+")</f>
        <v>11 - 20</v>
      </c>
      <c r="U209" t="str" cm="1">
        <f t="array" ref="U209">_xlfn.IFS(student_scores[[#This Row],[absence_days]]=0,"0", student_scores[[#This Row],[absence_days]]&lt;=3,"1-3", student_scores[[#This Row],[absence_days]]&lt;=6,"4-6", TRUE,"7-10")</f>
        <v>1-3</v>
      </c>
      <c r="V209" t="str">
        <f>IF(student_scores[[#This Row],[Total_Score]] &gt;= _xlfn.PERCENTILE.INC(student_scores[Total_Score], 0.8), "Yes", "No")</f>
        <v>No</v>
      </c>
    </row>
    <row r="210" spans="1:23" x14ac:dyDescent="0.35">
      <c r="A210">
        <v>209</v>
      </c>
      <c r="B210" t="s">
        <v>369</v>
      </c>
      <c r="C210" t="s">
        <v>90</v>
      </c>
      <c r="D210" t="s">
        <v>543</v>
      </c>
      <c r="E210" t="s">
        <v>25</v>
      </c>
      <c r="F210" t="b">
        <v>0</v>
      </c>
      <c r="G210">
        <v>2</v>
      </c>
      <c r="H210" t="b">
        <v>0</v>
      </c>
      <c r="I210">
        <v>22</v>
      </c>
      <c r="J210" t="s">
        <v>105</v>
      </c>
      <c r="K210">
        <v>75</v>
      </c>
      <c r="L210">
        <v>83</v>
      </c>
      <c r="M210">
        <v>70</v>
      </c>
      <c r="N210">
        <v>71</v>
      </c>
      <c r="O210">
        <v>86</v>
      </c>
      <c r="P210">
        <v>95</v>
      </c>
      <c r="Q210">
        <v>76</v>
      </c>
      <c r="R210">
        <f>SUM(student_scores[[#This Row],[math_score]:[geography_score]])</f>
        <v>556</v>
      </c>
      <c r="S210" s="3">
        <f>student_scores[[#This Row],[Total_Score]]/7</f>
        <v>79.428571428571431</v>
      </c>
      <c r="T210" s="3" t="str" cm="1">
        <f t="array" ref="T210">_xlfn.IFS(student_scores[[#This Row],[weekly_self_study_hours]]&lt;=5,   "0 - 5", student_scores[[#This Row],[weekly_self_study_hours]]&lt;=10,  "6 - 10", student_scores[[#This Row],[weekly_self_study_hours]]&lt;=20,  "11 - 20",student_scores[[#This Row],[weekly_self_study_hours]]&lt;=30, "21 - 30",TRUE, "31+")</f>
        <v>21 - 30</v>
      </c>
      <c r="U210" t="str" cm="1">
        <f t="array" ref="U210">_xlfn.IFS(student_scores[[#This Row],[absence_days]]=0,"0", student_scores[[#This Row],[absence_days]]&lt;=3,"1-3", student_scores[[#This Row],[absence_days]]&lt;=6,"4-6", TRUE,"7-10")</f>
        <v>1-3</v>
      </c>
      <c r="V210" t="str">
        <f>IF(student_scores[[#This Row],[Total_Score]] &gt;= _xlfn.PERCENTILE.INC(student_scores[Total_Score], 0.8), "Yes", "No")</f>
        <v>No</v>
      </c>
    </row>
    <row r="211" spans="1:23" x14ac:dyDescent="0.35">
      <c r="A211">
        <v>210</v>
      </c>
      <c r="B211" t="s">
        <v>544</v>
      </c>
      <c r="C211" t="s">
        <v>300</v>
      </c>
      <c r="D211" t="s">
        <v>545</v>
      </c>
      <c r="E211" t="s">
        <v>25</v>
      </c>
      <c r="F211" t="b">
        <v>0</v>
      </c>
      <c r="G211">
        <v>1</v>
      </c>
      <c r="H211" t="b">
        <v>1</v>
      </c>
      <c r="I211">
        <v>14</v>
      </c>
      <c r="J211" t="s">
        <v>54</v>
      </c>
      <c r="K211">
        <v>63</v>
      </c>
      <c r="L211">
        <v>80</v>
      </c>
      <c r="M211">
        <v>99</v>
      </c>
      <c r="N211">
        <v>78</v>
      </c>
      <c r="O211">
        <v>60</v>
      </c>
      <c r="P211">
        <v>84</v>
      </c>
      <c r="Q211">
        <v>86</v>
      </c>
      <c r="R211">
        <f>SUM(student_scores[[#This Row],[math_score]:[geography_score]])</f>
        <v>550</v>
      </c>
      <c r="S211" s="3">
        <f>student_scores[[#This Row],[Total_Score]]/7</f>
        <v>78.571428571428569</v>
      </c>
      <c r="T211" s="3" t="str" cm="1">
        <f t="array" ref="T211">_xlfn.IFS(student_scores[[#This Row],[weekly_self_study_hours]]&lt;=5,   "0 - 5", student_scores[[#This Row],[weekly_self_study_hours]]&lt;=10,  "6 - 10", student_scores[[#This Row],[weekly_self_study_hours]]&lt;=20,  "11 - 20",student_scores[[#This Row],[weekly_self_study_hours]]&lt;=30, "21 - 30",TRUE, "31+")</f>
        <v>11 - 20</v>
      </c>
      <c r="U211" t="str" cm="1">
        <f t="array" ref="U211">_xlfn.IFS(student_scores[[#This Row],[absence_days]]=0,"0", student_scores[[#This Row],[absence_days]]&lt;=3,"1-3", student_scores[[#This Row],[absence_days]]&lt;=6,"4-6", TRUE,"7-10")</f>
        <v>1-3</v>
      </c>
      <c r="V211" t="str">
        <f>IF(student_scores[[#This Row],[Total_Score]] &gt;= _xlfn.PERCENTILE.INC(student_scores[Total_Score], 0.8), "Yes", "No")</f>
        <v>No</v>
      </c>
    </row>
    <row r="212" spans="1:23" x14ac:dyDescent="0.35">
      <c r="A212">
        <v>211</v>
      </c>
      <c r="B212" t="s">
        <v>86</v>
      </c>
      <c r="C212" t="s">
        <v>339</v>
      </c>
      <c r="D212" t="s">
        <v>546</v>
      </c>
      <c r="E212" t="s">
        <v>20</v>
      </c>
      <c r="F212" t="b">
        <v>0</v>
      </c>
      <c r="G212">
        <v>0</v>
      </c>
      <c r="H212" t="b">
        <v>0</v>
      </c>
      <c r="I212">
        <v>41</v>
      </c>
      <c r="J212" t="s">
        <v>26</v>
      </c>
      <c r="K212">
        <v>96</v>
      </c>
      <c r="L212">
        <v>88</v>
      </c>
      <c r="M212">
        <v>90</v>
      </c>
      <c r="N212">
        <v>100</v>
      </c>
      <c r="O212">
        <v>94</v>
      </c>
      <c r="P212">
        <v>87</v>
      </c>
      <c r="Q212">
        <v>96</v>
      </c>
      <c r="R212">
        <f>SUM(student_scores[[#This Row],[math_score]:[geography_score]])</f>
        <v>651</v>
      </c>
      <c r="S212" s="3">
        <f>student_scores[[#This Row],[Total_Score]]/7</f>
        <v>93</v>
      </c>
      <c r="T212" s="3" t="str" cm="1">
        <f t="array" ref="T212">_xlfn.IFS(student_scores[[#This Row],[weekly_self_study_hours]]&lt;=5,   "0 - 5", student_scores[[#This Row],[weekly_self_study_hours]]&lt;=10,  "6 - 10", student_scores[[#This Row],[weekly_self_study_hours]]&lt;=20,  "11 - 20",student_scores[[#This Row],[weekly_self_study_hours]]&lt;=30, "21 - 30",TRUE, "31+")</f>
        <v>31+</v>
      </c>
      <c r="U212" t="str" cm="1">
        <f t="array" ref="U212">_xlfn.IFS(student_scores[[#This Row],[absence_days]]=0,"0", student_scores[[#This Row],[absence_days]]&lt;=3,"1-3", student_scores[[#This Row],[absence_days]]&lt;=6,"4-6", TRUE,"7-10")</f>
        <v>0</v>
      </c>
      <c r="V212" t="str">
        <f>IF(student_scores[[#This Row],[Total_Score]] &gt;= _xlfn.PERCENTILE.INC(student_scores[Total_Score], 0.8), "Yes", "No")</f>
        <v>Yes</v>
      </c>
    </row>
    <row r="213" spans="1:23" x14ac:dyDescent="0.35">
      <c r="A213">
        <v>212</v>
      </c>
      <c r="B213" t="s">
        <v>547</v>
      </c>
      <c r="C213" t="s">
        <v>548</v>
      </c>
      <c r="D213" t="s">
        <v>549</v>
      </c>
      <c r="E213" t="s">
        <v>20</v>
      </c>
      <c r="F213" t="b">
        <v>0</v>
      </c>
      <c r="G213">
        <v>4</v>
      </c>
      <c r="H213" t="b">
        <v>0</v>
      </c>
      <c r="I213">
        <v>32</v>
      </c>
      <c r="J213" t="s">
        <v>138</v>
      </c>
      <c r="K213">
        <v>91</v>
      </c>
      <c r="L213">
        <v>73</v>
      </c>
      <c r="M213">
        <v>86</v>
      </c>
      <c r="N213">
        <v>73</v>
      </c>
      <c r="O213">
        <v>84</v>
      </c>
      <c r="P213">
        <v>60</v>
      </c>
      <c r="Q213">
        <v>71</v>
      </c>
      <c r="R213">
        <f>SUM(student_scores[[#This Row],[math_score]:[geography_score]])</f>
        <v>538</v>
      </c>
      <c r="S213" s="3">
        <f>student_scores[[#This Row],[Total_Score]]/7</f>
        <v>76.857142857142861</v>
      </c>
      <c r="T213" s="3" t="str" cm="1">
        <f t="array" ref="T213">_xlfn.IFS(student_scores[[#This Row],[weekly_self_study_hours]]&lt;=5,   "0 - 5", student_scores[[#This Row],[weekly_self_study_hours]]&lt;=10,  "6 - 10", student_scores[[#This Row],[weekly_self_study_hours]]&lt;=20,  "11 - 20",student_scores[[#This Row],[weekly_self_study_hours]]&lt;=30, "21 - 30",TRUE, "31+")</f>
        <v>31+</v>
      </c>
      <c r="U213" t="str" cm="1">
        <f t="array" ref="U213">_xlfn.IFS(student_scores[[#This Row],[absence_days]]=0,"0", student_scores[[#This Row],[absence_days]]&lt;=3,"1-3", student_scores[[#This Row],[absence_days]]&lt;=6,"4-6", TRUE,"7-10")</f>
        <v>4-6</v>
      </c>
      <c r="V213" t="str">
        <f>IF(student_scores[[#This Row],[Total_Score]] &gt;= _xlfn.PERCENTILE.INC(student_scores[Total_Score], 0.8), "Yes", "No")</f>
        <v>No</v>
      </c>
    </row>
    <row r="214" spans="1:23" x14ac:dyDescent="0.35">
      <c r="A214">
        <v>213</v>
      </c>
      <c r="B214" t="s">
        <v>550</v>
      </c>
      <c r="C214" t="s">
        <v>551</v>
      </c>
      <c r="D214" t="s">
        <v>552</v>
      </c>
      <c r="E214" t="s">
        <v>20</v>
      </c>
      <c r="F214" t="b">
        <v>1</v>
      </c>
      <c r="G214">
        <v>1</v>
      </c>
      <c r="H214" t="b">
        <v>0</v>
      </c>
      <c r="I214">
        <v>4</v>
      </c>
      <c r="J214" t="s">
        <v>64</v>
      </c>
      <c r="K214">
        <v>52</v>
      </c>
      <c r="L214">
        <v>58</v>
      </c>
      <c r="M214">
        <v>60</v>
      </c>
      <c r="N214">
        <v>97</v>
      </c>
      <c r="O214">
        <v>93</v>
      </c>
      <c r="P214">
        <v>89</v>
      </c>
      <c r="Q214">
        <v>68</v>
      </c>
      <c r="R214">
        <f>SUM(student_scores[[#This Row],[math_score]:[geography_score]])</f>
        <v>517</v>
      </c>
      <c r="S214" s="3">
        <f>student_scores[[#This Row],[Total_Score]]/7</f>
        <v>73.857142857142861</v>
      </c>
      <c r="T214" s="3" t="str" cm="1">
        <f t="array" ref="T214">_xlfn.IFS(student_scores[[#This Row],[weekly_self_study_hours]]&lt;=5,   "0 - 5", student_scores[[#This Row],[weekly_self_study_hours]]&lt;=10,  "6 - 10", student_scores[[#This Row],[weekly_self_study_hours]]&lt;=20,  "11 - 20",student_scores[[#This Row],[weekly_self_study_hours]]&lt;=30, "21 - 30",TRUE, "31+")</f>
        <v>0 - 5</v>
      </c>
      <c r="U214" t="str" cm="1">
        <f t="array" ref="U214">_xlfn.IFS(student_scores[[#This Row],[absence_days]]=0,"0", student_scores[[#This Row],[absence_days]]&lt;=3,"1-3", student_scores[[#This Row],[absence_days]]&lt;=6,"4-6", TRUE,"7-10")</f>
        <v>1-3</v>
      </c>
      <c r="V214" t="str">
        <f>IF(student_scores[[#This Row],[Total_Score]] &gt;= _xlfn.PERCENTILE.INC(student_scores[Total_Score], 0.8), "Yes", "No")</f>
        <v>No</v>
      </c>
    </row>
    <row r="215" spans="1:23" x14ac:dyDescent="0.35">
      <c r="A215">
        <v>214</v>
      </c>
      <c r="B215" t="s">
        <v>193</v>
      </c>
      <c r="C215" t="s">
        <v>553</v>
      </c>
      <c r="D215" t="s">
        <v>554</v>
      </c>
      <c r="E215" t="s">
        <v>25</v>
      </c>
      <c r="F215" t="b">
        <v>0</v>
      </c>
      <c r="G215">
        <v>1</v>
      </c>
      <c r="H215" t="b">
        <v>0</v>
      </c>
      <c r="I215">
        <v>22</v>
      </c>
      <c r="J215" t="s">
        <v>26</v>
      </c>
      <c r="K215">
        <v>99</v>
      </c>
      <c r="L215">
        <v>71</v>
      </c>
      <c r="M215">
        <v>80</v>
      </c>
      <c r="N215">
        <v>82</v>
      </c>
      <c r="O215">
        <v>95</v>
      </c>
      <c r="P215">
        <v>64</v>
      </c>
      <c r="Q215">
        <v>64</v>
      </c>
      <c r="R215">
        <f>SUM(student_scores[[#This Row],[math_score]:[geography_score]])</f>
        <v>555</v>
      </c>
      <c r="S215" s="3">
        <f>student_scores[[#This Row],[Total_Score]]/7</f>
        <v>79.285714285714292</v>
      </c>
      <c r="T215" s="3" t="str" cm="1">
        <f t="array" ref="T215">_xlfn.IFS(student_scores[[#This Row],[weekly_self_study_hours]]&lt;=5,   "0 - 5", student_scores[[#This Row],[weekly_self_study_hours]]&lt;=10,  "6 - 10", student_scores[[#This Row],[weekly_self_study_hours]]&lt;=20,  "11 - 20",student_scores[[#This Row],[weekly_self_study_hours]]&lt;=30, "21 - 30",TRUE, "31+")</f>
        <v>21 - 30</v>
      </c>
      <c r="U215" t="str" cm="1">
        <f t="array" ref="U215">_xlfn.IFS(student_scores[[#This Row],[absence_days]]=0,"0", student_scores[[#This Row],[absence_days]]&lt;=3,"1-3", student_scores[[#This Row],[absence_days]]&lt;=6,"4-6", TRUE,"7-10")</f>
        <v>1-3</v>
      </c>
      <c r="V215" t="str">
        <f>IF(student_scores[[#This Row],[Total_Score]] &gt;= _xlfn.PERCENTILE.INC(student_scores[Total_Score], 0.8), "Yes", "No")</f>
        <v>No</v>
      </c>
    </row>
    <row r="216" spans="1:23" x14ac:dyDescent="0.35">
      <c r="A216">
        <v>215</v>
      </c>
      <c r="B216" t="s">
        <v>555</v>
      </c>
      <c r="C216" t="s">
        <v>118</v>
      </c>
      <c r="D216" t="s">
        <v>556</v>
      </c>
      <c r="E216" t="s">
        <v>25</v>
      </c>
      <c r="F216" t="b">
        <v>0</v>
      </c>
      <c r="G216">
        <v>3</v>
      </c>
      <c r="H216" t="b">
        <v>0</v>
      </c>
      <c r="I216">
        <v>17</v>
      </c>
      <c r="J216" t="s">
        <v>105</v>
      </c>
      <c r="K216">
        <v>84</v>
      </c>
      <c r="L216">
        <v>62</v>
      </c>
      <c r="M216">
        <v>92</v>
      </c>
      <c r="N216">
        <v>74</v>
      </c>
      <c r="O216">
        <v>73</v>
      </c>
      <c r="P216">
        <v>98</v>
      </c>
      <c r="Q216">
        <v>91</v>
      </c>
      <c r="R216">
        <f>SUM(student_scores[[#This Row],[math_score]:[geography_score]])</f>
        <v>574</v>
      </c>
      <c r="S216" s="3">
        <f>student_scores[[#This Row],[Total_Score]]/7</f>
        <v>82</v>
      </c>
      <c r="T216" s="3" t="str" cm="1">
        <f t="array" ref="T216">_xlfn.IFS(student_scores[[#This Row],[weekly_self_study_hours]]&lt;=5,   "0 - 5", student_scores[[#This Row],[weekly_self_study_hours]]&lt;=10,  "6 - 10", student_scores[[#This Row],[weekly_self_study_hours]]&lt;=20,  "11 - 20",student_scores[[#This Row],[weekly_self_study_hours]]&lt;=30, "21 - 30",TRUE, "31+")</f>
        <v>11 - 20</v>
      </c>
      <c r="U216" t="str" cm="1">
        <f t="array" ref="U216">_xlfn.IFS(student_scores[[#This Row],[absence_days]]=0,"0", student_scores[[#This Row],[absence_days]]&lt;=3,"1-3", student_scores[[#This Row],[absence_days]]&lt;=6,"4-6", TRUE,"7-10")</f>
        <v>1-3</v>
      </c>
      <c r="V216" t="str">
        <f>IF(student_scores[[#This Row],[Total_Score]] &gt;= _xlfn.PERCENTILE.INC(student_scores[Total_Score], 0.8), "Yes", "No")</f>
        <v>No</v>
      </c>
    </row>
    <row r="217" spans="1:23" x14ac:dyDescent="0.35">
      <c r="A217">
        <v>216</v>
      </c>
      <c r="B217" t="s">
        <v>557</v>
      </c>
      <c r="C217" t="s">
        <v>558</v>
      </c>
      <c r="D217" t="s">
        <v>559</v>
      </c>
      <c r="E217" t="s">
        <v>20</v>
      </c>
      <c r="F217" t="b">
        <v>0</v>
      </c>
      <c r="G217">
        <v>2</v>
      </c>
      <c r="H217" t="b">
        <v>0</v>
      </c>
      <c r="I217">
        <v>2</v>
      </c>
      <c r="J217" t="s">
        <v>34</v>
      </c>
      <c r="K217">
        <v>100</v>
      </c>
      <c r="L217">
        <v>90</v>
      </c>
      <c r="M217">
        <v>82</v>
      </c>
      <c r="N217">
        <v>79</v>
      </c>
      <c r="O217">
        <v>94</v>
      </c>
      <c r="P217">
        <v>83</v>
      </c>
      <c r="Q217">
        <v>78</v>
      </c>
      <c r="R217">
        <f>SUM(student_scores[[#This Row],[math_score]:[geography_score]])</f>
        <v>606</v>
      </c>
      <c r="S217" s="3">
        <f>student_scores[[#This Row],[Total_Score]]/7</f>
        <v>86.571428571428569</v>
      </c>
      <c r="T217" s="3" t="str" cm="1">
        <f t="array" ref="T217">_xlfn.IFS(student_scores[[#This Row],[weekly_self_study_hours]]&lt;=5,   "0 - 5", student_scores[[#This Row],[weekly_self_study_hours]]&lt;=10,  "6 - 10", student_scores[[#This Row],[weekly_self_study_hours]]&lt;=20,  "11 - 20",student_scores[[#This Row],[weekly_self_study_hours]]&lt;=30, "21 - 30",TRUE, "31+")</f>
        <v>0 - 5</v>
      </c>
      <c r="U217" t="str" cm="1">
        <f t="array" ref="U217">_xlfn.IFS(student_scores[[#This Row],[absence_days]]=0,"0", student_scores[[#This Row],[absence_days]]&lt;=3,"1-3", student_scores[[#This Row],[absence_days]]&lt;=6,"4-6", TRUE,"7-10")</f>
        <v>1-3</v>
      </c>
      <c r="V217" t="str">
        <f>IF(student_scores[[#This Row],[Total_Score]] &gt;= _xlfn.PERCENTILE.INC(student_scores[Total_Score], 0.8), "Yes", "No")</f>
        <v>Yes</v>
      </c>
    </row>
    <row r="218" spans="1:23" x14ac:dyDescent="0.35">
      <c r="A218">
        <v>217</v>
      </c>
      <c r="B218" t="s">
        <v>560</v>
      </c>
      <c r="C218" t="s">
        <v>561</v>
      </c>
      <c r="D218" t="s">
        <v>562</v>
      </c>
      <c r="E218" t="s">
        <v>25</v>
      </c>
      <c r="F218" t="b">
        <v>0</v>
      </c>
      <c r="G218">
        <v>4</v>
      </c>
      <c r="H218" t="b">
        <v>0</v>
      </c>
      <c r="I218">
        <v>33</v>
      </c>
      <c r="J218" t="s">
        <v>105</v>
      </c>
      <c r="K218">
        <v>82</v>
      </c>
      <c r="L218">
        <v>71</v>
      </c>
      <c r="M218">
        <v>93</v>
      </c>
      <c r="N218">
        <v>90</v>
      </c>
      <c r="O218">
        <v>90</v>
      </c>
      <c r="P218">
        <v>76</v>
      </c>
      <c r="Q218">
        <v>97</v>
      </c>
      <c r="R218">
        <f>SUM(student_scores[[#This Row],[math_score]:[geography_score]])</f>
        <v>599</v>
      </c>
      <c r="S218" s="3">
        <f>student_scores[[#This Row],[Total_Score]]/7</f>
        <v>85.571428571428569</v>
      </c>
      <c r="T218" s="3" t="str" cm="1">
        <f t="array" ref="T218">_xlfn.IFS(student_scores[[#This Row],[weekly_self_study_hours]]&lt;=5,   "0 - 5", student_scores[[#This Row],[weekly_self_study_hours]]&lt;=10,  "6 - 10", student_scores[[#This Row],[weekly_self_study_hours]]&lt;=20,  "11 - 20",student_scores[[#This Row],[weekly_self_study_hours]]&lt;=30, "21 - 30",TRUE, "31+")</f>
        <v>31+</v>
      </c>
      <c r="U218" t="str" cm="1">
        <f t="array" ref="U218">_xlfn.IFS(student_scores[[#This Row],[absence_days]]=0,"0", student_scores[[#This Row],[absence_days]]&lt;=3,"1-3", student_scores[[#This Row],[absence_days]]&lt;=6,"4-6", TRUE,"7-10")</f>
        <v>4-6</v>
      </c>
      <c r="V218" t="str">
        <f>IF(student_scores[[#This Row],[Total_Score]] &gt;= _xlfn.PERCENTILE.INC(student_scores[Total_Score], 0.8), "Yes", "No")</f>
        <v>No</v>
      </c>
    </row>
    <row r="219" spans="1:23" x14ac:dyDescent="0.35">
      <c r="A219">
        <v>218</v>
      </c>
      <c r="B219" t="s">
        <v>563</v>
      </c>
      <c r="C219" t="s">
        <v>167</v>
      </c>
      <c r="D219" t="s">
        <v>564</v>
      </c>
      <c r="E219" t="s">
        <v>25</v>
      </c>
      <c r="F219" t="b">
        <v>0</v>
      </c>
      <c r="G219">
        <v>5</v>
      </c>
      <c r="H219" t="b">
        <v>0</v>
      </c>
      <c r="I219">
        <v>29</v>
      </c>
      <c r="J219" t="s">
        <v>105</v>
      </c>
      <c r="K219">
        <v>75</v>
      </c>
      <c r="L219">
        <v>88</v>
      </c>
      <c r="M219">
        <v>65</v>
      </c>
      <c r="N219">
        <v>80</v>
      </c>
      <c r="O219">
        <v>76</v>
      </c>
      <c r="P219">
        <v>94</v>
      </c>
      <c r="Q219">
        <v>97</v>
      </c>
      <c r="R219">
        <f>SUM(student_scores[[#This Row],[math_score]:[geography_score]])</f>
        <v>575</v>
      </c>
      <c r="S219" s="3">
        <f>student_scores[[#This Row],[Total_Score]]/7</f>
        <v>82.142857142857139</v>
      </c>
      <c r="T219" s="3" t="str" cm="1">
        <f t="array" ref="T219">_xlfn.IFS(student_scores[[#This Row],[weekly_self_study_hours]]&lt;=5,   "0 - 5", student_scores[[#This Row],[weekly_self_study_hours]]&lt;=10,  "6 - 10", student_scores[[#This Row],[weekly_self_study_hours]]&lt;=20,  "11 - 20",student_scores[[#This Row],[weekly_self_study_hours]]&lt;=30, "21 - 30",TRUE, "31+")</f>
        <v>21 - 30</v>
      </c>
      <c r="U219" t="str" cm="1">
        <f t="array" ref="U219">_xlfn.IFS(student_scores[[#This Row],[absence_days]]=0,"0", student_scores[[#This Row],[absence_days]]&lt;=3,"1-3", student_scores[[#This Row],[absence_days]]&lt;=6,"4-6", TRUE,"7-10")</f>
        <v>4-6</v>
      </c>
      <c r="V219" t="str">
        <f>IF(student_scores[[#This Row],[Total_Score]] &gt;= _xlfn.PERCENTILE.INC(student_scores[Total_Score], 0.8), "Yes", "No")</f>
        <v>No</v>
      </c>
    </row>
    <row r="220" spans="1:23" x14ac:dyDescent="0.35">
      <c r="A220">
        <v>219</v>
      </c>
      <c r="B220" t="s">
        <v>565</v>
      </c>
      <c r="C220" t="s">
        <v>566</v>
      </c>
      <c r="D220" t="s">
        <v>567</v>
      </c>
      <c r="E220" t="s">
        <v>25</v>
      </c>
      <c r="F220" t="b">
        <v>1</v>
      </c>
      <c r="G220">
        <v>1</v>
      </c>
      <c r="H220" t="b">
        <v>0</v>
      </c>
      <c r="I220">
        <v>27</v>
      </c>
      <c r="J220" t="s">
        <v>38</v>
      </c>
      <c r="K220">
        <v>66</v>
      </c>
      <c r="L220">
        <v>71</v>
      </c>
      <c r="M220">
        <v>94</v>
      </c>
      <c r="N220">
        <v>72</v>
      </c>
      <c r="O220">
        <v>96</v>
      </c>
      <c r="P220">
        <v>70</v>
      </c>
      <c r="Q220">
        <v>63</v>
      </c>
      <c r="R220">
        <f>SUM(student_scores[[#This Row],[math_score]:[geography_score]])</f>
        <v>532</v>
      </c>
      <c r="S220" s="3">
        <f>student_scores[[#This Row],[Total_Score]]/7</f>
        <v>76</v>
      </c>
      <c r="T220" s="3" t="str" cm="1">
        <f t="array" ref="T220">_xlfn.IFS(student_scores[[#This Row],[weekly_self_study_hours]]&lt;=5,   "0 - 5", student_scores[[#This Row],[weekly_self_study_hours]]&lt;=10,  "6 - 10", student_scores[[#This Row],[weekly_self_study_hours]]&lt;=20,  "11 - 20",student_scores[[#This Row],[weekly_self_study_hours]]&lt;=30, "21 - 30",TRUE, "31+")</f>
        <v>21 - 30</v>
      </c>
      <c r="U220" t="str" cm="1">
        <f t="array" ref="U220">_xlfn.IFS(student_scores[[#This Row],[absence_days]]=0,"0", student_scores[[#This Row],[absence_days]]&lt;=3,"1-3", student_scores[[#This Row],[absence_days]]&lt;=6,"4-6", TRUE,"7-10")</f>
        <v>1-3</v>
      </c>
      <c r="V220" t="str">
        <f>IF(student_scores[[#This Row],[Total_Score]] &gt;= _xlfn.PERCENTILE.INC(student_scores[Total_Score], 0.8), "Yes", "No")</f>
        <v>No</v>
      </c>
    </row>
    <row r="221" spans="1:23" x14ac:dyDescent="0.35">
      <c r="A221">
        <v>220</v>
      </c>
      <c r="B221" t="s">
        <v>568</v>
      </c>
      <c r="C221" t="s">
        <v>569</v>
      </c>
      <c r="D221" t="s">
        <v>570</v>
      </c>
      <c r="E221" t="s">
        <v>20</v>
      </c>
      <c r="F221" t="b">
        <v>0</v>
      </c>
      <c r="G221">
        <v>6</v>
      </c>
      <c r="H221" t="b">
        <v>1</v>
      </c>
      <c r="I221">
        <v>34</v>
      </c>
      <c r="J221" t="s">
        <v>105</v>
      </c>
      <c r="K221">
        <v>99</v>
      </c>
      <c r="L221">
        <v>88</v>
      </c>
      <c r="M221">
        <v>72</v>
      </c>
      <c r="N221">
        <v>76</v>
      </c>
      <c r="O221">
        <v>68</v>
      </c>
      <c r="P221">
        <v>92</v>
      </c>
      <c r="Q221">
        <v>72</v>
      </c>
      <c r="R221">
        <f>SUM(student_scores[[#This Row],[math_score]:[geography_score]])</f>
        <v>567</v>
      </c>
      <c r="S221" s="3">
        <f>student_scores[[#This Row],[Total_Score]]/7</f>
        <v>81</v>
      </c>
      <c r="T221" s="3" t="str" cm="1">
        <f t="array" ref="T221">_xlfn.IFS(student_scores[[#This Row],[weekly_self_study_hours]]&lt;=5,   "0 - 5", student_scores[[#This Row],[weekly_self_study_hours]]&lt;=10,  "6 - 10", student_scores[[#This Row],[weekly_self_study_hours]]&lt;=20,  "11 - 20",student_scores[[#This Row],[weekly_self_study_hours]]&lt;=30, "21 - 30",TRUE, "31+")</f>
        <v>31+</v>
      </c>
      <c r="U221" t="str" cm="1">
        <f t="array" ref="U221">_xlfn.IFS(student_scores[[#This Row],[absence_days]]=0,"0", student_scores[[#This Row],[absence_days]]&lt;=3,"1-3", student_scores[[#This Row],[absence_days]]&lt;=6,"4-6", TRUE,"7-10")</f>
        <v>4-6</v>
      </c>
      <c r="V221" t="str">
        <f>IF(student_scores[[#This Row],[Total_Score]] &gt;= _xlfn.PERCENTILE.INC(student_scores[Total_Score], 0.8), "Yes", "No")</f>
        <v>No</v>
      </c>
    </row>
    <row r="222" spans="1:23" x14ac:dyDescent="0.35">
      <c r="A222">
        <v>221</v>
      </c>
      <c r="B222" t="s">
        <v>263</v>
      </c>
      <c r="C222" t="s">
        <v>284</v>
      </c>
      <c r="D222" t="s">
        <v>571</v>
      </c>
      <c r="E222" t="s">
        <v>20</v>
      </c>
      <c r="F222" t="b">
        <v>0</v>
      </c>
      <c r="G222">
        <v>3</v>
      </c>
      <c r="H222" t="b">
        <v>0</v>
      </c>
      <c r="I222">
        <v>2</v>
      </c>
      <c r="J222" t="s">
        <v>224</v>
      </c>
      <c r="K222">
        <v>99</v>
      </c>
      <c r="L222">
        <v>76</v>
      </c>
      <c r="M222">
        <v>94</v>
      </c>
      <c r="N222">
        <v>88</v>
      </c>
      <c r="O222">
        <v>75</v>
      </c>
      <c r="P222">
        <v>66</v>
      </c>
      <c r="Q222">
        <v>84</v>
      </c>
      <c r="R222">
        <f>SUM(student_scores[[#This Row],[math_score]:[geography_score]])</f>
        <v>582</v>
      </c>
      <c r="S222" s="3">
        <f>student_scores[[#This Row],[Total_Score]]/7</f>
        <v>83.142857142857139</v>
      </c>
      <c r="T222" s="3" t="str" cm="1">
        <f t="array" ref="T222">_xlfn.IFS(student_scores[[#This Row],[weekly_self_study_hours]]&lt;=5,   "0 - 5", student_scores[[#This Row],[weekly_self_study_hours]]&lt;=10,  "6 - 10", student_scores[[#This Row],[weekly_self_study_hours]]&lt;=20,  "11 - 20",student_scores[[#This Row],[weekly_self_study_hours]]&lt;=30, "21 - 30",TRUE, "31+")</f>
        <v>0 - 5</v>
      </c>
      <c r="U222" t="str" cm="1">
        <f t="array" ref="U222">_xlfn.IFS(student_scores[[#This Row],[absence_days]]=0,"0", student_scores[[#This Row],[absence_days]]&lt;=3,"1-3", student_scores[[#This Row],[absence_days]]&lt;=6,"4-6", TRUE,"7-10")</f>
        <v>1-3</v>
      </c>
      <c r="V222" t="str">
        <f>IF(student_scores[[#This Row],[Total_Score]] &gt;= _xlfn.PERCENTILE.INC(student_scores[Total_Score], 0.8), "Yes", "No")</f>
        <v>No</v>
      </c>
      <c r="W222" t="b">
        <f>ISLOGICAL(F2)</f>
        <v>1</v>
      </c>
    </row>
    <row r="223" spans="1:23" x14ac:dyDescent="0.35">
      <c r="A223">
        <v>222</v>
      </c>
      <c r="B223" t="s">
        <v>493</v>
      </c>
      <c r="C223" t="s">
        <v>572</v>
      </c>
      <c r="D223" t="s">
        <v>573</v>
      </c>
      <c r="E223" t="s">
        <v>25</v>
      </c>
      <c r="F223" t="b">
        <v>0</v>
      </c>
      <c r="G223">
        <v>3</v>
      </c>
      <c r="H223" t="b">
        <v>0</v>
      </c>
      <c r="I223">
        <v>22</v>
      </c>
      <c r="J223" t="s">
        <v>44</v>
      </c>
      <c r="K223">
        <v>95</v>
      </c>
      <c r="L223">
        <v>87</v>
      </c>
      <c r="M223">
        <v>79</v>
      </c>
      <c r="N223">
        <v>95</v>
      </c>
      <c r="O223">
        <v>84</v>
      </c>
      <c r="P223">
        <v>90</v>
      </c>
      <c r="Q223">
        <v>74</v>
      </c>
      <c r="R223">
        <f>SUM(student_scores[[#This Row],[math_score]:[geography_score]])</f>
        <v>604</v>
      </c>
      <c r="S223" s="3">
        <f>student_scores[[#This Row],[Total_Score]]/7</f>
        <v>86.285714285714292</v>
      </c>
      <c r="T223" s="3" t="str" cm="1">
        <f t="array" ref="T223">_xlfn.IFS(student_scores[[#This Row],[weekly_self_study_hours]]&lt;=5,   "0 - 5", student_scores[[#This Row],[weekly_self_study_hours]]&lt;=10,  "6 - 10", student_scores[[#This Row],[weekly_self_study_hours]]&lt;=20,  "11 - 20",student_scores[[#This Row],[weekly_self_study_hours]]&lt;=30, "21 - 30",TRUE, "31+")</f>
        <v>21 - 30</v>
      </c>
      <c r="U223" t="str" cm="1">
        <f t="array" ref="U223">_xlfn.IFS(student_scores[[#This Row],[absence_days]]=0,"0", student_scores[[#This Row],[absence_days]]&lt;=3,"1-3", student_scores[[#This Row],[absence_days]]&lt;=6,"4-6", TRUE,"7-10")</f>
        <v>1-3</v>
      </c>
      <c r="V223" t="str">
        <f>IF(student_scores[[#This Row],[Total_Score]] &gt;= _xlfn.PERCENTILE.INC(student_scores[Total_Score], 0.8), "Yes", "No")</f>
        <v>Yes</v>
      </c>
    </row>
    <row r="224" spans="1:23" x14ac:dyDescent="0.35">
      <c r="A224">
        <v>223</v>
      </c>
      <c r="B224" t="s">
        <v>263</v>
      </c>
      <c r="C224" t="s">
        <v>574</v>
      </c>
      <c r="D224" t="s">
        <v>575</v>
      </c>
      <c r="E224" t="s">
        <v>20</v>
      </c>
      <c r="F224" t="b">
        <v>0</v>
      </c>
      <c r="G224">
        <v>7</v>
      </c>
      <c r="H224" t="b">
        <v>0</v>
      </c>
      <c r="I224">
        <v>33</v>
      </c>
      <c r="J224" t="s">
        <v>44</v>
      </c>
      <c r="K224">
        <v>99</v>
      </c>
      <c r="L224">
        <v>61</v>
      </c>
      <c r="M224">
        <v>75</v>
      </c>
      <c r="N224">
        <v>68</v>
      </c>
      <c r="O224">
        <v>66</v>
      </c>
      <c r="P224">
        <v>90</v>
      </c>
      <c r="Q224">
        <v>99</v>
      </c>
      <c r="R224">
        <f>SUM(student_scores[[#This Row],[math_score]:[geography_score]])</f>
        <v>558</v>
      </c>
      <c r="S224" s="3">
        <f>student_scores[[#This Row],[Total_Score]]/7</f>
        <v>79.714285714285708</v>
      </c>
      <c r="T224" s="3" t="str" cm="1">
        <f t="array" ref="T224">_xlfn.IFS(student_scores[[#This Row],[weekly_self_study_hours]]&lt;=5,   "0 - 5", student_scores[[#This Row],[weekly_self_study_hours]]&lt;=10,  "6 - 10", student_scores[[#This Row],[weekly_self_study_hours]]&lt;=20,  "11 - 20",student_scores[[#This Row],[weekly_self_study_hours]]&lt;=30, "21 - 30",TRUE, "31+")</f>
        <v>31+</v>
      </c>
      <c r="U224" t="str" cm="1">
        <f t="array" ref="U224">_xlfn.IFS(student_scores[[#This Row],[absence_days]]=0,"0", student_scores[[#This Row],[absence_days]]&lt;=3,"1-3", student_scores[[#This Row],[absence_days]]&lt;=6,"4-6", TRUE,"7-10")</f>
        <v>7-10</v>
      </c>
      <c r="V224" t="str">
        <f>IF(student_scores[[#This Row],[Total_Score]] &gt;= _xlfn.PERCENTILE.INC(student_scores[Total_Score], 0.8), "Yes", "No")</f>
        <v>No</v>
      </c>
    </row>
    <row r="225" spans="1:22" x14ac:dyDescent="0.35">
      <c r="A225">
        <v>224</v>
      </c>
      <c r="B225" t="s">
        <v>221</v>
      </c>
      <c r="C225" t="s">
        <v>576</v>
      </c>
      <c r="D225" t="s">
        <v>577</v>
      </c>
      <c r="E225" t="s">
        <v>20</v>
      </c>
      <c r="F225" t="b">
        <v>0</v>
      </c>
      <c r="G225">
        <v>5</v>
      </c>
      <c r="H225" t="b">
        <v>0</v>
      </c>
      <c r="I225">
        <v>17</v>
      </c>
      <c r="J225" t="s">
        <v>123</v>
      </c>
      <c r="K225">
        <v>65</v>
      </c>
      <c r="L225">
        <v>72</v>
      </c>
      <c r="M225">
        <v>96</v>
      </c>
      <c r="N225">
        <v>69</v>
      </c>
      <c r="O225">
        <v>78</v>
      </c>
      <c r="P225">
        <v>93</v>
      </c>
      <c r="Q225">
        <v>72</v>
      </c>
      <c r="R225">
        <f>SUM(student_scores[[#This Row],[math_score]:[geography_score]])</f>
        <v>545</v>
      </c>
      <c r="S225" s="3">
        <f>student_scores[[#This Row],[Total_Score]]/7</f>
        <v>77.857142857142861</v>
      </c>
      <c r="T225" s="3" t="str" cm="1">
        <f t="array" ref="T225">_xlfn.IFS(student_scores[[#This Row],[weekly_self_study_hours]]&lt;=5,   "0 - 5", student_scores[[#This Row],[weekly_self_study_hours]]&lt;=10,  "6 - 10", student_scores[[#This Row],[weekly_self_study_hours]]&lt;=20,  "11 - 20",student_scores[[#This Row],[weekly_self_study_hours]]&lt;=30, "21 - 30",TRUE, "31+")</f>
        <v>11 - 20</v>
      </c>
      <c r="U225" t="str" cm="1">
        <f t="array" ref="U225">_xlfn.IFS(student_scores[[#This Row],[absence_days]]=0,"0", student_scores[[#This Row],[absence_days]]&lt;=3,"1-3", student_scores[[#This Row],[absence_days]]&lt;=6,"4-6", TRUE,"7-10")</f>
        <v>4-6</v>
      </c>
      <c r="V225" t="str">
        <f>IF(student_scores[[#This Row],[Total_Score]] &gt;= _xlfn.PERCENTILE.INC(student_scores[Total_Score], 0.8), "Yes", "No")</f>
        <v>No</v>
      </c>
    </row>
    <row r="226" spans="1:22" x14ac:dyDescent="0.35">
      <c r="A226">
        <v>225</v>
      </c>
      <c r="B226" t="s">
        <v>277</v>
      </c>
      <c r="C226" t="s">
        <v>578</v>
      </c>
      <c r="D226" t="s">
        <v>579</v>
      </c>
      <c r="E226" t="s">
        <v>20</v>
      </c>
      <c r="F226" t="b">
        <v>0</v>
      </c>
      <c r="G226">
        <v>7</v>
      </c>
      <c r="H226" t="b">
        <v>0</v>
      </c>
      <c r="I226">
        <v>4</v>
      </c>
      <c r="J226" t="s">
        <v>64</v>
      </c>
      <c r="K226">
        <v>85</v>
      </c>
      <c r="L226">
        <v>55</v>
      </c>
      <c r="M226">
        <v>74</v>
      </c>
      <c r="N226">
        <v>71</v>
      </c>
      <c r="O226">
        <v>66</v>
      </c>
      <c r="P226">
        <v>50</v>
      </c>
      <c r="Q226">
        <v>99</v>
      </c>
      <c r="R226">
        <f>SUM(student_scores[[#This Row],[math_score]:[geography_score]])</f>
        <v>500</v>
      </c>
      <c r="S226" s="3">
        <f>student_scores[[#This Row],[Total_Score]]/7</f>
        <v>71.428571428571431</v>
      </c>
      <c r="T226" s="3" t="str" cm="1">
        <f t="array" ref="T226">_xlfn.IFS(student_scores[[#This Row],[weekly_self_study_hours]]&lt;=5,   "0 - 5", student_scores[[#This Row],[weekly_self_study_hours]]&lt;=10,  "6 - 10", student_scores[[#This Row],[weekly_self_study_hours]]&lt;=20,  "11 - 20",student_scores[[#This Row],[weekly_self_study_hours]]&lt;=30, "21 - 30",TRUE, "31+")</f>
        <v>0 - 5</v>
      </c>
      <c r="U226" t="str" cm="1">
        <f t="array" ref="U226">_xlfn.IFS(student_scores[[#This Row],[absence_days]]=0,"0", student_scores[[#This Row],[absence_days]]&lt;=3,"1-3", student_scores[[#This Row],[absence_days]]&lt;=6,"4-6", TRUE,"7-10")</f>
        <v>7-10</v>
      </c>
      <c r="V226" t="str">
        <f>IF(student_scores[[#This Row],[Total_Score]] &gt;= _xlfn.PERCENTILE.INC(student_scores[Total_Score], 0.8), "Yes", "No")</f>
        <v>No</v>
      </c>
    </row>
    <row r="227" spans="1:22" x14ac:dyDescent="0.35">
      <c r="A227">
        <v>226</v>
      </c>
      <c r="B227" t="s">
        <v>510</v>
      </c>
      <c r="C227" t="s">
        <v>580</v>
      </c>
      <c r="D227" t="s">
        <v>581</v>
      </c>
      <c r="E227" t="s">
        <v>25</v>
      </c>
      <c r="F227" t="b">
        <v>0</v>
      </c>
      <c r="G227">
        <v>7</v>
      </c>
      <c r="H227" t="b">
        <v>1</v>
      </c>
      <c r="I227">
        <v>3</v>
      </c>
      <c r="J227" t="s">
        <v>64</v>
      </c>
      <c r="K227">
        <v>69</v>
      </c>
      <c r="L227">
        <v>78</v>
      </c>
      <c r="M227">
        <v>57</v>
      </c>
      <c r="N227">
        <v>72</v>
      </c>
      <c r="O227">
        <v>71</v>
      </c>
      <c r="P227">
        <v>96</v>
      </c>
      <c r="Q227">
        <v>87</v>
      </c>
      <c r="R227">
        <f>SUM(student_scores[[#This Row],[math_score]:[geography_score]])</f>
        <v>530</v>
      </c>
      <c r="S227" s="3">
        <f>student_scores[[#This Row],[Total_Score]]/7</f>
        <v>75.714285714285708</v>
      </c>
      <c r="T227" s="3" t="str" cm="1">
        <f t="array" ref="T227">_xlfn.IFS(student_scores[[#This Row],[weekly_self_study_hours]]&lt;=5,   "0 - 5", student_scores[[#This Row],[weekly_self_study_hours]]&lt;=10,  "6 - 10", student_scores[[#This Row],[weekly_self_study_hours]]&lt;=20,  "11 - 20",student_scores[[#This Row],[weekly_self_study_hours]]&lt;=30, "21 - 30",TRUE, "31+")</f>
        <v>0 - 5</v>
      </c>
      <c r="U227" t="str" cm="1">
        <f t="array" ref="U227">_xlfn.IFS(student_scores[[#This Row],[absence_days]]=0,"0", student_scores[[#This Row],[absence_days]]&lt;=3,"1-3", student_scores[[#This Row],[absence_days]]&lt;=6,"4-6", TRUE,"7-10")</f>
        <v>7-10</v>
      </c>
      <c r="V227" t="str">
        <f>IF(student_scores[[#This Row],[Total_Score]] &gt;= _xlfn.PERCENTILE.INC(student_scores[Total_Score], 0.8), "Yes", "No")</f>
        <v>No</v>
      </c>
    </row>
    <row r="228" spans="1:22" x14ac:dyDescent="0.35">
      <c r="A228">
        <v>227</v>
      </c>
      <c r="B228" t="s">
        <v>148</v>
      </c>
      <c r="C228" t="s">
        <v>582</v>
      </c>
      <c r="D228" t="s">
        <v>583</v>
      </c>
      <c r="E228" t="s">
        <v>25</v>
      </c>
      <c r="F228" t="b">
        <v>0</v>
      </c>
      <c r="G228">
        <v>7</v>
      </c>
      <c r="H228" t="b">
        <v>0</v>
      </c>
      <c r="I228">
        <v>3</v>
      </c>
      <c r="J228" t="s">
        <v>64</v>
      </c>
      <c r="K228">
        <v>75</v>
      </c>
      <c r="L228">
        <v>76</v>
      </c>
      <c r="M228">
        <v>88</v>
      </c>
      <c r="N228">
        <v>65</v>
      </c>
      <c r="O228">
        <v>97</v>
      </c>
      <c r="P228">
        <v>83</v>
      </c>
      <c r="Q228">
        <v>85</v>
      </c>
      <c r="R228">
        <f>SUM(student_scores[[#This Row],[math_score]:[geography_score]])</f>
        <v>569</v>
      </c>
      <c r="S228" s="3">
        <f>student_scores[[#This Row],[Total_Score]]/7</f>
        <v>81.285714285714292</v>
      </c>
      <c r="T228" s="3" t="str" cm="1">
        <f t="array" ref="T228">_xlfn.IFS(student_scores[[#This Row],[weekly_self_study_hours]]&lt;=5,   "0 - 5", student_scores[[#This Row],[weekly_self_study_hours]]&lt;=10,  "6 - 10", student_scores[[#This Row],[weekly_self_study_hours]]&lt;=20,  "11 - 20",student_scores[[#This Row],[weekly_self_study_hours]]&lt;=30, "21 - 30",TRUE, "31+")</f>
        <v>0 - 5</v>
      </c>
      <c r="U228" t="str" cm="1">
        <f t="array" ref="U228">_xlfn.IFS(student_scores[[#This Row],[absence_days]]=0,"0", student_scores[[#This Row],[absence_days]]&lt;=3,"1-3", student_scores[[#This Row],[absence_days]]&lt;=6,"4-6", TRUE,"7-10")</f>
        <v>7-10</v>
      </c>
      <c r="V228" t="str">
        <f>IF(student_scores[[#This Row],[Total_Score]] &gt;= _xlfn.PERCENTILE.INC(student_scores[Total_Score], 0.8), "Yes", "No")</f>
        <v>No</v>
      </c>
    </row>
    <row r="229" spans="1:22" x14ac:dyDescent="0.35">
      <c r="A229">
        <v>228</v>
      </c>
      <c r="B229" t="s">
        <v>83</v>
      </c>
      <c r="C229" t="s">
        <v>300</v>
      </c>
      <c r="D229" t="s">
        <v>584</v>
      </c>
      <c r="E229" t="s">
        <v>25</v>
      </c>
      <c r="F229" t="b">
        <v>0</v>
      </c>
      <c r="G229">
        <v>7</v>
      </c>
      <c r="H229" t="b">
        <v>1</v>
      </c>
      <c r="I229">
        <v>17</v>
      </c>
      <c r="J229" t="s">
        <v>44</v>
      </c>
      <c r="K229">
        <v>91</v>
      </c>
      <c r="L229">
        <v>78</v>
      </c>
      <c r="M229">
        <v>72</v>
      </c>
      <c r="N229">
        <v>69</v>
      </c>
      <c r="O229">
        <v>77</v>
      </c>
      <c r="P229">
        <v>91</v>
      </c>
      <c r="Q229">
        <v>96</v>
      </c>
      <c r="R229">
        <f>SUM(student_scores[[#This Row],[math_score]:[geography_score]])</f>
        <v>574</v>
      </c>
      <c r="S229" s="3">
        <f>student_scores[[#This Row],[Total_Score]]/7</f>
        <v>82</v>
      </c>
      <c r="T229" s="3" t="str" cm="1">
        <f t="array" ref="T229">_xlfn.IFS(student_scores[[#This Row],[weekly_self_study_hours]]&lt;=5,   "0 - 5", student_scores[[#This Row],[weekly_self_study_hours]]&lt;=10,  "6 - 10", student_scores[[#This Row],[weekly_self_study_hours]]&lt;=20,  "11 - 20",student_scores[[#This Row],[weekly_self_study_hours]]&lt;=30, "21 - 30",TRUE, "31+")</f>
        <v>11 - 20</v>
      </c>
      <c r="U229" t="str" cm="1">
        <f t="array" ref="U229">_xlfn.IFS(student_scores[[#This Row],[absence_days]]=0,"0", student_scores[[#This Row],[absence_days]]&lt;=3,"1-3", student_scores[[#This Row],[absence_days]]&lt;=6,"4-6", TRUE,"7-10")</f>
        <v>7-10</v>
      </c>
      <c r="V229" t="str">
        <f>IF(student_scores[[#This Row],[Total_Score]] &gt;= _xlfn.PERCENTILE.INC(student_scores[Total_Score], 0.8), "Yes", "No")</f>
        <v>No</v>
      </c>
    </row>
    <row r="230" spans="1:22" x14ac:dyDescent="0.35">
      <c r="A230">
        <v>229</v>
      </c>
      <c r="B230" t="s">
        <v>585</v>
      </c>
      <c r="C230" t="s">
        <v>586</v>
      </c>
      <c r="D230" t="s">
        <v>587</v>
      </c>
      <c r="E230" t="s">
        <v>20</v>
      </c>
      <c r="F230" t="b">
        <v>0</v>
      </c>
      <c r="G230">
        <v>3</v>
      </c>
      <c r="H230" t="b">
        <v>0</v>
      </c>
      <c r="I230">
        <v>6</v>
      </c>
      <c r="J230" t="s">
        <v>224</v>
      </c>
      <c r="K230">
        <v>92</v>
      </c>
      <c r="L230">
        <v>95</v>
      </c>
      <c r="M230">
        <v>61</v>
      </c>
      <c r="N230">
        <v>98</v>
      </c>
      <c r="O230">
        <v>89</v>
      </c>
      <c r="P230">
        <v>85</v>
      </c>
      <c r="Q230">
        <v>80</v>
      </c>
      <c r="R230">
        <f>SUM(student_scores[[#This Row],[math_score]:[geography_score]])</f>
        <v>600</v>
      </c>
      <c r="S230" s="3">
        <f>student_scores[[#This Row],[Total_Score]]/7</f>
        <v>85.714285714285708</v>
      </c>
      <c r="T230" s="3" t="str" cm="1">
        <f t="array" ref="T230">_xlfn.IFS(student_scores[[#This Row],[weekly_self_study_hours]]&lt;=5,   "0 - 5", student_scores[[#This Row],[weekly_self_study_hours]]&lt;=10,  "6 - 10", student_scores[[#This Row],[weekly_self_study_hours]]&lt;=20,  "11 - 20",student_scores[[#This Row],[weekly_self_study_hours]]&lt;=30, "21 - 30",TRUE, "31+")</f>
        <v>6 - 10</v>
      </c>
      <c r="U230" t="str" cm="1">
        <f t="array" ref="U230">_xlfn.IFS(student_scores[[#This Row],[absence_days]]=0,"0", student_scores[[#This Row],[absence_days]]&lt;=3,"1-3", student_scores[[#This Row],[absence_days]]&lt;=6,"4-6", TRUE,"7-10")</f>
        <v>1-3</v>
      </c>
      <c r="V230" t="str">
        <f>IF(student_scores[[#This Row],[Total_Score]] &gt;= _xlfn.PERCENTILE.INC(student_scores[Total_Score], 0.8), "Yes", "No")</f>
        <v>No</v>
      </c>
    </row>
    <row r="231" spans="1:22" x14ac:dyDescent="0.35">
      <c r="A231">
        <v>230</v>
      </c>
      <c r="B231" t="s">
        <v>145</v>
      </c>
      <c r="C231" t="s">
        <v>231</v>
      </c>
      <c r="D231" t="s">
        <v>588</v>
      </c>
      <c r="E231" t="s">
        <v>20</v>
      </c>
      <c r="F231" t="b">
        <v>0</v>
      </c>
      <c r="G231">
        <v>7</v>
      </c>
      <c r="H231" t="b">
        <v>0</v>
      </c>
      <c r="I231">
        <v>9</v>
      </c>
      <c r="J231" t="s">
        <v>38</v>
      </c>
      <c r="K231">
        <v>62</v>
      </c>
      <c r="L231">
        <v>64</v>
      </c>
      <c r="M231">
        <v>65</v>
      </c>
      <c r="N231">
        <v>86</v>
      </c>
      <c r="O231">
        <v>67</v>
      </c>
      <c r="P231">
        <v>94</v>
      </c>
      <c r="Q231">
        <v>68</v>
      </c>
      <c r="R231">
        <f>SUM(student_scores[[#This Row],[math_score]:[geography_score]])</f>
        <v>506</v>
      </c>
      <c r="S231" s="3">
        <f>student_scores[[#This Row],[Total_Score]]/7</f>
        <v>72.285714285714292</v>
      </c>
      <c r="T231" s="3" t="str" cm="1">
        <f t="array" ref="T231">_xlfn.IFS(student_scores[[#This Row],[weekly_self_study_hours]]&lt;=5,   "0 - 5", student_scores[[#This Row],[weekly_self_study_hours]]&lt;=10,  "6 - 10", student_scores[[#This Row],[weekly_self_study_hours]]&lt;=20,  "11 - 20",student_scores[[#This Row],[weekly_self_study_hours]]&lt;=30, "21 - 30",TRUE, "31+")</f>
        <v>6 - 10</v>
      </c>
      <c r="U231" t="str" cm="1">
        <f t="array" ref="U231">_xlfn.IFS(student_scores[[#This Row],[absence_days]]=0,"0", student_scores[[#This Row],[absence_days]]&lt;=3,"1-3", student_scores[[#This Row],[absence_days]]&lt;=6,"4-6", TRUE,"7-10")</f>
        <v>7-10</v>
      </c>
      <c r="V231" t="str">
        <f>IF(student_scores[[#This Row],[Total_Score]] &gt;= _xlfn.PERCENTILE.INC(student_scores[Total_Score], 0.8), "Yes", "No")</f>
        <v>No</v>
      </c>
    </row>
    <row r="232" spans="1:22" x14ac:dyDescent="0.35">
      <c r="A232">
        <v>231</v>
      </c>
      <c r="B232" t="s">
        <v>280</v>
      </c>
      <c r="C232" t="s">
        <v>589</v>
      </c>
      <c r="D232" t="s">
        <v>590</v>
      </c>
      <c r="E232" t="s">
        <v>20</v>
      </c>
      <c r="F232" t="b">
        <v>1</v>
      </c>
      <c r="G232">
        <v>2</v>
      </c>
      <c r="H232" t="b">
        <v>0</v>
      </c>
      <c r="I232">
        <v>35</v>
      </c>
      <c r="J232" t="s">
        <v>44</v>
      </c>
      <c r="K232">
        <v>87</v>
      </c>
      <c r="L232">
        <v>91</v>
      </c>
      <c r="M232">
        <v>98</v>
      </c>
      <c r="N232">
        <v>94</v>
      </c>
      <c r="O232">
        <v>100</v>
      </c>
      <c r="P232">
        <v>87</v>
      </c>
      <c r="Q232">
        <v>89</v>
      </c>
      <c r="R232">
        <f>SUM(student_scores[[#This Row],[math_score]:[geography_score]])</f>
        <v>646</v>
      </c>
      <c r="S232" s="3">
        <f>student_scores[[#This Row],[Total_Score]]/7</f>
        <v>92.285714285714292</v>
      </c>
      <c r="T232" s="3" t="str" cm="1">
        <f t="array" ref="T232">_xlfn.IFS(student_scores[[#This Row],[weekly_self_study_hours]]&lt;=5,   "0 - 5", student_scores[[#This Row],[weekly_self_study_hours]]&lt;=10,  "6 - 10", student_scores[[#This Row],[weekly_self_study_hours]]&lt;=20,  "11 - 20",student_scores[[#This Row],[weekly_self_study_hours]]&lt;=30, "21 - 30",TRUE, "31+")</f>
        <v>31+</v>
      </c>
      <c r="U232" t="str" cm="1">
        <f t="array" ref="U232">_xlfn.IFS(student_scores[[#This Row],[absence_days]]=0,"0", student_scores[[#This Row],[absence_days]]&lt;=3,"1-3", student_scores[[#This Row],[absence_days]]&lt;=6,"4-6", TRUE,"7-10")</f>
        <v>1-3</v>
      </c>
      <c r="V232" t="str">
        <f>IF(student_scores[[#This Row],[Total_Score]] &gt;= _xlfn.PERCENTILE.INC(student_scores[Total_Score], 0.8), "Yes", "No")</f>
        <v>Yes</v>
      </c>
    </row>
    <row r="233" spans="1:22" x14ac:dyDescent="0.35">
      <c r="A233">
        <v>232</v>
      </c>
      <c r="B233" t="s">
        <v>130</v>
      </c>
      <c r="C233" t="s">
        <v>591</v>
      </c>
      <c r="D233" t="s">
        <v>592</v>
      </c>
      <c r="E233" t="s">
        <v>25</v>
      </c>
      <c r="F233" t="b">
        <v>0</v>
      </c>
      <c r="G233">
        <v>3</v>
      </c>
      <c r="H233" t="b">
        <v>0</v>
      </c>
      <c r="I233">
        <v>17</v>
      </c>
      <c r="J233" t="s">
        <v>44</v>
      </c>
      <c r="K233">
        <v>97</v>
      </c>
      <c r="L233">
        <v>88</v>
      </c>
      <c r="M233">
        <v>87</v>
      </c>
      <c r="N233">
        <v>61</v>
      </c>
      <c r="O233">
        <v>86</v>
      </c>
      <c r="P233">
        <v>92</v>
      </c>
      <c r="Q233">
        <v>94</v>
      </c>
      <c r="R233">
        <f>SUM(student_scores[[#This Row],[math_score]:[geography_score]])</f>
        <v>605</v>
      </c>
      <c r="S233" s="3">
        <f>student_scores[[#This Row],[Total_Score]]/7</f>
        <v>86.428571428571431</v>
      </c>
      <c r="T233" s="3" t="str" cm="1">
        <f t="array" ref="T233">_xlfn.IFS(student_scores[[#This Row],[weekly_self_study_hours]]&lt;=5,   "0 - 5", student_scores[[#This Row],[weekly_self_study_hours]]&lt;=10,  "6 - 10", student_scores[[#This Row],[weekly_self_study_hours]]&lt;=20,  "11 - 20",student_scores[[#This Row],[weekly_self_study_hours]]&lt;=30, "21 - 30",TRUE, "31+")</f>
        <v>11 - 20</v>
      </c>
      <c r="U233" t="str" cm="1">
        <f t="array" ref="U233">_xlfn.IFS(student_scores[[#This Row],[absence_days]]=0,"0", student_scores[[#This Row],[absence_days]]&lt;=3,"1-3", student_scores[[#This Row],[absence_days]]&lt;=6,"4-6", TRUE,"7-10")</f>
        <v>1-3</v>
      </c>
      <c r="V233" t="str">
        <f>IF(student_scores[[#This Row],[Total_Score]] &gt;= _xlfn.PERCENTILE.INC(student_scores[Total_Score], 0.8), "Yes", "No")</f>
        <v>Yes</v>
      </c>
    </row>
    <row r="234" spans="1:22" x14ac:dyDescent="0.35">
      <c r="A234">
        <v>233</v>
      </c>
      <c r="B234" t="s">
        <v>593</v>
      </c>
      <c r="C234" t="s">
        <v>594</v>
      </c>
      <c r="D234" t="s">
        <v>595</v>
      </c>
      <c r="E234" t="s">
        <v>25</v>
      </c>
      <c r="F234" t="b">
        <v>0</v>
      </c>
      <c r="G234">
        <v>1</v>
      </c>
      <c r="H234" t="b">
        <v>0</v>
      </c>
      <c r="I234">
        <v>7</v>
      </c>
      <c r="J234" t="s">
        <v>30</v>
      </c>
      <c r="K234">
        <v>97</v>
      </c>
      <c r="L234">
        <v>92</v>
      </c>
      <c r="M234">
        <v>79</v>
      </c>
      <c r="N234">
        <v>88</v>
      </c>
      <c r="O234">
        <v>92</v>
      </c>
      <c r="P234">
        <v>99</v>
      </c>
      <c r="Q234">
        <v>85</v>
      </c>
      <c r="R234">
        <f>SUM(student_scores[[#This Row],[math_score]:[geography_score]])</f>
        <v>632</v>
      </c>
      <c r="S234" s="3">
        <f>student_scores[[#This Row],[Total_Score]]/7</f>
        <v>90.285714285714292</v>
      </c>
      <c r="T234" s="3" t="str" cm="1">
        <f t="array" ref="T234">_xlfn.IFS(student_scores[[#This Row],[weekly_self_study_hours]]&lt;=5,   "0 - 5", student_scores[[#This Row],[weekly_self_study_hours]]&lt;=10,  "6 - 10", student_scores[[#This Row],[weekly_self_study_hours]]&lt;=20,  "11 - 20",student_scores[[#This Row],[weekly_self_study_hours]]&lt;=30, "21 - 30",TRUE, "31+")</f>
        <v>6 - 10</v>
      </c>
      <c r="U234" t="str" cm="1">
        <f t="array" ref="U234">_xlfn.IFS(student_scores[[#This Row],[absence_days]]=0,"0", student_scores[[#This Row],[absence_days]]&lt;=3,"1-3", student_scores[[#This Row],[absence_days]]&lt;=6,"4-6", TRUE,"7-10")</f>
        <v>1-3</v>
      </c>
      <c r="V234" t="str">
        <f>IF(student_scores[[#This Row],[Total_Score]] &gt;= _xlfn.PERCENTILE.INC(student_scores[Total_Score], 0.8), "Yes", "No")</f>
        <v>Yes</v>
      </c>
    </row>
    <row r="235" spans="1:22" x14ac:dyDescent="0.35">
      <c r="A235">
        <v>234</v>
      </c>
      <c r="B235" t="s">
        <v>596</v>
      </c>
      <c r="C235" t="s">
        <v>597</v>
      </c>
      <c r="D235" t="s">
        <v>598</v>
      </c>
      <c r="E235" t="s">
        <v>20</v>
      </c>
      <c r="F235" t="b">
        <v>0</v>
      </c>
      <c r="G235">
        <v>5</v>
      </c>
      <c r="H235" t="b">
        <v>0</v>
      </c>
      <c r="I235">
        <v>16</v>
      </c>
      <c r="J235" t="s">
        <v>123</v>
      </c>
      <c r="K235">
        <v>98</v>
      </c>
      <c r="L235">
        <v>88</v>
      </c>
      <c r="M235">
        <v>92</v>
      </c>
      <c r="N235">
        <v>84</v>
      </c>
      <c r="O235">
        <v>90</v>
      </c>
      <c r="P235">
        <v>90</v>
      </c>
      <c r="Q235">
        <v>71</v>
      </c>
      <c r="R235">
        <f>SUM(student_scores[[#This Row],[math_score]:[geography_score]])</f>
        <v>613</v>
      </c>
      <c r="S235" s="3">
        <f>student_scores[[#This Row],[Total_Score]]/7</f>
        <v>87.571428571428569</v>
      </c>
      <c r="T235" s="3" t="str" cm="1">
        <f t="array" ref="T235">_xlfn.IFS(student_scores[[#This Row],[weekly_self_study_hours]]&lt;=5,   "0 - 5", student_scores[[#This Row],[weekly_self_study_hours]]&lt;=10,  "6 - 10", student_scores[[#This Row],[weekly_self_study_hours]]&lt;=20,  "11 - 20",student_scores[[#This Row],[weekly_self_study_hours]]&lt;=30, "21 - 30",TRUE, "31+")</f>
        <v>11 - 20</v>
      </c>
      <c r="U235" t="str" cm="1">
        <f t="array" ref="U235">_xlfn.IFS(student_scores[[#This Row],[absence_days]]=0,"0", student_scores[[#This Row],[absence_days]]&lt;=3,"1-3", student_scores[[#This Row],[absence_days]]&lt;=6,"4-6", TRUE,"7-10")</f>
        <v>4-6</v>
      </c>
      <c r="V235" t="str">
        <f>IF(student_scores[[#This Row],[Total_Score]] &gt;= _xlfn.PERCENTILE.INC(student_scores[Total_Score], 0.8), "Yes", "No")</f>
        <v>Yes</v>
      </c>
    </row>
    <row r="236" spans="1:22" x14ac:dyDescent="0.35">
      <c r="A236">
        <v>235</v>
      </c>
      <c r="B236" t="s">
        <v>599</v>
      </c>
      <c r="C236" t="s">
        <v>600</v>
      </c>
      <c r="D236" t="s">
        <v>601</v>
      </c>
      <c r="E236" t="s">
        <v>25</v>
      </c>
      <c r="F236" t="b">
        <v>0</v>
      </c>
      <c r="G236">
        <v>1</v>
      </c>
      <c r="H236" t="b">
        <v>0</v>
      </c>
      <c r="I236">
        <v>20</v>
      </c>
      <c r="J236" t="s">
        <v>44</v>
      </c>
      <c r="K236">
        <v>96</v>
      </c>
      <c r="L236">
        <v>67</v>
      </c>
      <c r="M236">
        <v>88</v>
      </c>
      <c r="N236">
        <v>95</v>
      </c>
      <c r="O236">
        <v>82</v>
      </c>
      <c r="P236">
        <v>75</v>
      </c>
      <c r="Q236">
        <v>84</v>
      </c>
      <c r="R236">
        <f>SUM(student_scores[[#This Row],[math_score]:[geography_score]])</f>
        <v>587</v>
      </c>
      <c r="S236" s="3">
        <f>student_scores[[#This Row],[Total_Score]]/7</f>
        <v>83.857142857142861</v>
      </c>
      <c r="T236" s="3" t="str" cm="1">
        <f t="array" ref="T236">_xlfn.IFS(student_scores[[#This Row],[weekly_self_study_hours]]&lt;=5,   "0 - 5", student_scores[[#This Row],[weekly_self_study_hours]]&lt;=10,  "6 - 10", student_scores[[#This Row],[weekly_self_study_hours]]&lt;=20,  "11 - 20",student_scores[[#This Row],[weekly_self_study_hours]]&lt;=30, "21 - 30",TRUE, "31+")</f>
        <v>11 - 20</v>
      </c>
      <c r="U236" t="str" cm="1">
        <f t="array" ref="U236">_xlfn.IFS(student_scores[[#This Row],[absence_days]]=0,"0", student_scores[[#This Row],[absence_days]]&lt;=3,"1-3", student_scores[[#This Row],[absence_days]]&lt;=6,"4-6", TRUE,"7-10")</f>
        <v>1-3</v>
      </c>
      <c r="V236" t="str">
        <f>IF(student_scores[[#This Row],[Total_Score]] &gt;= _xlfn.PERCENTILE.INC(student_scores[Total_Score], 0.8), "Yes", "No")</f>
        <v>No</v>
      </c>
    </row>
    <row r="237" spans="1:22" x14ac:dyDescent="0.35">
      <c r="A237">
        <v>236</v>
      </c>
      <c r="B237" t="s">
        <v>139</v>
      </c>
      <c r="C237" t="s">
        <v>316</v>
      </c>
      <c r="D237" t="s">
        <v>602</v>
      </c>
      <c r="E237" t="s">
        <v>20</v>
      </c>
      <c r="F237" t="b">
        <v>1</v>
      </c>
      <c r="G237">
        <v>7</v>
      </c>
      <c r="H237" t="b">
        <v>0</v>
      </c>
      <c r="I237">
        <v>0</v>
      </c>
      <c r="J237" t="s">
        <v>64</v>
      </c>
      <c r="K237">
        <v>98</v>
      </c>
      <c r="L237">
        <v>89</v>
      </c>
      <c r="M237">
        <v>81</v>
      </c>
      <c r="N237">
        <v>56</v>
      </c>
      <c r="O237">
        <v>72</v>
      </c>
      <c r="P237">
        <v>74</v>
      </c>
      <c r="Q237">
        <v>94</v>
      </c>
      <c r="R237">
        <f>SUM(student_scores[[#This Row],[math_score]:[geography_score]])</f>
        <v>564</v>
      </c>
      <c r="S237" s="3">
        <f>student_scores[[#This Row],[Total_Score]]/7</f>
        <v>80.571428571428569</v>
      </c>
      <c r="T237" s="3" t="str" cm="1">
        <f t="array" ref="T237">_xlfn.IFS(student_scores[[#This Row],[weekly_self_study_hours]]&lt;=5,   "0 - 5", student_scores[[#This Row],[weekly_self_study_hours]]&lt;=10,  "6 - 10", student_scores[[#This Row],[weekly_self_study_hours]]&lt;=20,  "11 - 20",student_scores[[#This Row],[weekly_self_study_hours]]&lt;=30, "21 - 30",TRUE, "31+")</f>
        <v>0 - 5</v>
      </c>
      <c r="U237" t="str" cm="1">
        <f t="array" ref="U237">_xlfn.IFS(student_scores[[#This Row],[absence_days]]=0,"0", student_scores[[#This Row],[absence_days]]&lt;=3,"1-3", student_scores[[#This Row],[absence_days]]&lt;=6,"4-6", TRUE,"7-10")</f>
        <v>7-10</v>
      </c>
      <c r="V237" t="str">
        <f>IF(student_scores[[#This Row],[Total_Score]] &gt;= _xlfn.PERCENTILE.INC(student_scores[Total_Score], 0.8), "Yes", "No")</f>
        <v>No</v>
      </c>
    </row>
    <row r="238" spans="1:22" x14ac:dyDescent="0.35">
      <c r="A238">
        <v>237</v>
      </c>
      <c r="B238" t="s">
        <v>89</v>
      </c>
      <c r="C238" t="s">
        <v>266</v>
      </c>
      <c r="D238" t="s">
        <v>603</v>
      </c>
      <c r="E238" t="s">
        <v>20</v>
      </c>
      <c r="F238" t="b">
        <v>0</v>
      </c>
      <c r="G238">
        <v>2</v>
      </c>
      <c r="H238" t="b">
        <v>0</v>
      </c>
      <c r="I238">
        <v>27</v>
      </c>
      <c r="J238" t="s">
        <v>21</v>
      </c>
      <c r="K238">
        <v>87</v>
      </c>
      <c r="L238">
        <v>82</v>
      </c>
      <c r="M238">
        <v>95</v>
      </c>
      <c r="N238">
        <v>81</v>
      </c>
      <c r="O238">
        <v>85</v>
      </c>
      <c r="P238">
        <v>84</v>
      </c>
      <c r="Q238">
        <v>73</v>
      </c>
      <c r="R238">
        <f>SUM(student_scores[[#This Row],[math_score]:[geography_score]])</f>
        <v>587</v>
      </c>
      <c r="S238" s="3">
        <f>student_scores[[#This Row],[Total_Score]]/7</f>
        <v>83.857142857142861</v>
      </c>
      <c r="T238" s="3" t="str" cm="1">
        <f t="array" ref="T238">_xlfn.IFS(student_scores[[#This Row],[weekly_self_study_hours]]&lt;=5,   "0 - 5", student_scores[[#This Row],[weekly_self_study_hours]]&lt;=10,  "6 - 10", student_scores[[#This Row],[weekly_self_study_hours]]&lt;=20,  "11 - 20",student_scores[[#This Row],[weekly_self_study_hours]]&lt;=30, "21 - 30",TRUE, "31+")</f>
        <v>21 - 30</v>
      </c>
      <c r="U238" t="str" cm="1">
        <f t="array" ref="U238">_xlfn.IFS(student_scores[[#This Row],[absence_days]]=0,"0", student_scores[[#This Row],[absence_days]]&lt;=3,"1-3", student_scores[[#This Row],[absence_days]]&lt;=6,"4-6", TRUE,"7-10")</f>
        <v>1-3</v>
      </c>
      <c r="V238" t="str">
        <f>IF(student_scores[[#This Row],[Total_Score]] &gt;= _xlfn.PERCENTILE.INC(student_scores[Total_Score], 0.8), "Yes", "No")</f>
        <v>No</v>
      </c>
    </row>
    <row r="239" spans="1:22" x14ac:dyDescent="0.35">
      <c r="A239">
        <v>238</v>
      </c>
      <c r="B239" t="s">
        <v>145</v>
      </c>
      <c r="C239" t="s">
        <v>604</v>
      </c>
      <c r="D239" t="s">
        <v>605</v>
      </c>
      <c r="E239" t="s">
        <v>20</v>
      </c>
      <c r="F239" t="b">
        <v>0</v>
      </c>
      <c r="G239">
        <v>0</v>
      </c>
      <c r="H239" t="b">
        <v>0</v>
      </c>
      <c r="I239">
        <v>24</v>
      </c>
      <c r="J239" t="s">
        <v>138</v>
      </c>
      <c r="K239">
        <v>96</v>
      </c>
      <c r="L239">
        <v>80</v>
      </c>
      <c r="M239">
        <v>86</v>
      </c>
      <c r="N239">
        <v>94</v>
      </c>
      <c r="O239">
        <v>63</v>
      </c>
      <c r="P239">
        <v>72</v>
      </c>
      <c r="Q239">
        <v>75</v>
      </c>
      <c r="R239">
        <f>SUM(student_scores[[#This Row],[math_score]:[geography_score]])</f>
        <v>566</v>
      </c>
      <c r="S239" s="3">
        <f>student_scores[[#This Row],[Total_Score]]/7</f>
        <v>80.857142857142861</v>
      </c>
      <c r="T239" s="3" t="str" cm="1">
        <f t="array" ref="T239">_xlfn.IFS(student_scores[[#This Row],[weekly_self_study_hours]]&lt;=5,   "0 - 5", student_scores[[#This Row],[weekly_self_study_hours]]&lt;=10,  "6 - 10", student_scores[[#This Row],[weekly_self_study_hours]]&lt;=20,  "11 - 20",student_scores[[#This Row],[weekly_self_study_hours]]&lt;=30, "21 - 30",TRUE, "31+")</f>
        <v>21 - 30</v>
      </c>
      <c r="U239" t="str" cm="1">
        <f t="array" ref="U239">_xlfn.IFS(student_scores[[#This Row],[absence_days]]=0,"0", student_scores[[#This Row],[absence_days]]&lt;=3,"1-3", student_scores[[#This Row],[absence_days]]&lt;=6,"4-6", TRUE,"7-10")</f>
        <v>0</v>
      </c>
      <c r="V239" t="str">
        <f>IF(student_scores[[#This Row],[Total_Score]] &gt;= _xlfn.PERCENTILE.INC(student_scores[Total_Score], 0.8), "Yes", "No")</f>
        <v>No</v>
      </c>
    </row>
    <row r="240" spans="1:22" x14ac:dyDescent="0.35">
      <c r="A240">
        <v>239</v>
      </c>
      <c r="B240" t="s">
        <v>473</v>
      </c>
      <c r="C240" t="s">
        <v>606</v>
      </c>
      <c r="D240" t="s">
        <v>607</v>
      </c>
      <c r="E240" t="s">
        <v>20</v>
      </c>
      <c r="F240" t="b">
        <v>0</v>
      </c>
      <c r="G240">
        <v>2</v>
      </c>
      <c r="H240" t="b">
        <v>0</v>
      </c>
      <c r="I240">
        <v>30</v>
      </c>
      <c r="J240" t="s">
        <v>38</v>
      </c>
      <c r="K240">
        <v>82</v>
      </c>
      <c r="L240">
        <v>74</v>
      </c>
      <c r="M240">
        <v>77</v>
      </c>
      <c r="N240">
        <v>95</v>
      </c>
      <c r="O240">
        <v>81</v>
      </c>
      <c r="P240">
        <v>76</v>
      </c>
      <c r="Q240">
        <v>91</v>
      </c>
      <c r="R240">
        <f>SUM(student_scores[[#This Row],[math_score]:[geography_score]])</f>
        <v>576</v>
      </c>
      <c r="S240" s="3">
        <f>student_scores[[#This Row],[Total_Score]]/7</f>
        <v>82.285714285714292</v>
      </c>
      <c r="T240" s="3" t="str" cm="1">
        <f t="array" ref="T240">_xlfn.IFS(student_scores[[#This Row],[weekly_self_study_hours]]&lt;=5,   "0 - 5", student_scores[[#This Row],[weekly_self_study_hours]]&lt;=10,  "6 - 10", student_scores[[#This Row],[weekly_self_study_hours]]&lt;=20,  "11 - 20",student_scores[[#This Row],[weekly_self_study_hours]]&lt;=30, "21 - 30",TRUE, "31+")</f>
        <v>21 - 30</v>
      </c>
      <c r="U240" t="str" cm="1">
        <f t="array" ref="U240">_xlfn.IFS(student_scores[[#This Row],[absence_days]]=0,"0", student_scores[[#This Row],[absence_days]]&lt;=3,"1-3", student_scores[[#This Row],[absence_days]]&lt;=6,"4-6", TRUE,"7-10")</f>
        <v>1-3</v>
      </c>
      <c r="V240" t="str">
        <f>IF(student_scores[[#This Row],[Total_Score]] &gt;= _xlfn.PERCENTILE.INC(student_scores[Total_Score], 0.8), "Yes", "No")</f>
        <v>No</v>
      </c>
    </row>
    <row r="241" spans="1:22" x14ac:dyDescent="0.35">
      <c r="A241">
        <v>240</v>
      </c>
      <c r="B241" t="s">
        <v>160</v>
      </c>
      <c r="C241" t="s">
        <v>608</v>
      </c>
      <c r="D241" t="s">
        <v>609</v>
      </c>
      <c r="E241" t="s">
        <v>20</v>
      </c>
      <c r="F241" t="b">
        <v>0</v>
      </c>
      <c r="G241">
        <v>6</v>
      </c>
      <c r="H241" t="b">
        <v>0</v>
      </c>
      <c r="I241">
        <v>20</v>
      </c>
      <c r="J241" t="s">
        <v>44</v>
      </c>
      <c r="K241">
        <v>100</v>
      </c>
      <c r="L241">
        <v>72</v>
      </c>
      <c r="M241">
        <v>99</v>
      </c>
      <c r="N241">
        <v>64</v>
      </c>
      <c r="O241">
        <v>70</v>
      </c>
      <c r="P241">
        <v>93</v>
      </c>
      <c r="Q241">
        <v>67</v>
      </c>
      <c r="R241">
        <f>SUM(student_scores[[#This Row],[math_score]:[geography_score]])</f>
        <v>565</v>
      </c>
      <c r="S241" s="3">
        <f>student_scores[[#This Row],[Total_Score]]/7</f>
        <v>80.714285714285708</v>
      </c>
      <c r="T241" s="3" t="str" cm="1">
        <f t="array" ref="T241">_xlfn.IFS(student_scores[[#This Row],[weekly_self_study_hours]]&lt;=5,   "0 - 5", student_scores[[#This Row],[weekly_self_study_hours]]&lt;=10,  "6 - 10", student_scores[[#This Row],[weekly_self_study_hours]]&lt;=20,  "11 - 20",student_scores[[#This Row],[weekly_self_study_hours]]&lt;=30, "21 - 30",TRUE, "31+")</f>
        <v>11 - 20</v>
      </c>
      <c r="U241" t="str" cm="1">
        <f t="array" ref="U241">_xlfn.IFS(student_scores[[#This Row],[absence_days]]=0,"0", student_scores[[#This Row],[absence_days]]&lt;=3,"1-3", student_scores[[#This Row],[absence_days]]&lt;=6,"4-6", TRUE,"7-10")</f>
        <v>4-6</v>
      </c>
      <c r="V241" t="str">
        <f>IF(student_scores[[#This Row],[Total_Score]] &gt;= _xlfn.PERCENTILE.INC(student_scores[Total_Score], 0.8), "Yes", "No")</f>
        <v>No</v>
      </c>
    </row>
    <row r="242" spans="1:22" x14ac:dyDescent="0.35">
      <c r="A242">
        <v>241</v>
      </c>
      <c r="B242" t="s">
        <v>106</v>
      </c>
      <c r="C242" t="s">
        <v>610</v>
      </c>
      <c r="D242" t="s">
        <v>611</v>
      </c>
      <c r="E242" t="s">
        <v>20</v>
      </c>
      <c r="F242" t="b">
        <v>0</v>
      </c>
      <c r="G242">
        <v>0</v>
      </c>
      <c r="H242" t="b">
        <v>0</v>
      </c>
      <c r="I242">
        <v>27</v>
      </c>
      <c r="J242" t="s">
        <v>44</v>
      </c>
      <c r="K242">
        <v>91</v>
      </c>
      <c r="L242">
        <v>81</v>
      </c>
      <c r="M242">
        <v>91</v>
      </c>
      <c r="N242">
        <v>76</v>
      </c>
      <c r="O242">
        <v>100</v>
      </c>
      <c r="P242">
        <v>92</v>
      </c>
      <c r="Q242">
        <v>87</v>
      </c>
      <c r="R242">
        <f>SUM(student_scores[[#This Row],[math_score]:[geography_score]])</f>
        <v>618</v>
      </c>
      <c r="S242" s="3">
        <f>student_scores[[#This Row],[Total_Score]]/7</f>
        <v>88.285714285714292</v>
      </c>
      <c r="T242" s="3" t="str" cm="1">
        <f t="array" ref="T242">_xlfn.IFS(student_scores[[#This Row],[weekly_self_study_hours]]&lt;=5,   "0 - 5", student_scores[[#This Row],[weekly_self_study_hours]]&lt;=10,  "6 - 10", student_scores[[#This Row],[weekly_self_study_hours]]&lt;=20,  "11 - 20",student_scores[[#This Row],[weekly_self_study_hours]]&lt;=30, "21 - 30",TRUE, "31+")</f>
        <v>21 - 30</v>
      </c>
      <c r="U242" t="str" cm="1">
        <f t="array" ref="U242">_xlfn.IFS(student_scores[[#This Row],[absence_days]]=0,"0", student_scores[[#This Row],[absence_days]]&lt;=3,"1-3", student_scores[[#This Row],[absence_days]]&lt;=6,"4-6", TRUE,"7-10")</f>
        <v>0</v>
      </c>
      <c r="V242" t="str">
        <f>IF(student_scores[[#This Row],[Total_Score]] &gt;= _xlfn.PERCENTILE.INC(student_scores[Total_Score], 0.8), "Yes", "No")</f>
        <v>Yes</v>
      </c>
    </row>
    <row r="243" spans="1:22" x14ac:dyDescent="0.35">
      <c r="A243">
        <v>242</v>
      </c>
      <c r="B243" t="s">
        <v>612</v>
      </c>
      <c r="C243" t="s">
        <v>178</v>
      </c>
      <c r="D243" t="s">
        <v>613</v>
      </c>
      <c r="E243" t="s">
        <v>20</v>
      </c>
      <c r="F243" t="b">
        <v>0</v>
      </c>
      <c r="G243">
        <v>6</v>
      </c>
      <c r="H243" t="b">
        <v>0</v>
      </c>
      <c r="I243">
        <v>2</v>
      </c>
      <c r="J243" t="s">
        <v>64</v>
      </c>
      <c r="K243">
        <v>87</v>
      </c>
      <c r="L243">
        <v>62</v>
      </c>
      <c r="M243">
        <v>85</v>
      </c>
      <c r="N243">
        <v>64</v>
      </c>
      <c r="O243">
        <v>63</v>
      </c>
      <c r="P243">
        <v>61</v>
      </c>
      <c r="Q243">
        <v>85</v>
      </c>
      <c r="R243">
        <f>SUM(student_scores[[#This Row],[math_score]:[geography_score]])</f>
        <v>507</v>
      </c>
      <c r="S243" s="3">
        <f>student_scores[[#This Row],[Total_Score]]/7</f>
        <v>72.428571428571431</v>
      </c>
      <c r="T243" s="3" t="str" cm="1">
        <f t="array" ref="T243">_xlfn.IFS(student_scores[[#This Row],[weekly_self_study_hours]]&lt;=5,   "0 - 5", student_scores[[#This Row],[weekly_self_study_hours]]&lt;=10,  "6 - 10", student_scores[[#This Row],[weekly_self_study_hours]]&lt;=20,  "11 - 20",student_scores[[#This Row],[weekly_self_study_hours]]&lt;=30, "21 - 30",TRUE, "31+")</f>
        <v>0 - 5</v>
      </c>
      <c r="U243" t="str" cm="1">
        <f t="array" ref="U243">_xlfn.IFS(student_scores[[#This Row],[absence_days]]=0,"0", student_scores[[#This Row],[absence_days]]&lt;=3,"1-3", student_scores[[#This Row],[absence_days]]&lt;=6,"4-6", TRUE,"7-10")</f>
        <v>4-6</v>
      </c>
      <c r="V243" t="str">
        <f>IF(student_scores[[#This Row],[Total_Score]] &gt;= _xlfn.PERCENTILE.INC(student_scores[Total_Score], 0.8), "Yes", "No")</f>
        <v>No</v>
      </c>
    </row>
    <row r="244" spans="1:22" x14ac:dyDescent="0.35">
      <c r="A244">
        <v>243</v>
      </c>
      <c r="B244" t="s">
        <v>614</v>
      </c>
      <c r="C244" t="s">
        <v>295</v>
      </c>
      <c r="D244" t="s">
        <v>615</v>
      </c>
      <c r="E244" t="s">
        <v>25</v>
      </c>
      <c r="F244" t="b">
        <v>0</v>
      </c>
      <c r="G244">
        <v>6</v>
      </c>
      <c r="H244" t="b">
        <v>0</v>
      </c>
      <c r="I244">
        <v>16</v>
      </c>
      <c r="J244" t="s">
        <v>105</v>
      </c>
      <c r="K244">
        <v>75</v>
      </c>
      <c r="L244">
        <v>95</v>
      </c>
      <c r="M244">
        <v>84</v>
      </c>
      <c r="N244">
        <v>87</v>
      </c>
      <c r="O244">
        <v>78</v>
      </c>
      <c r="P244">
        <v>82</v>
      </c>
      <c r="Q244">
        <v>86</v>
      </c>
      <c r="R244">
        <f>SUM(student_scores[[#This Row],[math_score]:[geography_score]])</f>
        <v>587</v>
      </c>
      <c r="S244" s="3">
        <f>student_scores[[#This Row],[Total_Score]]/7</f>
        <v>83.857142857142861</v>
      </c>
      <c r="T244" s="3" t="str" cm="1">
        <f t="array" ref="T244">_xlfn.IFS(student_scores[[#This Row],[weekly_self_study_hours]]&lt;=5,   "0 - 5", student_scores[[#This Row],[weekly_self_study_hours]]&lt;=10,  "6 - 10", student_scores[[#This Row],[weekly_self_study_hours]]&lt;=20,  "11 - 20",student_scores[[#This Row],[weekly_self_study_hours]]&lt;=30, "21 - 30",TRUE, "31+")</f>
        <v>11 - 20</v>
      </c>
      <c r="U244" t="str" cm="1">
        <f t="array" ref="U244">_xlfn.IFS(student_scores[[#This Row],[absence_days]]=0,"0", student_scores[[#This Row],[absence_days]]&lt;=3,"1-3", student_scores[[#This Row],[absence_days]]&lt;=6,"4-6", TRUE,"7-10")</f>
        <v>4-6</v>
      </c>
      <c r="V244" t="str">
        <f>IF(student_scores[[#This Row],[Total_Score]] &gt;= _xlfn.PERCENTILE.INC(student_scores[Total_Score], 0.8), "Yes", "No")</f>
        <v>No</v>
      </c>
    </row>
    <row r="245" spans="1:22" x14ac:dyDescent="0.35">
      <c r="A245">
        <v>244</v>
      </c>
      <c r="B245" t="s">
        <v>476</v>
      </c>
      <c r="C245" t="s">
        <v>616</v>
      </c>
      <c r="D245" t="s">
        <v>617</v>
      </c>
      <c r="E245" t="s">
        <v>20</v>
      </c>
      <c r="F245" t="b">
        <v>1</v>
      </c>
      <c r="G245">
        <v>1</v>
      </c>
      <c r="H245" t="b">
        <v>0</v>
      </c>
      <c r="I245">
        <v>27</v>
      </c>
      <c r="J245" t="s">
        <v>105</v>
      </c>
      <c r="K245">
        <v>86</v>
      </c>
      <c r="L245">
        <v>78</v>
      </c>
      <c r="M245">
        <v>61</v>
      </c>
      <c r="N245">
        <v>71</v>
      </c>
      <c r="O245">
        <v>94</v>
      </c>
      <c r="P245">
        <v>92</v>
      </c>
      <c r="Q245">
        <v>65</v>
      </c>
      <c r="R245">
        <f>SUM(student_scores[[#This Row],[math_score]:[geography_score]])</f>
        <v>547</v>
      </c>
      <c r="S245" s="3">
        <f>student_scores[[#This Row],[Total_Score]]/7</f>
        <v>78.142857142857139</v>
      </c>
      <c r="T245" s="3" t="str" cm="1">
        <f t="array" ref="T245">_xlfn.IFS(student_scores[[#This Row],[weekly_self_study_hours]]&lt;=5,   "0 - 5", student_scores[[#This Row],[weekly_self_study_hours]]&lt;=10,  "6 - 10", student_scores[[#This Row],[weekly_self_study_hours]]&lt;=20,  "11 - 20",student_scores[[#This Row],[weekly_self_study_hours]]&lt;=30, "21 - 30",TRUE, "31+")</f>
        <v>21 - 30</v>
      </c>
      <c r="U245" t="str" cm="1">
        <f t="array" ref="U245">_xlfn.IFS(student_scores[[#This Row],[absence_days]]=0,"0", student_scores[[#This Row],[absence_days]]&lt;=3,"1-3", student_scores[[#This Row],[absence_days]]&lt;=6,"4-6", TRUE,"7-10")</f>
        <v>1-3</v>
      </c>
      <c r="V245" t="str">
        <f>IF(student_scores[[#This Row],[Total_Score]] &gt;= _xlfn.PERCENTILE.INC(student_scores[Total_Score], 0.8), "Yes", "No")</f>
        <v>No</v>
      </c>
    </row>
    <row r="246" spans="1:22" x14ac:dyDescent="0.35">
      <c r="A246">
        <v>245</v>
      </c>
      <c r="B246" t="s">
        <v>618</v>
      </c>
      <c r="C246" t="s">
        <v>619</v>
      </c>
      <c r="D246" t="s">
        <v>620</v>
      </c>
      <c r="E246" t="s">
        <v>20</v>
      </c>
      <c r="F246" t="b">
        <v>0</v>
      </c>
      <c r="G246">
        <v>4</v>
      </c>
      <c r="H246" t="b">
        <v>1</v>
      </c>
      <c r="I246">
        <v>24</v>
      </c>
      <c r="J246" t="s">
        <v>113</v>
      </c>
      <c r="K246">
        <v>94</v>
      </c>
      <c r="L246">
        <v>62</v>
      </c>
      <c r="M246">
        <v>97</v>
      </c>
      <c r="N246">
        <v>96</v>
      </c>
      <c r="O246">
        <v>74</v>
      </c>
      <c r="P246">
        <v>68</v>
      </c>
      <c r="Q246">
        <v>69</v>
      </c>
      <c r="R246">
        <f>SUM(student_scores[[#This Row],[math_score]:[geography_score]])</f>
        <v>560</v>
      </c>
      <c r="S246" s="3">
        <f>student_scores[[#This Row],[Total_Score]]/7</f>
        <v>80</v>
      </c>
      <c r="T246" s="3" t="str" cm="1">
        <f t="array" ref="T246">_xlfn.IFS(student_scores[[#This Row],[weekly_self_study_hours]]&lt;=5,   "0 - 5", student_scores[[#This Row],[weekly_self_study_hours]]&lt;=10,  "6 - 10", student_scores[[#This Row],[weekly_self_study_hours]]&lt;=20,  "11 - 20",student_scores[[#This Row],[weekly_self_study_hours]]&lt;=30, "21 - 30",TRUE, "31+")</f>
        <v>21 - 30</v>
      </c>
      <c r="U246" t="str" cm="1">
        <f t="array" ref="U246">_xlfn.IFS(student_scores[[#This Row],[absence_days]]=0,"0", student_scores[[#This Row],[absence_days]]&lt;=3,"1-3", student_scores[[#This Row],[absence_days]]&lt;=6,"4-6", TRUE,"7-10")</f>
        <v>4-6</v>
      </c>
      <c r="V246" t="str">
        <f>IF(student_scores[[#This Row],[Total_Score]] &gt;= _xlfn.PERCENTILE.INC(student_scores[Total_Score], 0.8), "Yes", "No")</f>
        <v>No</v>
      </c>
    </row>
    <row r="247" spans="1:22" x14ac:dyDescent="0.35">
      <c r="A247">
        <v>246</v>
      </c>
      <c r="B247" t="s">
        <v>145</v>
      </c>
      <c r="C247" t="s">
        <v>499</v>
      </c>
      <c r="D247" t="s">
        <v>621</v>
      </c>
      <c r="E247" t="s">
        <v>20</v>
      </c>
      <c r="F247" t="b">
        <v>0</v>
      </c>
      <c r="G247">
        <v>4</v>
      </c>
      <c r="H247" t="b">
        <v>0</v>
      </c>
      <c r="I247">
        <v>23</v>
      </c>
      <c r="J247" t="s">
        <v>113</v>
      </c>
      <c r="K247">
        <v>99</v>
      </c>
      <c r="L247">
        <v>64</v>
      </c>
      <c r="M247">
        <v>92</v>
      </c>
      <c r="N247">
        <v>78</v>
      </c>
      <c r="O247">
        <v>30</v>
      </c>
      <c r="P247">
        <v>78</v>
      </c>
      <c r="Q247">
        <v>88</v>
      </c>
      <c r="R247">
        <f>SUM(student_scores[[#This Row],[math_score]:[geography_score]])</f>
        <v>529</v>
      </c>
      <c r="S247" s="3">
        <f>student_scores[[#This Row],[Total_Score]]/7</f>
        <v>75.571428571428569</v>
      </c>
      <c r="T247" s="3" t="str" cm="1">
        <f t="array" ref="T247">_xlfn.IFS(student_scores[[#This Row],[weekly_self_study_hours]]&lt;=5,   "0 - 5", student_scores[[#This Row],[weekly_self_study_hours]]&lt;=10,  "6 - 10", student_scores[[#This Row],[weekly_self_study_hours]]&lt;=20,  "11 - 20",student_scores[[#This Row],[weekly_self_study_hours]]&lt;=30, "21 - 30",TRUE, "31+")</f>
        <v>21 - 30</v>
      </c>
      <c r="U247" t="str" cm="1">
        <f t="array" ref="U247">_xlfn.IFS(student_scores[[#This Row],[absence_days]]=0,"0", student_scores[[#This Row],[absence_days]]&lt;=3,"1-3", student_scores[[#This Row],[absence_days]]&lt;=6,"4-6", TRUE,"7-10")</f>
        <v>4-6</v>
      </c>
      <c r="V247" t="str">
        <f>IF(student_scores[[#This Row],[Total_Score]] &gt;= _xlfn.PERCENTILE.INC(student_scores[Total_Score], 0.8), "Yes", "No")</f>
        <v>No</v>
      </c>
    </row>
    <row r="248" spans="1:22" x14ac:dyDescent="0.35">
      <c r="A248">
        <v>247</v>
      </c>
      <c r="B248" t="s">
        <v>622</v>
      </c>
      <c r="C248" t="s">
        <v>623</v>
      </c>
      <c r="D248" t="s">
        <v>624</v>
      </c>
      <c r="E248" t="s">
        <v>20</v>
      </c>
      <c r="F248" t="b">
        <v>0</v>
      </c>
      <c r="G248">
        <v>1</v>
      </c>
      <c r="H248" t="b">
        <v>0</v>
      </c>
      <c r="I248">
        <v>15</v>
      </c>
      <c r="J248" t="s">
        <v>30</v>
      </c>
      <c r="K248">
        <v>84</v>
      </c>
      <c r="L248">
        <v>91</v>
      </c>
      <c r="M248">
        <v>94</v>
      </c>
      <c r="N248">
        <v>66</v>
      </c>
      <c r="O248">
        <v>78</v>
      </c>
      <c r="P248">
        <v>71</v>
      </c>
      <c r="Q248">
        <v>93</v>
      </c>
      <c r="R248">
        <f>SUM(student_scores[[#This Row],[math_score]:[geography_score]])</f>
        <v>577</v>
      </c>
      <c r="S248" s="3">
        <f>student_scores[[#This Row],[Total_Score]]/7</f>
        <v>82.428571428571431</v>
      </c>
      <c r="T248" s="3" t="str" cm="1">
        <f t="array" ref="T248">_xlfn.IFS(student_scores[[#This Row],[weekly_self_study_hours]]&lt;=5,   "0 - 5", student_scores[[#This Row],[weekly_self_study_hours]]&lt;=10,  "6 - 10", student_scores[[#This Row],[weekly_self_study_hours]]&lt;=20,  "11 - 20",student_scores[[#This Row],[weekly_self_study_hours]]&lt;=30, "21 - 30",TRUE, "31+")</f>
        <v>11 - 20</v>
      </c>
      <c r="U248" t="str" cm="1">
        <f t="array" ref="U248">_xlfn.IFS(student_scores[[#This Row],[absence_days]]=0,"0", student_scores[[#This Row],[absence_days]]&lt;=3,"1-3", student_scores[[#This Row],[absence_days]]&lt;=6,"4-6", TRUE,"7-10")</f>
        <v>1-3</v>
      </c>
      <c r="V248" t="str">
        <f>IF(student_scores[[#This Row],[Total_Score]] &gt;= _xlfn.PERCENTILE.INC(student_scores[Total_Score], 0.8), "Yes", "No")</f>
        <v>No</v>
      </c>
    </row>
    <row r="249" spans="1:22" x14ac:dyDescent="0.35">
      <c r="A249">
        <v>248</v>
      </c>
      <c r="B249" t="s">
        <v>277</v>
      </c>
      <c r="C249" t="s">
        <v>625</v>
      </c>
      <c r="D249" t="s">
        <v>626</v>
      </c>
      <c r="E249" t="s">
        <v>20</v>
      </c>
      <c r="F249" t="b">
        <v>0</v>
      </c>
      <c r="G249">
        <v>3</v>
      </c>
      <c r="H249" t="b">
        <v>0</v>
      </c>
      <c r="I249">
        <v>25</v>
      </c>
      <c r="J249" t="s">
        <v>172</v>
      </c>
      <c r="K249">
        <v>92</v>
      </c>
      <c r="L249">
        <v>81</v>
      </c>
      <c r="M249">
        <v>68</v>
      </c>
      <c r="N249">
        <v>96</v>
      </c>
      <c r="O249">
        <v>99</v>
      </c>
      <c r="P249">
        <v>92</v>
      </c>
      <c r="Q249">
        <v>79</v>
      </c>
      <c r="R249">
        <f>SUM(student_scores[[#This Row],[math_score]:[geography_score]])</f>
        <v>607</v>
      </c>
      <c r="S249" s="3">
        <f>student_scores[[#This Row],[Total_Score]]/7</f>
        <v>86.714285714285708</v>
      </c>
      <c r="T249" s="3" t="str" cm="1">
        <f t="array" ref="T249">_xlfn.IFS(student_scores[[#This Row],[weekly_self_study_hours]]&lt;=5,   "0 - 5", student_scores[[#This Row],[weekly_self_study_hours]]&lt;=10,  "6 - 10", student_scores[[#This Row],[weekly_self_study_hours]]&lt;=20,  "11 - 20",student_scores[[#This Row],[weekly_self_study_hours]]&lt;=30, "21 - 30",TRUE, "31+")</f>
        <v>21 - 30</v>
      </c>
      <c r="U249" t="str" cm="1">
        <f t="array" ref="U249">_xlfn.IFS(student_scores[[#This Row],[absence_days]]=0,"0", student_scores[[#This Row],[absence_days]]&lt;=3,"1-3", student_scores[[#This Row],[absence_days]]&lt;=6,"4-6", TRUE,"7-10")</f>
        <v>1-3</v>
      </c>
      <c r="V249" t="str">
        <f>IF(student_scores[[#This Row],[Total_Score]] &gt;= _xlfn.PERCENTILE.INC(student_scores[Total_Score], 0.8), "Yes", "No")</f>
        <v>Yes</v>
      </c>
    </row>
    <row r="250" spans="1:22" x14ac:dyDescent="0.35">
      <c r="A250">
        <v>249</v>
      </c>
      <c r="B250" t="s">
        <v>627</v>
      </c>
      <c r="C250" t="s">
        <v>354</v>
      </c>
      <c r="D250" t="s">
        <v>628</v>
      </c>
      <c r="E250" t="s">
        <v>25</v>
      </c>
      <c r="F250" t="b">
        <v>0</v>
      </c>
      <c r="G250">
        <v>2</v>
      </c>
      <c r="H250" t="b">
        <v>0</v>
      </c>
      <c r="I250">
        <v>32</v>
      </c>
      <c r="J250" t="s">
        <v>44</v>
      </c>
      <c r="K250">
        <v>95</v>
      </c>
      <c r="L250">
        <v>84</v>
      </c>
      <c r="M250">
        <v>95</v>
      </c>
      <c r="N250">
        <v>72</v>
      </c>
      <c r="O250">
        <v>62</v>
      </c>
      <c r="P250">
        <v>80</v>
      </c>
      <c r="Q250">
        <v>83</v>
      </c>
      <c r="R250">
        <f>SUM(student_scores[[#This Row],[math_score]:[geography_score]])</f>
        <v>571</v>
      </c>
      <c r="S250" s="3">
        <f>student_scores[[#This Row],[Total_Score]]/7</f>
        <v>81.571428571428569</v>
      </c>
      <c r="T250" s="3" t="str" cm="1">
        <f t="array" ref="T250">_xlfn.IFS(student_scores[[#This Row],[weekly_self_study_hours]]&lt;=5,   "0 - 5", student_scores[[#This Row],[weekly_self_study_hours]]&lt;=10,  "6 - 10", student_scores[[#This Row],[weekly_self_study_hours]]&lt;=20,  "11 - 20",student_scores[[#This Row],[weekly_self_study_hours]]&lt;=30, "21 - 30",TRUE, "31+")</f>
        <v>31+</v>
      </c>
      <c r="U250" t="str" cm="1">
        <f t="array" ref="U250">_xlfn.IFS(student_scores[[#This Row],[absence_days]]=0,"0", student_scores[[#This Row],[absence_days]]&lt;=3,"1-3", student_scores[[#This Row],[absence_days]]&lt;=6,"4-6", TRUE,"7-10")</f>
        <v>1-3</v>
      </c>
      <c r="V250" t="str">
        <f>IF(student_scores[[#This Row],[Total_Score]] &gt;= _xlfn.PERCENTILE.INC(student_scores[Total_Score], 0.8), "Yes", "No")</f>
        <v>No</v>
      </c>
    </row>
    <row r="251" spans="1:22" x14ac:dyDescent="0.35">
      <c r="A251">
        <v>250</v>
      </c>
      <c r="B251" t="s">
        <v>277</v>
      </c>
      <c r="C251" t="s">
        <v>629</v>
      </c>
      <c r="D251" t="s">
        <v>630</v>
      </c>
      <c r="E251" t="s">
        <v>20</v>
      </c>
      <c r="F251" t="b">
        <v>0</v>
      </c>
      <c r="G251">
        <v>3</v>
      </c>
      <c r="H251" t="b">
        <v>0</v>
      </c>
      <c r="I251">
        <v>35</v>
      </c>
      <c r="J251" t="s">
        <v>21</v>
      </c>
      <c r="K251">
        <v>90</v>
      </c>
      <c r="L251">
        <v>88</v>
      </c>
      <c r="M251">
        <v>94</v>
      </c>
      <c r="N251">
        <v>99</v>
      </c>
      <c r="O251">
        <v>92</v>
      </c>
      <c r="P251">
        <v>87</v>
      </c>
      <c r="Q251">
        <v>97</v>
      </c>
      <c r="R251">
        <f>SUM(student_scores[[#This Row],[math_score]:[geography_score]])</f>
        <v>647</v>
      </c>
      <c r="S251" s="3">
        <f>student_scores[[#This Row],[Total_Score]]/7</f>
        <v>92.428571428571431</v>
      </c>
      <c r="T251" s="3" t="str" cm="1">
        <f t="array" ref="T251">_xlfn.IFS(student_scores[[#This Row],[weekly_self_study_hours]]&lt;=5,   "0 - 5", student_scores[[#This Row],[weekly_self_study_hours]]&lt;=10,  "6 - 10", student_scores[[#This Row],[weekly_self_study_hours]]&lt;=20,  "11 - 20",student_scores[[#This Row],[weekly_self_study_hours]]&lt;=30, "21 - 30",TRUE, "31+")</f>
        <v>31+</v>
      </c>
      <c r="U251" t="str" cm="1">
        <f t="array" ref="U251">_xlfn.IFS(student_scores[[#This Row],[absence_days]]=0,"0", student_scores[[#This Row],[absence_days]]&lt;=3,"1-3", student_scores[[#This Row],[absence_days]]&lt;=6,"4-6", TRUE,"7-10")</f>
        <v>1-3</v>
      </c>
      <c r="V251" t="str">
        <f>IF(student_scores[[#This Row],[Total_Score]] &gt;= _xlfn.PERCENTILE.INC(student_scores[Total_Score], 0.8), "Yes", "No")</f>
        <v>Yes</v>
      </c>
    </row>
    <row r="252" spans="1:22" x14ac:dyDescent="0.35">
      <c r="A252">
        <v>251</v>
      </c>
      <c r="B252" t="s">
        <v>631</v>
      </c>
      <c r="C252" t="s">
        <v>632</v>
      </c>
      <c r="D252" t="s">
        <v>633</v>
      </c>
      <c r="E252" t="s">
        <v>25</v>
      </c>
      <c r="F252" t="b">
        <v>0</v>
      </c>
      <c r="G252">
        <v>3</v>
      </c>
      <c r="H252" t="b">
        <v>0</v>
      </c>
      <c r="I252">
        <v>3</v>
      </c>
      <c r="J252" t="s">
        <v>34</v>
      </c>
      <c r="K252">
        <v>93</v>
      </c>
      <c r="L252">
        <v>100</v>
      </c>
      <c r="M252">
        <v>87</v>
      </c>
      <c r="N252">
        <v>66</v>
      </c>
      <c r="O252">
        <v>85</v>
      </c>
      <c r="P252">
        <v>96</v>
      </c>
      <c r="Q252">
        <v>87</v>
      </c>
      <c r="R252">
        <f>SUM(student_scores[[#This Row],[math_score]:[geography_score]])</f>
        <v>614</v>
      </c>
      <c r="S252" s="3">
        <f>student_scores[[#This Row],[Total_Score]]/7</f>
        <v>87.714285714285708</v>
      </c>
      <c r="T252" s="3" t="str" cm="1">
        <f t="array" ref="T252">_xlfn.IFS(student_scores[[#This Row],[weekly_self_study_hours]]&lt;=5,   "0 - 5", student_scores[[#This Row],[weekly_self_study_hours]]&lt;=10,  "6 - 10", student_scores[[#This Row],[weekly_self_study_hours]]&lt;=20,  "11 - 20",student_scores[[#This Row],[weekly_self_study_hours]]&lt;=30, "21 - 30",TRUE, "31+")</f>
        <v>0 - 5</v>
      </c>
      <c r="U252" t="str" cm="1">
        <f t="array" ref="U252">_xlfn.IFS(student_scores[[#This Row],[absence_days]]=0,"0", student_scores[[#This Row],[absence_days]]&lt;=3,"1-3", student_scores[[#This Row],[absence_days]]&lt;=6,"4-6", TRUE,"7-10")</f>
        <v>1-3</v>
      </c>
      <c r="V252" t="str">
        <f>IF(student_scores[[#This Row],[Total_Score]] &gt;= _xlfn.PERCENTILE.INC(student_scores[Total_Score], 0.8), "Yes", "No")</f>
        <v>Yes</v>
      </c>
    </row>
    <row r="253" spans="1:22" x14ac:dyDescent="0.35">
      <c r="A253">
        <v>252</v>
      </c>
      <c r="B253" t="s">
        <v>634</v>
      </c>
      <c r="C253" t="s">
        <v>635</v>
      </c>
      <c r="D253" t="s">
        <v>636</v>
      </c>
      <c r="E253" t="s">
        <v>25</v>
      </c>
      <c r="F253" t="b">
        <v>0</v>
      </c>
      <c r="G253">
        <v>1</v>
      </c>
      <c r="H253" t="b">
        <v>0</v>
      </c>
      <c r="I253">
        <v>28</v>
      </c>
      <c r="J253" t="s">
        <v>123</v>
      </c>
      <c r="K253">
        <v>69</v>
      </c>
      <c r="L253">
        <v>63</v>
      </c>
      <c r="M253">
        <v>88</v>
      </c>
      <c r="N253">
        <v>73</v>
      </c>
      <c r="O253">
        <v>83</v>
      </c>
      <c r="P253">
        <v>74</v>
      </c>
      <c r="Q253">
        <v>94</v>
      </c>
      <c r="R253">
        <f>SUM(student_scores[[#This Row],[math_score]:[geography_score]])</f>
        <v>544</v>
      </c>
      <c r="S253" s="3">
        <f>student_scores[[#This Row],[Total_Score]]/7</f>
        <v>77.714285714285708</v>
      </c>
      <c r="T253" s="3" t="str" cm="1">
        <f t="array" ref="T253">_xlfn.IFS(student_scores[[#This Row],[weekly_self_study_hours]]&lt;=5,   "0 - 5", student_scores[[#This Row],[weekly_self_study_hours]]&lt;=10,  "6 - 10", student_scores[[#This Row],[weekly_self_study_hours]]&lt;=20,  "11 - 20",student_scores[[#This Row],[weekly_self_study_hours]]&lt;=30, "21 - 30",TRUE, "31+")</f>
        <v>21 - 30</v>
      </c>
      <c r="U253" t="str" cm="1">
        <f t="array" ref="U253">_xlfn.IFS(student_scores[[#This Row],[absence_days]]=0,"0", student_scores[[#This Row],[absence_days]]&lt;=3,"1-3", student_scores[[#This Row],[absence_days]]&lt;=6,"4-6", TRUE,"7-10")</f>
        <v>1-3</v>
      </c>
      <c r="V253" t="str">
        <f>IF(student_scores[[#This Row],[Total_Score]] &gt;= _xlfn.PERCENTILE.INC(student_scores[Total_Score], 0.8), "Yes", "No")</f>
        <v>No</v>
      </c>
    </row>
    <row r="254" spans="1:22" x14ac:dyDescent="0.35">
      <c r="A254">
        <v>253</v>
      </c>
      <c r="B254" t="s">
        <v>637</v>
      </c>
      <c r="C254" t="s">
        <v>574</v>
      </c>
      <c r="D254" t="s">
        <v>638</v>
      </c>
      <c r="E254" t="s">
        <v>20</v>
      </c>
      <c r="F254" t="b">
        <v>0</v>
      </c>
      <c r="G254">
        <v>1</v>
      </c>
      <c r="H254" t="b">
        <v>0</v>
      </c>
      <c r="I254">
        <v>3</v>
      </c>
      <c r="J254" t="s">
        <v>159</v>
      </c>
      <c r="K254">
        <v>97</v>
      </c>
      <c r="L254">
        <v>80</v>
      </c>
      <c r="M254">
        <v>80</v>
      </c>
      <c r="N254">
        <v>65</v>
      </c>
      <c r="O254">
        <v>91</v>
      </c>
      <c r="P254">
        <v>67</v>
      </c>
      <c r="Q254">
        <v>84</v>
      </c>
      <c r="R254">
        <f>SUM(student_scores[[#This Row],[math_score]:[geography_score]])</f>
        <v>564</v>
      </c>
      <c r="S254" s="3">
        <f>student_scores[[#This Row],[Total_Score]]/7</f>
        <v>80.571428571428569</v>
      </c>
      <c r="T254" s="3" t="str" cm="1">
        <f t="array" ref="T254">_xlfn.IFS(student_scores[[#This Row],[weekly_self_study_hours]]&lt;=5,   "0 - 5", student_scores[[#This Row],[weekly_self_study_hours]]&lt;=10,  "6 - 10", student_scores[[#This Row],[weekly_self_study_hours]]&lt;=20,  "11 - 20",student_scores[[#This Row],[weekly_self_study_hours]]&lt;=30, "21 - 30",TRUE, "31+")</f>
        <v>0 - 5</v>
      </c>
      <c r="U254" t="str" cm="1">
        <f t="array" ref="U254">_xlfn.IFS(student_scores[[#This Row],[absence_days]]=0,"0", student_scores[[#This Row],[absence_days]]&lt;=3,"1-3", student_scores[[#This Row],[absence_days]]&lt;=6,"4-6", TRUE,"7-10")</f>
        <v>1-3</v>
      </c>
      <c r="V254" t="str">
        <f>IF(student_scores[[#This Row],[Total_Score]] &gt;= _xlfn.PERCENTILE.INC(student_scores[Total_Score], 0.8), "Yes", "No")</f>
        <v>No</v>
      </c>
    </row>
    <row r="255" spans="1:22" x14ac:dyDescent="0.35">
      <c r="A255">
        <v>254</v>
      </c>
      <c r="B255" t="s">
        <v>524</v>
      </c>
      <c r="C255" t="s">
        <v>639</v>
      </c>
      <c r="D255" t="s">
        <v>640</v>
      </c>
      <c r="E255" t="s">
        <v>25</v>
      </c>
      <c r="F255" t="b">
        <v>0</v>
      </c>
      <c r="G255">
        <v>0</v>
      </c>
      <c r="H255" t="b">
        <v>0</v>
      </c>
      <c r="I255">
        <v>21</v>
      </c>
      <c r="J255" t="s">
        <v>113</v>
      </c>
      <c r="K255">
        <v>76</v>
      </c>
      <c r="L255">
        <v>72</v>
      </c>
      <c r="M255">
        <v>80</v>
      </c>
      <c r="N255">
        <v>92</v>
      </c>
      <c r="O255">
        <v>41</v>
      </c>
      <c r="P255">
        <v>90</v>
      </c>
      <c r="Q255">
        <v>78</v>
      </c>
      <c r="R255">
        <f>SUM(student_scores[[#This Row],[math_score]:[geography_score]])</f>
        <v>529</v>
      </c>
      <c r="S255" s="3">
        <f>student_scores[[#This Row],[Total_Score]]/7</f>
        <v>75.571428571428569</v>
      </c>
      <c r="T255" s="3" t="str" cm="1">
        <f t="array" ref="T255">_xlfn.IFS(student_scores[[#This Row],[weekly_self_study_hours]]&lt;=5,   "0 - 5", student_scores[[#This Row],[weekly_self_study_hours]]&lt;=10,  "6 - 10", student_scores[[#This Row],[weekly_self_study_hours]]&lt;=20,  "11 - 20",student_scores[[#This Row],[weekly_self_study_hours]]&lt;=30, "21 - 30",TRUE, "31+")</f>
        <v>21 - 30</v>
      </c>
      <c r="U255" t="str" cm="1">
        <f t="array" ref="U255">_xlfn.IFS(student_scores[[#This Row],[absence_days]]=0,"0", student_scores[[#This Row],[absence_days]]&lt;=3,"1-3", student_scores[[#This Row],[absence_days]]&lt;=6,"4-6", TRUE,"7-10")</f>
        <v>0</v>
      </c>
      <c r="V255" t="str">
        <f>IF(student_scores[[#This Row],[Total_Score]] &gt;= _xlfn.PERCENTILE.INC(student_scores[Total_Score], 0.8), "Yes", "No")</f>
        <v>No</v>
      </c>
    </row>
    <row r="256" spans="1:22" x14ac:dyDescent="0.35">
      <c r="A256">
        <v>255</v>
      </c>
      <c r="B256" t="s">
        <v>641</v>
      </c>
      <c r="C256" t="s">
        <v>642</v>
      </c>
      <c r="D256" t="s">
        <v>643</v>
      </c>
      <c r="E256" t="s">
        <v>20</v>
      </c>
      <c r="F256" t="b">
        <v>0</v>
      </c>
      <c r="G256">
        <v>3</v>
      </c>
      <c r="H256" t="b">
        <v>0</v>
      </c>
      <c r="I256">
        <v>35</v>
      </c>
      <c r="J256" t="s">
        <v>38</v>
      </c>
      <c r="K256">
        <v>85</v>
      </c>
      <c r="L256">
        <v>85</v>
      </c>
      <c r="M256">
        <v>92</v>
      </c>
      <c r="N256">
        <v>86</v>
      </c>
      <c r="O256">
        <v>99</v>
      </c>
      <c r="P256">
        <v>86</v>
      </c>
      <c r="Q256">
        <v>93</v>
      </c>
      <c r="R256">
        <f>SUM(student_scores[[#This Row],[math_score]:[geography_score]])</f>
        <v>626</v>
      </c>
      <c r="S256" s="3">
        <f>student_scores[[#This Row],[Total_Score]]/7</f>
        <v>89.428571428571431</v>
      </c>
      <c r="T256" s="3" t="str" cm="1">
        <f t="array" ref="T256">_xlfn.IFS(student_scores[[#This Row],[weekly_self_study_hours]]&lt;=5,   "0 - 5", student_scores[[#This Row],[weekly_self_study_hours]]&lt;=10,  "6 - 10", student_scores[[#This Row],[weekly_self_study_hours]]&lt;=20,  "11 - 20",student_scores[[#This Row],[weekly_self_study_hours]]&lt;=30, "21 - 30",TRUE, "31+")</f>
        <v>31+</v>
      </c>
      <c r="U256" t="str" cm="1">
        <f t="array" ref="U256">_xlfn.IFS(student_scores[[#This Row],[absence_days]]=0,"0", student_scores[[#This Row],[absence_days]]&lt;=3,"1-3", student_scores[[#This Row],[absence_days]]&lt;=6,"4-6", TRUE,"7-10")</f>
        <v>1-3</v>
      </c>
      <c r="V256" t="str">
        <f>IF(student_scores[[#This Row],[Total_Score]] &gt;= _xlfn.PERCENTILE.INC(student_scores[Total_Score], 0.8), "Yes", "No")</f>
        <v>Yes</v>
      </c>
    </row>
    <row r="257" spans="1:22" x14ac:dyDescent="0.35">
      <c r="A257">
        <v>256</v>
      </c>
      <c r="B257" t="s">
        <v>243</v>
      </c>
      <c r="C257" t="s">
        <v>644</v>
      </c>
      <c r="D257" t="s">
        <v>645</v>
      </c>
      <c r="E257" t="s">
        <v>25</v>
      </c>
      <c r="F257" t="b">
        <v>0</v>
      </c>
      <c r="G257">
        <v>7</v>
      </c>
      <c r="H257" t="b">
        <v>1</v>
      </c>
      <c r="I257">
        <v>35</v>
      </c>
      <c r="J257" t="s">
        <v>44</v>
      </c>
      <c r="K257">
        <v>91</v>
      </c>
      <c r="L257">
        <v>87</v>
      </c>
      <c r="M257">
        <v>89</v>
      </c>
      <c r="N257">
        <v>97</v>
      </c>
      <c r="O257">
        <v>93</v>
      </c>
      <c r="P257">
        <v>87</v>
      </c>
      <c r="Q257">
        <v>100</v>
      </c>
      <c r="R257">
        <f>SUM(student_scores[[#This Row],[math_score]:[geography_score]])</f>
        <v>644</v>
      </c>
      <c r="S257" s="3">
        <f>student_scores[[#This Row],[Total_Score]]/7</f>
        <v>92</v>
      </c>
      <c r="T257" s="3" t="str" cm="1">
        <f t="array" ref="T257">_xlfn.IFS(student_scores[[#This Row],[weekly_self_study_hours]]&lt;=5,   "0 - 5", student_scores[[#This Row],[weekly_self_study_hours]]&lt;=10,  "6 - 10", student_scores[[#This Row],[weekly_self_study_hours]]&lt;=20,  "11 - 20",student_scores[[#This Row],[weekly_self_study_hours]]&lt;=30, "21 - 30",TRUE, "31+")</f>
        <v>31+</v>
      </c>
      <c r="U257" t="str" cm="1">
        <f t="array" ref="U257">_xlfn.IFS(student_scores[[#This Row],[absence_days]]=0,"0", student_scores[[#This Row],[absence_days]]&lt;=3,"1-3", student_scores[[#This Row],[absence_days]]&lt;=6,"4-6", TRUE,"7-10")</f>
        <v>7-10</v>
      </c>
      <c r="V257" t="str">
        <f>IF(student_scores[[#This Row],[Total_Score]] &gt;= _xlfn.PERCENTILE.INC(student_scores[Total_Score], 0.8), "Yes", "No")</f>
        <v>Yes</v>
      </c>
    </row>
    <row r="258" spans="1:22" x14ac:dyDescent="0.35">
      <c r="A258">
        <v>257</v>
      </c>
      <c r="B258" t="s">
        <v>646</v>
      </c>
      <c r="C258" t="s">
        <v>339</v>
      </c>
      <c r="D258" t="s">
        <v>647</v>
      </c>
      <c r="E258" t="s">
        <v>25</v>
      </c>
      <c r="F258" t="b">
        <v>0</v>
      </c>
      <c r="G258">
        <v>7</v>
      </c>
      <c r="H258" t="b">
        <v>1</v>
      </c>
      <c r="I258">
        <v>14</v>
      </c>
      <c r="J258" t="s">
        <v>113</v>
      </c>
      <c r="K258">
        <v>82</v>
      </c>
      <c r="L258">
        <v>95</v>
      </c>
      <c r="M258">
        <v>92</v>
      </c>
      <c r="N258">
        <v>62</v>
      </c>
      <c r="O258">
        <v>73</v>
      </c>
      <c r="P258">
        <v>75</v>
      </c>
      <c r="Q258">
        <v>93</v>
      </c>
      <c r="R258">
        <f>SUM(student_scores[[#This Row],[math_score]:[geography_score]])</f>
        <v>572</v>
      </c>
      <c r="S258" s="3">
        <f>student_scores[[#This Row],[Total_Score]]/7</f>
        <v>81.714285714285708</v>
      </c>
      <c r="T258" s="3" t="str" cm="1">
        <f t="array" ref="T258">_xlfn.IFS(student_scores[[#This Row],[weekly_self_study_hours]]&lt;=5,   "0 - 5", student_scores[[#This Row],[weekly_self_study_hours]]&lt;=10,  "6 - 10", student_scores[[#This Row],[weekly_self_study_hours]]&lt;=20,  "11 - 20",student_scores[[#This Row],[weekly_self_study_hours]]&lt;=30, "21 - 30",TRUE, "31+")</f>
        <v>11 - 20</v>
      </c>
      <c r="U258" t="str" cm="1">
        <f t="array" ref="U258">_xlfn.IFS(student_scores[[#This Row],[absence_days]]=0,"0", student_scores[[#This Row],[absence_days]]&lt;=3,"1-3", student_scores[[#This Row],[absence_days]]&lt;=6,"4-6", TRUE,"7-10")</f>
        <v>7-10</v>
      </c>
      <c r="V258" t="str">
        <f>IF(student_scores[[#This Row],[Total_Score]] &gt;= _xlfn.PERCENTILE.INC(student_scores[Total_Score], 0.8), "Yes", "No")</f>
        <v>No</v>
      </c>
    </row>
    <row r="259" spans="1:22" x14ac:dyDescent="0.35">
      <c r="A259">
        <v>258</v>
      </c>
      <c r="B259" t="s">
        <v>555</v>
      </c>
      <c r="C259" t="s">
        <v>648</v>
      </c>
      <c r="D259" t="s">
        <v>649</v>
      </c>
      <c r="E259" t="s">
        <v>25</v>
      </c>
      <c r="F259" t="b">
        <v>1</v>
      </c>
      <c r="G259">
        <v>7</v>
      </c>
      <c r="H259" t="b">
        <v>0</v>
      </c>
      <c r="I259">
        <v>1</v>
      </c>
      <c r="J259" t="s">
        <v>64</v>
      </c>
      <c r="K259">
        <v>59</v>
      </c>
      <c r="L259">
        <v>56</v>
      </c>
      <c r="M259">
        <v>87</v>
      </c>
      <c r="N259">
        <v>97</v>
      </c>
      <c r="O259">
        <v>62</v>
      </c>
      <c r="P259">
        <v>74</v>
      </c>
      <c r="Q259">
        <v>61</v>
      </c>
      <c r="R259">
        <f>SUM(student_scores[[#This Row],[math_score]:[geography_score]])</f>
        <v>496</v>
      </c>
      <c r="S259" s="3">
        <f>student_scores[[#This Row],[Total_Score]]/7</f>
        <v>70.857142857142861</v>
      </c>
      <c r="T259" s="3" t="str" cm="1">
        <f t="array" ref="T259">_xlfn.IFS(student_scores[[#This Row],[weekly_self_study_hours]]&lt;=5,   "0 - 5", student_scores[[#This Row],[weekly_self_study_hours]]&lt;=10,  "6 - 10", student_scores[[#This Row],[weekly_self_study_hours]]&lt;=20,  "11 - 20",student_scores[[#This Row],[weekly_self_study_hours]]&lt;=30, "21 - 30",TRUE, "31+")</f>
        <v>0 - 5</v>
      </c>
      <c r="U259" t="str" cm="1">
        <f t="array" ref="U259">_xlfn.IFS(student_scores[[#This Row],[absence_days]]=0,"0", student_scores[[#This Row],[absence_days]]&lt;=3,"1-3", student_scores[[#This Row],[absence_days]]&lt;=6,"4-6", TRUE,"7-10")</f>
        <v>7-10</v>
      </c>
      <c r="V259" t="str">
        <f>IF(student_scores[[#This Row],[Total_Score]] &gt;= _xlfn.PERCENTILE.INC(student_scores[Total_Score], 0.8), "Yes", "No")</f>
        <v>No</v>
      </c>
    </row>
    <row r="260" spans="1:22" x14ac:dyDescent="0.35">
      <c r="A260">
        <v>259</v>
      </c>
      <c r="B260" t="s">
        <v>650</v>
      </c>
      <c r="C260" t="s">
        <v>651</v>
      </c>
      <c r="D260" t="s">
        <v>652</v>
      </c>
      <c r="E260" t="s">
        <v>25</v>
      </c>
      <c r="F260" t="b">
        <v>0</v>
      </c>
      <c r="G260">
        <v>9</v>
      </c>
      <c r="H260" t="b">
        <v>1</v>
      </c>
      <c r="I260">
        <v>0</v>
      </c>
      <c r="J260" t="s">
        <v>64</v>
      </c>
      <c r="K260">
        <v>78</v>
      </c>
      <c r="L260">
        <v>71</v>
      </c>
      <c r="M260">
        <v>73</v>
      </c>
      <c r="N260">
        <v>51</v>
      </c>
      <c r="O260">
        <v>80</v>
      </c>
      <c r="P260">
        <v>84</v>
      </c>
      <c r="Q260">
        <v>65</v>
      </c>
      <c r="R260">
        <f>SUM(student_scores[[#This Row],[math_score]:[geography_score]])</f>
        <v>502</v>
      </c>
      <c r="S260" s="3">
        <f>student_scores[[#This Row],[Total_Score]]/7</f>
        <v>71.714285714285708</v>
      </c>
      <c r="T260" s="3" t="str" cm="1">
        <f t="array" ref="T260">_xlfn.IFS(student_scores[[#This Row],[weekly_self_study_hours]]&lt;=5,   "0 - 5", student_scores[[#This Row],[weekly_self_study_hours]]&lt;=10,  "6 - 10", student_scores[[#This Row],[weekly_self_study_hours]]&lt;=20,  "11 - 20",student_scores[[#This Row],[weekly_self_study_hours]]&lt;=30, "21 - 30",TRUE, "31+")</f>
        <v>0 - 5</v>
      </c>
      <c r="U260" t="str" cm="1">
        <f t="array" ref="U260">_xlfn.IFS(student_scores[[#This Row],[absence_days]]=0,"0", student_scores[[#This Row],[absence_days]]&lt;=3,"1-3", student_scores[[#This Row],[absence_days]]&lt;=6,"4-6", TRUE,"7-10")</f>
        <v>7-10</v>
      </c>
      <c r="V260" t="str">
        <f>IF(student_scores[[#This Row],[Total_Score]] &gt;= _xlfn.PERCENTILE.INC(student_scores[Total_Score], 0.8), "Yes", "No")</f>
        <v>No</v>
      </c>
    </row>
    <row r="261" spans="1:22" x14ac:dyDescent="0.35">
      <c r="A261">
        <v>260</v>
      </c>
      <c r="B261" t="s">
        <v>641</v>
      </c>
      <c r="C261" t="s">
        <v>653</v>
      </c>
      <c r="D261" t="s">
        <v>654</v>
      </c>
      <c r="E261" t="s">
        <v>20</v>
      </c>
      <c r="F261" t="b">
        <v>0</v>
      </c>
      <c r="G261">
        <v>2</v>
      </c>
      <c r="H261" t="b">
        <v>0</v>
      </c>
      <c r="I261">
        <v>12</v>
      </c>
      <c r="J261" t="s">
        <v>138</v>
      </c>
      <c r="K261">
        <v>89</v>
      </c>
      <c r="L261">
        <v>65</v>
      </c>
      <c r="M261">
        <v>82</v>
      </c>
      <c r="N261">
        <v>65</v>
      </c>
      <c r="O261">
        <v>76</v>
      </c>
      <c r="P261">
        <v>95</v>
      </c>
      <c r="Q261">
        <v>62</v>
      </c>
      <c r="R261">
        <f>SUM(student_scores[[#This Row],[math_score]:[geography_score]])</f>
        <v>534</v>
      </c>
      <c r="S261" s="3">
        <f>student_scores[[#This Row],[Total_Score]]/7</f>
        <v>76.285714285714292</v>
      </c>
      <c r="T261" s="3" t="str" cm="1">
        <f t="array" ref="T261">_xlfn.IFS(student_scores[[#This Row],[weekly_self_study_hours]]&lt;=5,   "0 - 5", student_scores[[#This Row],[weekly_self_study_hours]]&lt;=10,  "6 - 10", student_scores[[#This Row],[weekly_self_study_hours]]&lt;=20,  "11 - 20",student_scores[[#This Row],[weekly_self_study_hours]]&lt;=30, "21 - 30",TRUE, "31+")</f>
        <v>11 - 20</v>
      </c>
      <c r="U261" t="str" cm="1">
        <f t="array" ref="U261">_xlfn.IFS(student_scores[[#This Row],[absence_days]]=0,"0", student_scores[[#This Row],[absence_days]]&lt;=3,"1-3", student_scores[[#This Row],[absence_days]]&lt;=6,"4-6", TRUE,"7-10")</f>
        <v>1-3</v>
      </c>
      <c r="V261" t="str">
        <f>IF(student_scores[[#This Row],[Total_Score]] &gt;= _xlfn.PERCENTILE.INC(student_scores[Total_Score], 0.8), "Yes", "No")</f>
        <v>No</v>
      </c>
    </row>
    <row r="262" spans="1:22" x14ac:dyDescent="0.35">
      <c r="A262">
        <v>261</v>
      </c>
      <c r="B262" t="s">
        <v>655</v>
      </c>
      <c r="C262" t="s">
        <v>286</v>
      </c>
      <c r="D262" t="s">
        <v>656</v>
      </c>
      <c r="E262" t="s">
        <v>25</v>
      </c>
      <c r="F262" t="b">
        <v>0</v>
      </c>
      <c r="G262">
        <v>3</v>
      </c>
      <c r="H262" t="b">
        <v>0</v>
      </c>
      <c r="I262">
        <v>35</v>
      </c>
      <c r="J262" t="s">
        <v>44</v>
      </c>
      <c r="K262">
        <v>86</v>
      </c>
      <c r="L262">
        <v>91</v>
      </c>
      <c r="M262">
        <v>92</v>
      </c>
      <c r="N262">
        <v>96</v>
      </c>
      <c r="O262">
        <v>90</v>
      </c>
      <c r="P262">
        <v>96</v>
      </c>
      <c r="Q262">
        <v>90</v>
      </c>
      <c r="R262">
        <f>SUM(student_scores[[#This Row],[math_score]:[geography_score]])</f>
        <v>641</v>
      </c>
      <c r="S262" s="3">
        <f>student_scores[[#This Row],[Total_Score]]/7</f>
        <v>91.571428571428569</v>
      </c>
      <c r="T262" s="3" t="str" cm="1">
        <f t="array" ref="T262">_xlfn.IFS(student_scores[[#This Row],[weekly_self_study_hours]]&lt;=5,   "0 - 5", student_scores[[#This Row],[weekly_self_study_hours]]&lt;=10,  "6 - 10", student_scores[[#This Row],[weekly_self_study_hours]]&lt;=20,  "11 - 20",student_scores[[#This Row],[weekly_self_study_hours]]&lt;=30, "21 - 30",TRUE, "31+")</f>
        <v>31+</v>
      </c>
      <c r="U262" t="str" cm="1">
        <f t="array" ref="U262">_xlfn.IFS(student_scores[[#This Row],[absence_days]]=0,"0", student_scores[[#This Row],[absence_days]]&lt;=3,"1-3", student_scores[[#This Row],[absence_days]]&lt;=6,"4-6", TRUE,"7-10")</f>
        <v>1-3</v>
      </c>
      <c r="V262" t="str">
        <f>IF(student_scores[[#This Row],[Total_Score]] &gt;= _xlfn.PERCENTILE.INC(student_scores[Total_Score], 0.8), "Yes", "No")</f>
        <v>Yes</v>
      </c>
    </row>
    <row r="263" spans="1:22" x14ac:dyDescent="0.35">
      <c r="A263">
        <v>262</v>
      </c>
      <c r="B263" t="s">
        <v>145</v>
      </c>
      <c r="C263" t="s">
        <v>551</v>
      </c>
      <c r="D263" t="s">
        <v>657</v>
      </c>
      <c r="E263" t="s">
        <v>20</v>
      </c>
      <c r="F263" t="b">
        <v>0</v>
      </c>
      <c r="G263">
        <v>4</v>
      </c>
      <c r="H263" t="b">
        <v>0</v>
      </c>
      <c r="I263">
        <v>2</v>
      </c>
      <c r="J263" t="s">
        <v>34</v>
      </c>
      <c r="K263">
        <v>76</v>
      </c>
      <c r="L263">
        <v>93</v>
      </c>
      <c r="M263">
        <v>65</v>
      </c>
      <c r="N263">
        <v>95</v>
      </c>
      <c r="O263">
        <v>76</v>
      </c>
      <c r="P263">
        <v>88</v>
      </c>
      <c r="Q263">
        <v>88</v>
      </c>
      <c r="R263">
        <f>SUM(student_scores[[#This Row],[math_score]:[geography_score]])</f>
        <v>581</v>
      </c>
      <c r="S263" s="3">
        <f>student_scores[[#This Row],[Total_Score]]/7</f>
        <v>83</v>
      </c>
      <c r="T263" s="3" t="str" cm="1">
        <f t="array" ref="T263">_xlfn.IFS(student_scores[[#This Row],[weekly_self_study_hours]]&lt;=5,   "0 - 5", student_scores[[#This Row],[weekly_self_study_hours]]&lt;=10,  "6 - 10", student_scores[[#This Row],[weekly_self_study_hours]]&lt;=20,  "11 - 20",student_scores[[#This Row],[weekly_self_study_hours]]&lt;=30, "21 - 30",TRUE, "31+")</f>
        <v>0 - 5</v>
      </c>
      <c r="U263" t="str" cm="1">
        <f t="array" ref="U263">_xlfn.IFS(student_scores[[#This Row],[absence_days]]=0,"0", student_scores[[#This Row],[absence_days]]&lt;=3,"1-3", student_scores[[#This Row],[absence_days]]&lt;=6,"4-6", TRUE,"7-10")</f>
        <v>4-6</v>
      </c>
      <c r="V263" t="str">
        <f>IF(student_scores[[#This Row],[Total_Score]] &gt;= _xlfn.PERCENTILE.INC(student_scores[Total_Score], 0.8), "Yes", "No")</f>
        <v>No</v>
      </c>
    </row>
    <row r="264" spans="1:22" x14ac:dyDescent="0.35">
      <c r="A264">
        <v>263</v>
      </c>
      <c r="B264" t="s">
        <v>446</v>
      </c>
      <c r="C264" t="s">
        <v>658</v>
      </c>
      <c r="D264" t="s">
        <v>659</v>
      </c>
      <c r="E264" t="s">
        <v>20</v>
      </c>
      <c r="F264" t="b">
        <v>1</v>
      </c>
      <c r="G264">
        <v>2</v>
      </c>
      <c r="H264" t="b">
        <v>0</v>
      </c>
      <c r="I264">
        <v>16</v>
      </c>
      <c r="J264" t="s">
        <v>38</v>
      </c>
      <c r="K264">
        <v>79</v>
      </c>
      <c r="L264">
        <v>68</v>
      </c>
      <c r="M264">
        <v>63</v>
      </c>
      <c r="N264">
        <v>72</v>
      </c>
      <c r="O264">
        <v>81</v>
      </c>
      <c r="P264">
        <v>67</v>
      </c>
      <c r="Q264">
        <v>67</v>
      </c>
      <c r="R264">
        <f>SUM(student_scores[[#This Row],[math_score]:[geography_score]])</f>
        <v>497</v>
      </c>
      <c r="S264" s="3">
        <f>student_scores[[#This Row],[Total_Score]]/7</f>
        <v>71</v>
      </c>
      <c r="T264" s="3" t="str" cm="1">
        <f t="array" ref="T264">_xlfn.IFS(student_scores[[#This Row],[weekly_self_study_hours]]&lt;=5,   "0 - 5", student_scores[[#This Row],[weekly_self_study_hours]]&lt;=10,  "6 - 10", student_scores[[#This Row],[weekly_self_study_hours]]&lt;=20,  "11 - 20",student_scores[[#This Row],[weekly_self_study_hours]]&lt;=30, "21 - 30",TRUE, "31+")</f>
        <v>11 - 20</v>
      </c>
      <c r="U264" t="str" cm="1">
        <f t="array" ref="U264">_xlfn.IFS(student_scores[[#This Row],[absence_days]]=0,"0", student_scores[[#This Row],[absence_days]]&lt;=3,"1-3", student_scores[[#This Row],[absence_days]]&lt;=6,"4-6", TRUE,"7-10")</f>
        <v>1-3</v>
      </c>
      <c r="V264" t="str">
        <f>IF(student_scores[[#This Row],[Total_Score]] &gt;= _xlfn.PERCENTILE.INC(student_scores[Total_Score], 0.8), "Yes", "No")</f>
        <v>No</v>
      </c>
    </row>
    <row r="265" spans="1:22" x14ac:dyDescent="0.35">
      <c r="A265">
        <v>264</v>
      </c>
      <c r="B265" t="s">
        <v>388</v>
      </c>
      <c r="C265" t="s">
        <v>660</v>
      </c>
      <c r="D265" t="s">
        <v>661</v>
      </c>
      <c r="E265" t="s">
        <v>25</v>
      </c>
      <c r="F265" t="b">
        <v>0</v>
      </c>
      <c r="G265">
        <v>3</v>
      </c>
      <c r="H265" t="b">
        <v>0</v>
      </c>
      <c r="I265">
        <v>31</v>
      </c>
      <c r="J265" t="s">
        <v>21</v>
      </c>
      <c r="K265">
        <v>91</v>
      </c>
      <c r="L265">
        <v>96</v>
      </c>
      <c r="M265">
        <v>77</v>
      </c>
      <c r="N265">
        <v>76</v>
      </c>
      <c r="O265">
        <v>80</v>
      </c>
      <c r="P265">
        <v>97</v>
      </c>
      <c r="Q265">
        <v>80</v>
      </c>
      <c r="R265">
        <f>SUM(student_scores[[#This Row],[math_score]:[geography_score]])</f>
        <v>597</v>
      </c>
      <c r="S265" s="3">
        <f>student_scores[[#This Row],[Total_Score]]/7</f>
        <v>85.285714285714292</v>
      </c>
      <c r="T265" s="3" t="str" cm="1">
        <f t="array" ref="T265">_xlfn.IFS(student_scores[[#This Row],[weekly_self_study_hours]]&lt;=5,   "0 - 5", student_scores[[#This Row],[weekly_self_study_hours]]&lt;=10,  "6 - 10", student_scores[[#This Row],[weekly_self_study_hours]]&lt;=20,  "11 - 20",student_scores[[#This Row],[weekly_self_study_hours]]&lt;=30, "21 - 30",TRUE, "31+")</f>
        <v>31+</v>
      </c>
      <c r="U265" t="str" cm="1">
        <f t="array" ref="U265">_xlfn.IFS(student_scores[[#This Row],[absence_days]]=0,"0", student_scores[[#This Row],[absence_days]]&lt;=3,"1-3", student_scores[[#This Row],[absence_days]]&lt;=6,"4-6", TRUE,"7-10")</f>
        <v>1-3</v>
      </c>
      <c r="V265" t="str">
        <f>IF(student_scores[[#This Row],[Total_Score]] &gt;= _xlfn.PERCENTILE.INC(student_scores[Total_Score], 0.8), "Yes", "No")</f>
        <v>No</v>
      </c>
    </row>
    <row r="266" spans="1:22" x14ac:dyDescent="0.35">
      <c r="A266">
        <v>265</v>
      </c>
      <c r="B266" t="s">
        <v>266</v>
      </c>
      <c r="C266" t="s">
        <v>118</v>
      </c>
      <c r="D266" t="s">
        <v>662</v>
      </c>
      <c r="E266" t="s">
        <v>20</v>
      </c>
      <c r="F266" t="b">
        <v>0</v>
      </c>
      <c r="G266">
        <v>5</v>
      </c>
      <c r="H266" t="b">
        <v>0</v>
      </c>
      <c r="I266">
        <v>4</v>
      </c>
      <c r="J266" t="s">
        <v>64</v>
      </c>
      <c r="K266">
        <v>89</v>
      </c>
      <c r="L266">
        <v>66</v>
      </c>
      <c r="M266">
        <v>80</v>
      </c>
      <c r="N266">
        <v>77</v>
      </c>
      <c r="O266">
        <v>60</v>
      </c>
      <c r="P266">
        <v>88</v>
      </c>
      <c r="Q266">
        <v>74</v>
      </c>
      <c r="R266">
        <f>SUM(student_scores[[#This Row],[math_score]:[geography_score]])</f>
        <v>534</v>
      </c>
      <c r="S266" s="3">
        <f>student_scores[[#This Row],[Total_Score]]/7</f>
        <v>76.285714285714292</v>
      </c>
      <c r="T266" s="3" t="str" cm="1">
        <f t="array" ref="T266">_xlfn.IFS(student_scores[[#This Row],[weekly_self_study_hours]]&lt;=5,   "0 - 5", student_scores[[#This Row],[weekly_self_study_hours]]&lt;=10,  "6 - 10", student_scores[[#This Row],[weekly_self_study_hours]]&lt;=20,  "11 - 20",student_scores[[#This Row],[weekly_self_study_hours]]&lt;=30, "21 - 30",TRUE, "31+")</f>
        <v>0 - 5</v>
      </c>
      <c r="U266" t="str" cm="1">
        <f t="array" ref="U266">_xlfn.IFS(student_scores[[#This Row],[absence_days]]=0,"0", student_scores[[#This Row],[absence_days]]&lt;=3,"1-3", student_scores[[#This Row],[absence_days]]&lt;=6,"4-6", TRUE,"7-10")</f>
        <v>4-6</v>
      </c>
      <c r="V266" t="str">
        <f>IF(student_scores[[#This Row],[Total_Score]] &gt;= _xlfn.PERCENTILE.INC(student_scores[Total_Score], 0.8), "Yes", "No")</f>
        <v>No</v>
      </c>
    </row>
    <row r="267" spans="1:22" x14ac:dyDescent="0.35">
      <c r="A267">
        <v>266</v>
      </c>
      <c r="B267" t="s">
        <v>402</v>
      </c>
      <c r="C267" t="s">
        <v>663</v>
      </c>
      <c r="D267" t="s">
        <v>664</v>
      </c>
      <c r="E267" t="s">
        <v>20</v>
      </c>
      <c r="F267" t="b">
        <v>0</v>
      </c>
      <c r="G267">
        <v>3</v>
      </c>
      <c r="H267" t="b">
        <v>0</v>
      </c>
      <c r="I267">
        <v>19</v>
      </c>
      <c r="J267" t="s">
        <v>38</v>
      </c>
      <c r="K267">
        <v>97</v>
      </c>
      <c r="L267">
        <v>94</v>
      </c>
      <c r="M267">
        <v>81</v>
      </c>
      <c r="N267">
        <v>97</v>
      </c>
      <c r="O267">
        <v>79</v>
      </c>
      <c r="P267">
        <v>86</v>
      </c>
      <c r="Q267">
        <v>63</v>
      </c>
      <c r="R267">
        <f>SUM(student_scores[[#This Row],[math_score]:[geography_score]])</f>
        <v>597</v>
      </c>
      <c r="S267" s="3">
        <f>student_scores[[#This Row],[Total_Score]]/7</f>
        <v>85.285714285714292</v>
      </c>
      <c r="T267" s="3" t="str" cm="1">
        <f t="array" ref="T267">_xlfn.IFS(student_scores[[#This Row],[weekly_self_study_hours]]&lt;=5,   "0 - 5", student_scores[[#This Row],[weekly_self_study_hours]]&lt;=10,  "6 - 10", student_scores[[#This Row],[weekly_self_study_hours]]&lt;=20,  "11 - 20",student_scores[[#This Row],[weekly_self_study_hours]]&lt;=30, "21 - 30",TRUE, "31+")</f>
        <v>11 - 20</v>
      </c>
      <c r="U267" t="str" cm="1">
        <f t="array" ref="U267">_xlfn.IFS(student_scores[[#This Row],[absence_days]]=0,"0", student_scores[[#This Row],[absence_days]]&lt;=3,"1-3", student_scores[[#This Row],[absence_days]]&lt;=6,"4-6", TRUE,"7-10")</f>
        <v>1-3</v>
      </c>
      <c r="V267" t="str">
        <f>IF(student_scores[[#This Row],[Total_Score]] &gt;= _xlfn.PERCENTILE.INC(student_scores[Total_Score], 0.8), "Yes", "No")</f>
        <v>No</v>
      </c>
    </row>
    <row r="268" spans="1:22" x14ac:dyDescent="0.35">
      <c r="A268">
        <v>267</v>
      </c>
      <c r="B268" t="s">
        <v>61</v>
      </c>
      <c r="C268" t="s">
        <v>332</v>
      </c>
      <c r="D268" t="s">
        <v>665</v>
      </c>
      <c r="E268" t="s">
        <v>25</v>
      </c>
      <c r="F268" t="b">
        <v>0</v>
      </c>
      <c r="G268">
        <v>3</v>
      </c>
      <c r="H268" t="b">
        <v>1</v>
      </c>
      <c r="I268">
        <v>15</v>
      </c>
      <c r="J268" t="s">
        <v>105</v>
      </c>
      <c r="K268">
        <v>100</v>
      </c>
      <c r="L268">
        <v>86</v>
      </c>
      <c r="M268">
        <v>74</v>
      </c>
      <c r="N268">
        <v>96</v>
      </c>
      <c r="O268">
        <v>80</v>
      </c>
      <c r="P268">
        <v>99</v>
      </c>
      <c r="Q268">
        <v>76</v>
      </c>
      <c r="R268">
        <f>SUM(student_scores[[#This Row],[math_score]:[geography_score]])</f>
        <v>611</v>
      </c>
      <c r="S268" s="3">
        <f>student_scores[[#This Row],[Total_Score]]/7</f>
        <v>87.285714285714292</v>
      </c>
      <c r="T268" s="3" t="str" cm="1">
        <f t="array" ref="T268">_xlfn.IFS(student_scores[[#This Row],[weekly_self_study_hours]]&lt;=5,   "0 - 5", student_scores[[#This Row],[weekly_self_study_hours]]&lt;=10,  "6 - 10", student_scores[[#This Row],[weekly_self_study_hours]]&lt;=20,  "11 - 20",student_scores[[#This Row],[weekly_self_study_hours]]&lt;=30, "21 - 30",TRUE, "31+")</f>
        <v>11 - 20</v>
      </c>
      <c r="U268" t="str" cm="1">
        <f t="array" ref="U268">_xlfn.IFS(student_scores[[#This Row],[absence_days]]=0,"0", student_scores[[#This Row],[absence_days]]&lt;=3,"1-3", student_scores[[#This Row],[absence_days]]&lt;=6,"4-6", TRUE,"7-10")</f>
        <v>1-3</v>
      </c>
      <c r="V268" t="str">
        <f>IF(student_scores[[#This Row],[Total_Score]] &gt;= _xlfn.PERCENTILE.INC(student_scores[Total_Score], 0.8), "Yes", "No")</f>
        <v>Yes</v>
      </c>
    </row>
    <row r="269" spans="1:22" x14ac:dyDescent="0.35">
      <c r="A269">
        <v>268</v>
      </c>
      <c r="B269" t="s">
        <v>666</v>
      </c>
      <c r="C269" t="s">
        <v>667</v>
      </c>
      <c r="D269" t="s">
        <v>668</v>
      </c>
      <c r="E269" t="s">
        <v>25</v>
      </c>
      <c r="F269" t="b">
        <v>0</v>
      </c>
      <c r="G269">
        <v>1</v>
      </c>
      <c r="H269" t="b">
        <v>0</v>
      </c>
      <c r="I269">
        <v>30</v>
      </c>
      <c r="J269" t="s">
        <v>26</v>
      </c>
      <c r="K269">
        <v>96</v>
      </c>
      <c r="L269">
        <v>68</v>
      </c>
      <c r="M269">
        <v>87</v>
      </c>
      <c r="N269">
        <v>96</v>
      </c>
      <c r="O269">
        <v>91</v>
      </c>
      <c r="P269">
        <v>68</v>
      </c>
      <c r="Q269">
        <v>65</v>
      </c>
      <c r="R269">
        <f>SUM(student_scores[[#This Row],[math_score]:[geography_score]])</f>
        <v>571</v>
      </c>
      <c r="S269" s="3">
        <f>student_scores[[#This Row],[Total_Score]]/7</f>
        <v>81.571428571428569</v>
      </c>
      <c r="T269" s="3" t="str" cm="1">
        <f t="array" ref="T269">_xlfn.IFS(student_scores[[#This Row],[weekly_self_study_hours]]&lt;=5,   "0 - 5", student_scores[[#This Row],[weekly_self_study_hours]]&lt;=10,  "6 - 10", student_scores[[#This Row],[weekly_self_study_hours]]&lt;=20,  "11 - 20",student_scores[[#This Row],[weekly_self_study_hours]]&lt;=30, "21 - 30",TRUE, "31+")</f>
        <v>21 - 30</v>
      </c>
      <c r="U269" t="str" cm="1">
        <f t="array" ref="U269">_xlfn.IFS(student_scores[[#This Row],[absence_days]]=0,"0", student_scores[[#This Row],[absence_days]]&lt;=3,"1-3", student_scores[[#This Row],[absence_days]]&lt;=6,"4-6", TRUE,"7-10")</f>
        <v>1-3</v>
      </c>
      <c r="V269" t="str">
        <f>IF(student_scores[[#This Row],[Total_Score]] &gt;= _xlfn.PERCENTILE.INC(student_scores[Total_Score], 0.8), "Yes", "No")</f>
        <v>No</v>
      </c>
    </row>
    <row r="270" spans="1:22" x14ac:dyDescent="0.35">
      <c r="A270">
        <v>269</v>
      </c>
      <c r="B270" t="s">
        <v>493</v>
      </c>
      <c r="C270" t="s">
        <v>669</v>
      </c>
      <c r="D270" t="s">
        <v>670</v>
      </c>
      <c r="E270" t="s">
        <v>25</v>
      </c>
      <c r="F270" t="b">
        <v>0</v>
      </c>
      <c r="G270">
        <v>7</v>
      </c>
      <c r="H270" t="b">
        <v>0</v>
      </c>
      <c r="I270">
        <v>17</v>
      </c>
      <c r="J270" t="s">
        <v>105</v>
      </c>
      <c r="K270">
        <v>94</v>
      </c>
      <c r="L270">
        <v>64</v>
      </c>
      <c r="M270">
        <v>100</v>
      </c>
      <c r="N270">
        <v>71</v>
      </c>
      <c r="O270">
        <v>84</v>
      </c>
      <c r="P270">
        <v>92</v>
      </c>
      <c r="Q270">
        <v>99</v>
      </c>
      <c r="R270">
        <f>SUM(student_scores[[#This Row],[math_score]:[geography_score]])</f>
        <v>604</v>
      </c>
      <c r="S270" s="3">
        <f>student_scores[[#This Row],[Total_Score]]/7</f>
        <v>86.285714285714292</v>
      </c>
      <c r="T270" s="3" t="str" cm="1">
        <f t="array" ref="T270">_xlfn.IFS(student_scores[[#This Row],[weekly_self_study_hours]]&lt;=5,   "0 - 5", student_scores[[#This Row],[weekly_self_study_hours]]&lt;=10,  "6 - 10", student_scores[[#This Row],[weekly_self_study_hours]]&lt;=20,  "11 - 20",student_scores[[#This Row],[weekly_self_study_hours]]&lt;=30, "21 - 30",TRUE, "31+")</f>
        <v>11 - 20</v>
      </c>
      <c r="U270" t="str" cm="1">
        <f t="array" ref="U270">_xlfn.IFS(student_scores[[#This Row],[absence_days]]=0,"0", student_scores[[#This Row],[absence_days]]&lt;=3,"1-3", student_scores[[#This Row],[absence_days]]&lt;=6,"4-6", TRUE,"7-10")</f>
        <v>7-10</v>
      </c>
      <c r="V270" t="str">
        <f>IF(student_scores[[#This Row],[Total_Score]] &gt;= _xlfn.PERCENTILE.INC(student_scores[Total_Score], 0.8), "Yes", "No")</f>
        <v>Yes</v>
      </c>
    </row>
    <row r="271" spans="1:22" x14ac:dyDescent="0.35">
      <c r="A271">
        <v>270</v>
      </c>
      <c r="B271" t="s">
        <v>193</v>
      </c>
      <c r="C271" t="s">
        <v>671</v>
      </c>
      <c r="D271" t="s">
        <v>672</v>
      </c>
      <c r="E271" t="s">
        <v>25</v>
      </c>
      <c r="F271" t="b">
        <v>0</v>
      </c>
      <c r="G271">
        <v>2</v>
      </c>
      <c r="H271" t="b">
        <v>0</v>
      </c>
      <c r="I271">
        <v>23</v>
      </c>
      <c r="J271" t="s">
        <v>44</v>
      </c>
      <c r="K271">
        <v>98</v>
      </c>
      <c r="L271">
        <v>68</v>
      </c>
      <c r="M271">
        <v>80</v>
      </c>
      <c r="N271">
        <v>75</v>
      </c>
      <c r="O271">
        <v>80</v>
      </c>
      <c r="P271">
        <v>81</v>
      </c>
      <c r="Q271">
        <v>60</v>
      </c>
      <c r="R271">
        <f>SUM(student_scores[[#This Row],[math_score]:[geography_score]])</f>
        <v>542</v>
      </c>
      <c r="S271" s="3">
        <f>student_scores[[#This Row],[Total_Score]]/7</f>
        <v>77.428571428571431</v>
      </c>
      <c r="T271" s="3" t="str" cm="1">
        <f t="array" ref="T271">_xlfn.IFS(student_scores[[#This Row],[weekly_self_study_hours]]&lt;=5,   "0 - 5", student_scores[[#This Row],[weekly_self_study_hours]]&lt;=10,  "6 - 10", student_scores[[#This Row],[weekly_self_study_hours]]&lt;=20,  "11 - 20",student_scores[[#This Row],[weekly_self_study_hours]]&lt;=30, "21 - 30",TRUE, "31+")</f>
        <v>21 - 30</v>
      </c>
      <c r="U271" t="str" cm="1">
        <f t="array" ref="U271">_xlfn.IFS(student_scores[[#This Row],[absence_days]]=0,"0", student_scores[[#This Row],[absence_days]]&lt;=3,"1-3", student_scores[[#This Row],[absence_days]]&lt;=6,"4-6", TRUE,"7-10")</f>
        <v>1-3</v>
      </c>
      <c r="V271" t="str">
        <f>IF(student_scores[[#This Row],[Total_Score]] &gt;= _xlfn.PERCENTILE.INC(student_scores[Total_Score], 0.8), "Yes", "No")</f>
        <v>No</v>
      </c>
    </row>
    <row r="272" spans="1:22" x14ac:dyDescent="0.35">
      <c r="A272">
        <v>271</v>
      </c>
      <c r="B272" t="s">
        <v>197</v>
      </c>
      <c r="C272" t="s">
        <v>632</v>
      </c>
      <c r="D272" t="s">
        <v>673</v>
      </c>
      <c r="E272" t="s">
        <v>20</v>
      </c>
      <c r="F272" t="b">
        <v>0</v>
      </c>
      <c r="G272">
        <v>1</v>
      </c>
      <c r="H272" t="b">
        <v>0</v>
      </c>
      <c r="I272">
        <v>3</v>
      </c>
      <c r="J272" t="s">
        <v>64</v>
      </c>
      <c r="K272">
        <v>53</v>
      </c>
      <c r="L272">
        <v>71</v>
      </c>
      <c r="M272">
        <v>98</v>
      </c>
      <c r="N272">
        <v>95</v>
      </c>
      <c r="O272">
        <v>94</v>
      </c>
      <c r="P272">
        <v>71</v>
      </c>
      <c r="Q272">
        <v>77</v>
      </c>
      <c r="R272">
        <f>SUM(student_scores[[#This Row],[math_score]:[geography_score]])</f>
        <v>559</v>
      </c>
      <c r="S272" s="3">
        <f>student_scores[[#This Row],[Total_Score]]/7</f>
        <v>79.857142857142861</v>
      </c>
      <c r="T272" s="3" t="str" cm="1">
        <f t="array" ref="T272">_xlfn.IFS(student_scores[[#This Row],[weekly_self_study_hours]]&lt;=5,   "0 - 5", student_scores[[#This Row],[weekly_self_study_hours]]&lt;=10,  "6 - 10", student_scores[[#This Row],[weekly_self_study_hours]]&lt;=20,  "11 - 20",student_scores[[#This Row],[weekly_self_study_hours]]&lt;=30, "21 - 30",TRUE, "31+")</f>
        <v>0 - 5</v>
      </c>
      <c r="U272" t="str" cm="1">
        <f t="array" ref="U272">_xlfn.IFS(student_scores[[#This Row],[absence_days]]=0,"0", student_scores[[#This Row],[absence_days]]&lt;=3,"1-3", student_scores[[#This Row],[absence_days]]&lt;=6,"4-6", TRUE,"7-10")</f>
        <v>1-3</v>
      </c>
      <c r="V272" t="str">
        <f>IF(student_scores[[#This Row],[Total_Score]] &gt;= _xlfn.PERCENTILE.INC(student_scores[Total_Score], 0.8), "Yes", "No")</f>
        <v>No</v>
      </c>
    </row>
    <row r="273" spans="1:22" x14ac:dyDescent="0.35">
      <c r="A273">
        <v>272</v>
      </c>
      <c r="B273" t="s">
        <v>193</v>
      </c>
      <c r="C273" t="s">
        <v>674</v>
      </c>
      <c r="D273" t="s">
        <v>675</v>
      </c>
      <c r="E273" t="s">
        <v>25</v>
      </c>
      <c r="F273" t="b">
        <v>0</v>
      </c>
      <c r="G273">
        <v>7</v>
      </c>
      <c r="H273" t="b">
        <v>0</v>
      </c>
      <c r="I273">
        <v>4</v>
      </c>
      <c r="J273" t="s">
        <v>64</v>
      </c>
      <c r="K273">
        <v>44</v>
      </c>
      <c r="L273">
        <v>64</v>
      </c>
      <c r="M273">
        <v>58</v>
      </c>
      <c r="N273">
        <v>66</v>
      </c>
      <c r="O273">
        <v>87</v>
      </c>
      <c r="P273">
        <v>62</v>
      </c>
      <c r="Q273">
        <v>68</v>
      </c>
      <c r="R273">
        <f>SUM(student_scores[[#This Row],[math_score]:[geography_score]])</f>
        <v>449</v>
      </c>
      <c r="S273" s="3">
        <f>student_scores[[#This Row],[Total_Score]]/7</f>
        <v>64.142857142857139</v>
      </c>
      <c r="T273" s="3" t="str" cm="1">
        <f t="array" ref="T273">_xlfn.IFS(student_scores[[#This Row],[weekly_self_study_hours]]&lt;=5,   "0 - 5", student_scores[[#This Row],[weekly_self_study_hours]]&lt;=10,  "6 - 10", student_scores[[#This Row],[weekly_self_study_hours]]&lt;=20,  "11 - 20",student_scores[[#This Row],[weekly_self_study_hours]]&lt;=30, "21 - 30",TRUE, "31+")</f>
        <v>0 - 5</v>
      </c>
      <c r="U273" t="str" cm="1">
        <f t="array" ref="U273">_xlfn.IFS(student_scores[[#This Row],[absence_days]]=0,"0", student_scores[[#This Row],[absence_days]]&lt;=3,"1-3", student_scores[[#This Row],[absence_days]]&lt;=6,"4-6", TRUE,"7-10")</f>
        <v>7-10</v>
      </c>
      <c r="V273" t="str">
        <f>IF(student_scores[[#This Row],[Total_Score]] &gt;= _xlfn.PERCENTILE.INC(student_scores[Total_Score], 0.8), "Yes", "No")</f>
        <v>No</v>
      </c>
    </row>
    <row r="274" spans="1:22" x14ac:dyDescent="0.35">
      <c r="A274">
        <v>273</v>
      </c>
      <c r="B274" t="s">
        <v>676</v>
      </c>
      <c r="C274" t="s">
        <v>677</v>
      </c>
      <c r="D274" t="s">
        <v>678</v>
      </c>
      <c r="E274" t="s">
        <v>20</v>
      </c>
      <c r="F274" t="b">
        <v>0</v>
      </c>
      <c r="G274">
        <v>0</v>
      </c>
      <c r="H274" t="b">
        <v>0</v>
      </c>
      <c r="I274">
        <v>25</v>
      </c>
      <c r="J274" t="s">
        <v>38</v>
      </c>
      <c r="K274">
        <v>85</v>
      </c>
      <c r="L274">
        <v>70</v>
      </c>
      <c r="M274">
        <v>73</v>
      </c>
      <c r="N274">
        <v>95</v>
      </c>
      <c r="O274">
        <v>100</v>
      </c>
      <c r="P274">
        <v>70</v>
      </c>
      <c r="Q274">
        <v>94</v>
      </c>
      <c r="R274">
        <f>SUM(student_scores[[#This Row],[math_score]:[geography_score]])</f>
        <v>587</v>
      </c>
      <c r="S274" s="3">
        <f>student_scores[[#This Row],[Total_Score]]/7</f>
        <v>83.857142857142861</v>
      </c>
      <c r="T274" s="3" t="str" cm="1">
        <f t="array" ref="T274">_xlfn.IFS(student_scores[[#This Row],[weekly_self_study_hours]]&lt;=5,   "0 - 5", student_scores[[#This Row],[weekly_self_study_hours]]&lt;=10,  "6 - 10", student_scores[[#This Row],[weekly_self_study_hours]]&lt;=20,  "11 - 20",student_scores[[#This Row],[weekly_self_study_hours]]&lt;=30, "21 - 30",TRUE, "31+")</f>
        <v>21 - 30</v>
      </c>
      <c r="U274" t="str" cm="1">
        <f t="array" ref="U274">_xlfn.IFS(student_scores[[#This Row],[absence_days]]=0,"0", student_scores[[#This Row],[absence_days]]&lt;=3,"1-3", student_scores[[#This Row],[absence_days]]&lt;=6,"4-6", TRUE,"7-10")</f>
        <v>0</v>
      </c>
      <c r="V274" t="str">
        <f>IF(student_scores[[#This Row],[Total_Score]] &gt;= _xlfn.PERCENTILE.INC(student_scores[Total_Score], 0.8), "Yes", "No")</f>
        <v>No</v>
      </c>
    </row>
    <row r="275" spans="1:22" x14ac:dyDescent="0.35">
      <c r="A275">
        <v>274</v>
      </c>
      <c r="B275" t="s">
        <v>35</v>
      </c>
      <c r="C275" t="s">
        <v>143</v>
      </c>
      <c r="D275" t="s">
        <v>679</v>
      </c>
      <c r="E275" t="s">
        <v>20</v>
      </c>
      <c r="F275" t="b">
        <v>1</v>
      </c>
      <c r="G275">
        <v>10</v>
      </c>
      <c r="H275" t="b">
        <v>0</v>
      </c>
      <c r="I275">
        <v>1</v>
      </c>
      <c r="J275" t="s">
        <v>64</v>
      </c>
      <c r="K275">
        <v>51</v>
      </c>
      <c r="L275">
        <v>91</v>
      </c>
      <c r="M275">
        <v>67</v>
      </c>
      <c r="N275">
        <v>79</v>
      </c>
      <c r="O275">
        <v>58</v>
      </c>
      <c r="P275">
        <v>52</v>
      </c>
      <c r="Q275">
        <v>75</v>
      </c>
      <c r="R275">
        <f>SUM(student_scores[[#This Row],[math_score]:[geography_score]])</f>
        <v>473</v>
      </c>
      <c r="S275" s="3">
        <f>student_scores[[#This Row],[Total_Score]]/7</f>
        <v>67.571428571428569</v>
      </c>
      <c r="T275" s="3" t="str" cm="1">
        <f t="array" ref="T275">_xlfn.IFS(student_scores[[#This Row],[weekly_self_study_hours]]&lt;=5,   "0 - 5", student_scores[[#This Row],[weekly_self_study_hours]]&lt;=10,  "6 - 10", student_scores[[#This Row],[weekly_self_study_hours]]&lt;=20,  "11 - 20",student_scores[[#This Row],[weekly_self_study_hours]]&lt;=30, "21 - 30",TRUE, "31+")</f>
        <v>0 - 5</v>
      </c>
      <c r="U275" t="str" cm="1">
        <f t="array" ref="U275">_xlfn.IFS(student_scores[[#This Row],[absence_days]]=0,"0", student_scores[[#This Row],[absence_days]]&lt;=3,"1-3", student_scores[[#This Row],[absence_days]]&lt;=6,"4-6", TRUE,"7-10")</f>
        <v>7-10</v>
      </c>
      <c r="V275" t="str">
        <f>IF(student_scores[[#This Row],[Total_Score]] &gt;= _xlfn.PERCENTILE.INC(student_scores[Total_Score], 0.8), "Yes", "No")</f>
        <v>No</v>
      </c>
    </row>
    <row r="276" spans="1:22" x14ac:dyDescent="0.35">
      <c r="A276">
        <v>275</v>
      </c>
      <c r="B276" t="s">
        <v>680</v>
      </c>
      <c r="C276" t="s">
        <v>423</v>
      </c>
      <c r="D276" t="s">
        <v>681</v>
      </c>
      <c r="E276" t="s">
        <v>20</v>
      </c>
      <c r="F276" t="b">
        <v>0</v>
      </c>
      <c r="G276">
        <v>1</v>
      </c>
      <c r="H276" t="b">
        <v>0</v>
      </c>
      <c r="I276">
        <v>24</v>
      </c>
      <c r="J276" t="s">
        <v>21</v>
      </c>
      <c r="K276">
        <v>90</v>
      </c>
      <c r="L276">
        <v>89</v>
      </c>
      <c r="M276">
        <v>82</v>
      </c>
      <c r="N276">
        <v>74</v>
      </c>
      <c r="O276">
        <v>67</v>
      </c>
      <c r="P276">
        <v>92</v>
      </c>
      <c r="Q276">
        <v>82</v>
      </c>
      <c r="R276">
        <f>SUM(student_scores[[#This Row],[math_score]:[geography_score]])</f>
        <v>576</v>
      </c>
      <c r="S276" s="3">
        <f>student_scores[[#This Row],[Total_Score]]/7</f>
        <v>82.285714285714292</v>
      </c>
      <c r="T276" s="3" t="str" cm="1">
        <f t="array" ref="T276">_xlfn.IFS(student_scores[[#This Row],[weekly_self_study_hours]]&lt;=5,   "0 - 5", student_scores[[#This Row],[weekly_self_study_hours]]&lt;=10,  "6 - 10", student_scores[[#This Row],[weekly_self_study_hours]]&lt;=20,  "11 - 20",student_scores[[#This Row],[weekly_self_study_hours]]&lt;=30, "21 - 30",TRUE, "31+")</f>
        <v>21 - 30</v>
      </c>
      <c r="U276" t="str" cm="1">
        <f t="array" ref="U276">_xlfn.IFS(student_scores[[#This Row],[absence_days]]=0,"0", student_scores[[#This Row],[absence_days]]&lt;=3,"1-3", student_scores[[#This Row],[absence_days]]&lt;=6,"4-6", TRUE,"7-10")</f>
        <v>1-3</v>
      </c>
      <c r="V276" t="str">
        <f>IF(student_scores[[#This Row],[Total_Score]] &gt;= _xlfn.PERCENTILE.INC(student_scores[Total_Score], 0.8), "Yes", "No")</f>
        <v>No</v>
      </c>
    </row>
    <row r="277" spans="1:22" x14ac:dyDescent="0.35">
      <c r="A277">
        <v>276</v>
      </c>
      <c r="B277" t="s">
        <v>283</v>
      </c>
      <c r="C277" t="s">
        <v>682</v>
      </c>
      <c r="D277" t="s">
        <v>683</v>
      </c>
      <c r="E277" t="s">
        <v>20</v>
      </c>
      <c r="F277" t="b">
        <v>0</v>
      </c>
      <c r="G277">
        <v>1</v>
      </c>
      <c r="H277" t="b">
        <v>0</v>
      </c>
      <c r="I277">
        <v>15</v>
      </c>
      <c r="J277" t="s">
        <v>44</v>
      </c>
      <c r="K277">
        <v>100</v>
      </c>
      <c r="L277">
        <v>92</v>
      </c>
      <c r="M277">
        <v>90</v>
      </c>
      <c r="N277">
        <v>66</v>
      </c>
      <c r="O277">
        <v>73</v>
      </c>
      <c r="P277">
        <v>68</v>
      </c>
      <c r="Q277">
        <v>70</v>
      </c>
      <c r="R277">
        <f>SUM(student_scores[[#This Row],[math_score]:[geography_score]])</f>
        <v>559</v>
      </c>
      <c r="S277" s="3">
        <f>student_scores[[#This Row],[Total_Score]]/7</f>
        <v>79.857142857142861</v>
      </c>
      <c r="T277" s="3" t="str" cm="1">
        <f t="array" ref="T277">_xlfn.IFS(student_scores[[#This Row],[weekly_self_study_hours]]&lt;=5,   "0 - 5", student_scores[[#This Row],[weekly_self_study_hours]]&lt;=10,  "6 - 10", student_scores[[#This Row],[weekly_self_study_hours]]&lt;=20,  "11 - 20",student_scores[[#This Row],[weekly_self_study_hours]]&lt;=30, "21 - 30",TRUE, "31+")</f>
        <v>11 - 20</v>
      </c>
      <c r="U277" t="str" cm="1">
        <f t="array" ref="U277">_xlfn.IFS(student_scores[[#This Row],[absence_days]]=0,"0", student_scores[[#This Row],[absence_days]]&lt;=3,"1-3", student_scores[[#This Row],[absence_days]]&lt;=6,"4-6", TRUE,"7-10")</f>
        <v>1-3</v>
      </c>
      <c r="V277" t="str">
        <f>IF(student_scores[[#This Row],[Total_Score]] &gt;= _xlfn.PERCENTILE.INC(student_scores[Total_Score], 0.8), "Yes", "No")</f>
        <v>No</v>
      </c>
    </row>
    <row r="278" spans="1:22" x14ac:dyDescent="0.35">
      <c r="A278">
        <v>277</v>
      </c>
      <c r="B278" t="s">
        <v>270</v>
      </c>
      <c r="C278" t="s">
        <v>684</v>
      </c>
      <c r="D278" t="s">
        <v>685</v>
      </c>
      <c r="E278" t="s">
        <v>25</v>
      </c>
      <c r="F278" t="b">
        <v>1</v>
      </c>
      <c r="G278">
        <v>7</v>
      </c>
      <c r="H278" t="b">
        <v>0</v>
      </c>
      <c r="I278">
        <v>1</v>
      </c>
      <c r="J278" t="s">
        <v>64</v>
      </c>
      <c r="K278">
        <v>95</v>
      </c>
      <c r="L278">
        <v>73</v>
      </c>
      <c r="M278">
        <v>61</v>
      </c>
      <c r="N278">
        <v>91</v>
      </c>
      <c r="O278">
        <v>84</v>
      </c>
      <c r="P278">
        <v>92</v>
      </c>
      <c r="Q278">
        <v>94</v>
      </c>
      <c r="R278">
        <f>SUM(student_scores[[#This Row],[math_score]:[geography_score]])</f>
        <v>590</v>
      </c>
      <c r="S278" s="3">
        <f>student_scores[[#This Row],[Total_Score]]/7</f>
        <v>84.285714285714292</v>
      </c>
      <c r="T278" s="3" t="str" cm="1">
        <f t="array" ref="T278">_xlfn.IFS(student_scores[[#This Row],[weekly_self_study_hours]]&lt;=5,   "0 - 5", student_scores[[#This Row],[weekly_self_study_hours]]&lt;=10,  "6 - 10", student_scores[[#This Row],[weekly_self_study_hours]]&lt;=20,  "11 - 20",student_scores[[#This Row],[weekly_self_study_hours]]&lt;=30, "21 - 30",TRUE, "31+")</f>
        <v>0 - 5</v>
      </c>
      <c r="U278" t="str" cm="1">
        <f t="array" ref="U278">_xlfn.IFS(student_scores[[#This Row],[absence_days]]=0,"0", student_scores[[#This Row],[absence_days]]&lt;=3,"1-3", student_scores[[#This Row],[absence_days]]&lt;=6,"4-6", TRUE,"7-10")</f>
        <v>7-10</v>
      </c>
      <c r="V278" t="str">
        <f>IF(student_scores[[#This Row],[Total_Score]] &gt;= _xlfn.PERCENTILE.INC(student_scores[Total_Score], 0.8), "Yes", "No")</f>
        <v>No</v>
      </c>
    </row>
    <row r="279" spans="1:22" x14ac:dyDescent="0.35">
      <c r="A279">
        <v>278</v>
      </c>
      <c r="B279" t="s">
        <v>277</v>
      </c>
      <c r="C279" t="s">
        <v>686</v>
      </c>
      <c r="D279" t="s">
        <v>687</v>
      </c>
      <c r="E279" t="s">
        <v>20</v>
      </c>
      <c r="F279" t="b">
        <v>0</v>
      </c>
      <c r="G279">
        <v>1</v>
      </c>
      <c r="H279" t="b">
        <v>1</v>
      </c>
      <c r="I279">
        <v>33</v>
      </c>
      <c r="J279" t="s">
        <v>21</v>
      </c>
      <c r="K279">
        <v>76</v>
      </c>
      <c r="L279">
        <v>81</v>
      </c>
      <c r="M279">
        <v>96</v>
      </c>
      <c r="N279">
        <v>74</v>
      </c>
      <c r="O279">
        <v>75</v>
      </c>
      <c r="P279">
        <v>80</v>
      </c>
      <c r="Q279">
        <v>98</v>
      </c>
      <c r="R279">
        <f>SUM(student_scores[[#This Row],[math_score]:[geography_score]])</f>
        <v>580</v>
      </c>
      <c r="S279" s="3">
        <f>student_scores[[#This Row],[Total_Score]]/7</f>
        <v>82.857142857142861</v>
      </c>
      <c r="T279" s="3" t="str" cm="1">
        <f t="array" ref="T279">_xlfn.IFS(student_scores[[#This Row],[weekly_self_study_hours]]&lt;=5,   "0 - 5", student_scores[[#This Row],[weekly_self_study_hours]]&lt;=10,  "6 - 10", student_scores[[#This Row],[weekly_self_study_hours]]&lt;=20,  "11 - 20",student_scores[[#This Row],[weekly_self_study_hours]]&lt;=30, "21 - 30",TRUE, "31+")</f>
        <v>31+</v>
      </c>
      <c r="U279" t="str" cm="1">
        <f t="array" ref="U279">_xlfn.IFS(student_scores[[#This Row],[absence_days]]=0,"0", student_scores[[#This Row],[absence_days]]&lt;=3,"1-3", student_scores[[#This Row],[absence_days]]&lt;=6,"4-6", TRUE,"7-10")</f>
        <v>1-3</v>
      </c>
      <c r="V279" t="str">
        <f>IF(student_scores[[#This Row],[Total_Score]] &gt;= _xlfn.PERCENTILE.INC(student_scores[Total_Score], 0.8), "Yes", "No")</f>
        <v>No</v>
      </c>
    </row>
    <row r="280" spans="1:22" x14ac:dyDescent="0.35">
      <c r="A280">
        <v>279</v>
      </c>
      <c r="B280" t="s">
        <v>294</v>
      </c>
      <c r="C280" t="s">
        <v>373</v>
      </c>
      <c r="D280" t="s">
        <v>688</v>
      </c>
      <c r="E280" t="s">
        <v>25</v>
      </c>
      <c r="F280" t="b">
        <v>0</v>
      </c>
      <c r="G280">
        <v>1</v>
      </c>
      <c r="H280" t="b">
        <v>0</v>
      </c>
      <c r="I280">
        <v>11</v>
      </c>
      <c r="J280" t="s">
        <v>123</v>
      </c>
      <c r="K280">
        <v>71</v>
      </c>
      <c r="L280">
        <v>98</v>
      </c>
      <c r="M280">
        <v>96</v>
      </c>
      <c r="N280">
        <v>60</v>
      </c>
      <c r="O280">
        <v>90</v>
      </c>
      <c r="P280">
        <v>79</v>
      </c>
      <c r="Q280">
        <v>72</v>
      </c>
      <c r="R280">
        <f>SUM(student_scores[[#This Row],[math_score]:[geography_score]])</f>
        <v>566</v>
      </c>
      <c r="S280" s="3">
        <f>student_scores[[#This Row],[Total_Score]]/7</f>
        <v>80.857142857142861</v>
      </c>
      <c r="T280" s="3" t="str" cm="1">
        <f t="array" ref="T280">_xlfn.IFS(student_scores[[#This Row],[weekly_self_study_hours]]&lt;=5,   "0 - 5", student_scores[[#This Row],[weekly_self_study_hours]]&lt;=10,  "6 - 10", student_scores[[#This Row],[weekly_self_study_hours]]&lt;=20,  "11 - 20",student_scores[[#This Row],[weekly_self_study_hours]]&lt;=30, "21 - 30",TRUE, "31+")</f>
        <v>11 - 20</v>
      </c>
      <c r="U280" t="str" cm="1">
        <f t="array" ref="U280">_xlfn.IFS(student_scores[[#This Row],[absence_days]]=0,"0", student_scores[[#This Row],[absence_days]]&lt;=3,"1-3", student_scores[[#This Row],[absence_days]]&lt;=6,"4-6", TRUE,"7-10")</f>
        <v>1-3</v>
      </c>
      <c r="V280" t="str">
        <f>IF(student_scores[[#This Row],[Total_Score]] &gt;= _xlfn.PERCENTILE.INC(student_scores[Total_Score], 0.8), "Yes", "No")</f>
        <v>No</v>
      </c>
    </row>
    <row r="281" spans="1:22" x14ac:dyDescent="0.35">
      <c r="A281">
        <v>280</v>
      </c>
      <c r="B281" t="s">
        <v>689</v>
      </c>
      <c r="C281" t="s">
        <v>690</v>
      </c>
      <c r="D281" t="s">
        <v>691</v>
      </c>
      <c r="E281" t="s">
        <v>20</v>
      </c>
      <c r="F281" t="b">
        <v>0</v>
      </c>
      <c r="G281">
        <v>3</v>
      </c>
      <c r="H281" t="b">
        <v>0</v>
      </c>
      <c r="I281">
        <v>10</v>
      </c>
      <c r="J281" t="s">
        <v>105</v>
      </c>
      <c r="K281">
        <v>95</v>
      </c>
      <c r="L281">
        <v>60</v>
      </c>
      <c r="M281">
        <v>87</v>
      </c>
      <c r="N281">
        <v>71</v>
      </c>
      <c r="O281">
        <v>91</v>
      </c>
      <c r="P281">
        <v>84</v>
      </c>
      <c r="Q281">
        <v>98</v>
      </c>
      <c r="R281">
        <f>SUM(student_scores[[#This Row],[math_score]:[geography_score]])</f>
        <v>586</v>
      </c>
      <c r="S281" s="3">
        <f>student_scores[[#This Row],[Total_Score]]/7</f>
        <v>83.714285714285708</v>
      </c>
      <c r="T281" s="3" t="str" cm="1">
        <f t="array" ref="T281">_xlfn.IFS(student_scores[[#This Row],[weekly_self_study_hours]]&lt;=5,   "0 - 5", student_scores[[#This Row],[weekly_self_study_hours]]&lt;=10,  "6 - 10", student_scores[[#This Row],[weekly_self_study_hours]]&lt;=20,  "11 - 20",student_scores[[#This Row],[weekly_self_study_hours]]&lt;=30, "21 - 30",TRUE, "31+")</f>
        <v>6 - 10</v>
      </c>
      <c r="U281" t="str" cm="1">
        <f t="array" ref="U281">_xlfn.IFS(student_scores[[#This Row],[absence_days]]=0,"0", student_scores[[#This Row],[absence_days]]&lt;=3,"1-3", student_scores[[#This Row],[absence_days]]&lt;=6,"4-6", TRUE,"7-10")</f>
        <v>1-3</v>
      </c>
      <c r="V281" t="str">
        <f>IF(student_scores[[#This Row],[Total_Score]] &gt;= _xlfn.PERCENTILE.INC(student_scores[Total_Score], 0.8), "Yes", "No")</f>
        <v>No</v>
      </c>
    </row>
    <row r="282" spans="1:22" x14ac:dyDescent="0.35">
      <c r="A282">
        <v>281</v>
      </c>
      <c r="B282" t="s">
        <v>692</v>
      </c>
      <c r="C282" t="s">
        <v>693</v>
      </c>
      <c r="D282" t="s">
        <v>694</v>
      </c>
      <c r="E282" t="s">
        <v>25</v>
      </c>
      <c r="F282" t="b">
        <v>0</v>
      </c>
      <c r="G282">
        <v>7</v>
      </c>
      <c r="H282" t="b">
        <v>1</v>
      </c>
      <c r="I282">
        <v>15</v>
      </c>
      <c r="J282" t="s">
        <v>44</v>
      </c>
      <c r="K282">
        <v>92</v>
      </c>
      <c r="L282">
        <v>88</v>
      </c>
      <c r="M282">
        <v>76</v>
      </c>
      <c r="N282">
        <v>93</v>
      </c>
      <c r="O282">
        <v>69</v>
      </c>
      <c r="P282">
        <v>75</v>
      </c>
      <c r="Q282">
        <v>97</v>
      </c>
      <c r="R282">
        <f>SUM(student_scores[[#This Row],[math_score]:[geography_score]])</f>
        <v>590</v>
      </c>
      <c r="S282" s="3">
        <f>student_scores[[#This Row],[Total_Score]]/7</f>
        <v>84.285714285714292</v>
      </c>
      <c r="T282" s="3" t="str" cm="1">
        <f t="array" ref="T282">_xlfn.IFS(student_scores[[#This Row],[weekly_self_study_hours]]&lt;=5,   "0 - 5", student_scores[[#This Row],[weekly_self_study_hours]]&lt;=10,  "6 - 10", student_scores[[#This Row],[weekly_self_study_hours]]&lt;=20,  "11 - 20",student_scores[[#This Row],[weekly_self_study_hours]]&lt;=30, "21 - 30",TRUE, "31+")</f>
        <v>11 - 20</v>
      </c>
      <c r="U282" t="str" cm="1">
        <f t="array" ref="U282">_xlfn.IFS(student_scores[[#This Row],[absence_days]]=0,"0", student_scores[[#This Row],[absence_days]]&lt;=3,"1-3", student_scores[[#This Row],[absence_days]]&lt;=6,"4-6", TRUE,"7-10")</f>
        <v>7-10</v>
      </c>
      <c r="V282" t="str">
        <f>IF(student_scores[[#This Row],[Total_Score]] &gt;= _xlfn.PERCENTILE.INC(student_scores[Total_Score], 0.8), "Yes", "No")</f>
        <v>No</v>
      </c>
    </row>
    <row r="283" spans="1:22" x14ac:dyDescent="0.35">
      <c r="A283">
        <v>282</v>
      </c>
      <c r="B283" t="s">
        <v>695</v>
      </c>
      <c r="C283" t="s">
        <v>696</v>
      </c>
      <c r="D283" t="s">
        <v>697</v>
      </c>
      <c r="E283" t="s">
        <v>20</v>
      </c>
      <c r="F283" t="b">
        <v>0</v>
      </c>
      <c r="G283">
        <v>5</v>
      </c>
      <c r="H283" t="b">
        <v>0</v>
      </c>
      <c r="I283">
        <v>34</v>
      </c>
      <c r="J283" t="s">
        <v>76</v>
      </c>
      <c r="K283">
        <v>82</v>
      </c>
      <c r="L283">
        <v>95</v>
      </c>
      <c r="M283">
        <v>96</v>
      </c>
      <c r="N283">
        <v>100</v>
      </c>
      <c r="O283">
        <v>89</v>
      </c>
      <c r="P283">
        <v>64</v>
      </c>
      <c r="Q283">
        <v>91</v>
      </c>
      <c r="R283">
        <f>SUM(student_scores[[#This Row],[math_score]:[geography_score]])</f>
        <v>617</v>
      </c>
      <c r="S283" s="3">
        <f>student_scores[[#This Row],[Total_Score]]/7</f>
        <v>88.142857142857139</v>
      </c>
      <c r="T283" s="3" t="str" cm="1">
        <f t="array" ref="T283">_xlfn.IFS(student_scores[[#This Row],[weekly_self_study_hours]]&lt;=5,   "0 - 5", student_scores[[#This Row],[weekly_self_study_hours]]&lt;=10,  "6 - 10", student_scores[[#This Row],[weekly_self_study_hours]]&lt;=20,  "11 - 20",student_scores[[#This Row],[weekly_self_study_hours]]&lt;=30, "21 - 30",TRUE, "31+")</f>
        <v>31+</v>
      </c>
      <c r="U283" t="str" cm="1">
        <f t="array" ref="U283">_xlfn.IFS(student_scores[[#This Row],[absence_days]]=0,"0", student_scores[[#This Row],[absence_days]]&lt;=3,"1-3", student_scores[[#This Row],[absence_days]]&lt;=6,"4-6", TRUE,"7-10")</f>
        <v>4-6</v>
      </c>
      <c r="V283" t="str">
        <f>IF(student_scores[[#This Row],[Total_Score]] &gt;= _xlfn.PERCENTILE.INC(student_scores[Total_Score], 0.8), "Yes", "No")</f>
        <v>Yes</v>
      </c>
    </row>
    <row r="284" spans="1:22" x14ac:dyDescent="0.35">
      <c r="A284">
        <v>283</v>
      </c>
      <c r="B284" t="s">
        <v>322</v>
      </c>
      <c r="C284" t="s">
        <v>164</v>
      </c>
      <c r="D284" t="s">
        <v>698</v>
      </c>
      <c r="E284" t="s">
        <v>20</v>
      </c>
      <c r="F284" t="b">
        <v>0</v>
      </c>
      <c r="G284">
        <v>3</v>
      </c>
      <c r="H284" t="b">
        <v>0</v>
      </c>
      <c r="I284">
        <v>30</v>
      </c>
      <c r="J284" t="s">
        <v>21</v>
      </c>
      <c r="K284">
        <v>85</v>
      </c>
      <c r="L284">
        <v>94</v>
      </c>
      <c r="M284">
        <v>83</v>
      </c>
      <c r="N284">
        <v>76</v>
      </c>
      <c r="O284">
        <v>77</v>
      </c>
      <c r="P284">
        <v>81</v>
      </c>
      <c r="Q284">
        <v>92</v>
      </c>
      <c r="R284">
        <f>SUM(student_scores[[#This Row],[math_score]:[geography_score]])</f>
        <v>588</v>
      </c>
      <c r="S284" s="3">
        <f>student_scores[[#This Row],[Total_Score]]/7</f>
        <v>84</v>
      </c>
      <c r="T284" s="3" t="str" cm="1">
        <f t="array" ref="T284">_xlfn.IFS(student_scores[[#This Row],[weekly_self_study_hours]]&lt;=5,   "0 - 5", student_scores[[#This Row],[weekly_self_study_hours]]&lt;=10,  "6 - 10", student_scores[[#This Row],[weekly_self_study_hours]]&lt;=20,  "11 - 20",student_scores[[#This Row],[weekly_self_study_hours]]&lt;=30, "21 - 30",TRUE, "31+")</f>
        <v>21 - 30</v>
      </c>
      <c r="U284" t="str" cm="1">
        <f t="array" ref="U284">_xlfn.IFS(student_scores[[#This Row],[absence_days]]=0,"0", student_scores[[#This Row],[absence_days]]&lt;=3,"1-3", student_scores[[#This Row],[absence_days]]&lt;=6,"4-6", TRUE,"7-10")</f>
        <v>1-3</v>
      </c>
      <c r="V284" t="str">
        <f>IF(student_scores[[#This Row],[Total_Score]] &gt;= _xlfn.PERCENTILE.INC(student_scores[Total_Score], 0.8), "Yes", "No")</f>
        <v>No</v>
      </c>
    </row>
    <row r="285" spans="1:22" x14ac:dyDescent="0.35">
      <c r="A285">
        <v>284</v>
      </c>
      <c r="B285" t="s">
        <v>428</v>
      </c>
      <c r="C285" t="s">
        <v>699</v>
      </c>
      <c r="D285" t="s">
        <v>700</v>
      </c>
      <c r="E285" t="s">
        <v>25</v>
      </c>
      <c r="F285" t="b">
        <v>1</v>
      </c>
      <c r="G285">
        <v>4</v>
      </c>
      <c r="H285" t="b">
        <v>1</v>
      </c>
      <c r="I285">
        <v>4</v>
      </c>
      <c r="J285" t="s">
        <v>34</v>
      </c>
      <c r="K285">
        <v>82</v>
      </c>
      <c r="L285">
        <v>85</v>
      </c>
      <c r="M285">
        <v>75</v>
      </c>
      <c r="N285">
        <v>92</v>
      </c>
      <c r="O285">
        <v>76</v>
      </c>
      <c r="P285">
        <v>95</v>
      </c>
      <c r="Q285">
        <v>85</v>
      </c>
      <c r="R285">
        <f>SUM(student_scores[[#This Row],[math_score]:[geography_score]])</f>
        <v>590</v>
      </c>
      <c r="S285" s="3">
        <f>student_scores[[#This Row],[Total_Score]]/7</f>
        <v>84.285714285714292</v>
      </c>
      <c r="T285" s="3" t="str" cm="1">
        <f t="array" ref="T285">_xlfn.IFS(student_scores[[#This Row],[weekly_self_study_hours]]&lt;=5,   "0 - 5", student_scores[[#This Row],[weekly_self_study_hours]]&lt;=10,  "6 - 10", student_scores[[#This Row],[weekly_self_study_hours]]&lt;=20,  "11 - 20",student_scores[[#This Row],[weekly_self_study_hours]]&lt;=30, "21 - 30",TRUE, "31+")</f>
        <v>0 - 5</v>
      </c>
      <c r="U285" t="str" cm="1">
        <f t="array" ref="U285">_xlfn.IFS(student_scores[[#This Row],[absence_days]]=0,"0", student_scores[[#This Row],[absence_days]]&lt;=3,"1-3", student_scores[[#This Row],[absence_days]]&lt;=6,"4-6", TRUE,"7-10")</f>
        <v>4-6</v>
      </c>
      <c r="V285" t="str">
        <f>IF(student_scores[[#This Row],[Total_Score]] &gt;= _xlfn.PERCENTILE.INC(student_scores[Total_Score], 0.8), "Yes", "No")</f>
        <v>No</v>
      </c>
    </row>
    <row r="286" spans="1:22" x14ac:dyDescent="0.35">
      <c r="A286">
        <v>285</v>
      </c>
      <c r="B286" t="s">
        <v>593</v>
      </c>
      <c r="C286" t="s">
        <v>701</v>
      </c>
      <c r="D286" t="s">
        <v>702</v>
      </c>
      <c r="E286" t="s">
        <v>25</v>
      </c>
      <c r="F286" t="b">
        <v>0</v>
      </c>
      <c r="G286">
        <v>2</v>
      </c>
      <c r="H286" t="b">
        <v>0</v>
      </c>
      <c r="I286">
        <v>28</v>
      </c>
      <c r="J286" t="s">
        <v>172</v>
      </c>
      <c r="K286">
        <v>98</v>
      </c>
      <c r="L286">
        <v>77</v>
      </c>
      <c r="M286">
        <v>94</v>
      </c>
      <c r="N286">
        <v>63</v>
      </c>
      <c r="O286">
        <v>69</v>
      </c>
      <c r="P286">
        <v>88</v>
      </c>
      <c r="Q286">
        <v>100</v>
      </c>
      <c r="R286">
        <f>SUM(student_scores[[#This Row],[math_score]:[geography_score]])</f>
        <v>589</v>
      </c>
      <c r="S286" s="3">
        <f>student_scores[[#This Row],[Total_Score]]/7</f>
        <v>84.142857142857139</v>
      </c>
      <c r="T286" s="3" t="str" cm="1">
        <f t="array" ref="T286">_xlfn.IFS(student_scores[[#This Row],[weekly_self_study_hours]]&lt;=5,   "0 - 5", student_scores[[#This Row],[weekly_self_study_hours]]&lt;=10,  "6 - 10", student_scores[[#This Row],[weekly_self_study_hours]]&lt;=20,  "11 - 20",student_scores[[#This Row],[weekly_self_study_hours]]&lt;=30, "21 - 30",TRUE, "31+")</f>
        <v>21 - 30</v>
      </c>
      <c r="U286" t="str" cm="1">
        <f t="array" ref="U286">_xlfn.IFS(student_scores[[#This Row],[absence_days]]=0,"0", student_scores[[#This Row],[absence_days]]&lt;=3,"1-3", student_scores[[#This Row],[absence_days]]&lt;=6,"4-6", TRUE,"7-10")</f>
        <v>1-3</v>
      </c>
      <c r="V286" t="str">
        <f>IF(student_scores[[#This Row],[Total_Score]] &gt;= _xlfn.PERCENTILE.INC(student_scores[Total_Score], 0.8), "Yes", "No")</f>
        <v>No</v>
      </c>
    </row>
    <row r="287" spans="1:22" x14ac:dyDescent="0.35">
      <c r="A287">
        <v>286</v>
      </c>
      <c r="B287" t="s">
        <v>197</v>
      </c>
      <c r="C287" t="s">
        <v>231</v>
      </c>
      <c r="D287" t="s">
        <v>703</v>
      </c>
      <c r="E287" t="s">
        <v>20</v>
      </c>
      <c r="F287" t="b">
        <v>0</v>
      </c>
      <c r="G287">
        <v>5</v>
      </c>
      <c r="H287" t="b">
        <v>1</v>
      </c>
      <c r="I287">
        <v>29</v>
      </c>
      <c r="J287" t="s">
        <v>26</v>
      </c>
      <c r="K287">
        <v>93</v>
      </c>
      <c r="L287">
        <v>96</v>
      </c>
      <c r="M287">
        <v>94</v>
      </c>
      <c r="N287">
        <v>84</v>
      </c>
      <c r="O287">
        <v>91</v>
      </c>
      <c r="P287">
        <v>67</v>
      </c>
      <c r="Q287">
        <v>68</v>
      </c>
      <c r="R287">
        <f>SUM(student_scores[[#This Row],[math_score]:[geography_score]])</f>
        <v>593</v>
      </c>
      <c r="S287" s="3">
        <f>student_scores[[#This Row],[Total_Score]]/7</f>
        <v>84.714285714285708</v>
      </c>
      <c r="T287" s="3" t="str" cm="1">
        <f t="array" ref="T287">_xlfn.IFS(student_scores[[#This Row],[weekly_self_study_hours]]&lt;=5,   "0 - 5", student_scores[[#This Row],[weekly_self_study_hours]]&lt;=10,  "6 - 10", student_scores[[#This Row],[weekly_self_study_hours]]&lt;=20,  "11 - 20",student_scores[[#This Row],[weekly_self_study_hours]]&lt;=30, "21 - 30",TRUE, "31+")</f>
        <v>21 - 30</v>
      </c>
      <c r="U287" t="str" cm="1">
        <f t="array" ref="U287">_xlfn.IFS(student_scores[[#This Row],[absence_days]]=0,"0", student_scores[[#This Row],[absence_days]]&lt;=3,"1-3", student_scores[[#This Row],[absence_days]]&lt;=6,"4-6", TRUE,"7-10")</f>
        <v>4-6</v>
      </c>
      <c r="V287" t="str">
        <f>IF(student_scores[[#This Row],[Total_Score]] &gt;= _xlfn.PERCENTILE.INC(student_scores[Total_Score], 0.8), "Yes", "No")</f>
        <v>No</v>
      </c>
    </row>
    <row r="288" spans="1:22" x14ac:dyDescent="0.35">
      <c r="A288">
        <v>287</v>
      </c>
      <c r="B288" t="s">
        <v>506</v>
      </c>
      <c r="C288" t="s">
        <v>704</v>
      </c>
      <c r="D288" t="s">
        <v>705</v>
      </c>
      <c r="E288" t="s">
        <v>25</v>
      </c>
      <c r="F288" t="b">
        <v>0</v>
      </c>
      <c r="G288">
        <v>7</v>
      </c>
      <c r="H288" t="b">
        <v>1</v>
      </c>
      <c r="I288">
        <v>30</v>
      </c>
      <c r="J288" t="s">
        <v>21</v>
      </c>
      <c r="K288">
        <v>84</v>
      </c>
      <c r="L288">
        <v>97</v>
      </c>
      <c r="M288">
        <v>60</v>
      </c>
      <c r="N288">
        <v>100</v>
      </c>
      <c r="O288">
        <v>83</v>
      </c>
      <c r="P288">
        <v>88</v>
      </c>
      <c r="Q288">
        <v>94</v>
      </c>
      <c r="R288">
        <f>SUM(student_scores[[#This Row],[math_score]:[geography_score]])</f>
        <v>606</v>
      </c>
      <c r="S288" s="3">
        <f>student_scores[[#This Row],[Total_Score]]/7</f>
        <v>86.571428571428569</v>
      </c>
      <c r="T288" s="3" t="str" cm="1">
        <f t="array" ref="T288">_xlfn.IFS(student_scores[[#This Row],[weekly_self_study_hours]]&lt;=5,   "0 - 5", student_scores[[#This Row],[weekly_self_study_hours]]&lt;=10,  "6 - 10", student_scores[[#This Row],[weekly_self_study_hours]]&lt;=20,  "11 - 20",student_scores[[#This Row],[weekly_self_study_hours]]&lt;=30, "21 - 30",TRUE, "31+")</f>
        <v>21 - 30</v>
      </c>
      <c r="U288" t="str" cm="1">
        <f t="array" ref="U288">_xlfn.IFS(student_scores[[#This Row],[absence_days]]=0,"0", student_scores[[#This Row],[absence_days]]&lt;=3,"1-3", student_scores[[#This Row],[absence_days]]&lt;=6,"4-6", TRUE,"7-10")</f>
        <v>7-10</v>
      </c>
      <c r="V288" t="str">
        <f>IF(student_scores[[#This Row],[Total_Score]] &gt;= _xlfn.PERCENTILE.INC(student_scores[Total_Score], 0.8), "Yes", "No")</f>
        <v>Yes</v>
      </c>
    </row>
    <row r="289" spans="1:22" x14ac:dyDescent="0.35">
      <c r="A289">
        <v>288</v>
      </c>
      <c r="B289" t="s">
        <v>35</v>
      </c>
      <c r="C289" t="s">
        <v>491</v>
      </c>
      <c r="D289" t="s">
        <v>706</v>
      </c>
      <c r="E289" t="s">
        <v>20</v>
      </c>
      <c r="F289" t="b">
        <v>0</v>
      </c>
      <c r="G289">
        <v>4</v>
      </c>
      <c r="H289" t="b">
        <v>0</v>
      </c>
      <c r="I289">
        <v>31</v>
      </c>
      <c r="J289" t="s">
        <v>38</v>
      </c>
      <c r="K289">
        <v>81</v>
      </c>
      <c r="L289">
        <v>95</v>
      </c>
      <c r="M289">
        <v>76</v>
      </c>
      <c r="N289">
        <v>60</v>
      </c>
      <c r="O289">
        <v>61</v>
      </c>
      <c r="P289">
        <v>98</v>
      </c>
      <c r="Q289">
        <v>77</v>
      </c>
      <c r="R289">
        <f>SUM(student_scores[[#This Row],[math_score]:[geography_score]])</f>
        <v>548</v>
      </c>
      <c r="S289" s="3">
        <f>student_scores[[#This Row],[Total_Score]]/7</f>
        <v>78.285714285714292</v>
      </c>
      <c r="T289" s="3" t="str" cm="1">
        <f t="array" ref="T289">_xlfn.IFS(student_scores[[#This Row],[weekly_self_study_hours]]&lt;=5,   "0 - 5", student_scores[[#This Row],[weekly_self_study_hours]]&lt;=10,  "6 - 10", student_scores[[#This Row],[weekly_self_study_hours]]&lt;=20,  "11 - 20",student_scores[[#This Row],[weekly_self_study_hours]]&lt;=30, "21 - 30",TRUE, "31+")</f>
        <v>31+</v>
      </c>
      <c r="U289" t="str" cm="1">
        <f t="array" ref="U289">_xlfn.IFS(student_scores[[#This Row],[absence_days]]=0,"0", student_scores[[#This Row],[absence_days]]&lt;=3,"1-3", student_scores[[#This Row],[absence_days]]&lt;=6,"4-6", TRUE,"7-10")</f>
        <v>4-6</v>
      </c>
      <c r="V289" t="str">
        <f>IF(student_scores[[#This Row],[Total_Score]] &gt;= _xlfn.PERCENTILE.INC(student_scores[Total_Score], 0.8), "Yes", "No")</f>
        <v>No</v>
      </c>
    </row>
    <row r="290" spans="1:22" x14ac:dyDescent="0.35">
      <c r="A290">
        <v>289</v>
      </c>
      <c r="B290" t="s">
        <v>83</v>
      </c>
      <c r="C290" t="s">
        <v>707</v>
      </c>
      <c r="D290" t="s">
        <v>708</v>
      </c>
      <c r="E290" t="s">
        <v>25</v>
      </c>
      <c r="F290" t="b">
        <v>0</v>
      </c>
      <c r="G290">
        <v>8</v>
      </c>
      <c r="H290" t="b">
        <v>0</v>
      </c>
      <c r="I290">
        <v>1</v>
      </c>
      <c r="J290" t="s">
        <v>64</v>
      </c>
      <c r="K290">
        <v>62</v>
      </c>
      <c r="L290">
        <v>64</v>
      </c>
      <c r="M290">
        <v>84</v>
      </c>
      <c r="N290">
        <v>67</v>
      </c>
      <c r="O290">
        <v>78</v>
      </c>
      <c r="P290">
        <v>51</v>
      </c>
      <c r="Q290">
        <v>62</v>
      </c>
      <c r="R290">
        <f>SUM(student_scores[[#This Row],[math_score]:[geography_score]])</f>
        <v>468</v>
      </c>
      <c r="S290" s="3">
        <f>student_scores[[#This Row],[Total_Score]]/7</f>
        <v>66.857142857142861</v>
      </c>
      <c r="T290" s="3" t="str" cm="1">
        <f t="array" ref="T290">_xlfn.IFS(student_scores[[#This Row],[weekly_self_study_hours]]&lt;=5,   "0 - 5", student_scores[[#This Row],[weekly_self_study_hours]]&lt;=10,  "6 - 10", student_scores[[#This Row],[weekly_self_study_hours]]&lt;=20,  "11 - 20",student_scores[[#This Row],[weekly_self_study_hours]]&lt;=30, "21 - 30",TRUE, "31+")</f>
        <v>0 - 5</v>
      </c>
      <c r="U290" t="str" cm="1">
        <f t="array" ref="U290">_xlfn.IFS(student_scores[[#This Row],[absence_days]]=0,"0", student_scores[[#This Row],[absence_days]]&lt;=3,"1-3", student_scores[[#This Row],[absence_days]]&lt;=6,"4-6", TRUE,"7-10")</f>
        <v>7-10</v>
      </c>
      <c r="V290" t="str">
        <f>IF(student_scores[[#This Row],[Total_Score]] &gt;= _xlfn.PERCENTILE.INC(student_scores[Total_Score], 0.8), "Yes", "No")</f>
        <v>No</v>
      </c>
    </row>
    <row r="291" spans="1:22" x14ac:dyDescent="0.35">
      <c r="A291">
        <v>290</v>
      </c>
      <c r="B291" t="s">
        <v>130</v>
      </c>
      <c r="C291" t="s">
        <v>56</v>
      </c>
      <c r="D291" t="s">
        <v>709</v>
      </c>
      <c r="E291" t="s">
        <v>25</v>
      </c>
      <c r="F291" t="b">
        <v>0</v>
      </c>
      <c r="G291">
        <v>6</v>
      </c>
      <c r="H291" t="b">
        <v>0</v>
      </c>
      <c r="I291">
        <v>16</v>
      </c>
      <c r="J291" t="s">
        <v>44</v>
      </c>
      <c r="K291">
        <v>92</v>
      </c>
      <c r="L291">
        <v>70</v>
      </c>
      <c r="M291">
        <v>60</v>
      </c>
      <c r="N291">
        <v>94</v>
      </c>
      <c r="O291">
        <v>87</v>
      </c>
      <c r="P291">
        <v>90</v>
      </c>
      <c r="Q291">
        <v>86</v>
      </c>
      <c r="R291">
        <f>SUM(student_scores[[#This Row],[math_score]:[geography_score]])</f>
        <v>579</v>
      </c>
      <c r="S291" s="3">
        <f>student_scores[[#This Row],[Total_Score]]/7</f>
        <v>82.714285714285708</v>
      </c>
      <c r="T291" s="3" t="str" cm="1">
        <f t="array" ref="T291">_xlfn.IFS(student_scores[[#This Row],[weekly_self_study_hours]]&lt;=5,   "0 - 5", student_scores[[#This Row],[weekly_self_study_hours]]&lt;=10,  "6 - 10", student_scores[[#This Row],[weekly_self_study_hours]]&lt;=20,  "11 - 20",student_scores[[#This Row],[weekly_self_study_hours]]&lt;=30, "21 - 30",TRUE, "31+")</f>
        <v>11 - 20</v>
      </c>
      <c r="U291" t="str" cm="1">
        <f t="array" ref="U291">_xlfn.IFS(student_scores[[#This Row],[absence_days]]=0,"0", student_scores[[#This Row],[absence_days]]&lt;=3,"1-3", student_scores[[#This Row],[absence_days]]&lt;=6,"4-6", TRUE,"7-10")</f>
        <v>4-6</v>
      </c>
      <c r="V291" t="str">
        <f>IF(student_scores[[#This Row],[Total_Score]] &gt;= _xlfn.PERCENTILE.INC(student_scores[Total_Score], 0.8), "Yes", "No")</f>
        <v>No</v>
      </c>
    </row>
    <row r="292" spans="1:22" x14ac:dyDescent="0.35">
      <c r="A292">
        <v>291</v>
      </c>
      <c r="B292" t="s">
        <v>710</v>
      </c>
      <c r="C292" t="s">
        <v>284</v>
      </c>
      <c r="D292" t="s">
        <v>711</v>
      </c>
      <c r="E292" t="s">
        <v>25</v>
      </c>
      <c r="F292" t="b">
        <v>0</v>
      </c>
      <c r="G292">
        <v>2</v>
      </c>
      <c r="H292" t="b">
        <v>1</v>
      </c>
      <c r="I292">
        <v>18</v>
      </c>
      <c r="J292" t="s">
        <v>54</v>
      </c>
      <c r="K292">
        <v>64</v>
      </c>
      <c r="L292">
        <v>93</v>
      </c>
      <c r="M292">
        <v>61</v>
      </c>
      <c r="N292">
        <v>61</v>
      </c>
      <c r="O292">
        <v>74</v>
      </c>
      <c r="P292">
        <v>94</v>
      </c>
      <c r="Q292">
        <v>64</v>
      </c>
      <c r="R292">
        <f>SUM(student_scores[[#This Row],[math_score]:[geography_score]])</f>
        <v>511</v>
      </c>
      <c r="S292" s="3">
        <f>student_scores[[#This Row],[Total_Score]]/7</f>
        <v>73</v>
      </c>
      <c r="T292" s="3" t="str" cm="1">
        <f t="array" ref="T292">_xlfn.IFS(student_scores[[#This Row],[weekly_self_study_hours]]&lt;=5,   "0 - 5", student_scores[[#This Row],[weekly_self_study_hours]]&lt;=10,  "6 - 10", student_scores[[#This Row],[weekly_self_study_hours]]&lt;=20,  "11 - 20",student_scores[[#This Row],[weekly_self_study_hours]]&lt;=30, "21 - 30",TRUE, "31+")</f>
        <v>11 - 20</v>
      </c>
      <c r="U292" t="str" cm="1">
        <f t="array" ref="U292">_xlfn.IFS(student_scores[[#This Row],[absence_days]]=0,"0", student_scores[[#This Row],[absence_days]]&lt;=3,"1-3", student_scores[[#This Row],[absence_days]]&lt;=6,"4-6", TRUE,"7-10")</f>
        <v>1-3</v>
      </c>
      <c r="V292" t="str">
        <f>IF(student_scores[[#This Row],[Total_Score]] &gt;= _xlfn.PERCENTILE.INC(student_scores[Total_Score], 0.8), "Yes", "No")</f>
        <v>No</v>
      </c>
    </row>
    <row r="293" spans="1:22" x14ac:dyDescent="0.35">
      <c r="A293">
        <v>292</v>
      </c>
      <c r="B293" t="s">
        <v>120</v>
      </c>
      <c r="C293" t="s">
        <v>712</v>
      </c>
      <c r="D293" t="s">
        <v>713</v>
      </c>
      <c r="E293" t="s">
        <v>25</v>
      </c>
      <c r="F293" t="b">
        <v>1</v>
      </c>
      <c r="G293">
        <v>1</v>
      </c>
      <c r="H293" t="b">
        <v>0</v>
      </c>
      <c r="I293">
        <v>4</v>
      </c>
      <c r="J293" t="s">
        <v>159</v>
      </c>
      <c r="K293">
        <v>89</v>
      </c>
      <c r="L293">
        <v>67</v>
      </c>
      <c r="M293">
        <v>97</v>
      </c>
      <c r="N293">
        <v>67</v>
      </c>
      <c r="O293">
        <v>75</v>
      </c>
      <c r="P293">
        <v>94</v>
      </c>
      <c r="Q293">
        <v>93</v>
      </c>
      <c r="R293">
        <f>SUM(student_scores[[#This Row],[math_score]:[geography_score]])</f>
        <v>582</v>
      </c>
      <c r="S293" s="3">
        <f>student_scores[[#This Row],[Total_Score]]/7</f>
        <v>83.142857142857139</v>
      </c>
      <c r="T293" s="3" t="str" cm="1">
        <f t="array" ref="T293">_xlfn.IFS(student_scores[[#This Row],[weekly_self_study_hours]]&lt;=5,   "0 - 5", student_scores[[#This Row],[weekly_self_study_hours]]&lt;=10,  "6 - 10", student_scores[[#This Row],[weekly_self_study_hours]]&lt;=20,  "11 - 20",student_scores[[#This Row],[weekly_self_study_hours]]&lt;=30, "21 - 30",TRUE, "31+")</f>
        <v>0 - 5</v>
      </c>
      <c r="U293" t="str" cm="1">
        <f t="array" ref="U293">_xlfn.IFS(student_scores[[#This Row],[absence_days]]=0,"0", student_scores[[#This Row],[absence_days]]&lt;=3,"1-3", student_scores[[#This Row],[absence_days]]&lt;=6,"4-6", TRUE,"7-10")</f>
        <v>1-3</v>
      </c>
      <c r="V293" t="str">
        <f>IF(student_scores[[#This Row],[Total_Score]] &gt;= _xlfn.PERCENTILE.INC(student_scores[Total_Score], 0.8), "Yes", "No")</f>
        <v>No</v>
      </c>
    </row>
    <row r="294" spans="1:22" x14ac:dyDescent="0.35">
      <c r="A294">
        <v>293</v>
      </c>
      <c r="B294" t="s">
        <v>65</v>
      </c>
      <c r="C294" t="s">
        <v>651</v>
      </c>
      <c r="D294" t="s">
        <v>714</v>
      </c>
      <c r="E294" t="s">
        <v>25</v>
      </c>
      <c r="F294" t="b">
        <v>0</v>
      </c>
      <c r="G294">
        <v>8</v>
      </c>
      <c r="H294" t="b">
        <v>0</v>
      </c>
      <c r="I294">
        <v>32</v>
      </c>
      <c r="J294" t="s">
        <v>113</v>
      </c>
      <c r="K294">
        <v>99</v>
      </c>
      <c r="L294">
        <v>88</v>
      </c>
      <c r="M294">
        <v>84</v>
      </c>
      <c r="N294">
        <v>87</v>
      </c>
      <c r="O294">
        <v>36</v>
      </c>
      <c r="P294">
        <v>96</v>
      </c>
      <c r="Q294">
        <v>86</v>
      </c>
      <c r="R294">
        <f>SUM(student_scores[[#This Row],[math_score]:[geography_score]])</f>
        <v>576</v>
      </c>
      <c r="S294" s="3">
        <f>student_scores[[#This Row],[Total_Score]]/7</f>
        <v>82.285714285714292</v>
      </c>
      <c r="T294" s="3" t="str" cm="1">
        <f t="array" ref="T294">_xlfn.IFS(student_scores[[#This Row],[weekly_self_study_hours]]&lt;=5,   "0 - 5", student_scores[[#This Row],[weekly_self_study_hours]]&lt;=10,  "6 - 10", student_scores[[#This Row],[weekly_self_study_hours]]&lt;=20,  "11 - 20",student_scores[[#This Row],[weekly_self_study_hours]]&lt;=30, "21 - 30",TRUE, "31+")</f>
        <v>31+</v>
      </c>
      <c r="U294" t="str" cm="1">
        <f t="array" ref="U294">_xlfn.IFS(student_scores[[#This Row],[absence_days]]=0,"0", student_scores[[#This Row],[absence_days]]&lt;=3,"1-3", student_scores[[#This Row],[absence_days]]&lt;=6,"4-6", TRUE,"7-10")</f>
        <v>7-10</v>
      </c>
      <c r="V294" t="str">
        <f>IF(student_scores[[#This Row],[Total_Score]] &gt;= _xlfn.PERCENTILE.INC(student_scores[Total_Score], 0.8), "Yes", "No")</f>
        <v>No</v>
      </c>
    </row>
    <row r="295" spans="1:22" x14ac:dyDescent="0.35">
      <c r="A295">
        <v>294</v>
      </c>
      <c r="B295" t="s">
        <v>715</v>
      </c>
      <c r="C295" t="s">
        <v>87</v>
      </c>
      <c r="D295" t="s">
        <v>716</v>
      </c>
      <c r="E295" t="s">
        <v>25</v>
      </c>
      <c r="F295" t="b">
        <v>0</v>
      </c>
      <c r="G295">
        <v>2</v>
      </c>
      <c r="H295" t="b">
        <v>0</v>
      </c>
      <c r="I295">
        <v>12</v>
      </c>
      <c r="J295" t="s">
        <v>105</v>
      </c>
      <c r="K295">
        <v>95</v>
      </c>
      <c r="L295">
        <v>82</v>
      </c>
      <c r="M295">
        <v>93</v>
      </c>
      <c r="N295">
        <v>99</v>
      </c>
      <c r="O295">
        <v>66</v>
      </c>
      <c r="P295">
        <v>93</v>
      </c>
      <c r="Q295">
        <v>86</v>
      </c>
      <c r="R295">
        <f>SUM(student_scores[[#This Row],[math_score]:[geography_score]])</f>
        <v>614</v>
      </c>
      <c r="S295" s="3">
        <f>student_scores[[#This Row],[Total_Score]]/7</f>
        <v>87.714285714285708</v>
      </c>
      <c r="T295" s="3" t="str" cm="1">
        <f t="array" ref="T295">_xlfn.IFS(student_scores[[#This Row],[weekly_self_study_hours]]&lt;=5,   "0 - 5", student_scores[[#This Row],[weekly_self_study_hours]]&lt;=10,  "6 - 10", student_scores[[#This Row],[weekly_self_study_hours]]&lt;=20,  "11 - 20",student_scores[[#This Row],[weekly_self_study_hours]]&lt;=30, "21 - 30",TRUE, "31+")</f>
        <v>11 - 20</v>
      </c>
      <c r="U295" t="str" cm="1">
        <f t="array" ref="U295">_xlfn.IFS(student_scores[[#This Row],[absence_days]]=0,"0", student_scores[[#This Row],[absence_days]]&lt;=3,"1-3", student_scores[[#This Row],[absence_days]]&lt;=6,"4-6", TRUE,"7-10")</f>
        <v>1-3</v>
      </c>
      <c r="V295" t="str">
        <f>IF(student_scores[[#This Row],[Total_Score]] &gt;= _xlfn.PERCENTILE.INC(student_scores[Total_Score], 0.8), "Yes", "No")</f>
        <v>Yes</v>
      </c>
    </row>
    <row r="296" spans="1:22" x14ac:dyDescent="0.35">
      <c r="A296">
        <v>295</v>
      </c>
      <c r="B296" t="s">
        <v>68</v>
      </c>
      <c r="C296" t="s">
        <v>423</v>
      </c>
      <c r="D296" t="s">
        <v>717</v>
      </c>
      <c r="E296" t="s">
        <v>25</v>
      </c>
      <c r="F296" t="b">
        <v>1</v>
      </c>
      <c r="G296">
        <v>6</v>
      </c>
      <c r="H296" t="b">
        <v>0</v>
      </c>
      <c r="I296">
        <v>5</v>
      </c>
      <c r="J296" t="s">
        <v>123</v>
      </c>
      <c r="K296">
        <v>72</v>
      </c>
      <c r="L296">
        <v>92</v>
      </c>
      <c r="M296">
        <v>67</v>
      </c>
      <c r="N296">
        <v>100</v>
      </c>
      <c r="O296">
        <v>70</v>
      </c>
      <c r="P296">
        <v>94</v>
      </c>
      <c r="Q296">
        <v>81</v>
      </c>
      <c r="R296">
        <f>SUM(student_scores[[#This Row],[math_score]:[geography_score]])</f>
        <v>576</v>
      </c>
      <c r="S296" s="3">
        <f>student_scores[[#This Row],[Total_Score]]/7</f>
        <v>82.285714285714292</v>
      </c>
      <c r="T296" s="3" t="str" cm="1">
        <f t="array" ref="T296">_xlfn.IFS(student_scores[[#This Row],[weekly_self_study_hours]]&lt;=5,   "0 - 5", student_scores[[#This Row],[weekly_self_study_hours]]&lt;=10,  "6 - 10", student_scores[[#This Row],[weekly_self_study_hours]]&lt;=20,  "11 - 20",student_scores[[#This Row],[weekly_self_study_hours]]&lt;=30, "21 - 30",TRUE, "31+")</f>
        <v>0 - 5</v>
      </c>
      <c r="U296" t="str" cm="1">
        <f t="array" ref="U296">_xlfn.IFS(student_scores[[#This Row],[absence_days]]=0,"0", student_scores[[#This Row],[absence_days]]&lt;=3,"1-3", student_scores[[#This Row],[absence_days]]&lt;=6,"4-6", TRUE,"7-10")</f>
        <v>4-6</v>
      </c>
      <c r="V296" t="str">
        <f>IF(student_scores[[#This Row],[Total_Score]] &gt;= _xlfn.PERCENTILE.INC(student_scores[Total_Score], 0.8), "Yes", "No")</f>
        <v>No</v>
      </c>
    </row>
    <row r="297" spans="1:22" x14ac:dyDescent="0.35">
      <c r="A297">
        <v>296</v>
      </c>
      <c r="B297" t="s">
        <v>417</v>
      </c>
      <c r="C297" t="s">
        <v>718</v>
      </c>
      <c r="D297" t="s">
        <v>719</v>
      </c>
      <c r="E297" t="s">
        <v>25</v>
      </c>
      <c r="F297" t="b">
        <v>0</v>
      </c>
      <c r="G297">
        <v>2</v>
      </c>
      <c r="H297" t="b">
        <v>1</v>
      </c>
      <c r="I297">
        <v>15</v>
      </c>
      <c r="J297" t="s">
        <v>30</v>
      </c>
      <c r="K297">
        <v>68</v>
      </c>
      <c r="L297">
        <v>89</v>
      </c>
      <c r="M297">
        <v>68</v>
      </c>
      <c r="N297">
        <v>90</v>
      </c>
      <c r="O297">
        <v>68</v>
      </c>
      <c r="P297">
        <v>99</v>
      </c>
      <c r="Q297">
        <v>74</v>
      </c>
      <c r="R297">
        <f>SUM(student_scores[[#This Row],[math_score]:[geography_score]])</f>
        <v>556</v>
      </c>
      <c r="S297" s="3">
        <f>student_scores[[#This Row],[Total_Score]]/7</f>
        <v>79.428571428571431</v>
      </c>
      <c r="T297" s="3" t="str" cm="1">
        <f t="array" ref="T297">_xlfn.IFS(student_scores[[#This Row],[weekly_self_study_hours]]&lt;=5,   "0 - 5", student_scores[[#This Row],[weekly_self_study_hours]]&lt;=10,  "6 - 10", student_scores[[#This Row],[weekly_self_study_hours]]&lt;=20,  "11 - 20",student_scores[[#This Row],[weekly_self_study_hours]]&lt;=30, "21 - 30",TRUE, "31+")</f>
        <v>11 - 20</v>
      </c>
      <c r="U297" t="str" cm="1">
        <f t="array" ref="U297">_xlfn.IFS(student_scores[[#This Row],[absence_days]]=0,"0", student_scores[[#This Row],[absence_days]]&lt;=3,"1-3", student_scores[[#This Row],[absence_days]]&lt;=6,"4-6", TRUE,"7-10")</f>
        <v>1-3</v>
      </c>
      <c r="V297" t="str">
        <f>IF(student_scores[[#This Row],[Total_Score]] &gt;= _xlfn.PERCENTILE.INC(student_scores[Total_Score], 0.8), "Yes", "No")</f>
        <v>No</v>
      </c>
    </row>
    <row r="298" spans="1:22" x14ac:dyDescent="0.35">
      <c r="A298">
        <v>297</v>
      </c>
      <c r="B298" t="s">
        <v>720</v>
      </c>
      <c r="C298" t="s">
        <v>28</v>
      </c>
      <c r="D298" t="s">
        <v>721</v>
      </c>
      <c r="E298" t="s">
        <v>25</v>
      </c>
      <c r="F298" t="b">
        <v>0</v>
      </c>
      <c r="G298">
        <v>3</v>
      </c>
      <c r="H298" t="b">
        <v>0</v>
      </c>
      <c r="I298">
        <v>31</v>
      </c>
      <c r="J298" t="s">
        <v>113</v>
      </c>
      <c r="K298">
        <v>92</v>
      </c>
      <c r="L298">
        <v>69</v>
      </c>
      <c r="M298">
        <v>78</v>
      </c>
      <c r="N298">
        <v>68</v>
      </c>
      <c r="O298">
        <v>70</v>
      </c>
      <c r="P298">
        <v>80</v>
      </c>
      <c r="Q298">
        <v>73</v>
      </c>
      <c r="R298">
        <f>SUM(student_scores[[#This Row],[math_score]:[geography_score]])</f>
        <v>530</v>
      </c>
      <c r="S298" s="3">
        <f>student_scores[[#This Row],[Total_Score]]/7</f>
        <v>75.714285714285708</v>
      </c>
      <c r="T298" s="3" t="str" cm="1">
        <f t="array" ref="T298">_xlfn.IFS(student_scores[[#This Row],[weekly_self_study_hours]]&lt;=5,   "0 - 5", student_scores[[#This Row],[weekly_self_study_hours]]&lt;=10,  "6 - 10", student_scores[[#This Row],[weekly_self_study_hours]]&lt;=20,  "11 - 20",student_scores[[#This Row],[weekly_self_study_hours]]&lt;=30, "21 - 30",TRUE, "31+")</f>
        <v>31+</v>
      </c>
      <c r="U298" t="str" cm="1">
        <f t="array" ref="U298">_xlfn.IFS(student_scores[[#This Row],[absence_days]]=0,"0", student_scores[[#This Row],[absence_days]]&lt;=3,"1-3", student_scores[[#This Row],[absence_days]]&lt;=6,"4-6", TRUE,"7-10")</f>
        <v>1-3</v>
      </c>
      <c r="V298" t="str">
        <f>IF(student_scores[[#This Row],[Total_Score]] &gt;= _xlfn.PERCENTILE.INC(student_scores[Total_Score], 0.8), "Yes", "No")</f>
        <v>No</v>
      </c>
    </row>
    <row r="299" spans="1:22" x14ac:dyDescent="0.35">
      <c r="A299">
        <v>298</v>
      </c>
      <c r="B299" t="s">
        <v>722</v>
      </c>
      <c r="C299" t="s">
        <v>515</v>
      </c>
      <c r="D299" t="s">
        <v>723</v>
      </c>
      <c r="E299" t="s">
        <v>20</v>
      </c>
      <c r="F299" t="b">
        <v>0</v>
      </c>
      <c r="G299">
        <v>2</v>
      </c>
      <c r="H299" t="b">
        <v>0</v>
      </c>
      <c r="I299">
        <v>2</v>
      </c>
      <c r="J299" t="s">
        <v>159</v>
      </c>
      <c r="K299">
        <v>97</v>
      </c>
      <c r="L299">
        <v>74</v>
      </c>
      <c r="M299">
        <v>97</v>
      </c>
      <c r="N299">
        <v>60</v>
      </c>
      <c r="O299">
        <v>65</v>
      </c>
      <c r="P299">
        <v>90</v>
      </c>
      <c r="Q299">
        <v>97</v>
      </c>
      <c r="R299">
        <f>SUM(student_scores[[#This Row],[math_score]:[geography_score]])</f>
        <v>580</v>
      </c>
      <c r="S299" s="3">
        <f>student_scores[[#This Row],[Total_Score]]/7</f>
        <v>82.857142857142861</v>
      </c>
      <c r="T299" s="3" t="str" cm="1">
        <f t="array" ref="T299">_xlfn.IFS(student_scores[[#This Row],[weekly_self_study_hours]]&lt;=5,   "0 - 5", student_scores[[#This Row],[weekly_self_study_hours]]&lt;=10,  "6 - 10", student_scores[[#This Row],[weekly_self_study_hours]]&lt;=20,  "11 - 20",student_scores[[#This Row],[weekly_self_study_hours]]&lt;=30, "21 - 30",TRUE, "31+")</f>
        <v>0 - 5</v>
      </c>
      <c r="U299" t="str" cm="1">
        <f t="array" ref="U299">_xlfn.IFS(student_scores[[#This Row],[absence_days]]=0,"0", student_scores[[#This Row],[absence_days]]&lt;=3,"1-3", student_scores[[#This Row],[absence_days]]&lt;=6,"4-6", TRUE,"7-10")</f>
        <v>1-3</v>
      </c>
      <c r="V299" t="str">
        <f>IF(student_scores[[#This Row],[Total_Score]] &gt;= _xlfn.PERCENTILE.INC(student_scores[Total_Score], 0.8), "Yes", "No")</f>
        <v>No</v>
      </c>
    </row>
    <row r="300" spans="1:22" x14ac:dyDescent="0.35">
      <c r="A300">
        <v>299</v>
      </c>
      <c r="B300" t="s">
        <v>655</v>
      </c>
      <c r="C300" t="s">
        <v>724</v>
      </c>
      <c r="D300" t="s">
        <v>725</v>
      </c>
      <c r="E300" t="s">
        <v>25</v>
      </c>
      <c r="F300" t="b">
        <v>0</v>
      </c>
      <c r="G300">
        <v>1</v>
      </c>
      <c r="H300" t="b">
        <v>0</v>
      </c>
      <c r="I300">
        <v>2</v>
      </c>
      <c r="J300" t="s">
        <v>38</v>
      </c>
      <c r="K300">
        <v>81</v>
      </c>
      <c r="L300">
        <v>92</v>
      </c>
      <c r="M300">
        <v>94</v>
      </c>
      <c r="N300">
        <v>77</v>
      </c>
      <c r="O300">
        <v>84</v>
      </c>
      <c r="P300">
        <v>63</v>
      </c>
      <c r="Q300">
        <v>64</v>
      </c>
      <c r="R300">
        <f>SUM(student_scores[[#This Row],[math_score]:[geography_score]])</f>
        <v>555</v>
      </c>
      <c r="S300" s="3">
        <f>student_scores[[#This Row],[Total_Score]]/7</f>
        <v>79.285714285714292</v>
      </c>
      <c r="T300" s="3" t="str" cm="1">
        <f t="array" ref="T300">_xlfn.IFS(student_scores[[#This Row],[weekly_self_study_hours]]&lt;=5,   "0 - 5", student_scores[[#This Row],[weekly_self_study_hours]]&lt;=10,  "6 - 10", student_scores[[#This Row],[weekly_self_study_hours]]&lt;=20,  "11 - 20",student_scores[[#This Row],[weekly_self_study_hours]]&lt;=30, "21 - 30",TRUE, "31+")</f>
        <v>0 - 5</v>
      </c>
      <c r="U300" t="str" cm="1">
        <f t="array" ref="U300">_xlfn.IFS(student_scores[[#This Row],[absence_days]]=0,"0", student_scores[[#This Row],[absence_days]]&lt;=3,"1-3", student_scores[[#This Row],[absence_days]]&lt;=6,"4-6", TRUE,"7-10")</f>
        <v>1-3</v>
      </c>
      <c r="V300" t="str">
        <f>IF(student_scores[[#This Row],[Total_Score]] &gt;= _xlfn.PERCENTILE.INC(student_scores[Total_Score], 0.8), "Yes", "No")</f>
        <v>No</v>
      </c>
    </row>
    <row r="301" spans="1:22" x14ac:dyDescent="0.35">
      <c r="A301">
        <v>300</v>
      </c>
      <c r="B301" t="s">
        <v>568</v>
      </c>
      <c r="C301" t="s">
        <v>726</v>
      </c>
      <c r="D301" t="s">
        <v>727</v>
      </c>
      <c r="E301" t="s">
        <v>20</v>
      </c>
      <c r="F301" t="b">
        <v>0</v>
      </c>
      <c r="G301">
        <v>3</v>
      </c>
      <c r="H301" t="b">
        <v>0</v>
      </c>
      <c r="I301">
        <v>20</v>
      </c>
      <c r="J301" t="s">
        <v>44</v>
      </c>
      <c r="K301">
        <v>88</v>
      </c>
      <c r="L301">
        <v>60</v>
      </c>
      <c r="M301">
        <v>81</v>
      </c>
      <c r="N301">
        <v>85</v>
      </c>
      <c r="O301">
        <v>87</v>
      </c>
      <c r="P301">
        <v>90</v>
      </c>
      <c r="Q301">
        <v>76</v>
      </c>
      <c r="R301">
        <f>SUM(student_scores[[#This Row],[math_score]:[geography_score]])</f>
        <v>567</v>
      </c>
      <c r="S301" s="3">
        <f>student_scores[[#This Row],[Total_Score]]/7</f>
        <v>81</v>
      </c>
      <c r="T301" s="3" t="str" cm="1">
        <f t="array" ref="T301">_xlfn.IFS(student_scores[[#This Row],[weekly_self_study_hours]]&lt;=5,   "0 - 5", student_scores[[#This Row],[weekly_self_study_hours]]&lt;=10,  "6 - 10", student_scores[[#This Row],[weekly_self_study_hours]]&lt;=20,  "11 - 20",student_scores[[#This Row],[weekly_self_study_hours]]&lt;=30, "21 - 30",TRUE, "31+")</f>
        <v>11 - 20</v>
      </c>
      <c r="U301" t="str" cm="1">
        <f t="array" ref="U301">_xlfn.IFS(student_scores[[#This Row],[absence_days]]=0,"0", student_scores[[#This Row],[absence_days]]&lt;=3,"1-3", student_scores[[#This Row],[absence_days]]&lt;=6,"4-6", TRUE,"7-10")</f>
        <v>1-3</v>
      </c>
      <c r="V301" t="str">
        <f>IF(student_scores[[#This Row],[Total_Score]] &gt;= _xlfn.PERCENTILE.INC(student_scores[Total_Score], 0.8), "Yes", "No")</f>
        <v>No</v>
      </c>
    </row>
    <row r="302" spans="1:22" x14ac:dyDescent="0.35">
      <c r="A302">
        <v>301</v>
      </c>
      <c r="B302" t="s">
        <v>728</v>
      </c>
      <c r="C302" t="s">
        <v>729</v>
      </c>
      <c r="D302" t="s">
        <v>730</v>
      </c>
      <c r="E302" t="s">
        <v>20</v>
      </c>
      <c r="F302" t="b">
        <v>0</v>
      </c>
      <c r="G302">
        <v>1</v>
      </c>
      <c r="H302" t="b">
        <v>1</v>
      </c>
      <c r="I302">
        <v>11</v>
      </c>
      <c r="J302" t="s">
        <v>172</v>
      </c>
      <c r="K302">
        <v>76</v>
      </c>
      <c r="L302">
        <v>82</v>
      </c>
      <c r="M302">
        <v>70</v>
      </c>
      <c r="N302">
        <v>72</v>
      </c>
      <c r="O302">
        <v>78</v>
      </c>
      <c r="P302">
        <v>60</v>
      </c>
      <c r="Q302">
        <v>81</v>
      </c>
      <c r="R302">
        <f>SUM(student_scores[[#This Row],[math_score]:[geography_score]])</f>
        <v>519</v>
      </c>
      <c r="S302" s="3">
        <f>student_scores[[#This Row],[Total_Score]]/7</f>
        <v>74.142857142857139</v>
      </c>
      <c r="T302" s="3" t="str" cm="1">
        <f t="array" ref="T302">_xlfn.IFS(student_scores[[#This Row],[weekly_self_study_hours]]&lt;=5,   "0 - 5", student_scores[[#This Row],[weekly_self_study_hours]]&lt;=10,  "6 - 10", student_scores[[#This Row],[weekly_self_study_hours]]&lt;=20,  "11 - 20",student_scores[[#This Row],[weekly_self_study_hours]]&lt;=30, "21 - 30",TRUE, "31+")</f>
        <v>11 - 20</v>
      </c>
      <c r="U302" t="str" cm="1">
        <f t="array" ref="U302">_xlfn.IFS(student_scores[[#This Row],[absence_days]]=0,"0", student_scores[[#This Row],[absence_days]]&lt;=3,"1-3", student_scores[[#This Row],[absence_days]]&lt;=6,"4-6", TRUE,"7-10")</f>
        <v>1-3</v>
      </c>
      <c r="V302" t="str">
        <f>IF(student_scores[[#This Row],[Total_Score]] &gt;= _xlfn.PERCENTILE.INC(student_scores[Total_Score], 0.8), "Yes", "No")</f>
        <v>No</v>
      </c>
    </row>
    <row r="303" spans="1:22" x14ac:dyDescent="0.35">
      <c r="A303">
        <v>302</v>
      </c>
      <c r="B303" t="s">
        <v>731</v>
      </c>
      <c r="C303" t="s">
        <v>732</v>
      </c>
      <c r="D303" t="s">
        <v>733</v>
      </c>
      <c r="E303" t="s">
        <v>25</v>
      </c>
      <c r="F303" t="b">
        <v>0</v>
      </c>
      <c r="G303">
        <v>10</v>
      </c>
      <c r="H303" t="b">
        <v>0</v>
      </c>
      <c r="I303">
        <v>26</v>
      </c>
      <c r="J303" t="s">
        <v>105</v>
      </c>
      <c r="K303">
        <v>77</v>
      </c>
      <c r="L303">
        <v>62</v>
      </c>
      <c r="M303">
        <v>97</v>
      </c>
      <c r="N303">
        <v>82</v>
      </c>
      <c r="O303">
        <v>74</v>
      </c>
      <c r="P303">
        <v>98</v>
      </c>
      <c r="Q303">
        <v>95</v>
      </c>
      <c r="R303">
        <f>SUM(student_scores[[#This Row],[math_score]:[geography_score]])</f>
        <v>585</v>
      </c>
      <c r="S303" s="3">
        <f>student_scores[[#This Row],[Total_Score]]/7</f>
        <v>83.571428571428569</v>
      </c>
      <c r="T303" s="3" t="str" cm="1">
        <f t="array" ref="T303">_xlfn.IFS(student_scores[[#This Row],[weekly_self_study_hours]]&lt;=5,   "0 - 5", student_scores[[#This Row],[weekly_self_study_hours]]&lt;=10,  "6 - 10", student_scores[[#This Row],[weekly_self_study_hours]]&lt;=20,  "11 - 20",student_scores[[#This Row],[weekly_self_study_hours]]&lt;=30, "21 - 30",TRUE, "31+")</f>
        <v>21 - 30</v>
      </c>
      <c r="U303" t="str" cm="1">
        <f t="array" ref="U303">_xlfn.IFS(student_scores[[#This Row],[absence_days]]=0,"0", student_scores[[#This Row],[absence_days]]&lt;=3,"1-3", student_scores[[#This Row],[absence_days]]&lt;=6,"4-6", TRUE,"7-10")</f>
        <v>7-10</v>
      </c>
      <c r="V303" t="str">
        <f>IF(student_scores[[#This Row],[Total_Score]] &gt;= _xlfn.PERCENTILE.INC(student_scores[Total_Score], 0.8), "Yes", "No")</f>
        <v>No</v>
      </c>
    </row>
    <row r="304" spans="1:22" x14ac:dyDescent="0.35">
      <c r="A304">
        <v>303</v>
      </c>
      <c r="B304" t="s">
        <v>734</v>
      </c>
      <c r="C304" t="s">
        <v>735</v>
      </c>
      <c r="D304" t="s">
        <v>736</v>
      </c>
      <c r="E304" t="s">
        <v>25</v>
      </c>
      <c r="F304" t="b">
        <v>0</v>
      </c>
      <c r="G304">
        <v>3</v>
      </c>
      <c r="H304" t="b">
        <v>0</v>
      </c>
      <c r="I304">
        <v>22</v>
      </c>
      <c r="J304" t="s">
        <v>113</v>
      </c>
      <c r="K304">
        <v>89</v>
      </c>
      <c r="L304">
        <v>81</v>
      </c>
      <c r="M304">
        <v>99</v>
      </c>
      <c r="N304">
        <v>71</v>
      </c>
      <c r="O304">
        <v>67</v>
      </c>
      <c r="P304">
        <v>74</v>
      </c>
      <c r="Q304">
        <v>89</v>
      </c>
      <c r="R304">
        <f>SUM(student_scores[[#This Row],[math_score]:[geography_score]])</f>
        <v>570</v>
      </c>
      <c r="S304" s="3">
        <f>student_scores[[#This Row],[Total_Score]]/7</f>
        <v>81.428571428571431</v>
      </c>
      <c r="T304" s="3" t="str" cm="1">
        <f t="array" ref="T304">_xlfn.IFS(student_scores[[#This Row],[weekly_self_study_hours]]&lt;=5,   "0 - 5", student_scores[[#This Row],[weekly_self_study_hours]]&lt;=10,  "6 - 10", student_scores[[#This Row],[weekly_self_study_hours]]&lt;=20,  "11 - 20",student_scores[[#This Row],[weekly_self_study_hours]]&lt;=30, "21 - 30",TRUE, "31+")</f>
        <v>21 - 30</v>
      </c>
      <c r="U304" t="str" cm="1">
        <f t="array" ref="U304">_xlfn.IFS(student_scores[[#This Row],[absence_days]]=0,"0", student_scores[[#This Row],[absence_days]]&lt;=3,"1-3", student_scores[[#This Row],[absence_days]]&lt;=6,"4-6", TRUE,"7-10")</f>
        <v>1-3</v>
      </c>
      <c r="V304" t="str">
        <f>IF(student_scores[[#This Row],[Total_Score]] &gt;= _xlfn.PERCENTILE.INC(student_scores[Total_Score], 0.8), "Yes", "No")</f>
        <v>No</v>
      </c>
    </row>
    <row r="305" spans="1:22" x14ac:dyDescent="0.35">
      <c r="A305">
        <v>304</v>
      </c>
      <c r="B305" t="s">
        <v>369</v>
      </c>
      <c r="C305" t="s">
        <v>164</v>
      </c>
      <c r="D305" t="s">
        <v>737</v>
      </c>
      <c r="E305" t="s">
        <v>25</v>
      </c>
      <c r="F305" t="b">
        <v>0</v>
      </c>
      <c r="G305">
        <v>1</v>
      </c>
      <c r="H305" t="b">
        <v>1</v>
      </c>
      <c r="I305">
        <v>12</v>
      </c>
      <c r="J305" t="s">
        <v>30</v>
      </c>
      <c r="K305">
        <v>65</v>
      </c>
      <c r="L305">
        <v>69</v>
      </c>
      <c r="M305">
        <v>66</v>
      </c>
      <c r="N305">
        <v>65</v>
      </c>
      <c r="O305">
        <v>90</v>
      </c>
      <c r="P305">
        <v>76</v>
      </c>
      <c r="Q305">
        <v>60</v>
      </c>
      <c r="R305">
        <f>SUM(student_scores[[#This Row],[math_score]:[geography_score]])</f>
        <v>491</v>
      </c>
      <c r="S305" s="3">
        <f>student_scores[[#This Row],[Total_Score]]/7</f>
        <v>70.142857142857139</v>
      </c>
      <c r="T305" s="3" t="str" cm="1">
        <f t="array" ref="T305">_xlfn.IFS(student_scores[[#This Row],[weekly_self_study_hours]]&lt;=5,   "0 - 5", student_scores[[#This Row],[weekly_self_study_hours]]&lt;=10,  "6 - 10", student_scores[[#This Row],[weekly_self_study_hours]]&lt;=20,  "11 - 20",student_scores[[#This Row],[weekly_self_study_hours]]&lt;=30, "21 - 30",TRUE, "31+")</f>
        <v>11 - 20</v>
      </c>
      <c r="U305" t="str" cm="1">
        <f t="array" ref="U305">_xlfn.IFS(student_scores[[#This Row],[absence_days]]=0,"0", student_scores[[#This Row],[absence_days]]&lt;=3,"1-3", student_scores[[#This Row],[absence_days]]&lt;=6,"4-6", TRUE,"7-10")</f>
        <v>1-3</v>
      </c>
      <c r="V305" t="str">
        <f>IF(student_scores[[#This Row],[Total_Score]] &gt;= _xlfn.PERCENTILE.INC(student_scores[Total_Score], 0.8), "Yes", "No")</f>
        <v>No</v>
      </c>
    </row>
    <row r="306" spans="1:22" x14ac:dyDescent="0.35">
      <c r="A306">
        <v>305</v>
      </c>
      <c r="B306" t="s">
        <v>738</v>
      </c>
      <c r="C306" t="s">
        <v>739</v>
      </c>
      <c r="D306" t="s">
        <v>740</v>
      </c>
      <c r="E306" t="s">
        <v>25</v>
      </c>
      <c r="F306" t="b">
        <v>1</v>
      </c>
      <c r="G306">
        <v>10</v>
      </c>
      <c r="H306" t="b">
        <v>0</v>
      </c>
      <c r="I306">
        <v>4</v>
      </c>
      <c r="J306" t="s">
        <v>64</v>
      </c>
      <c r="K306">
        <v>82</v>
      </c>
      <c r="L306">
        <v>55</v>
      </c>
      <c r="M306">
        <v>76</v>
      </c>
      <c r="N306">
        <v>63</v>
      </c>
      <c r="O306">
        <v>70</v>
      </c>
      <c r="P306">
        <v>61</v>
      </c>
      <c r="Q306">
        <v>60</v>
      </c>
      <c r="R306">
        <f>SUM(student_scores[[#This Row],[math_score]:[geography_score]])</f>
        <v>467</v>
      </c>
      <c r="S306" s="3">
        <f>student_scores[[#This Row],[Total_Score]]/7</f>
        <v>66.714285714285708</v>
      </c>
      <c r="T306" s="3" t="str" cm="1">
        <f t="array" ref="T306">_xlfn.IFS(student_scores[[#This Row],[weekly_self_study_hours]]&lt;=5,   "0 - 5", student_scores[[#This Row],[weekly_self_study_hours]]&lt;=10,  "6 - 10", student_scores[[#This Row],[weekly_self_study_hours]]&lt;=20,  "11 - 20",student_scores[[#This Row],[weekly_self_study_hours]]&lt;=30, "21 - 30",TRUE, "31+")</f>
        <v>0 - 5</v>
      </c>
      <c r="U306" t="str" cm="1">
        <f t="array" ref="U306">_xlfn.IFS(student_scores[[#This Row],[absence_days]]=0,"0", student_scores[[#This Row],[absence_days]]&lt;=3,"1-3", student_scores[[#This Row],[absence_days]]&lt;=6,"4-6", TRUE,"7-10")</f>
        <v>7-10</v>
      </c>
      <c r="V306" t="str">
        <f>IF(student_scores[[#This Row],[Total_Score]] &gt;= _xlfn.PERCENTILE.INC(student_scores[Total_Score], 0.8), "Yes", "No")</f>
        <v>No</v>
      </c>
    </row>
    <row r="307" spans="1:22" x14ac:dyDescent="0.35">
      <c r="A307">
        <v>306</v>
      </c>
      <c r="B307" t="s">
        <v>741</v>
      </c>
      <c r="C307" t="s">
        <v>742</v>
      </c>
      <c r="D307" t="s">
        <v>743</v>
      </c>
      <c r="E307" t="s">
        <v>25</v>
      </c>
      <c r="F307" t="b">
        <v>0</v>
      </c>
      <c r="G307">
        <v>3</v>
      </c>
      <c r="H307" t="b">
        <v>0</v>
      </c>
      <c r="I307">
        <v>34</v>
      </c>
      <c r="J307" t="s">
        <v>105</v>
      </c>
      <c r="K307">
        <v>77</v>
      </c>
      <c r="L307">
        <v>60</v>
      </c>
      <c r="M307">
        <v>61</v>
      </c>
      <c r="N307">
        <v>91</v>
      </c>
      <c r="O307">
        <v>62</v>
      </c>
      <c r="P307">
        <v>78</v>
      </c>
      <c r="Q307">
        <v>91</v>
      </c>
      <c r="R307">
        <f>SUM(student_scores[[#This Row],[math_score]:[geography_score]])</f>
        <v>520</v>
      </c>
      <c r="S307" s="3">
        <f>student_scores[[#This Row],[Total_Score]]/7</f>
        <v>74.285714285714292</v>
      </c>
      <c r="T307" s="3" t="str" cm="1">
        <f t="array" ref="T307">_xlfn.IFS(student_scores[[#This Row],[weekly_self_study_hours]]&lt;=5,   "0 - 5", student_scores[[#This Row],[weekly_self_study_hours]]&lt;=10,  "6 - 10", student_scores[[#This Row],[weekly_self_study_hours]]&lt;=20,  "11 - 20",student_scores[[#This Row],[weekly_self_study_hours]]&lt;=30, "21 - 30",TRUE, "31+")</f>
        <v>31+</v>
      </c>
      <c r="U307" t="str" cm="1">
        <f t="array" ref="U307">_xlfn.IFS(student_scores[[#This Row],[absence_days]]=0,"0", student_scores[[#This Row],[absence_days]]&lt;=3,"1-3", student_scores[[#This Row],[absence_days]]&lt;=6,"4-6", TRUE,"7-10")</f>
        <v>1-3</v>
      </c>
      <c r="V307" t="str">
        <f>IF(student_scores[[#This Row],[Total_Score]] &gt;= _xlfn.PERCENTILE.INC(student_scores[Total_Score], 0.8), "Yes", "No")</f>
        <v>No</v>
      </c>
    </row>
    <row r="308" spans="1:22" x14ac:dyDescent="0.35">
      <c r="A308">
        <v>307</v>
      </c>
      <c r="B308" t="s">
        <v>154</v>
      </c>
      <c r="C308" t="s">
        <v>118</v>
      </c>
      <c r="D308" t="s">
        <v>744</v>
      </c>
      <c r="E308" t="s">
        <v>25</v>
      </c>
      <c r="F308" t="b">
        <v>0</v>
      </c>
      <c r="G308">
        <v>0</v>
      </c>
      <c r="H308" t="b">
        <v>0</v>
      </c>
      <c r="I308">
        <v>9</v>
      </c>
      <c r="J308" t="s">
        <v>54</v>
      </c>
      <c r="K308">
        <v>66</v>
      </c>
      <c r="L308">
        <v>70</v>
      </c>
      <c r="M308">
        <v>88</v>
      </c>
      <c r="N308">
        <v>70</v>
      </c>
      <c r="O308">
        <v>62</v>
      </c>
      <c r="P308">
        <v>70</v>
      </c>
      <c r="Q308">
        <v>75</v>
      </c>
      <c r="R308">
        <f>SUM(student_scores[[#This Row],[math_score]:[geography_score]])</f>
        <v>501</v>
      </c>
      <c r="S308" s="3">
        <f>student_scores[[#This Row],[Total_Score]]/7</f>
        <v>71.571428571428569</v>
      </c>
      <c r="T308" s="3" t="str" cm="1">
        <f t="array" ref="T308">_xlfn.IFS(student_scores[[#This Row],[weekly_self_study_hours]]&lt;=5,   "0 - 5", student_scores[[#This Row],[weekly_self_study_hours]]&lt;=10,  "6 - 10", student_scores[[#This Row],[weekly_self_study_hours]]&lt;=20,  "11 - 20",student_scores[[#This Row],[weekly_self_study_hours]]&lt;=30, "21 - 30",TRUE, "31+")</f>
        <v>6 - 10</v>
      </c>
      <c r="U308" t="str" cm="1">
        <f t="array" ref="U308">_xlfn.IFS(student_scores[[#This Row],[absence_days]]=0,"0", student_scores[[#This Row],[absence_days]]&lt;=3,"1-3", student_scores[[#This Row],[absence_days]]&lt;=6,"4-6", TRUE,"7-10")</f>
        <v>0</v>
      </c>
      <c r="V308" t="str">
        <f>IF(student_scores[[#This Row],[Total_Score]] &gt;= _xlfn.PERCENTILE.INC(student_scores[Total_Score], 0.8), "Yes", "No")</f>
        <v>No</v>
      </c>
    </row>
    <row r="309" spans="1:22" x14ac:dyDescent="0.35">
      <c r="A309">
        <v>308</v>
      </c>
      <c r="B309" t="s">
        <v>388</v>
      </c>
      <c r="C309" t="s">
        <v>128</v>
      </c>
      <c r="D309" t="s">
        <v>745</v>
      </c>
      <c r="E309" t="s">
        <v>25</v>
      </c>
      <c r="F309" t="b">
        <v>0</v>
      </c>
      <c r="G309">
        <v>5</v>
      </c>
      <c r="H309" t="b">
        <v>0</v>
      </c>
      <c r="I309">
        <v>43</v>
      </c>
      <c r="J309" t="s">
        <v>26</v>
      </c>
      <c r="K309">
        <v>90</v>
      </c>
      <c r="L309">
        <v>96</v>
      </c>
      <c r="M309">
        <v>100</v>
      </c>
      <c r="N309">
        <v>87</v>
      </c>
      <c r="O309">
        <v>100</v>
      </c>
      <c r="P309">
        <v>90</v>
      </c>
      <c r="Q309">
        <v>89</v>
      </c>
      <c r="R309">
        <f>SUM(student_scores[[#This Row],[math_score]:[geography_score]])</f>
        <v>652</v>
      </c>
      <c r="S309" s="3">
        <f>student_scores[[#This Row],[Total_Score]]/7</f>
        <v>93.142857142857139</v>
      </c>
      <c r="T309" s="3" t="str" cm="1">
        <f t="array" ref="T309">_xlfn.IFS(student_scores[[#This Row],[weekly_self_study_hours]]&lt;=5,   "0 - 5", student_scores[[#This Row],[weekly_self_study_hours]]&lt;=10,  "6 - 10", student_scores[[#This Row],[weekly_self_study_hours]]&lt;=20,  "11 - 20",student_scores[[#This Row],[weekly_self_study_hours]]&lt;=30, "21 - 30",TRUE, "31+")</f>
        <v>31+</v>
      </c>
      <c r="U309" t="str" cm="1">
        <f t="array" ref="U309">_xlfn.IFS(student_scores[[#This Row],[absence_days]]=0,"0", student_scores[[#This Row],[absence_days]]&lt;=3,"1-3", student_scores[[#This Row],[absence_days]]&lt;=6,"4-6", TRUE,"7-10")</f>
        <v>4-6</v>
      </c>
      <c r="V309" t="str">
        <f>IF(student_scores[[#This Row],[Total_Score]] &gt;= _xlfn.PERCENTILE.INC(student_scores[Total_Score], 0.8), "Yes", "No")</f>
        <v>Yes</v>
      </c>
    </row>
    <row r="310" spans="1:22" x14ac:dyDescent="0.35">
      <c r="A310">
        <v>309</v>
      </c>
      <c r="B310" t="s">
        <v>746</v>
      </c>
      <c r="C310" t="s">
        <v>246</v>
      </c>
      <c r="D310" t="s">
        <v>747</v>
      </c>
      <c r="E310" t="s">
        <v>25</v>
      </c>
      <c r="F310" t="b">
        <v>0</v>
      </c>
      <c r="G310">
        <v>2</v>
      </c>
      <c r="H310" t="b">
        <v>0</v>
      </c>
      <c r="I310">
        <v>1</v>
      </c>
      <c r="J310" t="s">
        <v>224</v>
      </c>
      <c r="K310">
        <v>73</v>
      </c>
      <c r="L310">
        <v>87</v>
      </c>
      <c r="M310">
        <v>90</v>
      </c>
      <c r="N310">
        <v>96</v>
      </c>
      <c r="O310">
        <v>61</v>
      </c>
      <c r="P310">
        <v>61</v>
      </c>
      <c r="Q310">
        <v>76</v>
      </c>
      <c r="R310">
        <f>SUM(student_scores[[#This Row],[math_score]:[geography_score]])</f>
        <v>544</v>
      </c>
      <c r="S310" s="3">
        <f>student_scores[[#This Row],[Total_Score]]/7</f>
        <v>77.714285714285708</v>
      </c>
      <c r="T310" s="3" t="str" cm="1">
        <f t="array" ref="T310">_xlfn.IFS(student_scores[[#This Row],[weekly_self_study_hours]]&lt;=5,   "0 - 5", student_scores[[#This Row],[weekly_self_study_hours]]&lt;=10,  "6 - 10", student_scores[[#This Row],[weekly_self_study_hours]]&lt;=20,  "11 - 20",student_scores[[#This Row],[weekly_self_study_hours]]&lt;=30, "21 - 30",TRUE, "31+")</f>
        <v>0 - 5</v>
      </c>
      <c r="U310" t="str" cm="1">
        <f t="array" ref="U310">_xlfn.IFS(student_scores[[#This Row],[absence_days]]=0,"0", student_scores[[#This Row],[absence_days]]&lt;=3,"1-3", student_scores[[#This Row],[absence_days]]&lt;=6,"4-6", TRUE,"7-10")</f>
        <v>1-3</v>
      </c>
      <c r="V310" t="str">
        <f>IF(student_scores[[#This Row],[Total_Score]] &gt;= _xlfn.PERCENTILE.INC(student_scores[Total_Score], 0.8), "Yes", "No")</f>
        <v>No</v>
      </c>
    </row>
    <row r="311" spans="1:22" x14ac:dyDescent="0.35">
      <c r="A311">
        <v>310</v>
      </c>
      <c r="B311" t="s">
        <v>748</v>
      </c>
      <c r="C311" t="s">
        <v>515</v>
      </c>
      <c r="D311" t="s">
        <v>749</v>
      </c>
      <c r="E311" t="s">
        <v>25</v>
      </c>
      <c r="F311" t="b">
        <v>0</v>
      </c>
      <c r="G311">
        <v>2</v>
      </c>
      <c r="H311" t="b">
        <v>0</v>
      </c>
      <c r="I311">
        <v>19</v>
      </c>
      <c r="J311" t="s">
        <v>44</v>
      </c>
      <c r="K311">
        <v>89</v>
      </c>
      <c r="L311">
        <v>64</v>
      </c>
      <c r="M311">
        <v>74</v>
      </c>
      <c r="N311">
        <v>97</v>
      </c>
      <c r="O311">
        <v>95</v>
      </c>
      <c r="P311">
        <v>77</v>
      </c>
      <c r="Q311">
        <v>88</v>
      </c>
      <c r="R311">
        <f>SUM(student_scores[[#This Row],[math_score]:[geography_score]])</f>
        <v>584</v>
      </c>
      <c r="S311" s="3">
        <f>student_scores[[#This Row],[Total_Score]]/7</f>
        <v>83.428571428571431</v>
      </c>
      <c r="T311" s="3" t="str" cm="1">
        <f t="array" ref="T311">_xlfn.IFS(student_scores[[#This Row],[weekly_self_study_hours]]&lt;=5,   "0 - 5", student_scores[[#This Row],[weekly_self_study_hours]]&lt;=10,  "6 - 10", student_scores[[#This Row],[weekly_self_study_hours]]&lt;=20,  "11 - 20",student_scores[[#This Row],[weekly_self_study_hours]]&lt;=30, "21 - 30",TRUE, "31+")</f>
        <v>11 - 20</v>
      </c>
      <c r="U311" t="str" cm="1">
        <f t="array" ref="U311">_xlfn.IFS(student_scores[[#This Row],[absence_days]]=0,"0", student_scores[[#This Row],[absence_days]]&lt;=3,"1-3", student_scores[[#This Row],[absence_days]]&lt;=6,"4-6", TRUE,"7-10")</f>
        <v>1-3</v>
      </c>
      <c r="V311" t="str">
        <f>IF(student_scores[[#This Row],[Total_Score]] &gt;= _xlfn.PERCENTILE.INC(student_scores[Total_Score], 0.8), "Yes", "No")</f>
        <v>No</v>
      </c>
    </row>
    <row r="312" spans="1:22" x14ac:dyDescent="0.35">
      <c r="A312">
        <v>311</v>
      </c>
      <c r="B312" t="s">
        <v>722</v>
      </c>
      <c r="C312" t="s">
        <v>750</v>
      </c>
      <c r="D312" t="s">
        <v>751</v>
      </c>
      <c r="E312" t="s">
        <v>25</v>
      </c>
      <c r="F312" t="b">
        <v>1</v>
      </c>
      <c r="G312">
        <v>4</v>
      </c>
      <c r="H312" t="b">
        <v>0</v>
      </c>
      <c r="I312">
        <v>2</v>
      </c>
      <c r="J312" t="s">
        <v>64</v>
      </c>
      <c r="K312">
        <v>72</v>
      </c>
      <c r="L312">
        <v>55</v>
      </c>
      <c r="M312">
        <v>54</v>
      </c>
      <c r="N312">
        <v>62</v>
      </c>
      <c r="O312">
        <v>75</v>
      </c>
      <c r="P312">
        <v>79</v>
      </c>
      <c r="Q312">
        <v>96</v>
      </c>
      <c r="R312">
        <f>SUM(student_scores[[#This Row],[math_score]:[geography_score]])</f>
        <v>493</v>
      </c>
      <c r="S312" s="3">
        <f>student_scores[[#This Row],[Total_Score]]/7</f>
        <v>70.428571428571431</v>
      </c>
      <c r="T312" s="3" t="str" cm="1">
        <f t="array" ref="T312">_xlfn.IFS(student_scores[[#This Row],[weekly_self_study_hours]]&lt;=5,   "0 - 5", student_scores[[#This Row],[weekly_self_study_hours]]&lt;=10,  "6 - 10", student_scores[[#This Row],[weekly_self_study_hours]]&lt;=20,  "11 - 20",student_scores[[#This Row],[weekly_self_study_hours]]&lt;=30, "21 - 30",TRUE, "31+")</f>
        <v>0 - 5</v>
      </c>
      <c r="U312" t="str" cm="1">
        <f t="array" ref="U312">_xlfn.IFS(student_scores[[#This Row],[absence_days]]=0,"0", student_scores[[#This Row],[absence_days]]&lt;=3,"1-3", student_scores[[#This Row],[absence_days]]&lt;=6,"4-6", TRUE,"7-10")</f>
        <v>4-6</v>
      </c>
      <c r="V312" t="str">
        <f>IF(student_scores[[#This Row],[Total_Score]] &gt;= _xlfn.PERCENTILE.INC(student_scores[Total_Score], 0.8), "Yes", "No")</f>
        <v>No</v>
      </c>
    </row>
    <row r="313" spans="1:22" x14ac:dyDescent="0.35">
      <c r="A313">
        <v>312</v>
      </c>
      <c r="B313" t="s">
        <v>752</v>
      </c>
      <c r="C313" t="s">
        <v>264</v>
      </c>
      <c r="D313" t="s">
        <v>753</v>
      </c>
      <c r="E313" t="s">
        <v>20</v>
      </c>
      <c r="F313" t="b">
        <v>0</v>
      </c>
      <c r="G313">
        <v>1</v>
      </c>
      <c r="H313" t="b">
        <v>0</v>
      </c>
      <c r="I313">
        <v>34</v>
      </c>
      <c r="J313" t="s">
        <v>76</v>
      </c>
      <c r="K313">
        <v>87</v>
      </c>
      <c r="L313">
        <v>90</v>
      </c>
      <c r="M313">
        <v>89</v>
      </c>
      <c r="N313">
        <v>88</v>
      </c>
      <c r="O313">
        <v>93</v>
      </c>
      <c r="P313">
        <v>87</v>
      </c>
      <c r="Q313">
        <v>70</v>
      </c>
      <c r="R313">
        <f>SUM(student_scores[[#This Row],[math_score]:[geography_score]])</f>
        <v>604</v>
      </c>
      <c r="S313" s="3">
        <f>student_scores[[#This Row],[Total_Score]]/7</f>
        <v>86.285714285714292</v>
      </c>
      <c r="T313" s="3" t="str" cm="1">
        <f t="array" ref="T313">_xlfn.IFS(student_scores[[#This Row],[weekly_self_study_hours]]&lt;=5,   "0 - 5", student_scores[[#This Row],[weekly_self_study_hours]]&lt;=10,  "6 - 10", student_scores[[#This Row],[weekly_self_study_hours]]&lt;=20,  "11 - 20",student_scores[[#This Row],[weekly_self_study_hours]]&lt;=30, "21 - 30",TRUE, "31+")</f>
        <v>31+</v>
      </c>
      <c r="U313" t="str" cm="1">
        <f t="array" ref="U313">_xlfn.IFS(student_scores[[#This Row],[absence_days]]=0,"0", student_scores[[#This Row],[absence_days]]&lt;=3,"1-3", student_scores[[#This Row],[absence_days]]&lt;=6,"4-6", TRUE,"7-10")</f>
        <v>1-3</v>
      </c>
      <c r="V313" t="str">
        <f>IF(student_scores[[#This Row],[Total_Score]] &gt;= _xlfn.PERCENTILE.INC(student_scores[Total_Score], 0.8), "Yes", "No")</f>
        <v>Yes</v>
      </c>
    </row>
    <row r="314" spans="1:22" x14ac:dyDescent="0.35">
      <c r="A314">
        <v>313</v>
      </c>
      <c r="B314" t="s">
        <v>517</v>
      </c>
      <c r="C314" t="s">
        <v>295</v>
      </c>
      <c r="D314" t="s">
        <v>754</v>
      </c>
      <c r="E314" t="s">
        <v>25</v>
      </c>
      <c r="F314" t="b">
        <v>0</v>
      </c>
      <c r="G314">
        <v>4</v>
      </c>
      <c r="H314" t="b">
        <v>1</v>
      </c>
      <c r="I314">
        <v>31</v>
      </c>
      <c r="J314" t="s">
        <v>76</v>
      </c>
      <c r="K314">
        <v>75</v>
      </c>
      <c r="L314">
        <v>98</v>
      </c>
      <c r="M314">
        <v>96</v>
      </c>
      <c r="N314">
        <v>85</v>
      </c>
      <c r="O314">
        <v>81</v>
      </c>
      <c r="P314">
        <v>69</v>
      </c>
      <c r="Q314">
        <v>90</v>
      </c>
      <c r="R314">
        <f>SUM(student_scores[[#This Row],[math_score]:[geography_score]])</f>
        <v>594</v>
      </c>
      <c r="S314" s="3">
        <f>student_scores[[#This Row],[Total_Score]]/7</f>
        <v>84.857142857142861</v>
      </c>
      <c r="T314" s="3" t="str" cm="1">
        <f t="array" ref="T314">_xlfn.IFS(student_scores[[#This Row],[weekly_self_study_hours]]&lt;=5,   "0 - 5", student_scores[[#This Row],[weekly_self_study_hours]]&lt;=10,  "6 - 10", student_scores[[#This Row],[weekly_self_study_hours]]&lt;=20,  "11 - 20",student_scores[[#This Row],[weekly_self_study_hours]]&lt;=30, "21 - 30",TRUE, "31+")</f>
        <v>31+</v>
      </c>
      <c r="U314" t="str" cm="1">
        <f t="array" ref="U314">_xlfn.IFS(student_scores[[#This Row],[absence_days]]=0,"0", student_scores[[#This Row],[absence_days]]&lt;=3,"1-3", student_scores[[#This Row],[absence_days]]&lt;=6,"4-6", TRUE,"7-10")</f>
        <v>4-6</v>
      </c>
      <c r="V314" t="str">
        <f>IF(student_scores[[#This Row],[Total_Score]] &gt;= _xlfn.PERCENTILE.INC(student_scores[Total_Score], 0.8), "Yes", "No")</f>
        <v>No</v>
      </c>
    </row>
    <row r="315" spans="1:22" x14ac:dyDescent="0.35">
      <c r="A315">
        <v>314</v>
      </c>
      <c r="B315" t="s">
        <v>755</v>
      </c>
      <c r="C315" t="s">
        <v>756</v>
      </c>
      <c r="D315" t="s">
        <v>757</v>
      </c>
      <c r="E315" t="s">
        <v>25</v>
      </c>
      <c r="F315" t="b">
        <v>0</v>
      </c>
      <c r="G315">
        <v>4</v>
      </c>
      <c r="H315" t="b">
        <v>0</v>
      </c>
      <c r="I315">
        <v>11</v>
      </c>
      <c r="J315" t="s">
        <v>54</v>
      </c>
      <c r="K315">
        <v>80</v>
      </c>
      <c r="L315">
        <v>85</v>
      </c>
      <c r="M315">
        <v>98</v>
      </c>
      <c r="N315">
        <v>99</v>
      </c>
      <c r="O315">
        <v>92</v>
      </c>
      <c r="P315">
        <v>70</v>
      </c>
      <c r="Q315">
        <v>96</v>
      </c>
      <c r="R315">
        <f>SUM(student_scores[[#This Row],[math_score]:[geography_score]])</f>
        <v>620</v>
      </c>
      <c r="S315" s="3">
        <f>student_scores[[#This Row],[Total_Score]]/7</f>
        <v>88.571428571428569</v>
      </c>
      <c r="T315" s="3" t="str" cm="1">
        <f t="array" ref="T315">_xlfn.IFS(student_scores[[#This Row],[weekly_self_study_hours]]&lt;=5,   "0 - 5", student_scores[[#This Row],[weekly_self_study_hours]]&lt;=10,  "6 - 10", student_scores[[#This Row],[weekly_self_study_hours]]&lt;=20,  "11 - 20",student_scores[[#This Row],[weekly_self_study_hours]]&lt;=30, "21 - 30",TRUE, "31+")</f>
        <v>11 - 20</v>
      </c>
      <c r="U315" t="str" cm="1">
        <f t="array" ref="U315">_xlfn.IFS(student_scores[[#This Row],[absence_days]]=0,"0", student_scores[[#This Row],[absence_days]]&lt;=3,"1-3", student_scores[[#This Row],[absence_days]]&lt;=6,"4-6", TRUE,"7-10")</f>
        <v>4-6</v>
      </c>
      <c r="V315" t="str">
        <f>IF(student_scores[[#This Row],[Total_Score]] &gt;= _xlfn.PERCENTILE.INC(student_scores[Total_Score], 0.8), "Yes", "No")</f>
        <v>Yes</v>
      </c>
    </row>
    <row r="316" spans="1:22" x14ac:dyDescent="0.35">
      <c r="A316">
        <v>315</v>
      </c>
      <c r="B316" t="s">
        <v>758</v>
      </c>
      <c r="C316" t="s">
        <v>759</v>
      </c>
      <c r="D316" t="s">
        <v>760</v>
      </c>
      <c r="E316" t="s">
        <v>20</v>
      </c>
      <c r="F316" t="b">
        <v>0</v>
      </c>
      <c r="G316">
        <v>2</v>
      </c>
      <c r="H316" t="b">
        <v>0</v>
      </c>
      <c r="I316">
        <v>35</v>
      </c>
      <c r="J316" t="s">
        <v>38</v>
      </c>
      <c r="K316">
        <v>85</v>
      </c>
      <c r="L316">
        <v>87</v>
      </c>
      <c r="M316">
        <v>87</v>
      </c>
      <c r="N316">
        <v>90</v>
      </c>
      <c r="O316">
        <v>91</v>
      </c>
      <c r="P316">
        <v>91</v>
      </c>
      <c r="Q316">
        <v>99</v>
      </c>
      <c r="R316">
        <f>SUM(student_scores[[#This Row],[math_score]:[geography_score]])</f>
        <v>630</v>
      </c>
      <c r="S316" s="3">
        <f>student_scores[[#This Row],[Total_Score]]/7</f>
        <v>90</v>
      </c>
      <c r="T316" s="3" t="str" cm="1">
        <f t="array" ref="T316">_xlfn.IFS(student_scores[[#This Row],[weekly_self_study_hours]]&lt;=5,   "0 - 5", student_scores[[#This Row],[weekly_self_study_hours]]&lt;=10,  "6 - 10", student_scores[[#This Row],[weekly_self_study_hours]]&lt;=20,  "11 - 20",student_scores[[#This Row],[weekly_self_study_hours]]&lt;=30, "21 - 30",TRUE, "31+")</f>
        <v>31+</v>
      </c>
      <c r="U316" t="str" cm="1">
        <f t="array" ref="U316">_xlfn.IFS(student_scores[[#This Row],[absence_days]]=0,"0", student_scores[[#This Row],[absence_days]]&lt;=3,"1-3", student_scores[[#This Row],[absence_days]]&lt;=6,"4-6", TRUE,"7-10")</f>
        <v>1-3</v>
      </c>
      <c r="V316" t="str">
        <f>IF(student_scores[[#This Row],[Total_Score]] &gt;= _xlfn.PERCENTILE.INC(student_scores[Total_Score], 0.8), "Yes", "No")</f>
        <v>Yes</v>
      </c>
    </row>
    <row r="317" spans="1:22" x14ac:dyDescent="0.35">
      <c r="A317">
        <v>316</v>
      </c>
      <c r="B317" t="s">
        <v>473</v>
      </c>
      <c r="C317" t="s">
        <v>118</v>
      </c>
      <c r="D317" t="s">
        <v>761</v>
      </c>
      <c r="E317" t="s">
        <v>20</v>
      </c>
      <c r="F317" t="b">
        <v>0</v>
      </c>
      <c r="G317">
        <v>4</v>
      </c>
      <c r="H317" t="b">
        <v>0</v>
      </c>
      <c r="I317">
        <v>20</v>
      </c>
      <c r="J317" t="s">
        <v>44</v>
      </c>
      <c r="K317">
        <v>92</v>
      </c>
      <c r="L317">
        <v>93</v>
      </c>
      <c r="M317">
        <v>74</v>
      </c>
      <c r="N317">
        <v>76</v>
      </c>
      <c r="O317">
        <v>79</v>
      </c>
      <c r="P317">
        <v>65</v>
      </c>
      <c r="Q317">
        <v>74</v>
      </c>
      <c r="R317">
        <f>SUM(student_scores[[#This Row],[math_score]:[geography_score]])</f>
        <v>553</v>
      </c>
      <c r="S317" s="3">
        <f>student_scores[[#This Row],[Total_Score]]/7</f>
        <v>79</v>
      </c>
      <c r="T317" s="3" t="str" cm="1">
        <f t="array" ref="T317">_xlfn.IFS(student_scores[[#This Row],[weekly_self_study_hours]]&lt;=5,   "0 - 5", student_scores[[#This Row],[weekly_self_study_hours]]&lt;=10,  "6 - 10", student_scores[[#This Row],[weekly_self_study_hours]]&lt;=20,  "11 - 20",student_scores[[#This Row],[weekly_self_study_hours]]&lt;=30, "21 - 30",TRUE, "31+")</f>
        <v>11 - 20</v>
      </c>
      <c r="U317" t="str" cm="1">
        <f t="array" ref="U317">_xlfn.IFS(student_scores[[#This Row],[absence_days]]=0,"0", student_scores[[#This Row],[absence_days]]&lt;=3,"1-3", student_scores[[#This Row],[absence_days]]&lt;=6,"4-6", TRUE,"7-10")</f>
        <v>4-6</v>
      </c>
      <c r="V317" t="str">
        <f>IF(student_scores[[#This Row],[Total_Score]] &gt;= _xlfn.PERCENTILE.INC(student_scores[Total_Score], 0.8), "Yes", "No")</f>
        <v>No</v>
      </c>
    </row>
    <row r="318" spans="1:22" x14ac:dyDescent="0.35">
      <c r="A318">
        <v>317</v>
      </c>
      <c r="B318" t="s">
        <v>428</v>
      </c>
      <c r="C318" t="s">
        <v>295</v>
      </c>
      <c r="D318" t="s">
        <v>762</v>
      </c>
      <c r="E318" t="s">
        <v>25</v>
      </c>
      <c r="F318" t="b">
        <v>1</v>
      </c>
      <c r="G318">
        <v>0</v>
      </c>
      <c r="H318" t="b">
        <v>0</v>
      </c>
      <c r="I318">
        <v>22</v>
      </c>
      <c r="J318" t="s">
        <v>38</v>
      </c>
      <c r="K318">
        <v>63</v>
      </c>
      <c r="L318">
        <v>60</v>
      </c>
      <c r="M318">
        <v>92</v>
      </c>
      <c r="N318">
        <v>88</v>
      </c>
      <c r="O318">
        <v>90</v>
      </c>
      <c r="P318">
        <v>68</v>
      </c>
      <c r="Q318">
        <v>100</v>
      </c>
      <c r="R318">
        <f>SUM(student_scores[[#This Row],[math_score]:[geography_score]])</f>
        <v>561</v>
      </c>
      <c r="S318" s="3">
        <f>student_scores[[#This Row],[Total_Score]]/7</f>
        <v>80.142857142857139</v>
      </c>
      <c r="T318" s="3" t="str" cm="1">
        <f t="array" ref="T318">_xlfn.IFS(student_scores[[#This Row],[weekly_self_study_hours]]&lt;=5,   "0 - 5", student_scores[[#This Row],[weekly_self_study_hours]]&lt;=10,  "6 - 10", student_scores[[#This Row],[weekly_self_study_hours]]&lt;=20,  "11 - 20",student_scores[[#This Row],[weekly_self_study_hours]]&lt;=30, "21 - 30",TRUE, "31+")</f>
        <v>21 - 30</v>
      </c>
      <c r="U318" t="str" cm="1">
        <f t="array" ref="U318">_xlfn.IFS(student_scores[[#This Row],[absence_days]]=0,"0", student_scores[[#This Row],[absence_days]]&lt;=3,"1-3", student_scores[[#This Row],[absence_days]]&lt;=6,"4-6", TRUE,"7-10")</f>
        <v>0</v>
      </c>
      <c r="V318" t="str">
        <f>IF(student_scores[[#This Row],[Total_Score]] &gt;= _xlfn.PERCENTILE.INC(student_scores[Total_Score], 0.8), "Yes", "No")</f>
        <v>No</v>
      </c>
    </row>
    <row r="319" spans="1:22" x14ac:dyDescent="0.35">
      <c r="A319">
        <v>318</v>
      </c>
      <c r="B319" t="s">
        <v>763</v>
      </c>
      <c r="C319" t="s">
        <v>764</v>
      </c>
      <c r="D319" t="s">
        <v>765</v>
      </c>
      <c r="E319" t="s">
        <v>25</v>
      </c>
      <c r="F319" t="b">
        <v>0</v>
      </c>
      <c r="G319">
        <v>3</v>
      </c>
      <c r="H319" t="b">
        <v>0</v>
      </c>
      <c r="I319">
        <v>2</v>
      </c>
      <c r="J319" t="s">
        <v>159</v>
      </c>
      <c r="K319">
        <v>99</v>
      </c>
      <c r="L319">
        <v>99</v>
      </c>
      <c r="M319">
        <v>87</v>
      </c>
      <c r="N319">
        <v>80</v>
      </c>
      <c r="O319">
        <v>89</v>
      </c>
      <c r="P319">
        <v>78</v>
      </c>
      <c r="Q319">
        <v>87</v>
      </c>
      <c r="R319">
        <f>SUM(student_scores[[#This Row],[math_score]:[geography_score]])</f>
        <v>619</v>
      </c>
      <c r="S319" s="3">
        <f>student_scores[[#This Row],[Total_Score]]/7</f>
        <v>88.428571428571431</v>
      </c>
      <c r="T319" s="3" t="str" cm="1">
        <f t="array" ref="T319">_xlfn.IFS(student_scores[[#This Row],[weekly_self_study_hours]]&lt;=5,   "0 - 5", student_scores[[#This Row],[weekly_self_study_hours]]&lt;=10,  "6 - 10", student_scores[[#This Row],[weekly_self_study_hours]]&lt;=20,  "11 - 20",student_scores[[#This Row],[weekly_self_study_hours]]&lt;=30, "21 - 30",TRUE, "31+")</f>
        <v>0 - 5</v>
      </c>
      <c r="U319" t="str" cm="1">
        <f t="array" ref="U319">_xlfn.IFS(student_scores[[#This Row],[absence_days]]=0,"0", student_scores[[#This Row],[absence_days]]&lt;=3,"1-3", student_scores[[#This Row],[absence_days]]&lt;=6,"4-6", TRUE,"7-10")</f>
        <v>1-3</v>
      </c>
      <c r="V319" t="str">
        <f>IF(student_scores[[#This Row],[Total_Score]] &gt;= _xlfn.PERCENTILE.INC(student_scores[Total_Score], 0.8), "Yes", "No")</f>
        <v>Yes</v>
      </c>
    </row>
    <row r="320" spans="1:22" x14ac:dyDescent="0.35">
      <c r="A320">
        <v>319</v>
      </c>
      <c r="B320" t="s">
        <v>221</v>
      </c>
      <c r="C320" t="s">
        <v>766</v>
      </c>
      <c r="D320" t="s">
        <v>767</v>
      </c>
      <c r="E320" t="s">
        <v>20</v>
      </c>
      <c r="F320" t="b">
        <v>0</v>
      </c>
      <c r="G320">
        <v>7</v>
      </c>
      <c r="H320" t="b">
        <v>0</v>
      </c>
      <c r="I320">
        <v>1</v>
      </c>
      <c r="J320" t="s">
        <v>64</v>
      </c>
      <c r="K320">
        <v>87</v>
      </c>
      <c r="L320">
        <v>88</v>
      </c>
      <c r="M320">
        <v>51</v>
      </c>
      <c r="N320">
        <v>96</v>
      </c>
      <c r="O320">
        <v>77</v>
      </c>
      <c r="P320">
        <v>71</v>
      </c>
      <c r="Q320">
        <v>61</v>
      </c>
      <c r="R320">
        <f>SUM(student_scores[[#This Row],[math_score]:[geography_score]])</f>
        <v>531</v>
      </c>
      <c r="S320" s="3">
        <f>student_scores[[#This Row],[Total_Score]]/7</f>
        <v>75.857142857142861</v>
      </c>
      <c r="T320" s="3" t="str" cm="1">
        <f t="array" ref="T320">_xlfn.IFS(student_scores[[#This Row],[weekly_self_study_hours]]&lt;=5,   "0 - 5", student_scores[[#This Row],[weekly_self_study_hours]]&lt;=10,  "6 - 10", student_scores[[#This Row],[weekly_self_study_hours]]&lt;=20,  "11 - 20",student_scores[[#This Row],[weekly_self_study_hours]]&lt;=30, "21 - 30",TRUE, "31+")</f>
        <v>0 - 5</v>
      </c>
      <c r="U320" t="str" cm="1">
        <f t="array" ref="U320">_xlfn.IFS(student_scores[[#This Row],[absence_days]]=0,"0", student_scores[[#This Row],[absence_days]]&lt;=3,"1-3", student_scores[[#This Row],[absence_days]]&lt;=6,"4-6", TRUE,"7-10")</f>
        <v>7-10</v>
      </c>
      <c r="V320" t="str">
        <f>IF(student_scores[[#This Row],[Total_Score]] &gt;= _xlfn.PERCENTILE.INC(student_scores[Total_Score], 0.8), "Yes", "No")</f>
        <v>No</v>
      </c>
    </row>
    <row r="321" spans="1:22" x14ac:dyDescent="0.35">
      <c r="A321">
        <v>320</v>
      </c>
      <c r="B321" t="s">
        <v>146</v>
      </c>
      <c r="C321" t="s">
        <v>768</v>
      </c>
      <c r="D321" t="s">
        <v>769</v>
      </c>
      <c r="E321" t="s">
        <v>25</v>
      </c>
      <c r="F321" t="b">
        <v>0</v>
      </c>
      <c r="G321">
        <v>4</v>
      </c>
      <c r="H321" t="b">
        <v>0</v>
      </c>
      <c r="I321">
        <v>34</v>
      </c>
      <c r="J321" t="s">
        <v>44</v>
      </c>
      <c r="K321">
        <v>87</v>
      </c>
      <c r="L321">
        <v>84</v>
      </c>
      <c r="M321">
        <v>62</v>
      </c>
      <c r="N321">
        <v>76</v>
      </c>
      <c r="O321">
        <v>89</v>
      </c>
      <c r="P321">
        <v>83</v>
      </c>
      <c r="Q321">
        <v>93</v>
      </c>
      <c r="R321">
        <f>SUM(student_scores[[#This Row],[math_score]:[geography_score]])</f>
        <v>574</v>
      </c>
      <c r="S321" s="3">
        <f>student_scores[[#This Row],[Total_Score]]/7</f>
        <v>82</v>
      </c>
      <c r="T321" s="3" t="str" cm="1">
        <f t="array" ref="T321">_xlfn.IFS(student_scores[[#This Row],[weekly_self_study_hours]]&lt;=5,   "0 - 5", student_scores[[#This Row],[weekly_self_study_hours]]&lt;=10,  "6 - 10", student_scores[[#This Row],[weekly_self_study_hours]]&lt;=20,  "11 - 20",student_scores[[#This Row],[weekly_self_study_hours]]&lt;=30, "21 - 30",TRUE, "31+")</f>
        <v>31+</v>
      </c>
      <c r="U321" t="str" cm="1">
        <f t="array" ref="U321">_xlfn.IFS(student_scores[[#This Row],[absence_days]]=0,"0", student_scores[[#This Row],[absence_days]]&lt;=3,"1-3", student_scores[[#This Row],[absence_days]]&lt;=6,"4-6", TRUE,"7-10")</f>
        <v>4-6</v>
      </c>
      <c r="V321" t="str">
        <f>IF(student_scores[[#This Row],[Total_Score]] &gt;= _xlfn.PERCENTILE.INC(student_scores[Total_Score], 0.8), "Yes", "No")</f>
        <v>No</v>
      </c>
    </row>
    <row r="322" spans="1:22" x14ac:dyDescent="0.35">
      <c r="A322">
        <v>321</v>
      </c>
      <c r="B322" t="s">
        <v>160</v>
      </c>
      <c r="C322" t="s">
        <v>770</v>
      </c>
      <c r="D322" t="s">
        <v>771</v>
      </c>
      <c r="E322" t="s">
        <v>20</v>
      </c>
      <c r="F322" t="b">
        <v>1</v>
      </c>
      <c r="G322">
        <v>6</v>
      </c>
      <c r="H322" t="b">
        <v>0</v>
      </c>
      <c r="I322">
        <v>17</v>
      </c>
      <c r="J322" t="s">
        <v>44</v>
      </c>
      <c r="K322">
        <v>90</v>
      </c>
      <c r="L322">
        <v>75</v>
      </c>
      <c r="M322">
        <v>71</v>
      </c>
      <c r="N322">
        <v>64</v>
      </c>
      <c r="O322">
        <v>97</v>
      </c>
      <c r="P322">
        <v>89</v>
      </c>
      <c r="Q322">
        <v>88</v>
      </c>
      <c r="R322">
        <f>SUM(student_scores[[#This Row],[math_score]:[geography_score]])</f>
        <v>574</v>
      </c>
      <c r="S322" s="3">
        <f>student_scores[[#This Row],[Total_Score]]/7</f>
        <v>82</v>
      </c>
      <c r="T322" s="3" t="str" cm="1">
        <f t="array" ref="T322">_xlfn.IFS(student_scores[[#This Row],[weekly_self_study_hours]]&lt;=5,   "0 - 5", student_scores[[#This Row],[weekly_self_study_hours]]&lt;=10,  "6 - 10", student_scores[[#This Row],[weekly_self_study_hours]]&lt;=20,  "11 - 20",student_scores[[#This Row],[weekly_self_study_hours]]&lt;=30, "21 - 30",TRUE, "31+")</f>
        <v>11 - 20</v>
      </c>
      <c r="U322" t="str" cm="1">
        <f t="array" ref="U322">_xlfn.IFS(student_scores[[#This Row],[absence_days]]=0,"0", student_scores[[#This Row],[absence_days]]&lt;=3,"1-3", student_scores[[#This Row],[absence_days]]&lt;=6,"4-6", TRUE,"7-10")</f>
        <v>4-6</v>
      </c>
      <c r="V322" t="str">
        <f>IF(student_scores[[#This Row],[Total_Score]] &gt;= _xlfn.PERCENTILE.INC(student_scores[Total_Score], 0.8), "Yes", "No")</f>
        <v>No</v>
      </c>
    </row>
    <row r="323" spans="1:22" x14ac:dyDescent="0.35">
      <c r="A323">
        <v>322</v>
      </c>
      <c r="B323" t="s">
        <v>676</v>
      </c>
      <c r="C323" t="s">
        <v>74</v>
      </c>
      <c r="D323" t="s">
        <v>772</v>
      </c>
      <c r="E323" t="s">
        <v>20</v>
      </c>
      <c r="F323" t="b">
        <v>0</v>
      </c>
      <c r="G323">
        <v>6</v>
      </c>
      <c r="H323" t="b">
        <v>0</v>
      </c>
      <c r="I323">
        <v>34</v>
      </c>
      <c r="J323" t="s">
        <v>26</v>
      </c>
      <c r="K323">
        <v>94</v>
      </c>
      <c r="L323">
        <v>83</v>
      </c>
      <c r="M323">
        <v>99</v>
      </c>
      <c r="N323">
        <v>100</v>
      </c>
      <c r="O323">
        <v>94</v>
      </c>
      <c r="P323">
        <v>91</v>
      </c>
      <c r="Q323">
        <v>69</v>
      </c>
      <c r="R323">
        <f>SUM(student_scores[[#This Row],[math_score]:[geography_score]])</f>
        <v>630</v>
      </c>
      <c r="S323" s="3">
        <f>student_scores[[#This Row],[Total_Score]]/7</f>
        <v>90</v>
      </c>
      <c r="T323" s="3" t="str" cm="1">
        <f t="array" ref="T323">_xlfn.IFS(student_scores[[#This Row],[weekly_self_study_hours]]&lt;=5,   "0 - 5", student_scores[[#This Row],[weekly_self_study_hours]]&lt;=10,  "6 - 10", student_scores[[#This Row],[weekly_self_study_hours]]&lt;=20,  "11 - 20",student_scores[[#This Row],[weekly_self_study_hours]]&lt;=30, "21 - 30",TRUE, "31+")</f>
        <v>31+</v>
      </c>
      <c r="U323" t="str" cm="1">
        <f t="array" ref="U323">_xlfn.IFS(student_scores[[#This Row],[absence_days]]=0,"0", student_scores[[#This Row],[absence_days]]&lt;=3,"1-3", student_scores[[#This Row],[absence_days]]&lt;=6,"4-6", TRUE,"7-10")</f>
        <v>4-6</v>
      </c>
      <c r="V323" t="str">
        <f>IF(student_scores[[#This Row],[Total_Score]] &gt;= _xlfn.PERCENTILE.INC(student_scores[Total_Score], 0.8), "Yes", "No")</f>
        <v>Yes</v>
      </c>
    </row>
    <row r="324" spans="1:22" x14ac:dyDescent="0.35">
      <c r="A324">
        <v>323</v>
      </c>
      <c r="B324" t="s">
        <v>243</v>
      </c>
      <c r="C324" t="s">
        <v>773</v>
      </c>
      <c r="D324" t="s">
        <v>774</v>
      </c>
      <c r="E324" t="s">
        <v>25</v>
      </c>
      <c r="F324" t="b">
        <v>1</v>
      </c>
      <c r="G324">
        <v>5</v>
      </c>
      <c r="H324" t="b">
        <v>0</v>
      </c>
      <c r="I324">
        <v>25</v>
      </c>
      <c r="J324" t="s">
        <v>38</v>
      </c>
      <c r="K324">
        <v>86</v>
      </c>
      <c r="L324">
        <v>76</v>
      </c>
      <c r="M324">
        <v>81</v>
      </c>
      <c r="N324">
        <v>83</v>
      </c>
      <c r="O324">
        <v>81</v>
      </c>
      <c r="P324">
        <v>70</v>
      </c>
      <c r="Q324">
        <v>65</v>
      </c>
      <c r="R324">
        <f>SUM(student_scores[[#This Row],[math_score]:[geography_score]])</f>
        <v>542</v>
      </c>
      <c r="S324" s="3">
        <f>student_scores[[#This Row],[Total_Score]]/7</f>
        <v>77.428571428571431</v>
      </c>
      <c r="T324" s="3" t="str" cm="1">
        <f t="array" ref="T324">_xlfn.IFS(student_scores[[#This Row],[weekly_self_study_hours]]&lt;=5,   "0 - 5", student_scores[[#This Row],[weekly_self_study_hours]]&lt;=10,  "6 - 10", student_scores[[#This Row],[weekly_self_study_hours]]&lt;=20,  "11 - 20",student_scores[[#This Row],[weekly_self_study_hours]]&lt;=30, "21 - 30",TRUE, "31+")</f>
        <v>21 - 30</v>
      </c>
      <c r="U324" t="str" cm="1">
        <f t="array" ref="U324">_xlfn.IFS(student_scores[[#This Row],[absence_days]]=0,"0", student_scores[[#This Row],[absence_days]]&lt;=3,"1-3", student_scores[[#This Row],[absence_days]]&lt;=6,"4-6", TRUE,"7-10")</f>
        <v>4-6</v>
      </c>
      <c r="V324" t="str">
        <f>IF(student_scores[[#This Row],[Total_Score]] &gt;= _xlfn.PERCENTILE.INC(student_scores[Total_Score], 0.8), "Yes", "No")</f>
        <v>No</v>
      </c>
    </row>
    <row r="325" spans="1:22" x14ac:dyDescent="0.35">
      <c r="A325">
        <v>324</v>
      </c>
      <c r="B325" t="s">
        <v>160</v>
      </c>
      <c r="C325" t="s">
        <v>316</v>
      </c>
      <c r="D325" t="s">
        <v>775</v>
      </c>
      <c r="E325" t="s">
        <v>20</v>
      </c>
      <c r="F325" t="b">
        <v>0</v>
      </c>
      <c r="G325">
        <v>3</v>
      </c>
      <c r="H325" t="b">
        <v>0</v>
      </c>
      <c r="I325">
        <v>8</v>
      </c>
      <c r="J325" t="s">
        <v>38</v>
      </c>
      <c r="K325">
        <v>96</v>
      </c>
      <c r="L325">
        <v>81</v>
      </c>
      <c r="M325">
        <v>95</v>
      </c>
      <c r="N325">
        <v>78</v>
      </c>
      <c r="O325">
        <v>79</v>
      </c>
      <c r="P325">
        <v>65</v>
      </c>
      <c r="Q325">
        <v>86</v>
      </c>
      <c r="R325">
        <f>SUM(student_scores[[#This Row],[math_score]:[geography_score]])</f>
        <v>580</v>
      </c>
      <c r="S325" s="3">
        <f>student_scores[[#This Row],[Total_Score]]/7</f>
        <v>82.857142857142861</v>
      </c>
      <c r="T325" s="3" t="str" cm="1">
        <f t="array" ref="T325">_xlfn.IFS(student_scores[[#This Row],[weekly_self_study_hours]]&lt;=5,   "0 - 5", student_scores[[#This Row],[weekly_self_study_hours]]&lt;=10,  "6 - 10", student_scores[[#This Row],[weekly_self_study_hours]]&lt;=20,  "11 - 20",student_scores[[#This Row],[weekly_self_study_hours]]&lt;=30, "21 - 30",TRUE, "31+")</f>
        <v>6 - 10</v>
      </c>
      <c r="U325" t="str" cm="1">
        <f t="array" ref="U325">_xlfn.IFS(student_scores[[#This Row],[absence_days]]=0,"0", student_scores[[#This Row],[absence_days]]&lt;=3,"1-3", student_scores[[#This Row],[absence_days]]&lt;=6,"4-6", TRUE,"7-10")</f>
        <v>1-3</v>
      </c>
      <c r="V325" t="str">
        <f>IF(student_scores[[#This Row],[Total_Score]] &gt;= _xlfn.PERCENTILE.INC(student_scores[Total_Score], 0.8), "Yes", "No")</f>
        <v>No</v>
      </c>
    </row>
    <row r="326" spans="1:22" x14ac:dyDescent="0.35">
      <c r="A326">
        <v>325</v>
      </c>
      <c r="B326" t="s">
        <v>35</v>
      </c>
      <c r="C326" t="s">
        <v>724</v>
      </c>
      <c r="D326" t="s">
        <v>776</v>
      </c>
      <c r="E326" t="s">
        <v>20</v>
      </c>
      <c r="F326" t="b">
        <v>0</v>
      </c>
      <c r="G326">
        <v>3</v>
      </c>
      <c r="H326" t="b">
        <v>0</v>
      </c>
      <c r="I326">
        <v>4</v>
      </c>
      <c r="J326" t="s">
        <v>38</v>
      </c>
      <c r="K326">
        <v>75</v>
      </c>
      <c r="L326">
        <v>69</v>
      </c>
      <c r="M326">
        <v>85</v>
      </c>
      <c r="N326">
        <v>73</v>
      </c>
      <c r="O326">
        <v>79</v>
      </c>
      <c r="P326">
        <v>93</v>
      </c>
      <c r="Q326">
        <v>74</v>
      </c>
      <c r="R326">
        <f>SUM(student_scores[[#This Row],[math_score]:[geography_score]])</f>
        <v>548</v>
      </c>
      <c r="S326" s="3">
        <f>student_scores[[#This Row],[Total_Score]]/7</f>
        <v>78.285714285714292</v>
      </c>
      <c r="T326" s="3" t="str" cm="1">
        <f t="array" ref="T326">_xlfn.IFS(student_scores[[#This Row],[weekly_self_study_hours]]&lt;=5,   "0 - 5", student_scores[[#This Row],[weekly_self_study_hours]]&lt;=10,  "6 - 10", student_scores[[#This Row],[weekly_self_study_hours]]&lt;=20,  "11 - 20",student_scores[[#This Row],[weekly_self_study_hours]]&lt;=30, "21 - 30",TRUE, "31+")</f>
        <v>0 - 5</v>
      </c>
      <c r="U326" t="str" cm="1">
        <f t="array" ref="U326">_xlfn.IFS(student_scores[[#This Row],[absence_days]]=0,"0", student_scores[[#This Row],[absence_days]]&lt;=3,"1-3", student_scores[[#This Row],[absence_days]]&lt;=6,"4-6", TRUE,"7-10")</f>
        <v>1-3</v>
      </c>
      <c r="V326" t="str">
        <f>IF(student_scores[[#This Row],[Total_Score]] &gt;= _xlfn.PERCENTILE.INC(student_scores[Total_Score], 0.8), "Yes", "No")</f>
        <v>No</v>
      </c>
    </row>
    <row r="327" spans="1:22" x14ac:dyDescent="0.35">
      <c r="A327">
        <v>326</v>
      </c>
      <c r="B327" t="s">
        <v>68</v>
      </c>
      <c r="C327" t="s">
        <v>118</v>
      </c>
      <c r="D327" t="s">
        <v>777</v>
      </c>
      <c r="E327" t="s">
        <v>25</v>
      </c>
      <c r="F327" t="b">
        <v>0</v>
      </c>
      <c r="G327">
        <v>1</v>
      </c>
      <c r="H327" t="b">
        <v>1</v>
      </c>
      <c r="I327">
        <v>26</v>
      </c>
      <c r="J327" t="s">
        <v>21</v>
      </c>
      <c r="K327">
        <v>74</v>
      </c>
      <c r="L327">
        <v>92</v>
      </c>
      <c r="M327">
        <v>81</v>
      </c>
      <c r="N327">
        <v>79</v>
      </c>
      <c r="O327">
        <v>74</v>
      </c>
      <c r="P327">
        <v>85</v>
      </c>
      <c r="Q327">
        <v>86</v>
      </c>
      <c r="R327">
        <f>SUM(student_scores[[#This Row],[math_score]:[geography_score]])</f>
        <v>571</v>
      </c>
      <c r="S327" s="3">
        <f>student_scores[[#This Row],[Total_Score]]/7</f>
        <v>81.571428571428569</v>
      </c>
      <c r="T327" s="3" t="str" cm="1">
        <f t="array" ref="T327">_xlfn.IFS(student_scores[[#This Row],[weekly_self_study_hours]]&lt;=5,   "0 - 5", student_scores[[#This Row],[weekly_self_study_hours]]&lt;=10,  "6 - 10", student_scores[[#This Row],[weekly_self_study_hours]]&lt;=20,  "11 - 20",student_scores[[#This Row],[weekly_self_study_hours]]&lt;=30, "21 - 30",TRUE, "31+")</f>
        <v>21 - 30</v>
      </c>
      <c r="U327" t="str" cm="1">
        <f t="array" ref="U327">_xlfn.IFS(student_scores[[#This Row],[absence_days]]=0,"0", student_scores[[#This Row],[absence_days]]&lt;=3,"1-3", student_scores[[#This Row],[absence_days]]&lt;=6,"4-6", TRUE,"7-10")</f>
        <v>1-3</v>
      </c>
      <c r="V327" t="str">
        <f>IF(student_scores[[#This Row],[Total_Score]] &gt;= _xlfn.PERCENTILE.INC(student_scores[Total_Score], 0.8), "Yes", "No")</f>
        <v>No</v>
      </c>
    </row>
    <row r="328" spans="1:22" x14ac:dyDescent="0.35">
      <c r="A328">
        <v>327</v>
      </c>
      <c r="B328" t="s">
        <v>221</v>
      </c>
      <c r="C328" t="s">
        <v>778</v>
      </c>
      <c r="D328" t="s">
        <v>779</v>
      </c>
      <c r="E328" t="s">
        <v>20</v>
      </c>
      <c r="F328" t="b">
        <v>0</v>
      </c>
      <c r="G328">
        <v>1</v>
      </c>
      <c r="H328" t="b">
        <v>0</v>
      </c>
      <c r="I328">
        <v>13</v>
      </c>
      <c r="J328" t="s">
        <v>109</v>
      </c>
      <c r="K328">
        <v>96</v>
      </c>
      <c r="L328">
        <v>91</v>
      </c>
      <c r="M328">
        <v>96</v>
      </c>
      <c r="N328">
        <v>69</v>
      </c>
      <c r="O328">
        <v>70</v>
      </c>
      <c r="P328">
        <v>99</v>
      </c>
      <c r="Q328">
        <v>70</v>
      </c>
      <c r="R328">
        <f>SUM(student_scores[[#This Row],[math_score]:[geography_score]])</f>
        <v>591</v>
      </c>
      <c r="S328" s="3">
        <f>student_scores[[#This Row],[Total_Score]]/7</f>
        <v>84.428571428571431</v>
      </c>
      <c r="T328" s="3" t="str" cm="1">
        <f t="array" ref="T328">_xlfn.IFS(student_scores[[#This Row],[weekly_self_study_hours]]&lt;=5,   "0 - 5", student_scores[[#This Row],[weekly_self_study_hours]]&lt;=10,  "6 - 10", student_scores[[#This Row],[weekly_self_study_hours]]&lt;=20,  "11 - 20",student_scores[[#This Row],[weekly_self_study_hours]]&lt;=30, "21 - 30",TRUE, "31+")</f>
        <v>11 - 20</v>
      </c>
      <c r="U328" t="str" cm="1">
        <f t="array" ref="U328">_xlfn.IFS(student_scores[[#This Row],[absence_days]]=0,"0", student_scores[[#This Row],[absence_days]]&lt;=3,"1-3", student_scores[[#This Row],[absence_days]]&lt;=6,"4-6", TRUE,"7-10")</f>
        <v>1-3</v>
      </c>
      <c r="V328" t="str">
        <f>IF(student_scores[[#This Row],[Total_Score]] &gt;= _xlfn.PERCENTILE.INC(student_scores[Total_Score], 0.8), "Yes", "No")</f>
        <v>No</v>
      </c>
    </row>
    <row r="329" spans="1:22" x14ac:dyDescent="0.35">
      <c r="A329">
        <v>328</v>
      </c>
      <c r="B329" t="s">
        <v>748</v>
      </c>
      <c r="C329" t="s">
        <v>780</v>
      </c>
      <c r="D329" t="s">
        <v>781</v>
      </c>
      <c r="E329" t="s">
        <v>25</v>
      </c>
      <c r="F329" t="b">
        <v>0</v>
      </c>
      <c r="G329">
        <v>1</v>
      </c>
      <c r="H329" t="b">
        <v>1</v>
      </c>
      <c r="I329">
        <v>4</v>
      </c>
      <c r="J329" t="s">
        <v>30</v>
      </c>
      <c r="K329">
        <v>79</v>
      </c>
      <c r="L329">
        <v>77</v>
      </c>
      <c r="M329">
        <v>62</v>
      </c>
      <c r="N329">
        <v>98</v>
      </c>
      <c r="O329">
        <v>76</v>
      </c>
      <c r="P329">
        <v>99</v>
      </c>
      <c r="Q329">
        <v>82</v>
      </c>
      <c r="R329">
        <f>SUM(student_scores[[#This Row],[math_score]:[geography_score]])</f>
        <v>573</v>
      </c>
      <c r="S329" s="3">
        <f>student_scores[[#This Row],[Total_Score]]/7</f>
        <v>81.857142857142861</v>
      </c>
      <c r="T329" s="3" t="str" cm="1">
        <f t="array" ref="T329">_xlfn.IFS(student_scores[[#This Row],[weekly_self_study_hours]]&lt;=5,   "0 - 5", student_scores[[#This Row],[weekly_self_study_hours]]&lt;=10,  "6 - 10", student_scores[[#This Row],[weekly_self_study_hours]]&lt;=20,  "11 - 20",student_scores[[#This Row],[weekly_self_study_hours]]&lt;=30, "21 - 30",TRUE, "31+")</f>
        <v>0 - 5</v>
      </c>
      <c r="U329" t="str" cm="1">
        <f t="array" ref="U329">_xlfn.IFS(student_scores[[#This Row],[absence_days]]=0,"0", student_scores[[#This Row],[absence_days]]&lt;=3,"1-3", student_scores[[#This Row],[absence_days]]&lt;=6,"4-6", TRUE,"7-10")</f>
        <v>1-3</v>
      </c>
      <c r="V329" t="str">
        <f>IF(student_scores[[#This Row],[Total_Score]] &gt;= _xlfn.PERCENTILE.INC(student_scores[Total_Score], 0.8), "Yes", "No")</f>
        <v>No</v>
      </c>
    </row>
    <row r="330" spans="1:22" x14ac:dyDescent="0.35">
      <c r="A330">
        <v>329</v>
      </c>
      <c r="B330" t="s">
        <v>413</v>
      </c>
      <c r="C330" t="s">
        <v>782</v>
      </c>
      <c r="D330" t="s">
        <v>783</v>
      </c>
      <c r="E330" t="s">
        <v>20</v>
      </c>
      <c r="F330" t="b">
        <v>0</v>
      </c>
      <c r="G330">
        <v>2</v>
      </c>
      <c r="H330" t="b">
        <v>0</v>
      </c>
      <c r="I330">
        <v>27</v>
      </c>
      <c r="J330" t="s">
        <v>21</v>
      </c>
      <c r="K330">
        <v>70</v>
      </c>
      <c r="L330">
        <v>88</v>
      </c>
      <c r="M330">
        <v>60</v>
      </c>
      <c r="N330">
        <v>68</v>
      </c>
      <c r="O330">
        <v>66</v>
      </c>
      <c r="P330">
        <v>82</v>
      </c>
      <c r="Q330">
        <v>60</v>
      </c>
      <c r="R330">
        <f>SUM(student_scores[[#This Row],[math_score]:[geography_score]])</f>
        <v>494</v>
      </c>
      <c r="S330" s="3">
        <f>student_scores[[#This Row],[Total_Score]]/7</f>
        <v>70.571428571428569</v>
      </c>
      <c r="T330" s="3" t="str" cm="1">
        <f t="array" ref="T330">_xlfn.IFS(student_scores[[#This Row],[weekly_self_study_hours]]&lt;=5,   "0 - 5", student_scores[[#This Row],[weekly_self_study_hours]]&lt;=10,  "6 - 10", student_scores[[#This Row],[weekly_self_study_hours]]&lt;=20,  "11 - 20",student_scores[[#This Row],[weekly_self_study_hours]]&lt;=30, "21 - 30",TRUE, "31+")</f>
        <v>21 - 30</v>
      </c>
      <c r="U330" t="str" cm="1">
        <f t="array" ref="U330">_xlfn.IFS(student_scores[[#This Row],[absence_days]]=0,"0", student_scores[[#This Row],[absence_days]]&lt;=3,"1-3", student_scores[[#This Row],[absence_days]]&lt;=6,"4-6", TRUE,"7-10")</f>
        <v>1-3</v>
      </c>
      <c r="V330" t="str">
        <f>IF(student_scores[[#This Row],[Total_Score]] &gt;= _xlfn.PERCENTILE.INC(student_scores[Total_Score], 0.8), "Yes", "No")</f>
        <v>No</v>
      </c>
    </row>
    <row r="331" spans="1:22" x14ac:dyDescent="0.35">
      <c r="A331">
        <v>330</v>
      </c>
      <c r="B331" t="s">
        <v>163</v>
      </c>
      <c r="C331" t="s">
        <v>684</v>
      </c>
      <c r="D331" t="s">
        <v>784</v>
      </c>
      <c r="E331" t="s">
        <v>20</v>
      </c>
      <c r="F331" t="b">
        <v>0</v>
      </c>
      <c r="G331">
        <v>5</v>
      </c>
      <c r="H331" t="b">
        <v>0</v>
      </c>
      <c r="I331">
        <v>32</v>
      </c>
      <c r="J331" t="s">
        <v>38</v>
      </c>
      <c r="K331">
        <v>79</v>
      </c>
      <c r="L331">
        <v>91</v>
      </c>
      <c r="M331">
        <v>62</v>
      </c>
      <c r="N331">
        <v>87</v>
      </c>
      <c r="O331">
        <v>80</v>
      </c>
      <c r="P331">
        <v>65</v>
      </c>
      <c r="Q331">
        <v>94</v>
      </c>
      <c r="R331">
        <f>SUM(student_scores[[#This Row],[math_score]:[geography_score]])</f>
        <v>558</v>
      </c>
      <c r="S331" s="3">
        <f>student_scores[[#This Row],[Total_Score]]/7</f>
        <v>79.714285714285708</v>
      </c>
      <c r="T331" s="3" t="str" cm="1">
        <f t="array" ref="T331">_xlfn.IFS(student_scores[[#This Row],[weekly_self_study_hours]]&lt;=5,   "0 - 5", student_scores[[#This Row],[weekly_self_study_hours]]&lt;=10,  "6 - 10", student_scores[[#This Row],[weekly_self_study_hours]]&lt;=20,  "11 - 20",student_scores[[#This Row],[weekly_self_study_hours]]&lt;=30, "21 - 30",TRUE, "31+")</f>
        <v>31+</v>
      </c>
      <c r="U331" t="str" cm="1">
        <f t="array" ref="U331">_xlfn.IFS(student_scores[[#This Row],[absence_days]]=0,"0", student_scores[[#This Row],[absence_days]]&lt;=3,"1-3", student_scores[[#This Row],[absence_days]]&lt;=6,"4-6", TRUE,"7-10")</f>
        <v>4-6</v>
      </c>
      <c r="V331" t="str">
        <f>IF(student_scores[[#This Row],[Total_Score]] &gt;= _xlfn.PERCENTILE.INC(student_scores[Total_Score], 0.8), "Yes", "No")</f>
        <v>No</v>
      </c>
    </row>
    <row r="332" spans="1:22" x14ac:dyDescent="0.35">
      <c r="A332">
        <v>331</v>
      </c>
      <c r="B332" t="s">
        <v>785</v>
      </c>
      <c r="C332" t="s">
        <v>515</v>
      </c>
      <c r="D332" t="s">
        <v>786</v>
      </c>
      <c r="E332" t="s">
        <v>25</v>
      </c>
      <c r="F332" t="b">
        <v>0</v>
      </c>
      <c r="G332">
        <v>1</v>
      </c>
      <c r="H332" t="b">
        <v>0</v>
      </c>
      <c r="I332">
        <v>25</v>
      </c>
      <c r="J332" t="s">
        <v>44</v>
      </c>
      <c r="K332">
        <v>91</v>
      </c>
      <c r="L332">
        <v>65</v>
      </c>
      <c r="M332">
        <v>86</v>
      </c>
      <c r="N332">
        <v>66</v>
      </c>
      <c r="O332">
        <v>88</v>
      </c>
      <c r="P332">
        <v>85</v>
      </c>
      <c r="Q332">
        <v>60</v>
      </c>
      <c r="R332">
        <f>SUM(student_scores[[#This Row],[math_score]:[geography_score]])</f>
        <v>541</v>
      </c>
      <c r="S332" s="3">
        <f>student_scores[[#This Row],[Total_Score]]/7</f>
        <v>77.285714285714292</v>
      </c>
      <c r="T332" s="3" t="str" cm="1">
        <f t="array" ref="T332">_xlfn.IFS(student_scores[[#This Row],[weekly_self_study_hours]]&lt;=5,   "0 - 5", student_scores[[#This Row],[weekly_self_study_hours]]&lt;=10,  "6 - 10", student_scores[[#This Row],[weekly_self_study_hours]]&lt;=20,  "11 - 20",student_scores[[#This Row],[weekly_self_study_hours]]&lt;=30, "21 - 30",TRUE, "31+")</f>
        <v>21 - 30</v>
      </c>
      <c r="U332" t="str" cm="1">
        <f t="array" ref="U332">_xlfn.IFS(student_scores[[#This Row],[absence_days]]=0,"0", student_scores[[#This Row],[absence_days]]&lt;=3,"1-3", student_scores[[#This Row],[absence_days]]&lt;=6,"4-6", TRUE,"7-10")</f>
        <v>1-3</v>
      </c>
      <c r="V332" t="str">
        <f>IF(student_scores[[#This Row],[Total_Score]] &gt;= _xlfn.PERCENTILE.INC(student_scores[Total_Score], 0.8), "Yes", "No")</f>
        <v>No</v>
      </c>
    </row>
    <row r="333" spans="1:22" x14ac:dyDescent="0.35">
      <c r="A333">
        <v>332</v>
      </c>
      <c r="B333" t="s">
        <v>787</v>
      </c>
      <c r="C333" t="s">
        <v>209</v>
      </c>
      <c r="D333" t="s">
        <v>788</v>
      </c>
      <c r="E333" t="s">
        <v>25</v>
      </c>
      <c r="F333" t="b">
        <v>0</v>
      </c>
      <c r="G333">
        <v>1</v>
      </c>
      <c r="H333" t="b">
        <v>0</v>
      </c>
      <c r="I333">
        <v>13</v>
      </c>
      <c r="J333" t="s">
        <v>123</v>
      </c>
      <c r="K333">
        <v>90</v>
      </c>
      <c r="L333">
        <v>72</v>
      </c>
      <c r="M333">
        <v>78</v>
      </c>
      <c r="N333">
        <v>61</v>
      </c>
      <c r="O333">
        <v>78</v>
      </c>
      <c r="P333">
        <v>88</v>
      </c>
      <c r="Q333">
        <v>74</v>
      </c>
      <c r="R333">
        <f>SUM(student_scores[[#This Row],[math_score]:[geography_score]])</f>
        <v>541</v>
      </c>
      <c r="S333" s="3">
        <f>student_scores[[#This Row],[Total_Score]]/7</f>
        <v>77.285714285714292</v>
      </c>
      <c r="T333" s="3" t="str" cm="1">
        <f t="array" ref="T333">_xlfn.IFS(student_scores[[#This Row],[weekly_self_study_hours]]&lt;=5,   "0 - 5", student_scores[[#This Row],[weekly_self_study_hours]]&lt;=10,  "6 - 10", student_scores[[#This Row],[weekly_self_study_hours]]&lt;=20,  "11 - 20",student_scores[[#This Row],[weekly_self_study_hours]]&lt;=30, "21 - 30",TRUE, "31+")</f>
        <v>11 - 20</v>
      </c>
      <c r="U333" t="str" cm="1">
        <f t="array" ref="U333">_xlfn.IFS(student_scores[[#This Row],[absence_days]]=0,"0", student_scores[[#This Row],[absence_days]]&lt;=3,"1-3", student_scores[[#This Row],[absence_days]]&lt;=6,"4-6", TRUE,"7-10")</f>
        <v>1-3</v>
      </c>
      <c r="V333" t="str">
        <f>IF(student_scores[[#This Row],[Total_Score]] &gt;= _xlfn.PERCENTILE.INC(student_scores[Total_Score], 0.8), "Yes", "No")</f>
        <v>No</v>
      </c>
    </row>
    <row r="334" spans="1:22" x14ac:dyDescent="0.35">
      <c r="A334">
        <v>333</v>
      </c>
      <c r="B334" t="s">
        <v>110</v>
      </c>
      <c r="C334" t="s">
        <v>92</v>
      </c>
      <c r="D334" t="s">
        <v>789</v>
      </c>
      <c r="E334" t="s">
        <v>20</v>
      </c>
      <c r="F334" t="b">
        <v>0</v>
      </c>
      <c r="G334">
        <v>1</v>
      </c>
      <c r="H334" t="b">
        <v>0</v>
      </c>
      <c r="I334">
        <v>31</v>
      </c>
      <c r="J334" t="s">
        <v>138</v>
      </c>
      <c r="K334">
        <v>87</v>
      </c>
      <c r="L334">
        <v>100</v>
      </c>
      <c r="M334">
        <v>86</v>
      </c>
      <c r="N334">
        <v>60</v>
      </c>
      <c r="O334">
        <v>80</v>
      </c>
      <c r="P334">
        <v>78</v>
      </c>
      <c r="Q334">
        <v>96</v>
      </c>
      <c r="R334">
        <f>SUM(student_scores[[#This Row],[math_score]:[geography_score]])</f>
        <v>587</v>
      </c>
      <c r="S334" s="3">
        <f>student_scores[[#This Row],[Total_Score]]/7</f>
        <v>83.857142857142861</v>
      </c>
      <c r="T334" s="3" t="str" cm="1">
        <f t="array" ref="T334">_xlfn.IFS(student_scores[[#This Row],[weekly_self_study_hours]]&lt;=5,   "0 - 5", student_scores[[#This Row],[weekly_self_study_hours]]&lt;=10,  "6 - 10", student_scores[[#This Row],[weekly_self_study_hours]]&lt;=20,  "11 - 20",student_scores[[#This Row],[weekly_self_study_hours]]&lt;=30, "21 - 30",TRUE, "31+")</f>
        <v>31+</v>
      </c>
      <c r="U334" t="str" cm="1">
        <f t="array" ref="U334">_xlfn.IFS(student_scores[[#This Row],[absence_days]]=0,"0", student_scores[[#This Row],[absence_days]]&lt;=3,"1-3", student_scores[[#This Row],[absence_days]]&lt;=6,"4-6", TRUE,"7-10")</f>
        <v>1-3</v>
      </c>
      <c r="V334" t="str">
        <f>IF(student_scores[[#This Row],[Total_Score]] &gt;= _xlfn.PERCENTILE.INC(student_scores[Total_Score], 0.8), "Yes", "No")</f>
        <v>No</v>
      </c>
    </row>
    <row r="335" spans="1:22" x14ac:dyDescent="0.35">
      <c r="A335">
        <v>334</v>
      </c>
      <c r="B335" t="s">
        <v>83</v>
      </c>
      <c r="C335" t="s">
        <v>790</v>
      </c>
      <c r="D335" t="s">
        <v>791</v>
      </c>
      <c r="E335" t="s">
        <v>25</v>
      </c>
      <c r="F335" t="b">
        <v>0</v>
      </c>
      <c r="G335">
        <v>3</v>
      </c>
      <c r="H335" t="b">
        <v>0</v>
      </c>
      <c r="I335">
        <v>8</v>
      </c>
      <c r="J335" t="s">
        <v>54</v>
      </c>
      <c r="K335">
        <v>69</v>
      </c>
      <c r="L335">
        <v>99</v>
      </c>
      <c r="M335">
        <v>78</v>
      </c>
      <c r="N335">
        <v>85</v>
      </c>
      <c r="O335">
        <v>98</v>
      </c>
      <c r="P335">
        <v>86</v>
      </c>
      <c r="Q335">
        <v>73</v>
      </c>
      <c r="R335">
        <f>SUM(student_scores[[#This Row],[math_score]:[geography_score]])</f>
        <v>588</v>
      </c>
      <c r="S335" s="3">
        <f>student_scores[[#This Row],[Total_Score]]/7</f>
        <v>84</v>
      </c>
      <c r="T335" s="3" t="str" cm="1">
        <f t="array" ref="T335">_xlfn.IFS(student_scores[[#This Row],[weekly_self_study_hours]]&lt;=5,   "0 - 5", student_scores[[#This Row],[weekly_self_study_hours]]&lt;=10,  "6 - 10", student_scores[[#This Row],[weekly_self_study_hours]]&lt;=20,  "11 - 20",student_scores[[#This Row],[weekly_self_study_hours]]&lt;=30, "21 - 30",TRUE, "31+")</f>
        <v>6 - 10</v>
      </c>
      <c r="U335" t="str" cm="1">
        <f t="array" ref="U335">_xlfn.IFS(student_scores[[#This Row],[absence_days]]=0,"0", student_scores[[#This Row],[absence_days]]&lt;=3,"1-3", student_scores[[#This Row],[absence_days]]&lt;=6,"4-6", TRUE,"7-10")</f>
        <v>1-3</v>
      </c>
      <c r="V335" t="str">
        <f>IF(student_scores[[#This Row],[Total_Score]] &gt;= _xlfn.PERCENTILE.INC(student_scores[Total_Score], 0.8), "Yes", "No")</f>
        <v>No</v>
      </c>
    </row>
    <row r="336" spans="1:22" x14ac:dyDescent="0.35">
      <c r="A336">
        <v>335</v>
      </c>
      <c r="B336" t="s">
        <v>792</v>
      </c>
      <c r="C336" t="s">
        <v>42</v>
      </c>
      <c r="D336" t="s">
        <v>793</v>
      </c>
      <c r="E336" t="s">
        <v>20</v>
      </c>
      <c r="F336" t="b">
        <v>1</v>
      </c>
      <c r="G336">
        <v>9</v>
      </c>
      <c r="H336" t="b">
        <v>0</v>
      </c>
      <c r="I336">
        <v>0</v>
      </c>
      <c r="J336" t="s">
        <v>64</v>
      </c>
      <c r="K336">
        <v>66</v>
      </c>
      <c r="L336">
        <v>99</v>
      </c>
      <c r="M336">
        <v>50</v>
      </c>
      <c r="N336">
        <v>62</v>
      </c>
      <c r="O336">
        <v>97</v>
      </c>
      <c r="P336">
        <v>60</v>
      </c>
      <c r="Q336">
        <v>84</v>
      </c>
      <c r="R336">
        <f>SUM(student_scores[[#This Row],[math_score]:[geography_score]])</f>
        <v>518</v>
      </c>
      <c r="S336" s="3">
        <f>student_scores[[#This Row],[Total_Score]]/7</f>
        <v>74</v>
      </c>
      <c r="T336" s="3" t="str" cm="1">
        <f t="array" ref="T336">_xlfn.IFS(student_scores[[#This Row],[weekly_self_study_hours]]&lt;=5,   "0 - 5", student_scores[[#This Row],[weekly_self_study_hours]]&lt;=10,  "6 - 10", student_scores[[#This Row],[weekly_self_study_hours]]&lt;=20,  "11 - 20",student_scores[[#This Row],[weekly_self_study_hours]]&lt;=30, "21 - 30",TRUE, "31+")</f>
        <v>0 - 5</v>
      </c>
      <c r="U336" t="str" cm="1">
        <f t="array" ref="U336">_xlfn.IFS(student_scores[[#This Row],[absence_days]]=0,"0", student_scores[[#This Row],[absence_days]]&lt;=3,"1-3", student_scores[[#This Row],[absence_days]]&lt;=6,"4-6", TRUE,"7-10")</f>
        <v>7-10</v>
      </c>
      <c r="V336" t="str">
        <f>IF(student_scores[[#This Row],[Total_Score]] &gt;= _xlfn.PERCENTILE.INC(student_scores[Total_Score], 0.8), "Yes", "No")</f>
        <v>No</v>
      </c>
    </row>
    <row r="337" spans="1:22" x14ac:dyDescent="0.35">
      <c r="A337">
        <v>336</v>
      </c>
      <c r="B337" t="s">
        <v>163</v>
      </c>
      <c r="C337" t="s">
        <v>794</v>
      </c>
      <c r="D337" t="s">
        <v>795</v>
      </c>
      <c r="E337" t="s">
        <v>20</v>
      </c>
      <c r="F337" t="b">
        <v>0</v>
      </c>
      <c r="G337">
        <v>7</v>
      </c>
      <c r="H337" t="b">
        <v>0</v>
      </c>
      <c r="I337">
        <v>6</v>
      </c>
      <c r="J337" t="s">
        <v>30</v>
      </c>
      <c r="K337">
        <v>65</v>
      </c>
      <c r="L337">
        <v>95</v>
      </c>
      <c r="M337">
        <v>78</v>
      </c>
      <c r="N337">
        <v>65</v>
      </c>
      <c r="O337">
        <v>74</v>
      </c>
      <c r="P337">
        <v>69</v>
      </c>
      <c r="Q337">
        <v>63</v>
      </c>
      <c r="R337">
        <f>SUM(student_scores[[#This Row],[math_score]:[geography_score]])</f>
        <v>509</v>
      </c>
      <c r="S337" s="3">
        <f>student_scores[[#This Row],[Total_Score]]/7</f>
        <v>72.714285714285708</v>
      </c>
      <c r="T337" s="3" t="str" cm="1">
        <f t="array" ref="T337">_xlfn.IFS(student_scores[[#This Row],[weekly_self_study_hours]]&lt;=5,   "0 - 5", student_scores[[#This Row],[weekly_self_study_hours]]&lt;=10,  "6 - 10", student_scores[[#This Row],[weekly_self_study_hours]]&lt;=20,  "11 - 20",student_scores[[#This Row],[weekly_self_study_hours]]&lt;=30, "21 - 30",TRUE, "31+")</f>
        <v>6 - 10</v>
      </c>
      <c r="U337" t="str" cm="1">
        <f t="array" ref="U337">_xlfn.IFS(student_scores[[#This Row],[absence_days]]=0,"0", student_scores[[#This Row],[absence_days]]&lt;=3,"1-3", student_scores[[#This Row],[absence_days]]&lt;=6,"4-6", TRUE,"7-10")</f>
        <v>7-10</v>
      </c>
      <c r="V337" t="str">
        <f>IF(student_scores[[#This Row],[Total_Score]] &gt;= _xlfn.PERCENTILE.INC(student_scores[Total_Score], 0.8), "Yes", "No")</f>
        <v>No</v>
      </c>
    </row>
    <row r="338" spans="1:22" x14ac:dyDescent="0.35">
      <c r="A338">
        <v>337</v>
      </c>
      <c r="B338" t="s">
        <v>796</v>
      </c>
      <c r="C338" t="s">
        <v>797</v>
      </c>
      <c r="D338" t="s">
        <v>798</v>
      </c>
      <c r="E338" t="s">
        <v>20</v>
      </c>
      <c r="F338" t="b">
        <v>0</v>
      </c>
      <c r="G338">
        <v>2</v>
      </c>
      <c r="H338" t="b">
        <v>0</v>
      </c>
      <c r="I338">
        <v>7</v>
      </c>
      <c r="J338" t="s">
        <v>30</v>
      </c>
      <c r="K338">
        <v>83</v>
      </c>
      <c r="L338">
        <v>81</v>
      </c>
      <c r="M338">
        <v>88</v>
      </c>
      <c r="N338">
        <v>82</v>
      </c>
      <c r="O338">
        <v>97</v>
      </c>
      <c r="P338">
        <v>83</v>
      </c>
      <c r="Q338">
        <v>74</v>
      </c>
      <c r="R338">
        <f>SUM(student_scores[[#This Row],[math_score]:[geography_score]])</f>
        <v>588</v>
      </c>
      <c r="S338" s="3">
        <f>student_scores[[#This Row],[Total_Score]]/7</f>
        <v>84</v>
      </c>
      <c r="T338" s="3" t="str" cm="1">
        <f t="array" ref="T338">_xlfn.IFS(student_scores[[#This Row],[weekly_self_study_hours]]&lt;=5,   "0 - 5", student_scores[[#This Row],[weekly_self_study_hours]]&lt;=10,  "6 - 10", student_scores[[#This Row],[weekly_self_study_hours]]&lt;=20,  "11 - 20",student_scores[[#This Row],[weekly_self_study_hours]]&lt;=30, "21 - 30",TRUE, "31+")</f>
        <v>6 - 10</v>
      </c>
      <c r="U338" t="str" cm="1">
        <f t="array" ref="U338">_xlfn.IFS(student_scores[[#This Row],[absence_days]]=0,"0", student_scores[[#This Row],[absence_days]]&lt;=3,"1-3", student_scores[[#This Row],[absence_days]]&lt;=6,"4-6", TRUE,"7-10")</f>
        <v>1-3</v>
      </c>
      <c r="V338" t="str">
        <f>IF(student_scores[[#This Row],[Total_Score]] &gt;= _xlfn.PERCENTILE.INC(student_scores[Total_Score], 0.8), "Yes", "No")</f>
        <v>No</v>
      </c>
    </row>
    <row r="339" spans="1:22" x14ac:dyDescent="0.35">
      <c r="A339">
        <v>338</v>
      </c>
      <c r="B339" t="s">
        <v>799</v>
      </c>
      <c r="C339" t="s">
        <v>800</v>
      </c>
      <c r="D339" t="s">
        <v>801</v>
      </c>
      <c r="E339" t="s">
        <v>20</v>
      </c>
      <c r="F339" t="b">
        <v>0</v>
      </c>
      <c r="G339">
        <v>1</v>
      </c>
      <c r="H339" t="b">
        <v>0</v>
      </c>
      <c r="I339">
        <v>32</v>
      </c>
      <c r="J339" t="s">
        <v>21</v>
      </c>
      <c r="K339">
        <v>100</v>
      </c>
      <c r="L339">
        <v>89</v>
      </c>
      <c r="M339">
        <v>95</v>
      </c>
      <c r="N339">
        <v>63</v>
      </c>
      <c r="O339">
        <v>67</v>
      </c>
      <c r="P339">
        <v>92</v>
      </c>
      <c r="Q339">
        <v>75</v>
      </c>
      <c r="R339">
        <f>SUM(student_scores[[#This Row],[math_score]:[geography_score]])</f>
        <v>581</v>
      </c>
      <c r="S339" s="3">
        <f>student_scores[[#This Row],[Total_Score]]/7</f>
        <v>83</v>
      </c>
      <c r="T339" s="3" t="str" cm="1">
        <f t="array" ref="T339">_xlfn.IFS(student_scores[[#This Row],[weekly_self_study_hours]]&lt;=5,   "0 - 5", student_scores[[#This Row],[weekly_self_study_hours]]&lt;=10,  "6 - 10", student_scores[[#This Row],[weekly_self_study_hours]]&lt;=20,  "11 - 20",student_scores[[#This Row],[weekly_self_study_hours]]&lt;=30, "21 - 30",TRUE, "31+")</f>
        <v>31+</v>
      </c>
      <c r="U339" t="str" cm="1">
        <f t="array" ref="U339">_xlfn.IFS(student_scores[[#This Row],[absence_days]]=0,"0", student_scores[[#This Row],[absence_days]]&lt;=3,"1-3", student_scores[[#This Row],[absence_days]]&lt;=6,"4-6", TRUE,"7-10")</f>
        <v>1-3</v>
      </c>
      <c r="V339" t="str">
        <f>IF(student_scores[[#This Row],[Total_Score]] &gt;= _xlfn.PERCENTILE.INC(student_scores[Total_Score], 0.8), "Yes", "No")</f>
        <v>No</v>
      </c>
    </row>
    <row r="340" spans="1:22" x14ac:dyDescent="0.35">
      <c r="A340">
        <v>339</v>
      </c>
      <c r="B340" t="s">
        <v>329</v>
      </c>
      <c r="C340" t="s">
        <v>155</v>
      </c>
      <c r="D340" t="s">
        <v>802</v>
      </c>
      <c r="E340" t="s">
        <v>20</v>
      </c>
      <c r="F340" t="b">
        <v>0</v>
      </c>
      <c r="G340">
        <v>5</v>
      </c>
      <c r="H340" t="b">
        <v>1</v>
      </c>
      <c r="I340">
        <v>30</v>
      </c>
      <c r="J340" t="s">
        <v>44</v>
      </c>
      <c r="K340">
        <v>85</v>
      </c>
      <c r="L340">
        <v>70</v>
      </c>
      <c r="M340">
        <v>78</v>
      </c>
      <c r="N340">
        <v>66</v>
      </c>
      <c r="O340">
        <v>69</v>
      </c>
      <c r="P340">
        <v>62</v>
      </c>
      <c r="Q340">
        <v>100</v>
      </c>
      <c r="R340">
        <f>SUM(student_scores[[#This Row],[math_score]:[geography_score]])</f>
        <v>530</v>
      </c>
      <c r="S340" s="3">
        <f>student_scores[[#This Row],[Total_Score]]/7</f>
        <v>75.714285714285708</v>
      </c>
      <c r="T340" s="3" t="str" cm="1">
        <f t="array" ref="T340">_xlfn.IFS(student_scores[[#This Row],[weekly_self_study_hours]]&lt;=5,   "0 - 5", student_scores[[#This Row],[weekly_self_study_hours]]&lt;=10,  "6 - 10", student_scores[[#This Row],[weekly_self_study_hours]]&lt;=20,  "11 - 20",student_scores[[#This Row],[weekly_self_study_hours]]&lt;=30, "21 - 30",TRUE, "31+")</f>
        <v>21 - 30</v>
      </c>
      <c r="U340" t="str" cm="1">
        <f t="array" ref="U340">_xlfn.IFS(student_scores[[#This Row],[absence_days]]=0,"0", student_scores[[#This Row],[absence_days]]&lt;=3,"1-3", student_scores[[#This Row],[absence_days]]&lt;=6,"4-6", TRUE,"7-10")</f>
        <v>4-6</v>
      </c>
      <c r="V340" t="str">
        <f>IF(student_scores[[#This Row],[Total_Score]] &gt;= _xlfn.PERCENTILE.INC(student_scores[Total_Score], 0.8), "Yes", "No")</f>
        <v>No</v>
      </c>
    </row>
    <row r="341" spans="1:22" x14ac:dyDescent="0.35">
      <c r="A341">
        <v>340</v>
      </c>
      <c r="B341" t="s">
        <v>266</v>
      </c>
      <c r="C341" t="s">
        <v>411</v>
      </c>
      <c r="D341" t="s">
        <v>803</v>
      </c>
      <c r="E341" t="s">
        <v>20</v>
      </c>
      <c r="F341" t="b">
        <v>0</v>
      </c>
      <c r="G341">
        <v>9</v>
      </c>
      <c r="H341" t="b">
        <v>0</v>
      </c>
      <c r="I341">
        <v>4</v>
      </c>
      <c r="J341" t="s">
        <v>64</v>
      </c>
      <c r="K341">
        <v>45</v>
      </c>
      <c r="L341">
        <v>98</v>
      </c>
      <c r="M341">
        <v>95</v>
      </c>
      <c r="N341">
        <v>66</v>
      </c>
      <c r="O341">
        <v>84</v>
      </c>
      <c r="P341">
        <v>83</v>
      </c>
      <c r="Q341">
        <v>100</v>
      </c>
      <c r="R341">
        <f>SUM(student_scores[[#This Row],[math_score]:[geography_score]])</f>
        <v>571</v>
      </c>
      <c r="S341" s="3">
        <f>student_scores[[#This Row],[Total_Score]]/7</f>
        <v>81.571428571428569</v>
      </c>
      <c r="T341" s="3" t="str" cm="1">
        <f t="array" ref="T341">_xlfn.IFS(student_scores[[#This Row],[weekly_self_study_hours]]&lt;=5,   "0 - 5", student_scores[[#This Row],[weekly_self_study_hours]]&lt;=10,  "6 - 10", student_scores[[#This Row],[weekly_self_study_hours]]&lt;=20,  "11 - 20",student_scores[[#This Row],[weekly_self_study_hours]]&lt;=30, "21 - 30",TRUE, "31+")</f>
        <v>0 - 5</v>
      </c>
      <c r="U341" t="str" cm="1">
        <f t="array" ref="U341">_xlfn.IFS(student_scores[[#This Row],[absence_days]]=0,"0", student_scores[[#This Row],[absence_days]]&lt;=3,"1-3", student_scores[[#This Row],[absence_days]]&lt;=6,"4-6", TRUE,"7-10")</f>
        <v>7-10</v>
      </c>
      <c r="V341" t="str">
        <f>IF(student_scores[[#This Row],[Total_Score]] &gt;= _xlfn.PERCENTILE.INC(student_scores[Total_Score], 0.8), "Yes", "No")</f>
        <v>No</v>
      </c>
    </row>
    <row r="342" spans="1:22" x14ac:dyDescent="0.35">
      <c r="A342">
        <v>341</v>
      </c>
      <c r="B342" t="s">
        <v>68</v>
      </c>
      <c r="C342" t="s">
        <v>267</v>
      </c>
      <c r="D342" t="s">
        <v>804</v>
      </c>
      <c r="E342" t="s">
        <v>25</v>
      </c>
      <c r="F342" t="b">
        <v>0</v>
      </c>
      <c r="G342">
        <v>5</v>
      </c>
      <c r="H342" t="b">
        <v>0</v>
      </c>
      <c r="I342">
        <v>15</v>
      </c>
      <c r="J342" t="s">
        <v>30</v>
      </c>
      <c r="K342">
        <v>73</v>
      </c>
      <c r="L342">
        <v>75</v>
      </c>
      <c r="M342">
        <v>94</v>
      </c>
      <c r="N342">
        <v>82</v>
      </c>
      <c r="O342">
        <v>71</v>
      </c>
      <c r="P342">
        <v>90</v>
      </c>
      <c r="Q342">
        <v>75</v>
      </c>
      <c r="R342">
        <f>SUM(student_scores[[#This Row],[math_score]:[geography_score]])</f>
        <v>560</v>
      </c>
      <c r="S342" s="3">
        <f>student_scores[[#This Row],[Total_Score]]/7</f>
        <v>80</v>
      </c>
      <c r="T342" s="3" t="str" cm="1">
        <f t="array" ref="T342">_xlfn.IFS(student_scores[[#This Row],[weekly_self_study_hours]]&lt;=5,   "0 - 5", student_scores[[#This Row],[weekly_self_study_hours]]&lt;=10,  "6 - 10", student_scores[[#This Row],[weekly_self_study_hours]]&lt;=20,  "11 - 20",student_scores[[#This Row],[weekly_self_study_hours]]&lt;=30, "21 - 30",TRUE, "31+")</f>
        <v>11 - 20</v>
      </c>
      <c r="U342" t="str" cm="1">
        <f t="array" ref="U342">_xlfn.IFS(student_scores[[#This Row],[absence_days]]=0,"0", student_scores[[#This Row],[absence_days]]&lt;=3,"1-3", student_scores[[#This Row],[absence_days]]&lt;=6,"4-6", TRUE,"7-10")</f>
        <v>4-6</v>
      </c>
      <c r="V342" t="str">
        <f>IF(student_scores[[#This Row],[Total_Score]] &gt;= _xlfn.PERCENTILE.INC(student_scores[Total_Score], 0.8), "Yes", "No")</f>
        <v>No</v>
      </c>
    </row>
    <row r="343" spans="1:22" x14ac:dyDescent="0.35">
      <c r="A343">
        <v>342</v>
      </c>
      <c r="B343" t="s">
        <v>805</v>
      </c>
      <c r="C343" t="s">
        <v>806</v>
      </c>
      <c r="D343" t="s">
        <v>807</v>
      </c>
      <c r="E343" t="s">
        <v>20</v>
      </c>
      <c r="F343" t="b">
        <v>0</v>
      </c>
      <c r="G343">
        <v>2</v>
      </c>
      <c r="H343" t="b">
        <v>0</v>
      </c>
      <c r="I343">
        <v>2</v>
      </c>
      <c r="J343" t="s">
        <v>159</v>
      </c>
      <c r="K343">
        <v>95</v>
      </c>
      <c r="L343">
        <v>83</v>
      </c>
      <c r="M343">
        <v>96</v>
      </c>
      <c r="N343">
        <v>97</v>
      </c>
      <c r="O343">
        <v>72</v>
      </c>
      <c r="P343">
        <v>77</v>
      </c>
      <c r="Q343">
        <v>61</v>
      </c>
      <c r="R343">
        <f>SUM(student_scores[[#This Row],[math_score]:[geography_score]])</f>
        <v>581</v>
      </c>
      <c r="S343" s="3">
        <f>student_scores[[#This Row],[Total_Score]]/7</f>
        <v>83</v>
      </c>
      <c r="T343" s="3" t="str" cm="1">
        <f t="array" ref="T343">_xlfn.IFS(student_scores[[#This Row],[weekly_self_study_hours]]&lt;=5,   "0 - 5", student_scores[[#This Row],[weekly_self_study_hours]]&lt;=10,  "6 - 10", student_scores[[#This Row],[weekly_self_study_hours]]&lt;=20,  "11 - 20",student_scores[[#This Row],[weekly_self_study_hours]]&lt;=30, "21 - 30",TRUE, "31+")</f>
        <v>0 - 5</v>
      </c>
      <c r="U343" t="str" cm="1">
        <f t="array" ref="U343">_xlfn.IFS(student_scores[[#This Row],[absence_days]]=0,"0", student_scores[[#This Row],[absence_days]]&lt;=3,"1-3", student_scores[[#This Row],[absence_days]]&lt;=6,"4-6", TRUE,"7-10")</f>
        <v>1-3</v>
      </c>
      <c r="V343" t="str">
        <f>IF(student_scores[[#This Row],[Total_Score]] &gt;= _xlfn.PERCENTILE.INC(student_scores[Total_Score], 0.8), "Yes", "No")</f>
        <v>No</v>
      </c>
    </row>
    <row r="344" spans="1:22" x14ac:dyDescent="0.35">
      <c r="A344">
        <v>343</v>
      </c>
      <c r="B344" t="s">
        <v>808</v>
      </c>
      <c r="C344" t="s">
        <v>809</v>
      </c>
      <c r="D344" t="s">
        <v>810</v>
      </c>
      <c r="E344" t="s">
        <v>20</v>
      </c>
      <c r="F344" t="b">
        <v>0</v>
      </c>
      <c r="G344">
        <v>8</v>
      </c>
      <c r="H344" t="b">
        <v>1</v>
      </c>
      <c r="I344">
        <v>32</v>
      </c>
      <c r="J344" t="s">
        <v>21</v>
      </c>
      <c r="K344">
        <v>96</v>
      </c>
      <c r="L344">
        <v>95</v>
      </c>
      <c r="M344">
        <v>61</v>
      </c>
      <c r="N344">
        <v>72</v>
      </c>
      <c r="O344">
        <v>71</v>
      </c>
      <c r="P344">
        <v>83</v>
      </c>
      <c r="Q344">
        <v>96</v>
      </c>
      <c r="R344">
        <f>SUM(student_scores[[#This Row],[math_score]:[geography_score]])</f>
        <v>574</v>
      </c>
      <c r="S344" s="3">
        <f>student_scores[[#This Row],[Total_Score]]/7</f>
        <v>82</v>
      </c>
      <c r="T344" s="3" t="str" cm="1">
        <f t="array" ref="T344">_xlfn.IFS(student_scores[[#This Row],[weekly_self_study_hours]]&lt;=5,   "0 - 5", student_scores[[#This Row],[weekly_self_study_hours]]&lt;=10,  "6 - 10", student_scores[[#This Row],[weekly_self_study_hours]]&lt;=20,  "11 - 20",student_scores[[#This Row],[weekly_self_study_hours]]&lt;=30, "21 - 30",TRUE, "31+")</f>
        <v>31+</v>
      </c>
      <c r="U344" t="str" cm="1">
        <f t="array" ref="U344">_xlfn.IFS(student_scores[[#This Row],[absence_days]]=0,"0", student_scores[[#This Row],[absence_days]]&lt;=3,"1-3", student_scores[[#This Row],[absence_days]]&lt;=6,"4-6", TRUE,"7-10")</f>
        <v>7-10</v>
      </c>
      <c r="V344" t="str">
        <f>IF(student_scores[[#This Row],[Total_Score]] &gt;= _xlfn.PERCENTILE.INC(student_scores[Total_Score], 0.8), "Yes", "No")</f>
        <v>No</v>
      </c>
    </row>
    <row r="345" spans="1:22" x14ac:dyDescent="0.35">
      <c r="A345">
        <v>344</v>
      </c>
      <c r="B345" t="s">
        <v>277</v>
      </c>
      <c r="C345" t="s">
        <v>515</v>
      </c>
      <c r="D345" t="s">
        <v>811</v>
      </c>
      <c r="E345" t="s">
        <v>20</v>
      </c>
      <c r="F345" t="b">
        <v>0</v>
      </c>
      <c r="G345">
        <v>2</v>
      </c>
      <c r="H345" t="b">
        <v>0</v>
      </c>
      <c r="I345">
        <v>24</v>
      </c>
      <c r="J345" t="s">
        <v>138</v>
      </c>
      <c r="K345">
        <v>94</v>
      </c>
      <c r="L345">
        <v>72</v>
      </c>
      <c r="M345">
        <v>96</v>
      </c>
      <c r="N345">
        <v>93</v>
      </c>
      <c r="O345">
        <v>93</v>
      </c>
      <c r="P345">
        <v>79</v>
      </c>
      <c r="Q345">
        <v>64</v>
      </c>
      <c r="R345">
        <f>SUM(student_scores[[#This Row],[math_score]:[geography_score]])</f>
        <v>591</v>
      </c>
      <c r="S345" s="3">
        <f>student_scores[[#This Row],[Total_Score]]/7</f>
        <v>84.428571428571431</v>
      </c>
      <c r="T345" s="3" t="str" cm="1">
        <f t="array" ref="T345">_xlfn.IFS(student_scores[[#This Row],[weekly_self_study_hours]]&lt;=5,   "0 - 5", student_scores[[#This Row],[weekly_self_study_hours]]&lt;=10,  "6 - 10", student_scores[[#This Row],[weekly_self_study_hours]]&lt;=20,  "11 - 20",student_scores[[#This Row],[weekly_self_study_hours]]&lt;=30, "21 - 30",TRUE, "31+")</f>
        <v>21 - 30</v>
      </c>
      <c r="U345" t="str" cm="1">
        <f t="array" ref="U345">_xlfn.IFS(student_scores[[#This Row],[absence_days]]=0,"0", student_scores[[#This Row],[absence_days]]&lt;=3,"1-3", student_scores[[#This Row],[absence_days]]&lt;=6,"4-6", TRUE,"7-10")</f>
        <v>1-3</v>
      </c>
      <c r="V345" t="str">
        <f>IF(student_scores[[#This Row],[Total_Score]] &gt;= _xlfn.PERCENTILE.INC(student_scores[Total_Score], 0.8), "Yes", "No")</f>
        <v>No</v>
      </c>
    </row>
    <row r="346" spans="1:22" x14ac:dyDescent="0.35">
      <c r="A346">
        <v>345</v>
      </c>
      <c r="B346" t="s">
        <v>193</v>
      </c>
      <c r="C346" t="s">
        <v>812</v>
      </c>
      <c r="D346" t="s">
        <v>813</v>
      </c>
      <c r="E346" t="s">
        <v>25</v>
      </c>
      <c r="F346" t="b">
        <v>0</v>
      </c>
      <c r="G346">
        <v>1</v>
      </c>
      <c r="H346" t="b">
        <v>0</v>
      </c>
      <c r="I346">
        <v>18</v>
      </c>
      <c r="J346" t="s">
        <v>54</v>
      </c>
      <c r="K346">
        <v>92</v>
      </c>
      <c r="L346">
        <v>69</v>
      </c>
      <c r="M346">
        <v>69</v>
      </c>
      <c r="N346">
        <v>60</v>
      </c>
      <c r="O346">
        <v>90</v>
      </c>
      <c r="P346">
        <v>88</v>
      </c>
      <c r="Q346">
        <v>95</v>
      </c>
      <c r="R346">
        <f>SUM(student_scores[[#This Row],[math_score]:[geography_score]])</f>
        <v>563</v>
      </c>
      <c r="S346" s="3">
        <f>student_scores[[#This Row],[Total_Score]]/7</f>
        <v>80.428571428571431</v>
      </c>
      <c r="T346" s="3" t="str" cm="1">
        <f t="array" ref="T346">_xlfn.IFS(student_scores[[#This Row],[weekly_self_study_hours]]&lt;=5,   "0 - 5", student_scores[[#This Row],[weekly_self_study_hours]]&lt;=10,  "6 - 10", student_scores[[#This Row],[weekly_self_study_hours]]&lt;=20,  "11 - 20",student_scores[[#This Row],[weekly_self_study_hours]]&lt;=30, "21 - 30",TRUE, "31+")</f>
        <v>11 - 20</v>
      </c>
      <c r="U346" t="str" cm="1">
        <f t="array" ref="U346">_xlfn.IFS(student_scores[[#This Row],[absence_days]]=0,"0", student_scores[[#This Row],[absence_days]]&lt;=3,"1-3", student_scores[[#This Row],[absence_days]]&lt;=6,"4-6", TRUE,"7-10")</f>
        <v>1-3</v>
      </c>
      <c r="V346" t="str">
        <f>IF(student_scores[[#This Row],[Total_Score]] &gt;= _xlfn.PERCENTILE.INC(student_scores[Total_Score], 0.8), "Yes", "No")</f>
        <v>No</v>
      </c>
    </row>
    <row r="347" spans="1:22" x14ac:dyDescent="0.35">
      <c r="A347">
        <v>346</v>
      </c>
      <c r="B347" t="s">
        <v>160</v>
      </c>
      <c r="C347" t="s">
        <v>814</v>
      </c>
      <c r="D347" t="s">
        <v>815</v>
      </c>
      <c r="E347" t="s">
        <v>20</v>
      </c>
      <c r="F347" t="b">
        <v>1</v>
      </c>
      <c r="G347">
        <v>10</v>
      </c>
      <c r="H347" t="b">
        <v>0</v>
      </c>
      <c r="I347">
        <v>5</v>
      </c>
      <c r="J347" t="s">
        <v>64</v>
      </c>
      <c r="K347">
        <v>56</v>
      </c>
      <c r="L347">
        <v>52</v>
      </c>
      <c r="M347">
        <v>76</v>
      </c>
      <c r="N347">
        <v>95</v>
      </c>
      <c r="O347">
        <v>54</v>
      </c>
      <c r="P347">
        <v>59</v>
      </c>
      <c r="Q347">
        <v>85</v>
      </c>
      <c r="R347">
        <f>SUM(student_scores[[#This Row],[math_score]:[geography_score]])</f>
        <v>477</v>
      </c>
      <c r="S347" s="3">
        <f>student_scores[[#This Row],[Total_Score]]/7</f>
        <v>68.142857142857139</v>
      </c>
      <c r="T347" s="3" t="str" cm="1">
        <f t="array" ref="T347">_xlfn.IFS(student_scores[[#This Row],[weekly_self_study_hours]]&lt;=5,   "0 - 5", student_scores[[#This Row],[weekly_self_study_hours]]&lt;=10,  "6 - 10", student_scores[[#This Row],[weekly_self_study_hours]]&lt;=20,  "11 - 20",student_scores[[#This Row],[weekly_self_study_hours]]&lt;=30, "21 - 30",TRUE, "31+")</f>
        <v>0 - 5</v>
      </c>
      <c r="U347" t="str" cm="1">
        <f t="array" ref="U347">_xlfn.IFS(student_scores[[#This Row],[absence_days]]=0,"0", student_scores[[#This Row],[absence_days]]&lt;=3,"1-3", student_scores[[#This Row],[absence_days]]&lt;=6,"4-6", TRUE,"7-10")</f>
        <v>7-10</v>
      </c>
      <c r="V347" t="str">
        <f>IF(student_scores[[#This Row],[Total_Score]] &gt;= _xlfn.PERCENTILE.INC(student_scores[Total_Score], 0.8), "Yes", "No")</f>
        <v>No</v>
      </c>
    </row>
    <row r="348" spans="1:22" x14ac:dyDescent="0.35">
      <c r="A348">
        <v>347</v>
      </c>
      <c r="B348" t="s">
        <v>816</v>
      </c>
      <c r="C348" t="s">
        <v>62</v>
      </c>
      <c r="D348" t="s">
        <v>817</v>
      </c>
      <c r="E348" t="s">
        <v>25</v>
      </c>
      <c r="F348" t="b">
        <v>1</v>
      </c>
      <c r="G348">
        <v>3</v>
      </c>
      <c r="H348" t="b">
        <v>0</v>
      </c>
      <c r="I348">
        <v>24</v>
      </c>
      <c r="J348" t="s">
        <v>105</v>
      </c>
      <c r="K348">
        <v>85</v>
      </c>
      <c r="L348">
        <v>74</v>
      </c>
      <c r="M348">
        <v>65</v>
      </c>
      <c r="N348">
        <v>76</v>
      </c>
      <c r="O348">
        <v>100</v>
      </c>
      <c r="P348">
        <v>95</v>
      </c>
      <c r="Q348">
        <v>68</v>
      </c>
      <c r="R348">
        <f>SUM(student_scores[[#This Row],[math_score]:[geography_score]])</f>
        <v>563</v>
      </c>
      <c r="S348" s="3">
        <f>student_scores[[#This Row],[Total_Score]]/7</f>
        <v>80.428571428571431</v>
      </c>
      <c r="T348" s="3" t="str" cm="1">
        <f t="array" ref="T348">_xlfn.IFS(student_scores[[#This Row],[weekly_self_study_hours]]&lt;=5,   "0 - 5", student_scores[[#This Row],[weekly_self_study_hours]]&lt;=10,  "6 - 10", student_scores[[#This Row],[weekly_self_study_hours]]&lt;=20,  "11 - 20",student_scores[[#This Row],[weekly_self_study_hours]]&lt;=30, "21 - 30",TRUE, "31+")</f>
        <v>21 - 30</v>
      </c>
      <c r="U348" t="str" cm="1">
        <f t="array" ref="U348">_xlfn.IFS(student_scores[[#This Row],[absence_days]]=0,"0", student_scores[[#This Row],[absence_days]]&lt;=3,"1-3", student_scores[[#This Row],[absence_days]]&lt;=6,"4-6", TRUE,"7-10")</f>
        <v>1-3</v>
      </c>
      <c r="V348" t="str">
        <f>IF(student_scores[[#This Row],[Total_Score]] &gt;= _xlfn.PERCENTILE.INC(student_scores[Total_Score], 0.8), "Yes", "No")</f>
        <v>No</v>
      </c>
    </row>
    <row r="349" spans="1:22" x14ac:dyDescent="0.35">
      <c r="A349">
        <v>348</v>
      </c>
      <c r="B349" t="s">
        <v>818</v>
      </c>
      <c r="C349" t="s">
        <v>87</v>
      </c>
      <c r="D349" t="s">
        <v>819</v>
      </c>
      <c r="E349" t="s">
        <v>20</v>
      </c>
      <c r="F349" t="b">
        <v>0</v>
      </c>
      <c r="G349">
        <v>1</v>
      </c>
      <c r="H349" t="b">
        <v>0</v>
      </c>
      <c r="I349">
        <v>16</v>
      </c>
      <c r="J349" t="s">
        <v>123</v>
      </c>
      <c r="K349">
        <v>65</v>
      </c>
      <c r="L349">
        <v>90</v>
      </c>
      <c r="M349">
        <v>68</v>
      </c>
      <c r="N349">
        <v>99</v>
      </c>
      <c r="O349">
        <v>74</v>
      </c>
      <c r="P349">
        <v>82</v>
      </c>
      <c r="Q349">
        <v>86</v>
      </c>
      <c r="R349">
        <f>SUM(student_scores[[#This Row],[math_score]:[geography_score]])</f>
        <v>564</v>
      </c>
      <c r="S349" s="3">
        <f>student_scores[[#This Row],[Total_Score]]/7</f>
        <v>80.571428571428569</v>
      </c>
      <c r="T349" s="3" t="str" cm="1">
        <f t="array" ref="T349">_xlfn.IFS(student_scores[[#This Row],[weekly_self_study_hours]]&lt;=5,   "0 - 5", student_scores[[#This Row],[weekly_self_study_hours]]&lt;=10,  "6 - 10", student_scores[[#This Row],[weekly_self_study_hours]]&lt;=20,  "11 - 20",student_scores[[#This Row],[weekly_self_study_hours]]&lt;=30, "21 - 30",TRUE, "31+")</f>
        <v>11 - 20</v>
      </c>
      <c r="U349" t="str" cm="1">
        <f t="array" ref="U349">_xlfn.IFS(student_scores[[#This Row],[absence_days]]=0,"0", student_scores[[#This Row],[absence_days]]&lt;=3,"1-3", student_scores[[#This Row],[absence_days]]&lt;=6,"4-6", TRUE,"7-10")</f>
        <v>1-3</v>
      </c>
      <c r="V349" t="str">
        <f>IF(student_scores[[#This Row],[Total_Score]] &gt;= _xlfn.PERCENTILE.INC(student_scores[Total_Score], 0.8), "Yes", "No")</f>
        <v>No</v>
      </c>
    </row>
    <row r="350" spans="1:22" x14ac:dyDescent="0.35">
      <c r="A350">
        <v>349</v>
      </c>
      <c r="B350" t="s">
        <v>225</v>
      </c>
      <c r="C350" t="s">
        <v>820</v>
      </c>
      <c r="D350" t="s">
        <v>821</v>
      </c>
      <c r="E350" t="s">
        <v>20</v>
      </c>
      <c r="F350" t="b">
        <v>0</v>
      </c>
      <c r="G350">
        <v>1</v>
      </c>
      <c r="H350" t="b">
        <v>0</v>
      </c>
      <c r="I350">
        <v>15</v>
      </c>
      <c r="J350" t="s">
        <v>109</v>
      </c>
      <c r="K350">
        <v>64</v>
      </c>
      <c r="L350">
        <v>81</v>
      </c>
      <c r="M350">
        <v>95</v>
      </c>
      <c r="N350">
        <v>87</v>
      </c>
      <c r="O350">
        <v>86</v>
      </c>
      <c r="P350">
        <v>91</v>
      </c>
      <c r="Q350">
        <v>80</v>
      </c>
      <c r="R350">
        <f>SUM(student_scores[[#This Row],[math_score]:[geography_score]])</f>
        <v>584</v>
      </c>
      <c r="S350" s="3">
        <f>student_scores[[#This Row],[Total_Score]]/7</f>
        <v>83.428571428571431</v>
      </c>
      <c r="T350" s="3" t="str" cm="1">
        <f t="array" ref="T350">_xlfn.IFS(student_scores[[#This Row],[weekly_self_study_hours]]&lt;=5,   "0 - 5", student_scores[[#This Row],[weekly_self_study_hours]]&lt;=10,  "6 - 10", student_scores[[#This Row],[weekly_self_study_hours]]&lt;=20,  "11 - 20",student_scores[[#This Row],[weekly_self_study_hours]]&lt;=30, "21 - 30",TRUE, "31+")</f>
        <v>11 - 20</v>
      </c>
      <c r="U350" t="str" cm="1">
        <f t="array" ref="U350">_xlfn.IFS(student_scores[[#This Row],[absence_days]]=0,"0", student_scores[[#This Row],[absence_days]]&lt;=3,"1-3", student_scores[[#This Row],[absence_days]]&lt;=6,"4-6", TRUE,"7-10")</f>
        <v>1-3</v>
      </c>
      <c r="V350" t="str">
        <f>IF(student_scores[[#This Row],[Total_Score]] &gt;= _xlfn.PERCENTILE.INC(student_scores[Total_Score], 0.8), "Yes", "No")</f>
        <v>No</v>
      </c>
    </row>
    <row r="351" spans="1:22" x14ac:dyDescent="0.35">
      <c r="A351">
        <v>350</v>
      </c>
      <c r="B351" t="s">
        <v>145</v>
      </c>
      <c r="C351" t="s">
        <v>822</v>
      </c>
      <c r="D351" t="s">
        <v>823</v>
      </c>
      <c r="E351" t="s">
        <v>20</v>
      </c>
      <c r="F351" t="b">
        <v>0</v>
      </c>
      <c r="G351">
        <v>3</v>
      </c>
      <c r="H351" t="b">
        <v>0</v>
      </c>
      <c r="I351">
        <v>26</v>
      </c>
      <c r="J351" t="s">
        <v>44</v>
      </c>
      <c r="K351">
        <v>100</v>
      </c>
      <c r="L351">
        <v>88</v>
      </c>
      <c r="M351">
        <v>94</v>
      </c>
      <c r="N351">
        <v>67</v>
      </c>
      <c r="O351">
        <v>62</v>
      </c>
      <c r="P351">
        <v>66</v>
      </c>
      <c r="Q351">
        <v>96</v>
      </c>
      <c r="R351">
        <f>SUM(student_scores[[#This Row],[math_score]:[geography_score]])</f>
        <v>573</v>
      </c>
      <c r="S351" s="3">
        <f>student_scores[[#This Row],[Total_Score]]/7</f>
        <v>81.857142857142861</v>
      </c>
      <c r="T351" s="3" t="str" cm="1">
        <f t="array" ref="T351">_xlfn.IFS(student_scores[[#This Row],[weekly_self_study_hours]]&lt;=5,   "0 - 5", student_scores[[#This Row],[weekly_self_study_hours]]&lt;=10,  "6 - 10", student_scores[[#This Row],[weekly_self_study_hours]]&lt;=20,  "11 - 20",student_scores[[#This Row],[weekly_self_study_hours]]&lt;=30, "21 - 30",TRUE, "31+")</f>
        <v>21 - 30</v>
      </c>
      <c r="U351" t="str" cm="1">
        <f t="array" ref="U351">_xlfn.IFS(student_scores[[#This Row],[absence_days]]=0,"0", student_scores[[#This Row],[absence_days]]&lt;=3,"1-3", student_scores[[#This Row],[absence_days]]&lt;=6,"4-6", TRUE,"7-10")</f>
        <v>1-3</v>
      </c>
      <c r="V351" t="str">
        <f>IF(student_scores[[#This Row],[Total_Score]] &gt;= _xlfn.PERCENTILE.INC(student_scores[Total_Score], 0.8), "Yes", "No")</f>
        <v>No</v>
      </c>
    </row>
    <row r="352" spans="1:22" x14ac:dyDescent="0.35">
      <c r="A352">
        <v>351</v>
      </c>
      <c r="B352" t="s">
        <v>824</v>
      </c>
      <c r="C352" t="s">
        <v>600</v>
      </c>
      <c r="D352" t="s">
        <v>825</v>
      </c>
      <c r="E352" t="s">
        <v>25</v>
      </c>
      <c r="F352" t="b">
        <v>0</v>
      </c>
      <c r="G352">
        <v>3</v>
      </c>
      <c r="H352" t="b">
        <v>0</v>
      </c>
      <c r="I352">
        <v>15</v>
      </c>
      <c r="J352" t="s">
        <v>54</v>
      </c>
      <c r="K352">
        <v>76</v>
      </c>
      <c r="L352">
        <v>64</v>
      </c>
      <c r="M352">
        <v>64</v>
      </c>
      <c r="N352">
        <v>60</v>
      </c>
      <c r="O352">
        <v>75</v>
      </c>
      <c r="P352">
        <v>92</v>
      </c>
      <c r="Q352">
        <v>61</v>
      </c>
      <c r="R352">
        <f>SUM(student_scores[[#This Row],[math_score]:[geography_score]])</f>
        <v>492</v>
      </c>
      <c r="S352" s="3">
        <f>student_scores[[#This Row],[Total_Score]]/7</f>
        <v>70.285714285714292</v>
      </c>
      <c r="T352" s="3" t="str" cm="1">
        <f t="array" ref="T352">_xlfn.IFS(student_scores[[#This Row],[weekly_self_study_hours]]&lt;=5,   "0 - 5", student_scores[[#This Row],[weekly_self_study_hours]]&lt;=10,  "6 - 10", student_scores[[#This Row],[weekly_self_study_hours]]&lt;=20,  "11 - 20",student_scores[[#This Row],[weekly_self_study_hours]]&lt;=30, "21 - 30",TRUE, "31+")</f>
        <v>11 - 20</v>
      </c>
      <c r="U352" t="str" cm="1">
        <f t="array" ref="U352">_xlfn.IFS(student_scores[[#This Row],[absence_days]]=0,"0", student_scores[[#This Row],[absence_days]]&lt;=3,"1-3", student_scores[[#This Row],[absence_days]]&lt;=6,"4-6", TRUE,"7-10")</f>
        <v>1-3</v>
      </c>
      <c r="V352" t="str">
        <f>IF(student_scores[[#This Row],[Total_Score]] &gt;= _xlfn.PERCENTILE.INC(student_scores[Total_Score], 0.8), "Yes", "No")</f>
        <v>No</v>
      </c>
    </row>
    <row r="353" spans="1:22" x14ac:dyDescent="0.35">
      <c r="A353">
        <v>352</v>
      </c>
      <c r="B353" t="s">
        <v>555</v>
      </c>
      <c r="C353" t="s">
        <v>826</v>
      </c>
      <c r="D353" t="s">
        <v>827</v>
      </c>
      <c r="E353" t="s">
        <v>25</v>
      </c>
      <c r="F353" t="b">
        <v>0</v>
      </c>
      <c r="G353">
        <v>1</v>
      </c>
      <c r="H353" t="b">
        <v>0</v>
      </c>
      <c r="I353">
        <v>5</v>
      </c>
      <c r="J353" t="s">
        <v>159</v>
      </c>
      <c r="K353">
        <v>97</v>
      </c>
      <c r="L353">
        <v>76</v>
      </c>
      <c r="M353">
        <v>91</v>
      </c>
      <c r="N353">
        <v>76</v>
      </c>
      <c r="O353">
        <v>89</v>
      </c>
      <c r="P353">
        <v>60</v>
      </c>
      <c r="Q353">
        <v>85</v>
      </c>
      <c r="R353">
        <f>SUM(student_scores[[#This Row],[math_score]:[geography_score]])</f>
        <v>574</v>
      </c>
      <c r="S353" s="3">
        <f>student_scores[[#This Row],[Total_Score]]/7</f>
        <v>82</v>
      </c>
      <c r="T353" s="3" t="str" cm="1">
        <f t="array" ref="T353">_xlfn.IFS(student_scores[[#This Row],[weekly_self_study_hours]]&lt;=5,   "0 - 5", student_scores[[#This Row],[weekly_self_study_hours]]&lt;=10,  "6 - 10", student_scores[[#This Row],[weekly_self_study_hours]]&lt;=20,  "11 - 20",student_scores[[#This Row],[weekly_self_study_hours]]&lt;=30, "21 - 30",TRUE, "31+")</f>
        <v>0 - 5</v>
      </c>
      <c r="U353" t="str" cm="1">
        <f t="array" ref="U353">_xlfn.IFS(student_scores[[#This Row],[absence_days]]=0,"0", student_scores[[#This Row],[absence_days]]&lt;=3,"1-3", student_scores[[#This Row],[absence_days]]&lt;=6,"4-6", TRUE,"7-10")</f>
        <v>1-3</v>
      </c>
      <c r="V353" t="str">
        <f>IF(student_scores[[#This Row],[Total_Score]] &gt;= _xlfn.PERCENTILE.INC(student_scores[Total_Score], 0.8), "Yes", "No")</f>
        <v>No</v>
      </c>
    </row>
    <row r="354" spans="1:22" x14ac:dyDescent="0.35">
      <c r="A354">
        <v>353</v>
      </c>
      <c r="B354" t="s">
        <v>135</v>
      </c>
      <c r="C354" t="s">
        <v>828</v>
      </c>
      <c r="D354" t="s">
        <v>829</v>
      </c>
      <c r="E354" t="s">
        <v>20</v>
      </c>
      <c r="F354" t="b">
        <v>0</v>
      </c>
      <c r="G354">
        <v>1</v>
      </c>
      <c r="H354" t="b">
        <v>1</v>
      </c>
      <c r="I354">
        <v>14</v>
      </c>
      <c r="J354" t="s">
        <v>38</v>
      </c>
      <c r="K354">
        <v>95</v>
      </c>
      <c r="L354">
        <v>98</v>
      </c>
      <c r="M354">
        <v>98</v>
      </c>
      <c r="N354">
        <v>83</v>
      </c>
      <c r="O354">
        <v>77</v>
      </c>
      <c r="P354">
        <v>93</v>
      </c>
      <c r="Q354">
        <v>83</v>
      </c>
      <c r="R354">
        <f>SUM(student_scores[[#This Row],[math_score]:[geography_score]])</f>
        <v>627</v>
      </c>
      <c r="S354" s="3">
        <f>student_scores[[#This Row],[Total_Score]]/7</f>
        <v>89.571428571428569</v>
      </c>
      <c r="T354" s="3" t="str" cm="1">
        <f t="array" ref="T354">_xlfn.IFS(student_scores[[#This Row],[weekly_self_study_hours]]&lt;=5,   "0 - 5", student_scores[[#This Row],[weekly_self_study_hours]]&lt;=10,  "6 - 10", student_scores[[#This Row],[weekly_self_study_hours]]&lt;=20,  "11 - 20",student_scores[[#This Row],[weekly_self_study_hours]]&lt;=30, "21 - 30",TRUE, "31+")</f>
        <v>11 - 20</v>
      </c>
      <c r="U354" t="str" cm="1">
        <f t="array" ref="U354">_xlfn.IFS(student_scores[[#This Row],[absence_days]]=0,"0", student_scores[[#This Row],[absence_days]]&lt;=3,"1-3", student_scores[[#This Row],[absence_days]]&lt;=6,"4-6", TRUE,"7-10")</f>
        <v>1-3</v>
      </c>
      <c r="V354" t="str">
        <f>IF(student_scores[[#This Row],[Total_Score]] &gt;= _xlfn.PERCENTILE.INC(student_scores[Total_Score], 0.8), "Yes", "No")</f>
        <v>Yes</v>
      </c>
    </row>
    <row r="355" spans="1:22" x14ac:dyDescent="0.35">
      <c r="A355">
        <v>354</v>
      </c>
      <c r="B355" t="s">
        <v>830</v>
      </c>
      <c r="C355" t="s">
        <v>66</v>
      </c>
      <c r="D355" t="s">
        <v>831</v>
      </c>
      <c r="E355" t="s">
        <v>20</v>
      </c>
      <c r="F355" t="b">
        <v>0</v>
      </c>
      <c r="G355">
        <v>4</v>
      </c>
      <c r="H355" t="b">
        <v>0</v>
      </c>
      <c r="I355">
        <v>1</v>
      </c>
      <c r="J355" t="s">
        <v>159</v>
      </c>
      <c r="K355">
        <v>85</v>
      </c>
      <c r="L355">
        <v>64</v>
      </c>
      <c r="M355">
        <v>90</v>
      </c>
      <c r="N355">
        <v>94</v>
      </c>
      <c r="O355">
        <v>68</v>
      </c>
      <c r="P355">
        <v>97</v>
      </c>
      <c r="Q355">
        <v>61</v>
      </c>
      <c r="R355">
        <f>SUM(student_scores[[#This Row],[math_score]:[geography_score]])</f>
        <v>559</v>
      </c>
      <c r="S355" s="3">
        <f>student_scores[[#This Row],[Total_Score]]/7</f>
        <v>79.857142857142861</v>
      </c>
      <c r="T355" s="3" t="str" cm="1">
        <f t="array" ref="T355">_xlfn.IFS(student_scores[[#This Row],[weekly_self_study_hours]]&lt;=5,   "0 - 5", student_scores[[#This Row],[weekly_self_study_hours]]&lt;=10,  "6 - 10", student_scores[[#This Row],[weekly_self_study_hours]]&lt;=20,  "11 - 20",student_scores[[#This Row],[weekly_self_study_hours]]&lt;=30, "21 - 30",TRUE, "31+")</f>
        <v>0 - 5</v>
      </c>
      <c r="U355" t="str" cm="1">
        <f t="array" ref="U355">_xlfn.IFS(student_scores[[#This Row],[absence_days]]=0,"0", student_scores[[#This Row],[absence_days]]&lt;=3,"1-3", student_scores[[#This Row],[absence_days]]&lt;=6,"4-6", TRUE,"7-10")</f>
        <v>4-6</v>
      </c>
      <c r="V355" t="str">
        <f>IF(student_scores[[#This Row],[Total_Score]] &gt;= _xlfn.PERCENTILE.INC(student_scores[Total_Score], 0.8), "Yes", "No")</f>
        <v>No</v>
      </c>
    </row>
    <row r="356" spans="1:22" x14ac:dyDescent="0.35">
      <c r="A356">
        <v>355</v>
      </c>
      <c r="B356" t="s">
        <v>331</v>
      </c>
      <c r="C356" t="s">
        <v>42</v>
      </c>
      <c r="D356" t="s">
        <v>832</v>
      </c>
      <c r="E356" t="s">
        <v>20</v>
      </c>
      <c r="F356" t="b">
        <v>0</v>
      </c>
      <c r="G356">
        <v>5</v>
      </c>
      <c r="H356" t="b">
        <v>0</v>
      </c>
      <c r="I356">
        <v>10</v>
      </c>
      <c r="J356" t="s">
        <v>138</v>
      </c>
      <c r="K356">
        <v>86</v>
      </c>
      <c r="L356">
        <v>91</v>
      </c>
      <c r="M356">
        <v>96</v>
      </c>
      <c r="N356">
        <v>60</v>
      </c>
      <c r="O356">
        <v>91</v>
      </c>
      <c r="P356">
        <v>73</v>
      </c>
      <c r="Q356">
        <v>88</v>
      </c>
      <c r="R356">
        <f>SUM(student_scores[[#This Row],[math_score]:[geography_score]])</f>
        <v>585</v>
      </c>
      <c r="S356" s="3">
        <f>student_scores[[#This Row],[Total_Score]]/7</f>
        <v>83.571428571428569</v>
      </c>
      <c r="T356" s="3" t="str" cm="1">
        <f t="array" ref="T356">_xlfn.IFS(student_scores[[#This Row],[weekly_self_study_hours]]&lt;=5,   "0 - 5", student_scores[[#This Row],[weekly_self_study_hours]]&lt;=10,  "6 - 10", student_scores[[#This Row],[weekly_self_study_hours]]&lt;=20,  "11 - 20",student_scores[[#This Row],[weekly_self_study_hours]]&lt;=30, "21 - 30",TRUE, "31+")</f>
        <v>6 - 10</v>
      </c>
      <c r="U356" t="str" cm="1">
        <f t="array" ref="U356">_xlfn.IFS(student_scores[[#This Row],[absence_days]]=0,"0", student_scores[[#This Row],[absence_days]]&lt;=3,"1-3", student_scores[[#This Row],[absence_days]]&lt;=6,"4-6", TRUE,"7-10")</f>
        <v>4-6</v>
      </c>
      <c r="V356" t="str">
        <f>IF(student_scores[[#This Row],[Total_Score]] &gt;= _xlfn.PERCENTILE.INC(student_scores[Total_Score], 0.8), "Yes", "No")</f>
        <v>No</v>
      </c>
    </row>
    <row r="357" spans="1:22" x14ac:dyDescent="0.35">
      <c r="A357">
        <v>356</v>
      </c>
      <c r="B357" t="s">
        <v>785</v>
      </c>
      <c r="C357" t="s">
        <v>833</v>
      </c>
      <c r="D357" t="s">
        <v>834</v>
      </c>
      <c r="E357" t="s">
        <v>25</v>
      </c>
      <c r="F357" t="b">
        <v>0</v>
      </c>
      <c r="G357">
        <v>6</v>
      </c>
      <c r="H357" t="b">
        <v>0</v>
      </c>
      <c r="I357">
        <v>5</v>
      </c>
      <c r="J357" t="s">
        <v>64</v>
      </c>
      <c r="K357">
        <v>100</v>
      </c>
      <c r="L357">
        <v>58</v>
      </c>
      <c r="M357">
        <v>58</v>
      </c>
      <c r="N357">
        <v>100</v>
      </c>
      <c r="O357">
        <v>60</v>
      </c>
      <c r="P357">
        <v>52</v>
      </c>
      <c r="Q357">
        <v>82</v>
      </c>
      <c r="R357">
        <f>SUM(student_scores[[#This Row],[math_score]:[geography_score]])</f>
        <v>510</v>
      </c>
      <c r="S357" s="3">
        <f>student_scores[[#This Row],[Total_Score]]/7</f>
        <v>72.857142857142861</v>
      </c>
      <c r="T357" s="3" t="str" cm="1">
        <f t="array" ref="T357">_xlfn.IFS(student_scores[[#This Row],[weekly_self_study_hours]]&lt;=5,   "0 - 5", student_scores[[#This Row],[weekly_self_study_hours]]&lt;=10,  "6 - 10", student_scores[[#This Row],[weekly_self_study_hours]]&lt;=20,  "11 - 20",student_scores[[#This Row],[weekly_self_study_hours]]&lt;=30, "21 - 30",TRUE, "31+")</f>
        <v>0 - 5</v>
      </c>
      <c r="U357" t="str" cm="1">
        <f t="array" ref="U357">_xlfn.IFS(student_scores[[#This Row],[absence_days]]=0,"0", student_scores[[#This Row],[absence_days]]&lt;=3,"1-3", student_scores[[#This Row],[absence_days]]&lt;=6,"4-6", TRUE,"7-10")</f>
        <v>4-6</v>
      </c>
      <c r="V357" t="str">
        <f>IF(student_scores[[#This Row],[Total_Score]] &gt;= _xlfn.PERCENTILE.INC(student_scores[Total_Score], 0.8), "Yes", "No")</f>
        <v>No</v>
      </c>
    </row>
    <row r="358" spans="1:22" x14ac:dyDescent="0.35">
      <c r="A358">
        <v>357</v>
      </c>
      <c r="B358" t="s">
        <v>145</v>
      </c>
      <c r="C358" t="s">
        <v>84</v>
      </c>
      <c r="D358" t="s">
        <v>835</v>
      </c>
      <c r="E358" t="s">
        <v>20</v>
      </c>
      <c r="F358" t="b">
        <v>0</v>
      </c>
      <c r="G358">
        <v>2</v>
      </c>
      <c r="H358" t="b">
        <v>0</v>
      </c>
      <c r="I358">
        <v>26</v>
      </c>
      <c r="J358" t="s">
        <v>38</v>
      </c>
      <c r="K358">
        <v>65</v>
      </c>
      <c r="L358">
        <v>77</v>
      </c>
      <c r="M358">
        <v>66</v>
      </c>
      <c r="N358">
        <v>100</v>
      </c>
      <c r="O358">
        <v>88</v>
      </c>
      <c r="P358">
        <v>77</v>
      </c>
      <c r="Q358">
        <v>62</v>
      </c>
      <c r="R358">
        <f>SUM(student_scores[[#This Row],[math_score]:[geography_score]])</f>
        <v>535</v>
      </c>
      <c r="S358" s="3">
        <f>student_scores[[#This Row],[Total_Score]]/7</f>
        <v>76.428571428571431</v>
      </c>
      <c r="T358" s="3" t="str" cm="1">
        <f t="array" ref="T358">_xlfn.IFS(student_scores[[#This Row],[weekly_self_study_hours]]&lt;=5,   "0 - 5", student_scores[[#This Row],[weekly_self_study_hours]]&lt;=10,  "6 - 10", student_scores[[#This Row],[weekly_self_study_hours]]&lt;=20,  "11 - 20",student_scores[[#This Row],[weekly_self_study_hours]]&lt;=30, "21 - 30",TRUE, "31+")</f>
        <v>21 - 30</v>
      </c>
      <c r="U358" t="str" cm="1">
        <f t="array" ref="U358">_xlfn.IFS(student_scores[[#This Row],[absence_days]]=0,"0", student_scores[[#This Row],[absence_days]]&lt;=3,"1-3", student_scores[[#This Row],[absence_days]]&lt;=6,"4-6", TRUE,"7-10")</f>
        <v>1-3</v>
      </c>
      <c r="V358" t="str">
        <f>IF(student_scores[[#This Row],[Total_Score]] &gt;= _xlfn.PERCENTILE.INC(student_scores[Total_Score], 0.8), "Yes", "No")</f>
        <v>No</v>
      </c>
    </row>
    <row r="359" spans="1:22" x14ac:dyDescent="0.35">
      <c r="A359">
        <v>358</v>
      </c>
      <c r="B359" t="s">
        <v>715</v>
      </c>
      <c r="C359" t="s">
        <v>836</v>
      </c>
      <c r="D359" t="s">
        <v>837</v>
      </c>
      <c r="E359" t="s">
        <v>25</v>
      </c>
      <c r="F359" t="b">
        <v>0</v>
      </c>
      <c r="G359">
        <v>2</v>
      </c>
      <c r="H359" t="b">
        <v>1</v>
      </c>
      <c r="I359">
        <v>26</v>
      </c>
      <c r="J359" t="s">
        <v>21</v>
      </c>
      <c r="K359">
        <v>71</v>
      </c>
      <c r="L359">
        <v>81</v>
      </c>
      <c r="M359">
        <v>99</v>
      </c>
      <c r="N359">
        <v>74</v>
      </c>
      <c r="O359">
        <v>74</v>
      </c>
      <c r="P359">
        <v>82</v>
      </c>
      <c r="Q359">
        <v>67</v>
      </c>
      <c r="R359">
        <f>SUM(student_scores[[#This Row],[math_score]:[geography_score]])</f>
        <v>548</v>
      </c>
      <c r="S359" s="3">
        <f>student_scores[[#This Row],[Total_Score]]/7</f>
        <v>78.285714285714292</v>
      </c>
      <c r="T359" s="3" t="str" cm="1">
        <f t="array" ref="T359">_xlfn.IFS(student_scores[[#This Row],[weekly_self_study_hours]]&lt;=5,   "0 - 5", student_scores[[#This Row],[weekly_self_study_hours]]&lt;=10,  "6 - 10", student_scores[[#This Row],[weekly_self_study_hours]]&lt;=20,  "11 - 20",student_scores[[#This Row],[weekly_self_study_hours]]&lt;=30, "21 - 30",TRUE, "31+")</f>
        <v>21 - 30</v>
      </c>
      <c r="U359" t="str" cm="1">
        <f t="array" ref="U359">_xlfn.IFS(student_scores[[#This Row],[absence_days]]=0,"0", student_scores[[#This Row],[absence_days]]&lt;=3,"1-3", student_scores[[#This Row],[absence_days]]&lt;=6,"4-6", TRUE,"7-10")</f>
        <v>1-3</v>
      </c>
      <c r="V359" t="str">
        <f>IF(student_scores[[#This Row],[Total_Score]] &gt;= _xlfn.PERCENTILE.INC(student_scores[Total_Score], 0.8), "Yes", "No")</f>
        <v>No</v>
      </c>
    </row>
    <row r="360" spans="1:22" x14ac:dyDescent="0.35">
      <c r="A360">
        <v>359</v>
      </c>
      <c r="B360" t="s">
        <v>838</v>
      </c>
      <c r="C360" t="s">
        <v>95</v>
      </c>
      <c r="D360" t="s">
        <v>839</v>
      </c>
      <c r="E360" t="s">
        <v>25</v>
      </c>
      <c r="F360" t="b">
        <v>0</v>
      </c>
      <c r="G360">
        <v>2</v>
      </c>
      <c r="H360" t="b">
        <v>0</v>
      </c>
      <c r="I360">
        <v>14</v>
      </c>
      <c r="J360" t="s">
        <v>30</v>
      </c>
      <c r="K360">
        <v>80</v>
      </c>
      <c r="L360">
        <v>94</v>
      </c>
      <c r="M360">
        <v>97</v>
      </c>
      <c r="N360">
        <v>83</v>
      </c>
      <c r="O360">
        <v>84</v>
      </c>
      <c r="P360">
        <v>77</v>
      </c>
      <c r="Q360">
        <v>79</v>
      </c>
      <c r="R360">
        <f>SUM(student_scores[[#This Row],[math_score]:[geography_score]])</f>
        <v>594</v>
      </c>
      <c r="S360" s="3">
        <f>student_scores[[#This Row],[Total_Score]]/7</f>
        <v>84.857142857142861</v>
      </c>
      <c r="T360" s="3" t="str" cm="1">
        <f t="array" ref="T360">_xlfn.IFS(student_scores[[#This Row],[weekly_self_study_hours]]&lt;=5,   "0 - 5", student_scores[[#This Row],[weekly_self_study_hours]]&lt;=10,  "6 - 10", student_scores[[#This Row],[weekly_self_study_hours]]&lt;=20,  "11 - 20",student_scores[[#This Row],[weekly_self_study_hours]]&lt;=30, "21 - 30",TRUE, "31+")</f>
        <v>11 - 20</v>
      </c>
      <c r="U360" t="str" cm="1">
        <f t="array" ref="U360">_xlfn.IFS(student_scores[[#This Row],[absence_days]]=0,"0", student_scores[[#This Row],[absence_days]]&lt;=3,"1-3", student_scores[[#This Row],[absence_days]]&lt;=6,"4-6", TRUE,"7-10")</f>
        <v>1-3</v>
      </c>
      <c r="V360" t="str">
        <f>IF(student_scores[[#This Row],[Total_Score]] &gt;= _xlfn.PERCENTILE.INC(student_scores[Total_Score], 0.8), "Yes", "No")</f>
        <v>No</v>
      </c>
    </row>
    <row r="361" spans="1:22" x14ac:dyDescent="0.35">
      <c r="A361">
        <v>360</v>
      </c>
      <c r="B361" t="s">
        <v>840</v>
      </c>
      <c r="C361" t="s">
        <v>418</v>
      </c>
      <c r="D361" t="s">
        <v>841</v>
      </c>
      <c r="E361" t="s">
        <v>20</v>
      </c>
      <c r="F361" t="b">
        <v>0</v>
      </c>
      <c r="G361">
        <v>7</v>
      </c>
      <c r="H361" t="b">
        <v>1</v>
      </c>
      <c r="I361">
        <v>21</v>
      </c>
      <c r="J361" t="s">
        <v>138</v>
      </c>
      <c r="K361">
        <v>91</v>
      </c>
      <c r="L361">
        <v>76</v>
      </c>
      <c r="M361">
        <v>96</v>
      </c>
      <c r="N361">
        <v>77</v>
      </c>
      <c r="O361">
        <v>99</v>
      </c>
      <c r="P361">
        <v>64</v>
      </c>
      <c r="Q361">
        <v>83</v>
      </c>
      <c r="R361">
        <f>SUM(student_scores[[#This Row],[math_score]:[geography_score]])</f>
        <v>586</v>
      </c>
      <c r="S361" s="3">
        <f>student_scores[[#This Row],[Total_Score]]/7</f>
        <v>83.714285714285708</v>
      </c>
      <c r="T361" s="3" t="str" cm="1">
        <f t="array" ref="T361">_xlfn.IFS(student_scores[[#This Row],[weekly_self_study_hours]]&lt;=5,   "0 - 5", student_scores[[#This Row],[weekly_self_study_hours]]&lt;=10,  "6 - 10", student_scores[[#This Row],[weekly_self_study_hours]]&lt;=20,  "11 - 20",student_scores[[#This Row],[weekly_self_study_hours]]&lt;=30, "21 - 30",TRUE, "31+")</f>
        <v>21 - 30</v>
      </c>
      <c r="U361" t="str" cm="1">
        <f t="array" ref="U361">_xlfn.IFS(student_scores[[#This Row],[absence_days]]=0,"0", student_scores[[#This Row],[absence_days]]&lt;=3,"1-3", student_scores[[#This Row],[absence_days]]&lt;=6,"4-6", TRUE,"7-10")</f>
        <v>7-10</v>
      </c>
      <c r="V361" t="str">
        <f>IF(student_scores[[#This Row],[Total_Score]] &gt;= _xlfn.PERCENTILE.INC(student_scores[Total_Score], 0.8), "Yes", "No")</f>
        <v>No</v>
      </c>
    </row>
    <row r="362" spans="1:22" x14ac:dyDescent="0.35">
      <c r="A362">
        <v>361</v>
      </c>
      <c r="B362" t="s">
        <v>173</v>
      </c>
      <c r="C362" t="s">
        <v>589</v>
      </c>
      <c r="D362" t="s">
        <v>842</v>
      </c>
      <c r="E362" t="s">
        <v>25</v>
      </c>
      <c r="F362" t="b">
        <v>0</v>
      </c>
      <c r="G362">
        <v>2</v>
      </c>
      <c r="H362" t="b">
        <v>0</v>
      </c>
      <c r="I362">
        <v>32</v>
      </c>
      <c r="J362" t="s">
        <v>44</v>
      </c>
      <c r="K362">
        <v>91</v>
      </c>
      <c r="L362">
        <v>87</v>
      </c>
      <c r="M362">
        <v>88</v>
      </c>
      <c r="N362">
        <v>82</v>
      </c>
      <c r="O362">
        <v>95</v>
      </c>
      <c r="P362">
        <v>70</v>
      </c>
      <c r="Q362">
        <v>87</v>
      </c>
      <c r="R362">
        <f>SUM(student_scores[[#This Row],[math_score]:[geography_score]])</f>
        <v>600</v>
      </c>
      <c r="S362" s="3">
        <f>student_scores[[#This Row],[Total_Score]]/7</f>
        <v>85.714285714285708</v>
      </c>
      <c r="T362" s="3" t="str" cm="1">
        <f t="array" ref="T362">_xlfn.IFS(student_scores[[#This Row],[weekly_self_study_hours]]&lt;=5,   "0 - 5", student_scores[[#This Row],[weekly_self_study_hours]]&lt;=10,  "6 - 10", student_scores[[#This Row],[weekly_self_study_hours]]&lt;=20,  "11 - 20",student_scores[[#This Row],[weekly_self_study_hours]]&lt;=30, "21 - 30",TRUE, "31+")</f>
        <v>31+</v>
      </c>
      <c r="U362" t="str" cm="1">
        <f t="array" ref="U362">_xlfn.IFS(student_scores[[#This Row],[absence_days]]=0,"0", student_scores[[#This Row],[absence_days]]&lt;=3,"1-3", student_scores[[#This Row],[absence_days]]&lt;=6,"4-6", TRUE,"7-10")</f>
        <v>1-3</v>
      </c>
      <c r="V362" t="str">
        <f>IF(student_scores[[#This Row],[Total_Score]] &gt;= _xlfn.PERCENTILE.INC(student_scores[Total_Score], 0.8), "Yes", "No")</f>
        <v>No</v>
      </c>
    </row>
    <row r="363" spans="1:22" x14ac:dyDescent="0.35">
      <c r="A363">
        <v>362</v>
      </c>
      <c r="B363" t="s">
        <v>110</v>
      </c>
      <c r="C363" t="s">
        <v>843</v>
      </c>
      <c r="D363" t="s">
        <v>844</v>
      </c>
      <c r="E363" t="s">
        <v>20</v>
      </c>
      <c r="F363" t="b">
        <v>0</v>
      </c>
      <c r="G363">
        <v>0</v>
      </c>
      <c r="H363" t="b">
        <v>0</v>
      </c>
      <c r="I363">
        <v>30</v>
      </c>
      <c r="J363" t="s">
        <v>44</v>
      </c>
      <c r="K363">
        <v>100</v>
      </c>
      <c r="L363">
        <v>86</v>
      </c>
      <c r="M363">
        <v>81</v>
      </c>
      <c r="N363">
        <v>100</v>
      </c>
      <c r="O363">
        <v>66</v>
      </c>
      <c r="P363">
        <v>98</v>
      </c>
      <c r="Q363">
        <v>97</v>
      </c>
      <c r="R363">
        <f>SUM(student_scores[[#This Row],[math_score]:[geography_score]])</f>
        <v>628</v>
      </c>
      <c r="S363" s="3">
        <f>student_scores[[#This Row],[Total_Score]]/7</f>
        <v>89.714285714285708</v>
      </c>
      <c r="T363" s="3" t="str" cm="1">
        <f t="array" ref="T363">_xlfn.IFS(student_scores[[#This Row],[weekly_self_study_hours]]&lt;=5,   "0 - 5", student_scores[[#This Row],[weekly_self_study_hours]]&lt;=10,  "6 - 10", student_scores[[#This Row],[weekly_self_study_hours]]&lt;=20,  "11 - 20",student_scores[[#This Row],[weekly_self_study_hours]]&lt;=30, "21 - 30",TRUE, "31+")</f>
        <v>21 - 30</v>
      </c>
      <c r="U363" t="str" cm="1">
        <f t="array" ref="U363">_xlfn.IFS(student_scores[[#This Row],[absence_days]]=0,"0", student_scores[[#This Row],[absence_days]]&lt;=3,"1-3", student_scores[[#This Row],[absence_days]]&lt;=6,"4-6", TRUE,"7-10")</f>
        <v>0</v>
      </c>
      <c r="V363" t="str">
        <f>IF(student_scores[[#This Row],[Total_Score]] &gt;= _xlfn.PERCENTILE.INC(student_scores[Total_Score], 0.8), "Yes", "No")</f>
        <v>Yes</v>
      </c>
    </row>
    <row r="364" spans="1:22" x14ac:dyDescent="0.35">
      <c r="A364">
        <v>363</v>
      </c>
      <c r="B364" t="s">
        <v>845</v>
      </c>
      <c r="C364" t="s">
        <v>846</v>
      </c>
      <c r="D364" t="s">
        <v>847</v>
      </c>
      <c r="E364" t="s">
        <v>25</v>
      </c>
      <c r="F364" t="b">
        <v>0</v>
      </c>
      <c r="G364">
        <v>3</v>
      </c>
      <c r="H364" t="b">
        <v>0</v>
      </c>
      <c r="I364">
        <v>13</v>
      </c>
      <c r="J364" t="s">
        <v>54</v>
      </c>
      <c r="K364">
        <v>92</v>
      </c>
      <c r="L364">
        <v>79</v>
      </c>
      <c r="M364">
        <v>71</v>
      </c>
      <c r="N364">
        <v>65</v>
      </c>
      <c r="O364">
        <v>99</v>
      </c>
      <c r="P364">
        <v>91</v>
      </c>
      <c r="Q364">
        <v>98</v>
      </c>
      <c r="R364">
        <f>SUM(student_scores[[#This Row],[math_score]:[geography_score]])</f>
        <v>595</v>
      </c>
      <c r="S364" s="3">
        <f>student_scores[[#This Row],[Total_Score]]/7</f>
        <v>85</v>
      </c>
      <c r="T364" s="3" t="str" cm="1">
        <f t="array" ref="T364">_xlfn.IFS(student_scores[[#This Row],[weekly_self_study_hours]]&lt;=5,   "0 - 5", student_scores[[#This Row],[weekly_self_study_hours]]&lt;=10,  "6 - 10", student_scores[[#This Row],[weekly_self_study_hours]]&lt;=20,  "11 - 20",student_scores[[#This Row],[weekly_self_study_hours]]&lt;=30, "21 - 30",TRUE, "31+")</f>
        <v>11 - 20</v>
      </c>
      <c r="U364" t="str" cm="1">
        <f t="array" ref="U364">_xlfn.IFS(student_scores[[#This Row],[absence_days]]=0,"0", student_scores[[#This Row],[absence_days]]&lt;=3,"1-3", student_scores[[#This Row],[absence_days]]&lt;=6,"4-6", TRUE,"7-10")</f>
        <v>1-3</v>
      </c>
      <c r="V364" t="str">
        <f>IF(student_scores[[#This Row],[Total_Score]] &gt;= _xlfn.PERCENTILE.INC(student_scores[Total_Score], 0.8), "Yes", "No")</f>
        <v>No</v>
      </c>
    </row>
    <row r="365" spans="1:22" x14ac:dyDescent="0.35">
      <c r="A365">
        <v>364</v>
      </c>
      <c r="B365" t="s">
        <v>848</v>
      </c>
      <c r="C365" t="s">
        <v>515</v>
      </c>
      <c r="D365" t="s">
        <v>849</v>
      </c>
      <c r="E365" t="s">
        <v>25</v>
      </c>
      <c r="F365" t="b">
        <v>0</v>
      </c>
      <c r="G365">
        <v>7</v>
      </c>
      <c r="H365" t="b">
        <v>0</v>
      </c>
      <c r="I365">
        <v>33</v>
      </c>
      <c r="J365" t="s">
        <v>105</v>
      </c>
      <c r="K365">
        <v>89</v>
      </c>
      <c r="L365">
        <v>76</v>
      </c>
      <c r="M365">
        <v>95</v>
      </c>
      <c r="N365">
        <v>83</v>
      </c>
      <c r="O365">
        <v>84</v>
      </c>
      <c r="P365">
        <v>96</v>
      </c>
      <c r="Q365">
        <v>61</v>
      </c>
      <c r="R365">
        <f>SUM(student_scores[[#This Row],[math_score]:[geography_score]])</f>
        <v>584</v>
      </c>
      <c r="S365" s="3">
        <f>student_scores[[#This Row],[Total_Score]]/7</f>
        <v>83.428571428571431</v>
      </c>
      <c r="T365" s="3" t="str" cm="1">
        <f t="array" ref="T365">_xlfn.IFS(student_scores[[#This Row],[weekly_self_study_hours]]&lt;=5,   "0 - 5", student_scores[[#This Row],[weekly_self_study_hours]]&lt;=10,  "6 - 10", student_scores[[#This Row],[weekly_self_study_hours]]&lt;=20,  "11 - 20",student_scores[[#This Row],[weekly_self_study_hours]]&lt;=30, "21 - 30",TRUE, "31+")</f>
        <v>31+</v>
      </c>
      <c r="U365" t="str" cm="1">
        <f t="array" ref="U365">_xlfn.IFS(student_scores[[#This Row],[absence_days]]=0,"0", student_scores[[#This Row],[absence_days]]&lt;=3,"1-3", student_scores[[#This Row],[absence_days]]&lt;=6,"4-6", TRUE,"7-10")</f>
        <v>7-10</v>
      </c>
      <c r="V365" t="str">
        <f>IF(student_scores[[#This Row],[Total_Score]] &gt;= _xlfn.PERCENTILE.INC(student_scores[Total_Score], 0.8), "Yes", "No")</f>
        <v>No</v>
      </c>
    </row>
    <row r="366" spans="1:22" x14ac:dyDescent="0.35">
      <c r="A366">
        <v>365</v>
      </c>
      <c r="B366" t="s">
        <v>148</v>
      </c>
      <c r="C366" t="s">
        <v>346</v>
      </c>
      <c r="D366" t="s">
        <v>850</v>
      </c>
      <c r="E366" t="s">
        <v>25</v>
      </c>
      <c r="F366" t="b">
        <v>0</v>
      </c>
      <c r="G366">
        <v>3</v>
      </c>
      <c r="H366" t="b">
        <v>0</v>
      </c>
      <c r="I366">
        <v>15</v>
      </c>
      <c r="J366" t="s">
        <v>113</v>
      </c>
      <c r="K366">
        <v>93</v>
      </c>
      <c r="L366">
        <v>92</v>
      </c>
      <c r="M366">
        <v>92</v>
      </c>
      <c r="N366">
        <v>76</v>
      </c>
      <c r="O366">
        <v>49</v>
      </c>
      <c r="P366">
        <v>93</v>
      </c>
      <c r="Q366">
        <v>75</v>
      </c>
      <c r="R366">
        <f>SUM(student_scores[[#This Row],[math_score]:[geography_score]])</f>
        <v>570</v>
      </c>
      <c r="S366" s="3">
        <f>student_scores[[#This Row],[Total_Score]]/7</f>
        <v>81.428571428571431</v>
      </c>
      <c r="T366" s="3" t="str" cm="1">
        <f t="array" ref="T366">_xlfn.IFS(student_scores[[#This Row],[weekly_self_study_hours]]&lt;=5,   "0 - 5", student_scores[[#This Row],[weekly_self_study_hours]]&lt;=10,  "6 - 10", student_scores[[#This Row],[weekly_self_study_hours]]&lt;=20,  "11 - 20",student_scores[[#This Row],[weekly_self_study_hours]]&lt;=30, "21 - 30",TRUE, "31+")</f>
        <v>11 - 20</v>
      </c>
      <c r="U366" t="str" cm="1">
        <f t="array" ref="U366">_xlfn.IFS(student_scores[[#This Row],[absence_days]]=0,"0", student_scores[[#This Row],[absence_days]]&lt;=3,"1-3", student_scores[[#This Row],[absence_days]]&lt;=6,"4-6", TRUE,"7-10")</f>
        <v>1-3</v>
      </c>
      <c r="V366" t="str">
        <f>IF(student_scores[[#This Row],[Total_Score]] &gt;= _xlfn.PERCENTILE.INC(student_scores[Total_Score], 0.8), "Yes", "No")</f>
        <v>No</v>
      </c>
    </row>
    <row r="367" spans="1:22" x14ac:dyDescent="0.35">
      <c r="A367">
        <v>366</v>
      </c>
      <c r="B367" t="s">
        <v>851</v>
      </c>
      <c r="C367" t="s">
        <v>707</v>
      </c>
      <c r="D367" t="s">
        <v>852</v>
      </c>
      <c r="E367" t="s">
        <v>20</v>
      </c>
      <c r="F367" t="b">
        <v>0</v>
      </c>
      <c r="G367">
        <v>10</v>
      </c>
      <c r="H367" t="b">
        <v>0</v>
      </c>
      <c r="I367">
        <v>33</v>
      </c>
      <c r="J367" t="s">
        <v>38</v>
      </c>
      <c r="K367">
        <v>81</v>
      </c>
      <c r="L367">
        <v>64</v>
      </c>
      <c r="M367">
        <v>67</v>
      </c>
      <c r="N367">
        <v>74</v>
      </c>
      <c r="O367">
        <v>65</v>
      </c>
      <c r="P367">
        <v>94</v>
      </c>
      <c r="Q367">
        <v>96</v>
      </c>
      <c r="R367">
        <f>SUM(student_scores[[#This Row],[math_score]:[geography_score]])</f>
        <v>541</v>
      </c>
      <c r="S367" s="3">
        <f>student_scores[[#This Row],[Total_Score]]/7</f>
        <v>77.285714285714292</v>
      </c>
      <c r="T367" s="3" t="str" cm="1">
        <f t="array" ref="T367">_xlfn.IFS(student_scores[[#This Row],[weekly_self_study_hours]]&lt;=5,   "0 - 5", student_scores[[#This Row],[weekly_self_study_hours]]&lt;=10,  "6 - 10", student_scores[[#This Row],[weekly_self_study_hours]]&lt;=20,  "11 - 20",student_scores[[#This Row],[weekly_self_study_hours]]&lt;=30, "21 - 30",TRUE, "31+")</f>
        <v>31+</v>
      </c>
      <c r="U367" t="str" cm="1">
        <f t="array" ref="U367">_xlfn.IFS(student_scores[[#This Row],[absence_days]]=0,"0", student_scores[[#This Row],[absence_days]]&lt;=3,"1-3", student_scores[[#This Row],[absence_days]]&lt;=6,"4-6", TRUE,"7-10")</f>
        <v>7-10</v>
      </c>
      <c r="V367" t="str">
        <f>IF(student_scores[[#This Row],[Total_Score]] &gt;= _xlfn.PERCENTILE.INC(student_scores[Total_Score], 0.8), "Yes", "No")</f>
        <v>No</v>
      </c>
    </row>
    <row r="368" spans="1:22" x14ac:dyDescent="0.35">
      <c r="A368">
        <v>367</v>
      </c>
      <c r="B368" t="s">
        <v>722</v>
      </c>
      <c r="C368" t="s">
        <v>259</v>
      </c>
      <c r="D368" t="s">
        <v>853</v>
      </c>
      <c r="E368" t="s">
        <v>20</v>
      </c>
      <c r="F368" t="b">
        <v>0</v>
      </c>
      <c r="G368">
        <v>2</v>
      </c>
      <c r="H368" t="b">
        <v>0</v>
      </c>
      <c r="I368">
        <v>11</v>
      </c>
      <c r="J368" t="s">
        <v>123</v>
      </c>
      <c r="K368">
        <v>70</v>
      </c>
      <c r="L368">
        <v>73</v>
      </c>
      <c r="M368">
        <v>70</v>
      </c>
      <c r="N368">
        <v>67</v>
      </c>
      <c r="O368">
        <v>96</v>
      </c>
      <c r="P368">
        <v>86</v>
      </c>
      <c r="Q368">
        <v>89</v>
      </c>
      <c r="R368">
        <f>SUM(student_scores[[#This Row],[math_score]:[geography_score]])</f>
        <v>551</v>
      </c>
      <c r="S368" s="3">
        <f>student_scores[[#This Row],[Total_Score]]/7</f>
        <v>78.714285714285708</v>
      </c>
      <c r="T368" s="3" t="str" cm="1">
        <f t="array" ref="T368">_xlfn.IFS(student_scores[[#This Row],[weekly_self_study_hours]]&lt;=5,   "0 - 5", student_scores[[#This Row],[weekly_self_study_hours]]&lt;=10,  "6 - 10", student_scores[[#This Row],[weekly_self_study_hours]]&lt;=20,  "11 - 20",student_scores[[#This Row],[weekly_self_study_hours]]&lt;=30, "21 - 30",TRUE, "31+")</f>
        <v>11 - 20</v>
      </c>
      <c r="U368" t="str" cm="1">
        <f t="array" ref="U368">_xlfn.IFS(student_scores[[#This Row],[absence_days]]=0,"0", student_scores[[#This Row],[absence_days]]&lt;=3,"1-3", student_scores[[#This Row],[absence_days]]&lt;=6,"4-6", TRUE,"7-10")</f>
        <v>1-3</v>
      </c>
      <c r="V368" t="str">
        <f>IF(student_scores[[#This Row],[Total_Score]] &gt;= _xlfn.PERCENTILE.INC(student_scores[Total_Score], 0.8), "Yes", "No")</f>
        <v>No</v>
      </c>
    </row>
    <row r="369" spans="1:22" x14ac:dyDescent="0.35">
      <c r="A369">
        <v>368</v>
      </c>
      <c r="B369" t="s">
        <v>650</v>
      </c>
      <c r="C369" t="s">
        <v>854</v>
      </c>
      <c r="D369" t="s">
        <v>855</v>
      </c>
      <c r="E369" t="s">
        <v>25</v>
      </c>
      <c r="F369" t="b">
        <v>0</v>
      </c>
      <c r="G369">
        <v>2</v>
      </c>
      <c r="H369" t="b">
        <v>0</v>
      </c>
      <c r="I369">
        <v>30</v>
      </c>
      <c r="J369" t="s">
        <v>38</v>
      </c>
      <c r="K369">
        <v>61</v>
      </c>
      <c r="L369">
        <v>70</v>
      </c>
      <c r="M369">
        <v>89</v>
      </c>
      <c r="N369">
        <v>97</v>
      </c>
      <c r="O369">
        <v>60</v>
      </c>
      <c r="P369">
        <v>79</v>
      </c>
      <c r="Q369">
        <v>79</v>
      </c>
      <c r="R369">
        <f>SUM(student_scores[[#This Row],[math_score]:[geography_score]])</f>
        <v>535</v>
      </c>
      <c r="S369" s="3">
        <f>student_scores[[#This Row],[Total_Score]]/7</f>
        <v>76.428571428571431</v>
      </c>
      <c r="T369" s="3" t="str" cm="1">
        <f t="array" ref="T369">_xlfn.IFS(student_scores[[#This Row],[weekly_self_study_hours]]&lt;=5,   "0 - 5", student_scores[[#This Row],[weekly_self_study_hours]]&lt;=10,  "6 - 10", student_scores[[#This Row],[weekly_self_study_hours]]&lt;=20,  "11 - 20",student_scores[[#This Row],[weekly_self_study_hours]]&lt;=30, "21 - 30",TRUE, "31+")</f>
        <v>21 - 30</v>
      </c>
      <c r="U369" t="str" cm="1">
        <f t="array" ref="U369">_xlfn.IFS(student_scores[[#This Row],[absence_days]]=0,"0", student_scores[[#This Row],[absence_days]]&lt;=3,"1-3", student_scores[[#This Row],[absence_days]]&lt;=6,"4-6", TRUE,"7-10")</f>
        <v>1-3</v>
      </c>
      <c r="V369" t="str">
        <f>IF(student_scores[[#This Row],[Total_Score]] &gt;= _xlfn.PERCENTILE.INC(student_scores[Total_Score], 0.8), "Yes", "No")</f>
        <v>No</v>
      </c>
    </row>
    <row r="370" spans="1:22" x14ac:dyDescent="0.35">
      <c r="A370">
        <v>369</v>
      </c>
      <c r="B370" t="s">
        <v>746</v>
      </c>
      <c r="C370" t="s">
        <v>856</v>
      </c>
      <c r="D370" t="s">
        <v>857</v>
      </c>
      <c r="E370" t="s">
        <v>25</v>
      </c>
      <c r="F370" t="b">
        <v>0</v>
      </c>
      <c r="G370">
        <v>7</v>
      </c>
      <c r="H370" t="b">
        <v>0</v>
      </c>
      <c r="I370">
        <v>2</v>
      </c>
      <c r="J370" t="s">
        <v>64</v>
      </c>
      <c r="K370">
        <v>62</v>
      </c>
      <c r="L370">
        <v>53</v>
      </c>
      <c r="M370">
        <v>78</v>
      </c>
      <c r="N370">
        <v>77</v>
      </c>
      <c r="O370">
        <v>59</v>
      </c>
      <c r="P370">
        <v>95</v>
      </c>
      <c r="Q370">
        <v>80</v>
      </c>
      <c r="R370">
        <f>SUM(student_scores[[#This Row],[math_score]:[geography_score]])</f>
        <v>504</v>
      </c>
      <c r="S370" s="3">
        <f>student_scores[[#This Row],[Total_Score]]/7</f>
        <v>72</v>
      </c>
      <c r="T370" s="3" t="str" cm="1">
        <f t="array" ref="T370">_xlfn.IFS(student_scores[[#This Row],[weekly_self_study_hours]]&lt;=5,   "0 - 5", student_scores[[#This Row],[weekly_self_study_hours]]&lt;=10,  "6 - 10", student_scores[[#This Row],[weekly_self_study_hours]]&lt;=20,  "11 - 20",student_scores[[#This Row],[weekly_self_study_hours]]&lt;=30, "21 - 30",TRUE, "31+")</f>
        <v>0 - 5</v>
      </c>
      <c r="U370" t="str" cm="1">
        <f t="array" ref="U370">_xlfn.IFS(student_scores[[#This Row],[absence_days]]=0,"0", student_scores[[#This Row],[absence_days]]&lt;=3,"1-3", student_scores[[#This Row],[absence_days]]&lt;=6,"4-6", TRUE,"7-10")</f>
        <v>7-10</v>
      </c>
      <c r="V370" t="str">
        <f>IF(student_scores[[#This Row],[Total_Score]] &gt;= _xlfn.PERCENTILE.INC(student_scores[Total_Score], 0.8), "Yes", "No")</f>
        <v>No</v>
      </c>
    </row>
    <row r="371" spans="1:22" x14ac:dyDescent="0.35">
      <c r="A371">
        <v>370</v>
      </c>
      <c r="B371" t="s">
        <v>413</v>
      </c>
      <c r="C371" t="s">
        <v>95</v>
      </c>
      <c r="D371" t="s">
        <v>858</v>
      </c>
      <c r="E371" t="s">
        <v>20</v>
      </c>
      <c r="F371" t="b">
        <v>0</v>
      </c>
      <c r="G371">
        <v>3</v>
      </c>
      <c r="H371" t="b">
        <v>0</v>
      </c>
      <c r="I371">
        <v>4</v>
      </c>
      <c r="J371" t="s">
        <v>172</v>
      </c>
      <c r="K371">
        <v>83</v>
      </c>
      <c r="L371">
        <v>61</v>
      </c>
      <c r="M371">
        <v>79</v>
      </c>
      <c r="N371">
        <v>99</v>
      </c>
      <c r="O371">
        <v>66</v>
      </c>
      <c r="P371">
        <v>60</v>
      </c>
      <c r="Q371">
        <v>76</v>
      </c>
      <c r="R371">
        <f>SUM(student_scores[[#This Row],[math_score]:[geography_score]])</f>
        <v>524</v>
      </c>
      <c r="S371" s="3">
        <f>student_scores[[#This Row],[Total_Score]]/7</f>
        <v>74.857142857142861</v>
      </c>
      <c r="T371" s="3" t="str" cm="1">
        <f t="array" ref="T371">_xlfn.IFS(student_scores[[#This Row],[weekly_self_study_hours]]&lt;=5,   "0 - 5", student_scores[[#This Row],[weekly_self_study_hours]]&lt;=10,  "6 - 10", student_scores[[#This Row],[weekly_self_study_hours]]&lt;=20,  "11 - 20",student_scores[[#This Row],[weekly_self_study_hours]]&lt;=30, "21 - 30",TRUE, "31+")</f>
        <v>0 - 5</v>
      </c>
      <c r="U371" t="str" cm="1">
        <f t="array" ref="U371">_xlfn.IFS(student_scores[[#This Row],[absence_days]]=0,"0", student_scores[[#This Row],[absence_days]]&lt;=3,"1-3", student_scores[[#This Row],[absence_days]]&lt;=6,"4-6", TRUE,"7-10")</f>
        <v>1-3</v>
      </c>
      <c r="V371" t="str">
        <f>IF(student_scores[[#This Row],[Total_Score]] &gt;= _xlfn.PERCENTILE.INC(student_scores[Total_Score], 0.8), "Yes", "No")</f>
        <v>No</v>
      </c>
    </row>
    <row r="372" spans="1:22" x14ac:dyDescent="0.35">
      <c r="A372">
        <v>371</v>
      </c>
      <c r="B372" t="s">
        <v>124</v>
      </c>
      <c r="C372" t="s">
        <v>859</v>
      </c>
      <c r="D372" t="s">
        <v>860</v>
      </c>
      <c r="E372" t="s">
        <v>20</v>
      </c>
      <c r="F372" t="b">
        <v>0</v>
      </c>
      <c r="G372">
        <v>3</v>
      </c>
      <c r="H372" t="b">
        <v>0</v>
      </c>
      <c r="I372">
        <v>32</v>
      </c>
      <c r="J372" t="s">
        <v>44</v>
      </c>
      <c r="K372">
        <v>85</v>
      </c>
      <c r="L372">
        <v>96</v>
      </c>
      <c r="M372">
        <v>87</v>
      </c>
      <c r="N372">
        <v>63</v>
      </c>
      <c r="O372">
        <v>69</v>
      </c>
      <c r="P372">
        <v>69</v>
      </c>
      <c r="Q372">
        <v>81</v>
      </c>
      <c r="R372">
        <f>SUM(student_scores[[#This Row],[math_score]:[geography_score]])</f>
        <v>550</v>
      </c>
      <c r="S372" s="3">
        <f>student_scores[[#This Row],[Total_Score]]/7</f>
        <v>78.571428571428569</v>
      </c>
      <c r="T372" s="3" t="str" cm="1">
        <f t="array" ref="T372">_xlfn.IFS(student_scores[[#This Row],[weekly_self_study_hours]]&lt;=5,   "0 - 5", student_scores[[#This Row],[weekly_self_study_hours]]&lt;=10,  "6 - 10", student_scores[[#This Row],[weekly_self_study_hours]]&lt;=20,  "11 - 20",student_scores[[#This Row],[weekly_self_study_hours]]&lt;=30, "21 - 30",TRUE, "31+")</f>
        <v>31+</v>
      </c>
      <c r="U372" t="str" cm="1">
        <f t="array" ref="U372">_xlfn.IFS(student_scores[[#This Row],[absence_days]]=0,"0", student_scores[[#This Row],[absence_days]]&lt;=3,"1-3", student_scores[[#This Row],[absence_days]]&lt;=6,"4-6", TRUE,"7-10")</f>
        <v>1-3</v>
      </c>
      <c r="V372" t="str">
        <f>IF(student_scores[[#This Row],[Total_Score]] &gt;= _xlfn.PERCENTILE.INC(student_scores[Total_Score], 0.8), "Yes", "No")</f>
        <v>No</v>
      </c>
    </row>
    <row r="373" spans="1:22" x14ac:dyDescent="0.35">
      <c r="A373">
        <v>372</v>
      </c>
      <c r="B373" t="s">
        <v>861</v>
      </c>
      <c r="C373" t="s">
        <v>862</v>
      </c>
      <c r="D373" t="s">
        <v>863</v>
      </c>
      <c r="E373" t="s">
        <v>25</v>
      </c>
      <c r="F373" t="b">
        <v>1</v>
      </c>
      <c r="G373">
        <v>7</v>
      </c>
      <c r="H373" t="b">
        <v>0</v>
      </c>
      <c r="I373">
        <v>0</v>
      </c>
      <c r="J373" t="s">
        <v>64</v>
      </c>
      <c r="K373">
        <v>83</v>
      </c>
      <c r="L373">
        <v>55</v>
      </c>
      <c r="M373">
        <v>87</v>
      </c>
      <c r="N373">
        <v>74</v>
      </c>
      <c r="O373">
        <v>73</v>
      </c>
      <c r="P373">
        <v>77</v>
      </c>
      <c r="Q373">
        <v>61</v>
      </c>
      <c r="R373">
        <f>SUM(student_scores[[#This Row],[math_score]:[geography_score]])</f>
        <v>510</v>
      </c>
      <c r="S373" s="3">
        <f>student_scores[[#This Row],[Total_Score]]/7</f>
        <v>72.857142857142861</v>
      </c>
      <c r="T373" s="3" t="str" cm="1">
        <f t="array" ref="T373">_xlfn.IFS(student_scores[[#This Row],[weekly_self_study_hours]]&lt;=5,   "0 - 5", student_scores[[#This Row],[weekly_self_study_hours]]&lt;=10,  "6 - 10", student_scores[[#This Row],[weekly_self_study_hours]]&lt;=20,  "11 - 20",student_scores[[#This Row],[weekly_self_study_hours]]&lt;=30, "21 - 30",TRUE, "31+")</f>
        <v>0 - 5</v>
      </c>
      <c r="U373" t="str" cm="1">
        <f t="array" ref="U373">_xlfn.IFS(student_scores[[#This Row],[absence_days]]=0,"0", student_scores[[#This Row],[absence_days]]&lt;=3,"1-3", student_scores[[#This Row],[absence_days]]&lt;=6,"4-6", TRUE,"7-10")</f>
        <v>7-10</v>
      </c>
      <c r="V373" t="str">
        <f>IF(student_scores[[#This Row],[Total_Score]] &gt;= _xlfn.PERCENTILE.INC(student_scores[Total_Score], 0.8), "Yes", "No")</f>
        <v>No</v>
      </c>
    </row>
    <row r="374" spans="1:22" x14ac:dyDescent="0.35">
      <c r="A374">
        <v>373</v>
      </c>
      <c r="B374" t="s">
        <v>417</v>
      </c>
      <c r="C374" t="s">
        <v>864</v>
      </c>
      <c r="D374" t="s">
        <v>865</v>
      </c>
      <c r="E374" t="s">
        <v>25</v>
      </c>
      <c r="F374" t="b">
        <v>0</v>
      </c>
      <c r="G374">
        <v>2</v>
      </c>
      <c r="H374" t="b">
        <v>0</v>
      </c>
      <c r="I374">
        <v>4</v>
      </c>
      <c r="J374" t="s">
        <v>64</v>
      </c>
      <c r="K374">
        <v>73</v>
      </c>
      <c r="L374">
        <v>95</v>
      </c>
      <c r="M374">
        <v>54</v>
      </c>
      <c r="N374">
        <v>94</v>
      </c>
      <c r="O374">
        <v>99</v>
      </c>
      <c r="P374">
        <v>58</v>
      </c>
      <c r="Q374">
        <v>94</v>
      </c>
      <c r="R374">
        <f>SUM(student_scores[[#This Row],[math_score]:[geography_score]])</f>
        <v>567</v>
      </c>
      <c r="S374" s="3">
        <f>student_scores[[#This Row],[Total_Score]]/7</f>
        <v>81</v>
      </c>
      <c r="T374" s="3" t="str" cm="1">
        <f t="array" ref="T374">_xlfn.IFS(student_scores[[#This Row],[weekly_self_study_hours]]&lt;=5,   "0 - 5", student_scores[[#This Row],[weekly_self_study_hours]]&lt;=10,  "6 - 10", student_scores[[#This Row],[weekly_self_study_hours]]&lt;=20,  "11 - 20",student_scores[[#This Row],[weekly_self_study_hours]]&lt;=30, "21 - 30",TRUE, "31+")</f>
        <v>0 - 5</v>
      </c>
      <c r="U374" t="str" cm="1">
        <f t="array" ref="U374">_xlfn.IFS(student_scores[[#This Row],[absence_days]]=0,"0", student_scores[[#This Row],[absence_days]]&lt;=3,"1-3", student_scores[[#This Row],[absence_days]]&lt;=6,"4-6", TRUE,"7-10")</f>
        <v>1-3</v>
      </c>
      <c r="V374" t="str">
        <f>IF(student_scores[[#This Row],[Total_Score]] &gt;= _xlfn.PERCENTILE.INC(student_scores[Total_Score], 0.8), "Yes", "No")</f>
        <v>No</v>
      </c>
    </row>
    <row r="375" spans="1:22" x14ac:dyDescent="0.35">
      <c r="A375">
        <v>374</v>
      </c>
      <c r="B375" t="s">
        <v>280</v>
      </c>
      <c r="C375" t="s">
        <v>866</v>
      </c>
      <c r="D375" t="s">
        <v>867</v>
      </c>
      <c r="E375" t="s">
        <v>20</v>
      </c>
      <c r="F375" t="b">
        <v>1</v>
      </c>
      <c r="G375">
        <v>10</v>
      </c>
      <c r="H375" t="b">
        <v>1</v>
      </c>
      <c r="I375">
        <v>0</v>
      </c>
      <c r="J375" t="s">
        <v>64</v>
      </c>
      <c r="K375">
        <v>61</v>
      </c>
      <c r="L375">
        <v>65</v>
      </c>
      <c r="M375">
        <v>73</v>
      </c>
      <c r="N375">
        <v>78</v>
      </c>
      <c r="O375">
        <v>77</v>
      </c>
      <c r="P375">
        <v>97</v>
      </c>
      <c r="Q375">
        <v>96</v>
      </c>
      <c r="R375">
        <f>SUM(student_scores[[#This Row],[math_score]:[geography_score]])</f>
        <v>547</v>
      </c>
      <c r="S375" s="3">
        <f>student_scores[[#This Row],[Total_Score]]/7</f>
        <v>78.142857142857139</v>
      </c>
      <c r="T375" s="3" t="str" cm="1">
        <f t="array" ref="T375">_xlfn.IFS(student_scores[[#This Row],[weekly_self_study_hours]]&lt;=5,   "0 - 5", student_scores[[#This Row],[weekly_self_study_hours]]&lt;=10,  "6 - 10", student_scores[[#This Row],[weekly_self_study_hours]]&lt;=20,  "11 - 20",student_scores[[#This Row],[weekly_self_study_hours]]&lt;=30, "21 - 30",TRUE, "31+")</f>
        <v>0 - 5</v>
      </c>
      <c r="U375" t="str" cm="1">
        <f t="array" ref="U375">_xlfn.IFS(student_scores[[#This Row],[absence_days]]=0,"0", student_scores[[#This Row],[absence_days]]&lt;=3,"1-3", student_scores[[#This Row],[absence_days]]&lt;=6,"4-6", TRUE,"7-10")</f>
        <v>7-10</v>
      </c>
      <c r="V375" t="str">
        <f>IF(student_scores[[#This Row],[Total_Score]] &gt;= _xlfn.PERCENTILE.INC(student_scores[Total_Score], 0.8), "Yes", "No")</f>
        <v>No</v>
      </c>
    </row>
    <row r="376" spans="1:22" x14ac:dyDescent="0.35">
      <c r="A376">
        <v>375</v>
      </c>
      <c r="B376" t="s">
        <v>868</v>
      </c>
      <c r="C376" t="s">
        <v>600</v>
      </c>
      <c r="D376" t="s">
        <v>869</v>
      </c>
      <c r="E376" t="s">
        <v>25</v>
      </c>
      <c r="F376" t="b">
        <v>0</v>
      </c>
      <c r="G376">
        <v>5</v>
      </c>
      <c r="H376" t="b">
        <v>1</v>
      </c>
      <c r="I376">
        <v>21</v>
      </c>
      <c r="J376" t="s">
        <v>38</v>
      </c>
      <c r="K376">
        <v>77</v>
      </c>
      <c r="L376">
        <v>72</v>
      </c>
      <c r="M376">
        <v>81</v>
      </c>
      <c r="N376">
        <v>63</v>
      </c>
      <c r="O376">
        <v>69</v>
      </c>
      <c r="P376">
        <v>73</v>
      </c>
      <c r="Q376">
        <v>80</v>
      </c>
      <c r="R376">
        <f>SUM(student_scores[[#This Row],[math_score]:[geography_score]])</f>
        <v>515</v>
      </c>
      <c r="S376" s="3">
        <f>student_scores[[#This Row],[Total_Score]]/7</f>
        <v>73.571428571428569</v>
      </c>
      <c r="T376" s="3" t="str" cm="1">
        <f t="array" ref="T376">_xlfn.IFS(student_scores[[#This Row],[weekly_self_study_hours]]&lt;=5,   "0 - 5", student_scores[[#This Row],[weekly_self_study_hours]]&lt;=10,  "6 - 10", student_scores[[#This Row],[weekly_self_study_hours]]&lt;=20,  "11 - 20",student_scores[[#This Row],[weekly_self_study_hours]]&lt;=30, "21 - 30",TRUE, "31+")</f>
        <v>21 - 30</v>
      </c>
      <c r="U376" t="str" cm="1">
        <f t="array" ref="U376">_xlfn.IFS(student_scores[[#This Row],[absence_days]]=0,"0", student_scores[[#This Row],[absence_days]]&lt;=3,"1-3", student_scores[[#This Row],[absence_days]]&lt;=6,"4-6", TRUE,"7-10")</f>
        <v>4-6</v>
      </c>
      <c r="V376" t="str">
        <f>IF(student_scores[[#This Row],[Total_Score]] &gt;= _xlfn.PERCENTILE.INC(student_scores[Total_Score], 0.8), "Yes", "No")</f>
        <v>No</v>
      </c>
    </row>
    <row r="377" spans="1:22" x14ac:dyDescent="0.35">
      <c r="A377">
        <v>376</v>
      </c>
      <c r="B377" t="s">
        <v>251</v>
      </c>
      <c r="C377" t="s">
        <v>403</v>
      </c>
      <c r="D377" t="s">
        <v>870</v>
      </c>
      <c r="E377" t="s">
        <v>25</v>
      </c>
      <c r="F377" t="b">
        <v>0</v>
      </c>
      <c r="G377">
        <v>2</v>
      </c>
      <c r="H377" t="b">
        <v>0</v>
      </c>
      <c r="I377">
        <v>29</v>
      </c>
      <c r="J377" t="s">
        <v>109</v>
      </c>
      <c r="K377">
        <v>77</v>
      </c>
      <c r="L377">
        <v>87</v>
      </c>
      <c r="M377">
        <v>65</v>
      </c>
      <c r="N377">
        <v>91</v>
      </c>
      <c r="O377">
        <v>71</v>
      </c>
      <c r="P377">
        <v>90</v>
      </c>
      <c r="Q377">
        <v>90</v>
      </c>
      <c r="R377">
        <f>SUM(student_scores[[#This Row],[math_score]:[geography_score]])</f>
        <v>571</v>
      </c>
      <c r="S377" s="3">
        <f>student_scores[[#This Row],[Total_Score]]/7</f>
        <v>81.571428571428569</v>
      </c>
      <c r="T377" s="3" t="str" cm="1">
        <f t="array" ref="T377">_xlfn.IFS(student_scores[[#This Row],[weekly_self_study_hours]]&lt;=5,   "0 - 5", student_scores[[#This Row],[weekly_self_study_hours]]&lt;=10,  "6 - 10", student_scores[[#This Row],[weekly_self_study_hours]]&lt;=20,  "11 - 20",student_scores[[#This Row],[weekly_self_study_hours]]&lt;=30, "21 - 30",TRUE, "31+")</f>
        <v>21 - 30</v>
      </c>
      <c r="U377" t="str" cm="1">
        <f t="array" ref="U377">_xlfn.IFS(student_scores[[#This Row],[absence_days]]=0,"0", student_scores[[#This Row],[absence_days]]&lt;=3,"1-3", student_scores[[#This Row],[absence_days]]&lt;=6,"4-6", TRUE,"7-10")</f>
        <v>1-3</v>
      </c>
      <c r="V377" t="str">
        <f>IF(student_scores[[#This Row],[Total_Score]] &gt;= _xlfn.PERCENTILE.INC(student_scores[Total_Score], 0.8), "Yes", "No")</f>
        <v>No</v>
      </c>
    </row>
    <row r="378" spans="1:22" x14ac:dyDescent="0.35">
      <c r="A378">
        <v>377</v>
      </c>
      <c r="B378" t="s">
        <v>283</v>
      </c>
      <c r="C378" t="s">
        <v>871</v>
      </c>
      <c r="D378" t="s">
        <v>872</v>
      </c>
      <c r="E378" t="s">
        <v>20</v>
      </c>
      <c r="F378" t="b">
        <v>0</v>
      </c>
      <c r="G378">
        <v>3</v>
      </c>
      <c r="H378" t="b">
        <v>0</v>
      </c>
      <c r="I378">
        <v>32</v>
      </c>
      <c r="J378" t="s">
        <v>38</v>
      </c>
      <c r="K378">
        <v>99</v>
      </c>
      <c r="L378">
        <v>94</v>
      </c>
      <c r="M378">
        <v>94</v>
      </c>
      <c r="N378">
        <v>62</v>
      </c>
      <c r="O378">
        <v>68</v>
      </c>
      <c r="P378">
        <v>79</v>
      </c>
      <c r="Q378">
        <v>68</v>
      </c>
      <c r="R378">
        <f>SUM(student_scores[[#This Row],[math_score]:[geography_score]])</f>
        <v>564</v>
      </c>
      <c r="S378" s="3">
        <f>student_scores[[#This Row],[Total_Score]]/7</f>
        <v>80.571428571428569</v>
      </c>
      <c r="T378" s="3" t="str" cm="1">
        <f t="array" ref="T378">_xlfn.IFS(student_scores[[#This Row],[weekly_self_study_hours]]&lt;=5,   "0 - 5", student_scores[[#This Row],[weekly_self_study_hours]]&lt;=10,  "6 - 10", student_scores[[#This Row],[weekly_self_study_hours]]&lt;=20,  "11 - 20",student_scores[[#This Row],[weekly_self_study_hours]]&lt;=30, "21 - 30",TRUE, "31+")</f>
        <v>31+</v>
      </c>
      <c r="U378" t="str" cm="1">
        <f t="array" ref="U378">_xlfn.IFS(student_scores[[#This Row],[absence_days]]=0,"0", student_scores[[#This Row],[absence_days]]&lt;=3,"1-3", student_scores[[#This Row],[absence_days]]&lt;=6,"4-6", TRUE,"7-10")</f>
        <v>1-3</v>
      </c>
      <c r="V378" t="str">
        <f>IF(student_scores[[#This Row],[Total_Score]] &gt;= _xlfn.PERCENTILE.INC(student_scores[Total_Score], 0.8), "Yes", "No")</f>
        <v>No</v>
      </c>
    </row>
    <row r="379" spans="1:22" x14ac:dyDescent="0.35">
      <c r="A379">
        <v>378</v>
      </c>
      <c r="B379" t="s">
        <v>787</v>
      </c>
      <c r="C379" t="s">
        <v>284</v>
      </c>
      <c r="D379" t="s">
        <v>873</v>
      </c>
      <c r="E379" t="s">
        <v>25</v>
      </c>
      <c r="F379" t="b">
        <v>0</v>
      </c>
      <c r="G379">
        <v>7</v>
      </c>
      <c r="H379" t="b">
        <v>0</v>
      </c>
      <c r="I379">
        <v>14</v>
      </c>
      <c r="J379" t="s">
        <v>38</v>
      </c>
      <c r="K379">
        <v>73</v>
      </c>
      <c r="L379">
        <v>69</v>
      </c>
      <c r="M379">
        <v>94</v>
      </c>
      <c r="N379">
        <v>78</v>
      </c>
      <c r="O379">
        <v>76</v>
      </c>
      <c r="P379">
        <v>63</v>
      </c>
      <c r="Q379">
        <v>71</v>
      </c>
      <c r="R379">
        <f>SUM(student_scores[[#This Row],[math_score]:[geography_score]])</f>
        <v>524</v>
      </c>
      <c r="S379" s="3">
        <f>student_scores[[#This Row],[Total_Score]]/7</f>
        <v>74.857142857142861</v>
      </c>
      <c r="T379" s="3" t="str" cm="1">
        <f t="array" ref="T379">_xlfn.IFS(student_scores[[#This Row],[weekly_self_study_hours]]&lt;=5,   "0 - 5", student_scores[[#This Row],[weekly_self_study_hours]]&lt;=10,  "6 - 10", student_scores[[#This Row],[weekly_self_study_hours]]&lt;=20,  "11 - 20",student_scores[[#This Row],[weekly_self_study_hours]]&lt;=30, "21 - 30",TRUE, "31+")</f>
        <v>11 - 20</v>
      </c>
      <c r="U379" t="str" cm="1">
        <f t="array" ref="U379">_xlfn.IFS(student_scores[[#This Row],[absence_days]]=0,"0", student_scores[[#This Row],[absence_days]]&lt;=3,"1-3", student_scores[[#This Row],[absence_days]]&lt;=6,"4-6", TRUE,"7-10")</f>
        <v>7-10</v>
      </c>
      <c r="V379" t="str">
        <f>IF(student_scores[[#This Row],[Total_Score]] &gt;= _xlfn.PERCENTILE.INC(student_scores[Total_Score], 0.8), "Yes", "No")</f>
        <v>No</v>
      </c>
    </row>
    <row r="380" spans="1:22" x14ac:dyDescent="0.35">
      <c r="A380">
        <v>379</v>
      </c>
      <c r="B380" t="s">
        <v>18</v>
      </c>
      <c r="C380" t="s">
        <v>874</v>
      </c>
      <c r="D380" t="s">
        <v>875</v>
      </c>
      <c r="E380" t="s">
        <v>20</v>
      </c>
      <c r="F380" t="b">
        <v>0</v>
      </c>
      <c r="G380">
        <v>1</v>
      </c>
      <c r="H380" t="b">
        <v>0</v>
      </c>
      <c r="I380">
        <v>25</v>
      </c>
      <c r="J380" t="s">
        <v>21</v>
      </c>
      <c r="K380">
        <v>95</v>
      </c>
      <c r="L380">
        <v>89</v>
      </c>
      <c r="M380">
        <v>96</v>
      </c>
      <c r="N380">
        <v>89</v>
      </c>
      <c r="O380">
        <v>60</v>
      </c>
      <c r="P380">
        <v>99</v>
      </c>
      <c r="Q380">
        <v>93</v>
      </c>
      <c r="R380">
        <f>SUM(student_scores[[#This Row],[math_score]:[geography_score]])</f>
        <v>621</v>
      </c>
      <c r="S380" s="3">
        <f>student_scores[[#This Row],[Total_Score]]/7</f>
        <v>88.714285714285708</v>
      </c>
      <c r="T380" s="3" t="str" cm="1">
        <f t="array" ref="T380">_xlfn.IFS(student_scores[[#This Row],[weekly_self_study_hours]]&lt;=5,   "0 - 5", student_scores[[#This Row],[weekly_self_study_hours]]&lt;=10,  "6 - 10", student_scores[[#This Row],[weekly_self_study_hours]]&lt;=20,  "11 - 20",student_scores[[#This Row],[weekly_self_study_hours]]&lt;=30, "21 - 30",TRUE, "31+")</f>
        <v>21 - 30</v>
      </c>
      <c r="U380" t="str" cm="1">
        <f t="array" ref="U380">_xlfn.IFS(student_scores[[#This Row],[absence_days]]=0,"0", student_scores[[#This Row],[absence_days]]&lt;=3,"1-3", student_scores[[#This Row],[absence_days]]&lt;=6,"4-6", TRUE,"7-10")</f>
        <v>1-3</v>
      </c>
      <c r="V380" t="str">
        <f>IF(student_scores[[#This Row],[Total_Score]] &gt;= _xlfn.PERCENTILE.INC(student_scores[Total_Score], 0.8), "Yes", "No")</f>
        <v>Yes</v>
      </c>
    </row>
    <row r="381" spans="1:22" x14ac:dyDescent="0.35">
      <c r="A381">
        <v>380</v>
      </c>
      <c r="B381" t="s">
        <v>214</v>
      </c>
      <c r="C381" t="s">
        <v>876</v>
      </c>
      <c r="D381" t="s">
        <v>877</v>
      </c>
      <c r="E381" t="s">
        <v>20</v>
      </c>
      <c r="F381" t="b">
        <v>0</v>
      </c>
      <c r="G381">
        <v>7</v>
      </c>
      <c r="H381" t="b">
        <v>1</v>
      </c>
      <c r="I381">
        <v>4</v>
      </c>
      <c r="J381" t="s">
        <v>38</v>
      </c>
      <c r="K381">
        <v>94</v>
      </c>
      <c r="L381">
        <v>79</v>
      </c>
      <c r="M381">
        <v>92</v>
      </c>
      <c r="N381">
        <v>100</v>
      </c>
      <c r="O381">
        <v>93</v>
      </c>
      <c r="P381">
        <v>63</v>
      </c>
      <c r="Q381">
        <v>98</v>
      </c>
      <c r="R381">
        <f>SUM(student_scores[[#This Row],[math_score]:[geography_score]])</f>
        <v>619</v>
      </c>
      <c r="S381" s="3">
        <f>student_scores[[#This Row],[Total_Score]]/7</f>
        <v>88.428571428571431</v>
      </c>
      <c r="T381" s="3" t="str" cm="1">
        <f t="array" ref="T381">_xlfn.IFS(student_scores[[#This Row],[weekly_self_study_hours]]&lt;=5,   "0 - 5", student_scores[[#This Row],[weekly_self_study_hours]]&lt;=10,  "6 - 10", student_scores[[#This Row],[weekly_self_study_hours]]&lt;=20,  "11 - 20",student_scores[[#This Row],[weekly_self_study_hours]]&lt;=30, "21 - 30",TRUE, "31+")</f>
        <v>0 - 5</v>
      </c>
      <c r="U381" t="str" cm="1">
        <f t="array" ref="U381">_xlfn.IFS(student_scores[[#This Row],[absence_days]]=0,"0", student_scores[[#This Row],[absence_days]]&lt;=3,"1-3", student_scores[[#This Row],[absence_days]]&lt;=6,"4-6", TRUE,"7-10")</f>
        <v>7-10</v>
      </c>
      <c r="V381" t="str">
        <f>IF(student_scores[[#This Row],[Total_Score]] &gt;= _xlfn.PERCENTILE.INC(student_scores[Total_Score], 0.8), "Yes", "No")</f>
        <v>Yes</v>
      </c>
    </row>
    <row r="382" spans="1:22" x14ac:dyDescent="0.35">
      <c r="A382">
        <v>381</v>
      </c>
      <c r="B382" t="s">
        <v>878</v>
      </c>
      <c r="C382" t="s">
        <v>879</v>
      </c>
      <c r="D382" t="s">
        <v>880</v>
      </c>
      <c r="E382" t="s">
        <v>25</v>
      </c>
      <c r="F382" t="b">
        <v>0</v>
      </c>
      <c r="G382">
        <v>2</v>
      </c>
      <c r="H382" t="b">
        <v>1</v>
      </c>
      <c r="I382">
        <v>32</v>
      </c>
      <c r="J382" t="s">
        <v>172</v>
      </c>
      <c r="K382">
        <v>75</v>
      </c>
      <c r="L382">
        <v>83</v>
      </c>
      <c r="M382">
        <v>85</v>
      </c>
      <c r="N382">
        <v>65</v>
      </c>
      <c r="O382">
        <v>76</v>
      </c>
      <c r="P382">
        <v>94</v>
      </c>
      <c r="Q382">
        <v>60</v>
      </c>
      <c r="R382">
        <f>SUM(student_scores[[#This Row],[math_score]:[geography_score]])</f>
        <v>538</v>
      </c>
      <c r="S382" s="3">
        <f>student_scores[[#This Row],[Total_Score]]/7</f>
        <v>76.857142857142861</v>
      </c>
      <c r="T382" s="3" t="str" cm="1">
        <f t="array" ref="T382">_xlfn.IFS(student_scores[[#This Row],[weekly_self_study_hours]]&lt;=5,   "0 - 5", student_scores[[#This Row],[weekly_self_study_hours]]&lt;=10,  "6 - 10", student_scores[[#This Row],[weekly_self_study_hours]]&lt;=20,  "11 - 20",student_scores[[#This Row],[weekly_self_study_hours]]&lt;=30, "21 - 30",TRUE, "31+")</f>
        <v>31+</v>
      </c>
      <c r="U382" t="str" cm="1">
        <f t="array" ref="U382">_xlfn.IFS(student_scores[[#This Row],[absence_days]]=0,"0", student_scores[[#This Row],[absence_days]]&lt;=3,"1-3", student_scores[[#This Row],[absence_days]]&lt;=6,"4-6", TRUE,"7-10")</f>
        <v>1-3</v>
      </c>
      <c r="V382" t="str">
        <f>IF(student_scores[[#This Row],[Total_Score]] &gt;= _xlfn.PERCENTILE.INC(student_scores[Total_Score], 0.8), "Yes", "No")</f>
        <v>No</v>
      </c>
    </row>
    <row r="383" spans="1:22" x14ac:dyDescent="0.35">
      <c r="A383">
        <v>382</v>
      </c>
      <c r="B383" t="s">
        <v>881</v>
      </c>
      <c r="C383" t="s">
        <v>686</v>
      </c>
      <c r="D383" t="s">
        <v>882</v>
      </c>
      <c r="E383" t="s">
        <v>20</v>
      </c>
      <c r="F383" t="b">
        <v>0</v>
      </c>
      <c r="G383">
        <v>2</v>
      </c>
      <c r="H383" t="b">
        <v>0</v>
      </c>
      <c r="I383">
        <v>7</v>
      </c>
      <c r="J383" t="s">
        <v>38</v>
      </c>
      <c r="K383">
        <v>66</v>
      </c>
      <c r="L383">
        <v>83</v>
      </c>
      <c r="M383">
        <v>77</v>
      </c>
      <c r="N383">
        <v>91</v>
      </c>
      <c r="O383">
        <v>84</v>
      </c>
      <c r="P383">
        <v>74</v>
      </c>
      <c r="Q383">
        <v>62</v>
      </c>
      <c r="R383">
        <f>SUM(student_scores[[#This Row],[math_score]:[geography_score]])</f>
        <v>537</v>
      </c>
      <c r="S383" s="3">
        <f>student_scores[[#This Row],[Total_Score]]/7</f>
        <v>76.714285714285708</v>
      </c>
      <c r="T383" s="3" t="str" cm="1">
        <f t="array" ref="T383">_xlfn.IFS(student_scores[[#This Row],[weekly_self_study_hours]]&lt;=5,   "0 - 5", student_scores[[#This Row],[weekly_self_study_hours]]&lt;=10,  "6 - 10", student_scores[[#This Row],[weekly_self_study_hours]]&lt;=20,  "11 - 20",student_scores[[#This Row],[weekly_self_study_hours]]&lt;=30, "21 - 30",TRUE, "31+")</f>
        <v>6 - 10</v>
      </c>
      <c r="U383" t="str" cm="1">
        <f t="array" ref="U383">_xlfn.IFS(student_scores[[#This Row],[absence_days]]=0,"0", student_scores[[#This Row],[absence_days]]&lt;=3,"1-3", student_scores[[#This Row],[absence_days]]&lt;=6,"4-6", TRUE,"7-10")</f>
        <v>1-3</v>
      </c>
      <c r="V383" t="str">
        <f>IF(student_scores[[#This Row],[Total_Score]] &gt;= _xlfn.PERCENTILE.INC(student_scores[Total_Score], 0.8), "Yes", "No")</f>
        <v>No</v>
      </c>
    </row>
    <row r="384" spans="1:22" x14ac:dyDescent="0.35">
      <c r="A384">
        <v>383</v>
      </c>
      <c r="B384" t="s">
        <v>193</v>
      </c>
      <c r="C384" t="s">
        <v>370</v>
      </c>
      <c r="D384" t="s">
        <v>883</v>
      </c>
      <c r="E384" t="s">
        <v>25</v>
      </c>
      <c r="F384" t="b">
        <v>1</v>
      </c>
      <c r="G384">
        <v>1</v>
      </c>
      <c r="H384" t="b">
        <v>0</v>
      </c>
      <c r="I384">
        <v>22</v>
      </c>
      <c r="J384" t="s">
        <v>44</v>
      </c>
      <c r="K384">
        <v>91</v>
      </c>
      <c r="L384">
        <v>79</v>
      </c>
      <c r="M384">
        <v>89</v>
      </c>
      <c r="N384">
        <v>74</v>
      </c>
      <c r="O384">
        <v>79</v>
      </c>
      <c r="P384">
        <v>74</v>
      </c>
      <c r="Q384">
        <v>61</v>
      </c>
      <c r="R384">
        <f>SUM(student_scores[[#This Row],[math_score]:[geography_score]])</f>
        <v>547</v>
      </c>
      <c r="S384" s="3">
        <f>student_scores[[#This Row],[Total_Score]]/7</f>
        <v>78.142857142857139</v>
      </c>
      <c r="T384" s="3" t="str" cm="1">
        <f t="array" ref="T384">_xlfn.IFS(student_scores[[#This Row],[weekly_self_study_hours]]&lt;=5,   "0 - 5", student_scores[[#This Row],[weekly_self_study_hours]]&lt;=10,  "6 - 10", student_scores[[#This Row],[weekly_self_study_hours]]&lt;=20,  "11 - 20",student_scores[[#This Row],[weekly_self_study_hours]]&lt;=30, "21 - 30",TRUE, "31+")</f>
        <v>21 - 30</v>
      </c>
      <c r="U384" t="str" cm="1">
        <f t="array" ref="U384">_xlfn.IFS(student_scores[[#This Row],[absence_days]]=0,"0", student_scores[[#This Row],[absence_days]]&lt;=3,"1-3", student_scores[[#This Row],[absence_days]]&lt;=6,"4-6", TRUE,"7-10")</f>
        <v>1-3</v>
      </c>
      <c r="V384" t="str">
        <f>IF(student_scores[[#This Row],[Total_Score]] &gt;= _xlfn.PERCENTILE.INC(student_scores[Total_Score], 0.8), "Yes", "No")</f>
        <v>No</v>
      </c>
    </row>
    <row r="385" spans="1:22" x14ac:dyDescent="0.35">
      <c r="A385">
        <v>384</v>
      </c>
      <c r="B385" t="s">
        <v>266</v>
      </c>
      <c r="C385" t="s">
        <v>884</v>
      </c>
      <c r="D385" t="s">
        <v>885</v>
      </c>
      <c r="E385" t="s">
        <v>20</v>
      </c>
      <c r="F385" t="b">
        <v>0</v>
      </c>
      <c r="G385">
        <v>5</v>
      </c>
      <c r="H385" t="b">
        <v>0</v>
      </c>
      <c r="I385">
        <v>3</v>
      </c>
      <c r="J385" t="s">
        <v>38</v>
      </c>
      <c r="K385">
        <v>81</v>
      </c>
      <c r="L385">
        <v>61</v>
      </c>
      <c r="M385">
        <v>75</v>
      </c>
      <c r="N385">
        <v>65</v>
      </c>
      <c r="O385">
        <v>90</v>
      </c>
      <c r="P385">
        <v>92</v>
      </c>
      <c r="Q385">
        <v>80</v>
      </c>
      <c r="R385">
        <f>SUM(student_scores[[#This Row],[math_score]:[geography_score]])</f>
        <v>544</v>
      </c>
      <c r="S385" s="3">
        <f>student_scores[[#This Row],[Total_Score]]/7</f>
        <v>77.714285714285708</v>
      </c>
      <c r="T385" s="3" t="str" cm="1">
        <f t="array" ref="T385">_xlfn.IFS(student_scores[[#This Row],[weekly_self_study_hours]]&lt;=5,   "0 - 5", student_scores[[#This Row],[weekly_self_study_hours]]&lt;=10,  "6 - 10", student_scores[[#This Row],[weekly_self_study_hours]]&lt;=20,  "11 - 20",student_scores[[#This Row],[weekly_self_study_hours]]&lt;=30, "21 - 30",TRUE, "31+")</f>
        <v>0 - 5</v>
      </c>
      <c r="U385" t="str" cm="1">
        <f t="array" ref="U385">_xlfn.IFS(student_scores[[#This Row],[absence_days]]=0,"0", student_scores[[#This Row],[absence_days]]&lt;=3,"1-3", student_scores[[#This Row],[absence_days]]&lt;=6,"4-6", TRUE,"7-10")</f>
        <v>4-6</v>
      </c>
      <c r="V385" t="str">
        <f>IF(student_scores[[#This Row],[Total_Score]] &gt;= _xlfn.PERCENTILE.INC(student_scores[Total_Score], 0.8), "Yes", "No")</f>
        <v>No</v>
      </c>
    </row>
    <row r="386" spans="1:22" x14ac:dyDescent="0.35">
      <c r="A386">
        <v>385</v>
      </c>
      <c r="B386" t="s">
        <v>568</v>
      </c>
      <c r="C386" t="s">
        <v>515</v>
      </c>
      <c r="D386" t="s">
        <v>886</v>
      </c>
      <c r="E386" t="s">
        <v>20</v>
      </c>
      <c r="F386" t="b">
        <v>1</v>
      </c>
      <c r="G386">
        <v>8</v>
      </c>
      <c r="H386" t="b">
        <v>0</v>
      </c>
      <c r="I386">
        <v>1</v>
      </c>
      <c r="J386" t="s">
        <v>64</v>
      </c>
      <c r="K386">
        <v>71</v>
      </c>
      <c r="L386">
        <v>69</v>
      </c>
      <c r="M386">
        <v>69</v>
      </c>
      <c r="N386">
        <v>67</v>
      </c>
      <c r="O386">
        <v>70</v>
      </c>
      <c r="P386">
        <v>78</v>
      </c>
      <c r="Q386">
        <v>66</v>
      </c>
      <c r="R386">
        <f>SUM(student_scores[[#This Row],[math_score]:[geography_score]])</f>
        <v>490</v>
      </c>
      <c r="S386" s="3">
        <f>student_scores[[#This Row],[Total_Score]]/7</f>
        <v>70</v>
      </c>
      <c r="T386" s="3" t="str" cm="1">
        <f t="array" ref="T386">_xlfn.IFS(student_scores[[#This Row],[weekly_self_study_hours]]&lt;=5,   "0 - 5", student_scores[[#This Row],[weekly_self_study_hours]]&lt;=10,  "6 - 10", student_scores[[#This Row],[weekly_self_study_hours]]&lt;=20,  "11 - 20",student_scores[[#This Row],[weekly_self_study_hours]]&lt;=30, "21 - 30",TRUE, "31+")</f>
        <v>0 - 5</v>
      </c>
      <c r="U386" t="str" cm="1">
        <f t="array" ref="U386">_xlfn.IFS(student_scores[[#This Row],[absence_days]]=0,"0", student_scores[[#This Row],[absence_days]]&lt;=3,"1-3", student_scores[[#This Row],[absence_days]]&lt;=6,"4-6", TRUE,"7-10")</f>
        <v>7-10</v>
      </c>
      <c r="V386" t="str">
        <f>IF(student_scores[[#This Row],[Total_Score]] &gt;= _xlfn.PERCENTILE.INC(student_scores[Total_Score], 0.8), "Yes", "No")</f>
        <v>No</v>
      </c>
    </row>
    <row r="387" spans="1:22" x14ac:dyDescent="0.35">
      <c r="A387">
        <v>386</v>
      </c>
      <c r="B387" t="s">
        <v>887</v>
      </c>
      <c r="C387" t="s">
        <v>888</v>
      </c>
      <c r="D387" t="s">
        <v>889</v>
      </c>
      <c r="E387" t="s">
        <v>20</v>
      </c>
      <c r="F387" t="b">
        <v>0</v>
      </c>
      <c r="G387">
        <v>4</v>
      </c>
      <c r="H387" t="b">
        <v>1</v>
      </c>
      <c r="I387">
        <v>23</v>
      </c>
      <c r="J387" t="s">
        <v>109</v>
      </c>
      <c r="K387">
        <v>77</v>
      </c>
      <c r="L387">
        <v>94</v>
      </c>
      <c r="M387">
        <v>97</v>
      </c>
      <c r="N387">
        <v>77</v>
      </c>
      <c r="O387">
        <v>63</v>
      </c>
      <c r="P387">
        <v>98</v>
      </c>
      <c r="Q387">
        <v>98</v>
      </c>
      <c r="R387">
        <f>SUM(student_scores[[#This Row],[math_score]:[geography_score]])</f>
        <v>604</v>
      </c>
      <c r="S387" s="3">
        <f>student_scores[[#This Row],[Total_Score]]/7</f>
        <v>86.285714285714292</v>
      </c>
      <c r="T387" s="3" t="str" cm="1">
        <f t="array" ref="T387">_xlfn.IFS(student_scores[[#This Row],[weekly_self_study_hours]]&lt;=5,   "0 - 5", student_scores[[#This Row],[weekly_self_study_hours]]&lt;=10,  "6 - 10", student_scores[[#This Row],[weekly_self_study_hours]]&lt;=20,  "11 - 20",student_scores[[#This Row],[weekly_self_study_hours]]&lt;=30, "21 - 30",TRUE, "31+")</f>
        <v>21 - 30</v>
      </c>
      <c r="U387" t="str" cm="1">
        <f t="array" ref="U387">_xlfn.IFS(student_scores[[#This Row],[absence_days]]=0,"0", student_scores[[#This Row],[absence_days]]&lt;=3,"1-3", student_scores[[#This Row],[absence_days]]&lt;=6,"4-6", TRUE,"7-10")</f>
        <v>4-6</v>
      </c>
      <c r="V387" t="str">
        <f>IF(student_scores[[#This Row],[Total_Score]] &gt;= _xlfn.PERCENTILE.INC(student_scores[Total_Score], 0.8), "Yes", "No")</f>
        <v>Yes</v>
      </c>
    </row>
    <row r="388" spans="1:22" x14ac:dyDescent="0.35">
      <c r="A388">
        <v>387</v>
      </c>
      <c r="B388" t="s">
        <v>61</v>
      </c>
      <c r="C388" t="s">
        <v>525</v>
      </c>
      <c r="D388" t="s">
        <v>890</v>
      </c>
      <c r="E388" t="s">
        <v>25</v>
      </c>
      <c r="F388" t="b">
        <v>0</v>
      </c>
      <c r="G388">
        <v>0</v>
      </c>
      <c r="H388" t="b">
        <v>0</v>
      </c>
      <c r="I388">
        <v>42</v>
      </c>
      <c r="J388" t="s">
        <v>26</v>
      </c>
      <c r="K388">
        <v>91</v>
      </c>
      <c r="L388">
        <v>87</v>
      </c>
      <c r="M388">
        <v>93</v>
      </c>
      <c r="N388">
        <v>85</v>
      </c>
      <c r="O388">
        <v>98</v>
      </c>
      <c r="P388">
        <v>85</v>
      </c>
      <c r="Q388">
        <v>95</v>
      </c>
      <c r="R388">
        <f>SUM(student_scores[[#This Row],[math_score]:[geography_score]])</f>
        <v>634</v>
      </c>
      <c r="S388" s="3">
        <f>student_scores[[#This Row],[Total_Score]]/7</f>
        <v>90.571428571428569</v>
      </c>
      <c r="T388" s="3" t="str" cm="1">
        <f t="array" ref="T388">_xlfn.IFS(student_scores[[#This Row],[weekly_self_study_hours]]&lt;=5,   "0 - 5", student_scores[[#This Row],[weekly_self_study_hours]]&lt;=10,  "6 - 10", student_scores[[#This Row],[weekly_self_study_hours]]&lt;=20,  "11 - 20",student_scores[[#This Row],[weekly_self_study_hours]]&lt;=30, "21 - 30",TRUE, "31+")</f>
        <v>31+</v>
      </c>
      <c r="U388" t="str" cm="1">
        <f t="array" ref="U388">_xlfn.IFS(student_scores[[#This Row],[absence_days]]=0,"0", student_scores[[#This Row],[absence_days]]&lt;=3,"1-3", student_scores[[#This Row],[absence_days]]&lt;=6,"4-6", TRUE,"7-10")</f>
        <v>0</v>
      </c>
      <c r="V388" t="str">
        <f>IF(student_scores[[#This Row],[Total_Score]] &gt;= _xlfn.PERCENTILE.INC(student_scores[Total_Score], 0.8), "Yes", "No")</f>
        <v>Yes</v>
      </c>
    </row>
    <row r="389" spans="1:22" x14ac:dyDescent="0.35">
      <c r="A389">
        <v>388</v>
      </c>
      <c r="B389" t="s">
        <v>473</v>
      </c>
      <c r="C389" t="s">
        <v>718</v>
      </c>
      <c r="D389" t="s">
        <v>891</v>
      </c>
      <c r="E389" t="s">
        <v>20</v>
      </c>
      <c r="F389" t="b">
        <v>0</v>
      </c>
      <c r="G389">
        <v>1</v>
      </c>
      <c r="H389" t="b">
        <v>0</v>
      </c>
      <c r="I389">
        <v>30</v>
      </c>
      <c r="J389" t="s">
        <v>76</v>
      </c>
      <c r="K389">
        <v>83</v>
      </c>
      <c r="L389">
        <v>98</v>
      </c>
      <c r="M389">
        <v>100</v>
      </c>
      <c r="N389">
        <v>93</v>
      </c>
      <c r="O389">
        <v>100</v>
      </c>
      <c r="P389">
        <v>77</v>
      </c>
      <c r="Q389">
        <v>76</v>
      </c>
      <c r="R389">
        <f>SUM(student_scores[[#This Row],[math_score]:[geography_score]])</f>
        <v>627</v>
      </c>
      <c r="S389" s="3">
        <f>student_scores[[#This Row],[Total_Score]]/7</f>
        <v>89.571428571428569</v>
      </c>
      <c r="T389" s="3" t="str" cm="1">
        <f t="array" ref="T389">_xlfn.IFS(student_scores[[#This Row],[weekly_self_study_hours]]&lt;=5,   "0 - 5", student_scores[[#This Row],[weekly_self_study_hours]]&lt;=10,  "6 - 10", student_scores[[#This Row],[weekly_self_study_hours]]&lt;=20,  "11 - 20",student_scores[[#This Row],[weekly_self_study_hours]]&lt;=30, "21 - 30",TRUE, "31+")</f>
        <v>21 - 30</v>
      </c>
      <c r="U389" t="str" cm="1">
        <f t="array" ref="U389">_xlfn.IFS(student_scores[[#This Row],[absence_days]]=0,"0", student_scores[[#This Row],[absence_days]]&lt;=3,"1-3", student_scores[[#This Row],[absence_days]]&lt;=6,"4-6", TRUE,"7-10")</f>
        <v>1-3</v>
      </c>
      <c r="V389" t="str">
        <f>IF(student_scores[[#This Row],[Total_Score]] &gt;= _xlfn.PERCENTILE.INC(student_scores[Total_Score], 0.8), "Yes", "No")</f>
        <v>Yes</v>
      </c>
    </row>
    <row r="390" spans="1:22" x14ac:dyDescent="0.35">
      <c r="A390">
        <v>389</v>
      </c>
      <c r="B390" t="s">
        <v>892</v>
      </c>
      <c r="C390" t="s">
        <v>522</v>
      </c>
      <c r="D390" t="s">
        <v>893</v>
      </c>
      <c r="E390" t="s">
        <v>25</v>
      </c>
      <c r="F390" t="b">
        <v>0</v>
      </c>
      <c r="G390">
        <v>1</v>
      </c>
      <c r="H390" t="b">
        <v>0</v>
      </c>
      <c r="I390">
        <v>1</v>
      </c>
      <c r="J390" t="s">
        <v>64</v>
      </c>
      <c r="K390">
        <v>75</v>
      </c>
      <c r="L390">
        <v>51</v>
      </c>
      <c r="M390">
        <v>70</v>
      </c>
      <c r="N390">
        <v>84</v>
      </c>
      <c r="O390">
        <v>66</v>
      </c>
      <c r="P390">
        <v>64</v>
      </c>
      <c r="Q390">
        <v>88</v>
      </c>
      <c r="R390">
        <f>SUM(student_scores[[#This Row],[math_score]:[geography_score]])</f>
        <v>498</v>
      </c>
      <c r="S390" s="3">
        <f>student_scores[[#This Row],[Total_Score]]/7</f>
        <v>71.142857142857139</v>
      </c>
      <c r="T390" s="3" t="str" cm="1">
        <f t="array" ref="T390">_xlfn.IFS(student_scores[[#This Row],[weekly_self_study_hours]]&lt;=5,   "0 - 5", student_scores[[#This Row],[weekly_self_study_hours]]&lt;=10,  "6 - 10", student_scores[[#This Row],[weekly_self_study_hours]]&lt;=20,  "11 - 20",student_scores[[#This Row],[weekly_self_study_hours]]&lt;=30, "21 - 30",TRUE, "31+")</f>
        <v>0 - 5</v>
      </c>
      <c r="U390" t="str" cm="1">
        <f t="array" ref="U390">_xlfn.IFS(student_scores[[#This Row],[absence_days]]=0,"0", student_scores[[#This Row],[absence_days]]&lt;=3,"1-3", student_scores[[#This Row],[absence_days]]&lt;=6,"4-6", TRUE,"7-10")</f>
        <v>1-3</v>
      </c>
      <c r="V390" t="str">
        <f>IF(student_scores[[#This Row],[Total_Score]] &gt;= _xlfn.PERCENTILE.INC(student_scores[Total_Score], 0.8), "Yes", "No")</f>
        <v>No</v>
      </c>
    </row>
    <row r="391" spans="1:22" x14ac:dyDescent="0.35">
      <c r="A391">
        <v>390</v>
      </c>
      <c r="B391" t="s">
        <v>188</v>
      </c>
      <c r="C391" t="s">
        <v>894</v>
      </c>
      <c r="D391" t="s">
        <v>895</v>
      </c>
      <c r="E391" t="s">
        <v>25</v>
      </c>
      <c r="F391" t="b">
        <v>1</v>
      </c>
      <c r="G391">
        <v>3</v>
      </c>
      <c r="H391" t="b">
        <v>1</v>
      </c>
      <c r="I391">
        <v>17</v>
      </c>
      <c r="J391" t="s">
        <v>44</v>
      </c>
      <c r="K391">
        <v>86</v>
      </c>
      <c r="L391">
        <v>96</v>
      </c>
      <c r="M391">
        <v>68</v>
      </c>
      <c r="N391">
        <v>71</v>
      </c>
      <c r="O391">
        <v>86</v>
      </c>
      <c r="P391">
        <v>94</v>
      </c>
      <c r="Q391">
        <v>89</v>
      </c>
      <c r="R391">
        <f>SUM(student_scores[[#This Row],[math_score]:[geography_score]])</f>
        <v>590</v>
      </c>
      <c r="S391" s="3">
        <f>student_scores[[#This Row],[Total_Score]]/7</f>
        <v>84.285714285714292</v>
      </c>
      <c r="T391" s="3" t="str" cm="1">
        <f t="array" ref="T391">_xlfn.IFS(student_scores[[#This Row],[weekly_self_study_hours]]&lt;=5,   "0 - 5", student_scores[[#This Row],[weekly_self_study_hours]]&lt;=10,  "6 - 10", student_scores[[#This Row],[weekly_self_study_hours]]&lt;=20,  "11 - 20",student_scores[[#This Row],[weekly_self_study_hours]]&lt;=30, "21 - 30",TRUE, "31+")</f>
        <v>11 - 20</v>
      </c>
      <c r="U391" t="str" cm="1">
        <f t="array" ref="U391">_xlfn.IFS(student_scores[[#This Row],[absence_days]]=0,"0", student_scores[[#This Row],[absence_days]]&lt;=3,"1-3", student_scores[[#This Row],[absence_days]]&lt;=6,"4-6", TRUE,"7-10")</f>
        <v>1-3</v>
      </c>
      <c r="V391" t="str">
        <f>IF(student_scores[[#This Row],[Total_Score]] &gt;= _xlfn.PERCENTILE.INC(student_scores[Total_Score], 0.8), "Yes", "No")</f>
        <v>No</v>
      </c>
    </row>
    <row r="392" spans="1:22" x14ac:dyDescent="0.35">
      <c r="A392">
        <v>391</v>
      </c>
      <c r="B392" t="s">
        <v>221</v>
      </c>
      <c r="C392" t="s">
        <v>528</v>
      </c>
      <c r="D392" t="s">
        <v>896</v>
      </c>
      <c r="E392" t="s">
        <v>20</v>
      </c>
      <c r="F392" t="b">
        <v>0</v>
      </c>
      <c r="G392">
        <v>2</v>
      </c>
      <c r="H392" t="b">
        <v>0</v>
      </c>
      <c r="I392">
        <v>48</v>
      </c>
      <c r="J392" t="s">
        <v>26</v>
      </c>
      <c r="K392">
        <v>86</v>
      </c>
      <c r="L392">
        <v>88</v>
      </c>
      <c r="M392">
        <v>89</v>
      </c>
      <c r="N392">
        <v>89</v>
      </c>
      <c r="O392">
        <v>98</v>
      </c>
      <c r="P392">
        <v>89</v>
      </c>
      <c r="Q392">
        <v>96</v>
      </c>
      <c r="R392">
        <f>SUM(student_scores[[#This Row],[math_score]:[geography_score]])</f>
        <v>635</v>
      </c>
      <c r="S392" s="3">
        <f>student_scores[[#This Row],[Total_Score]]/7</f>
        <v>90.714285714285708</v>
      </c>
      <c r="T392" s="3" t="str" cm="1">
        <f t="array" ref="T392">_xlfn.IFS(student_scores[[#This Row],[weekly_self_study_hours]]&lt;=5,   "0 - 5", student_scores[[#This Row],[weekly_self_study_hours]]&lt;=10,  "6 - 10", student_scores[[#This Row],[weekly_self_study_hours]]&lt;=20,  "11 - 20",student_scores[[#This Row],[weekly_self_study_hours]]&lt;=30, "21 - 30",TRUE, "31+")</f>
        <v>31+</v>
      </c>
      <c r="U392" t="str" cm="1">
        <f t="array" ref="U392">_xlfn.IFS(student_scores[[#This Row],[absence_days]]=0,"0", student_scores[[#This Row],[absence_days]]&lt;=3,"1-3", student_scores[[#This Row],[absence_days]]&lt;=6,"4-6", TRUE,"7-10")</f>
        <v>1-3</v>
      </c>
      <c r="V392" t="str">
        <f>IF(student_scores[[#This Row],[Total_Score]] &gt;= _xlfn.PERCENTILE.INC(student_scores[Total_Score], 0.8), "Yes", "No")</f>
        <v>Yes</v>
      </c>
    </row>
    <row r="393" spans="1:22" x14ac:dyDescent="0.35">
      <c r="A393">
        <v>392</v>
      </c>
      <c r="B393" t="s">
        <v>446</v>
      </c>
      <c r="C393" t="s">
        <v>897</v>
      </c>
      <c r="D393" t="s">
        <v>898</v>
      </c>
      <c r="E393" t="s">
        <v>20</v>
      </c>
      <c r="F393" t="b">
        <v>0</v>
      </c>
      <c r="G393">
        <v>4</v>
      </c>
      <c r="H393" t="b">
        <v>1</v>
      </c>
      <c r="I393">
        <v>24</v>
      </c>
      <c r="J393" t="s">
        <v>44</v>
      </c>
      <c r="K393">
        <v>85</v>
      </c>
      <c r="L393">
        <v>67</v>
      </c>
      <c r="M393">
        <v>60</v>
      </c>
      <c r="N393">
        <v>82</v>
      </c>
      <c r="O393">
        <v>77</v>
      </c>
      <c r="P393">
        <v>72</v>
      </c>
      <c r="Q393">
        <v>72</v>
      </c>
      <c r="R393">
        <f>SUM(student_scores[[#This Row],[math_score]:[geography_score]])</f>
        <v>515</v>
      </c>
      <c r="S393" s="3">
        <f>student_scores[[#This Row],[Total_Score]]/7</f>
        <v>73.571428571428569</v>
      </c>
      <c r="T393" s="3" t="str" cm="1">
        <f t="array" ref="T393">_xlfn.IFS(student_scores[[#This Row],[weekly_self_study_hours]]&lt;=5,   "0 - 5", student_scores[[#This Row],[weekly_self_study_hours]]&lt;=10,  "6 - 10", student_scores[[#This Row],[weekly_self_study_hours]]&lt;=20,  "11 - 20",student_scores[[#This Row],[weekly_self_study_hours]]&lt;=30, "21 - 30",TRUE, "31+")</f>
        <v>21 - 30</v>
      </c>
      <c r="U393" t="str" cm="1">
        <f t="array" ref="U393">_xlfn.IFS(student_scores[[#This Row],[absence_days]]=0,"0", student_scores[[#This Row],[absence_days]]&lt;=3,"1-3", student_scores[[#This Row],[absence_days]]&lt;=6,"4-6", TRUE,"7-10")</f>
        <v>4-6</v>
      </c>
      <c r="V393" t="str">
        <f>IF(student_scores[[#This Row],[Total_Score]] &gt;= _xlfn.PERCENTILE.INC(student_scores[Total_Score], 0.8), "Yes", "No")</f>
        <v>No</v>
      </c>
    </row>
    <row r="394" spans="1:22" x14ac:dyDescent="0.35">
      <c r="A394">
        <v>393</v>
      </c>
      <c r="B394" t="s">
        <v>899</v>
      </c>
      <c r="C394" t="s">
        <v>900</v>
      </c>
      <c r="D394" t="s">
        <v>901</v>
      </c>
      <c r="E394" t="s">
        <v>25</v>
      </c>
      <c r="F394" t="b">
        <v>0</v>
      </c>
      <c r="G394">
        <v>6</v>
      </c>
      <c r="H394" t="b">
        <v>0</v>
      </c>
      <c r="I394">
        <v>31</v>
      </c>
      <c r="J394" t="s">
        <v>109</v>
      </c>
      <c r="K394">
        <v>62</v>
      </c>
      <c r="L394">
        <v>81</v>
      </c>
      <c r="M394">
        <v>80</v>
      </c>
      <c r="N394">
        <v>88</v>
      </c>
      <c r="O394">
        <v>78</v>
      </c>
      <c r="P394">
        <v>94</v>
      </c>
      <c r="Q394">
        <v>85</v>
      </c>
      <c r="R394">
        <f>SUM(student_scores[[#This Row],[math_score]:[geography_score]])</f>
        <v>568</v>
      </c>
      <c r="S394" s="3">
        <f>student_scores[[#This Row],[Total_Score]]/7</f>
        <v>81.142857142857139</v>
      </c>
      <c r="T394" s="3" t="str" cm="1">
        <f t="array" ref="T394">_xlfn.IFS(student_scores[[#This Row],[weekly_self_study_hours]]&lt;=5,   "0 - 5", student_scores[[#This Row],[weekly_self_study_hours]]&lt;=10,  "6 - 10", student_scores[[#This Row],[weekly_self_study_hours]]&lt;=20,  "11 - 20",student_scores[[#This Row],[weekly_self_study_hours]]&lt;=30, "21 - 30",TRUE, "31+")</f>
        <v>31+</v>
      </c>
      <c r="U394" t="str" cm="1">
        <f t="array" ref="U394">_xlfn.IFS(student_scores[[#This Row],[absence_days]]=0,"0", student_scores[[#This Row],[absence_days]]&lt;=3,"1-3", student_scores[[#This Row],[absence_days]]&lt;=6,"4-6", TRUE,"7-10")</f>
        <v>4-6</v>
      </c>
      <c r="V394" t="str">
        <f>IF(student_scores[[#This Row],[Total_Score]] &gt;= _xlfn.PERCENTILE.INC(student_scores[Total_Score], 0.8), "Yes", "No")</f>
        <v>No</v>
      </c>
    </row>
    <row r="395" spans="1:22" x14ac:dyDescent="0.35">
      <c r="A395">
        <v>394</v>
      </c>
      <c r="B395" t="s">
        <v>396</v>
      </c>
      <c r="C395" t="s">
        <v>902</v>
      </c>
      <c r="D395" t="s">
        <v>903</v>
      </c>
      <c r="E395" t="s">
        <v>20</v>
      </c>
      <c r="F395" t="b">
        <v>1</v>
      </c>
      <c r="G395">
        <v>7</v>
      </c>
      <c r="H395" t="b">
        <v>0</v>
      </c>
      <c r="I395">
        <v>0</v>
      </c>
      <c r="J395" t="s">
        <v>64</v>
      </c>
      <c r="K395">
        <v>100</v>
      </c>
      <c r="L395">
        <v>65</v>
      </c>
      <c r="M395">
        <v>67</v>
      </c>
      <c r="N395">
        <v>61</v>
      </c>
      <c r="O395">
        <v>76</v>
      </c>
      <c r="P395">
        <v>58</v>
      </c>
      <c r="Q395">
        <v>84</v>
      </c>
      <c r="R395">
        <f>SUM(student_scores[[#This Row],[math_score]:[geography_score]])</f>
        <v>511</v>
      </c>
      <c r="S395" s="3">
        <f>student_scores[[#This Row],[Total_Score]]/7</f>
        <v>73</v>
      </c>
      <c r="T395" s="3" t="str" cm="1">
        <f t="array" ref="T395">_xlfn.IFS(student_scores[[#This Row],[weekly_self_study_hours]]&lt;=5,   "0 - 5", student_scores[[#This Row],[weekly_self_study_hours]]&lt;=10,  "6 - 10", student_scores[[#This Row],[weekly_self_study_hours]]&lt;=20,  "11 - 20",student_scores[[#This Row],[weekly_self_study_hours]]&lt;=30, "21 - 30",TRUE, "31+")</f>
        <v>0 - 5</v>
      </c>
      <c r="U395" t="str" cm="1">
        <f t="array" ref="U395">_xlfn.IFS(student_scores[[#This Row],[absence_days]]=0,"0", student_scores[[#This Row],[absence_days]]&lt;=3,"1-3", student_scores[[#This Row],[absence_days]]&lt;=6,"4-6", TRUE,"7-10")</f>
        <v>7-10</v>
      </c>
      <c r="V395" t="str">
        <f>IF(student_scores[[#This Row],[Total_Score]] &gt;= _xlfn.PERCENTILE.INC(student_scores[Total_Score], 0.8), "Yes", "No")</f>
        <v>No</v>
      </c>
    </row>
    <row r="396" spans="1:22" x14ac:dyDescent="0.35">
      <c r="A396">
        <v>395</v>
      </c>
      <c r="B396" t="s">
        <v>124</v>
      </c>
      <c r="C396" t="s">
        <v>231</v>
      </c>
      <c r="D396" t="s">
        <v>904</v>
      </c>
      <c r="E396" t="s">
        <v>20</v>
      </c>
      <c r="F396" t="b">
        <v>0</v>
      </c>
      <c r="G396">
        <v>9</v>
      </c>
      <c r="H396" t="b">
        <v>0</v>
      </c>
      <c r="I396">
        <v>2</v>
      </c>
      <c r="J396" t="s">
        <v>64</v>
      </c>
      <c r="K396">
        <v>79</v>
      </c>
      <c r="L396">
        <v>86</v>
      </c>
      <c r="M396">
        <v>97</v>
      </c>
      <c r="N396">
        <v>60</v>
      </c>
      <c r="O396">
        <v>66</v>
      </c>
      <c r="P396">
        <v>74</v>
      </c>
      <c r="Q396">
        <v>96</v>
      </c>
      <c r="R396">
        <f>SUM(student_scores[[#This Row],[math_score]:[geography_score]])</f>
        <v>558</v>
      </c>
      <c r="S396" s="3">
        <f>student_scores[[#This Row],[Total_Score]]/7</f>
        <v>79.714285714285708</v>
      </c>
      <c r="T396" s="3" t="str" cm="1">
        <f t="array" ref="T396">_xlfn.IFS(student_scores[[#This Row],[weekly_self_study_hours]]&lt;=5,   "0 - 5", student_scores[[#This Row],[weekly_self_study_hours]]&lt;=10,  "6 - 10", student_scores[[#This Row],[weekly_self_study_hours]]&lt;=20,  "11 - 20",student_scores[[#This Row],[weekly_self_study_hours]]&lt;=30, "21 - 30",TRUE, "31+")</f>
        <v>0 - 5</v>
      </c>
      <c r="U396" t="str" cm="1">
        <f t="array" ref="U396">_xlfn.IFS(student_scores[[#This Row],[absence_days]]=0,"0", student_scores[[#This Row],[absence_days]]&lt;=3,"1-3", student_scores[[#This Row],[absence_days]]&lt;=6,"4-6", TRUE,"7-10")</f>
        <v>7-10</v>
      </c>
      <c r="V396" t="str">
        <f>IF(student_scores[[#This Row],[Total_Score]] &gt;= _xlfn.PERCENTILE.INC(student_scores[Total_Score], 0.8), "Yes", "No")</f>
        <v>No</v>
      </c>
    </row>
    <row r="397" spans="1:22" x14ac:dyDescent="0.35">
      <c r="A397">
        <v>396</v>
      </c>
      <c r="B397" t="s">
        <v>420</v>
      </c>
      <c r="C397" t="s">
        <v>423</v>
      </c>
      <c r="D397" t="s">
        <v>905</v>
      </c>
      <c r="E397" t="s">
        <v>25</v>
      </c>
      <c r="F397" t="b">
        <v>0</v>
      </c>
      <c r="G397">
        <v>1</v>
      </c>
      <c r="H397" t="b">
        <v>0</v>
      </c>
      <c r="I397">
        <v>24</v>
      </c>
      <c r="J397" t="s">
        <v>21</v>
      </c>
      <c r="K397">
        <v>99</v>
      </c>
      <c r="L397">
        <v>97</v>
      </c>
      <c r="M397">
        <v>68</v>
      </c>
      <c r="N397">
        <v>85</v>
      </c>
      <c r="O397">
        <v>86</v>
      </c>
      <c r="P397">
        <v>85</v>
      </c>
      <c r="Q397">
        <v>73</v>
      </c>
      <c r="R397">
        <f>SUM(student_scores[[#This Row],[math_score]:[geography_score]])</f>
        <v>593</v>
      </c>
      <c r="S397" s="3">
        <f>student_scores[[#This Row],[Total_Score]]/7</f>
        <v>84.714285714285708</v>
      </c>
      <c r="T397" s="3" t="str" cm="1">
        <f t="array" ref="T397">_xlfn.IFS(student_scores[[#This Row],[weekly_self_study_hours]]&lt;=5,   "0 - 5", student_scores[[#This Row],[weekly_self_study_hours]]&lt;=10,  "6 - 10", student_scores[[#This Row],[weekly_self_study_hours]]&lt;=20,  "11 - 20",student_scores[[#This Row],[weekly_self_study_hours]]&lt;=30, "21 - 30",TRUE, "31+")</f>
        <v>21 - 30</v>
      </c>
      <c r="U397" t="str" cm="1">
        <f t="array" ref="U397">_xlfn.IFS(student_scores[[#This Row],[absence_days]]=0,"0", student_scores[[#This Row],[absence_days]]&lt;=3,"1-3", student_scores[[#This Row],[absence_days]]&lt;=6,"4-6", TRUE,"7-10")</f>
        <v>1-3</v>
      </c>
      <c r="V397" t="str">
        <f>IF(student_scores[[#This Row],[Total_Score]] &gt;= _xlfn.PERCENTILE.INC(student_scores[Total_Score], 0.8), "Yes", "No")</f>
        <v>No</v>
      </c>
    </row>
    <row r="398" spans="1:22" x14ac:dyDescent="0.35">
      <c r="A398">
        <v>397</v>
      </c>
      <c r="B398" t="s">
        <v>560</v>
      </c>
      <c r="C398" t="s">
        <v>32</v>
      </c>
      <c r="D398" t="s">
        <v>906</v>
      </c>
      <c r="E398" t="s">
        <v>25</v>
      </c>
      <c r="F398" t="b">
        <v>0</v>
      </c>
      <c r="G398">
        <v>7</v>
      </c>
      <c r="H398" t="b">
        <v>0</v>
      </c>
      <c r="I398">
        <v>2</v>
      </c>
      <c r="J398" t="s">
        <v>64</v>
      </c>
      <c r="K398">
        <v>46</v>
      </c>
      <c r="L398">
        <v>65</v>
      </c>
      <c r="M398">
        <v>97</v>
      </c>
      <c r="N398">
        <v>100</v>
      </c>
      <c r="O398">
        <v>56</v>
      </c>
      <c r="P398">
        <v>73</v>
      </c>
      <c r="Q398">
        <v>95</v>
      </c>
      <c r="R398">
        <f>SUM(student_scores[[#This Row],[math_score]:[geography_score]])</f>
        <v>532</v>
      </c>
      <c r="S398" s="3">
        <f>student_scores[[#This Row],[Total_Score]]/7</f>
        <v>76</v>
      </c>
      <c r="T398" s="3" t="str" cm="1">
        <f t="array" ref="T398">_xlfn.IFS(student_scores[[#This Row],[weekly_self_study_hours]]&lt;=5,   "0 - 5", student_scores[[#This Row],[weekly_self_study_hours]]&lt;=10,  "6 - 10", student_scores[[#This Row],[weekly_self_study_hours]]&lt;=20,  "11 - 20",student_scores[[#This Row],[weekly_self_study_hours]]&lt;=30, "21 - 30",TRUE, "31+")</f>
        <v>0 - 5</v>
      </c>
      <c r="U398" t="str" cm="1">
        <f t="array" ref="U398">_xlfn.IFS(student_scores[[#This Row],[absence_days]]=0,"0", student_scores[[#This Row],[absence_days]]&lt;=3,"1-3", student_scores[[#This Row],[absence_days]]&lt;=6,"4-6", TRUE,"7-10")</f>
        <v>7-10</v>
      </c>
      <c r="V398" t="str">
        <f>IF(student_scores[[#This Row],[Total_Score]] &gt;= _xlfn.PERCENTILE.INC(student_scores[Total_Score], 0.8), "Yes", "No")</f>
        <v>No</v>
      </c>
    </row>
    <row r="399" spans="1:22" x14ac:dyDescent="0.35">
      <c r="A399">
        <v>398</v>
      </c>
      <c r="B399" t="s">
        <v>907</v>
      </c>
      <c r="C399" t="s">
        <v>454</v>
      </c>
      <c r="D399" t="s">
        <v>908</v>
      </c>
      <c r="E399" t="s">
        <v>20</v>
      </c>
      <c r="F399" t="b">
        <v>0</v>
      </c>
      <c r="G399">
        <v>0</v>
      </c>
      <c r="H399" t="b">
        <v>0</v>
      </c>
      <c r="I399">
        <v>32</v>
      </c>
      <c r="J399" t="s">
        <v>44</v>
      </c>
      <c r="K399">
        <v>85</v>
      </c>
      <c r="L399">
        <v>97</v>
      </c>
      <c r="M399">
        <v>88</v>
      </c>
      <c r="N399">
        <v>61</v>
      </c>
      <c r="O399">
        <v>80</v>
      </c>
      <c r="P399">
        <v>80</v>
      </c>
      <c r="Q399">
        <v>84</v>
      </c>
      <c r="R399">
        <f>SUM(student_scores[[#This Row],[math_score]:[geography_score]])</f>
        <v>575</v>
      </c>
      <c r="S399" s="3">
        <f>student_scores[[#This Row],[Total_Score]]/7</f>
        <v>82.142857142857139</v>
      </c>
      <c r="T399" s="3" t="str" cm="1">
        <f t="array" ref="T399">_xlfn.IFS(student_scores[[#This Row],[weekly_self_study_hours]]&lt;=5,   "0 - 5", student_scores[[#This Row],[weekly_self_study_hours]]&lt;=10,  "6 - 10", student_scores[[#This Row],[weekly_self_study_hours]]&lt;=20,  "11 - 20",student_scores[[#This Row],[weekly_self_study_hours]]&lt;=30, "21 - 30",TRUE, "31+")</f>
        <v>31+</v>
      </c>
      <c r="U399" t="str" cm="1">
        <f t="array" ref="U399">_xlfn.IFS(student_scores[[#This Row],[absence_days]]=0,"0", student_scores[[#This Row],[absence_days]]&lt;=3,"1-3", student_scores[[#This Row],[absence_days]]&lt;=6,"4-6", TRUE,"7-10")</f>
        <v>0</v>
      </c>
      <c r="V399" t="str">
        <f>IF(student_scores[[#This Row],[Total_Score]] &gt;= _xlfn.PERCENTILE.INC(student_scores[Total_Score], 0.8), "Yes", "No")</f>
        <v>No</v>
      </c>
    </row>
    <row r="400" spans="1:22" x14ac:dyDescent="0.35">
      <c r="A400">
        <v>399</v>
      </c>
      <c r="B400" t="s">
        <v>449</v>
      </c>
      <c r="C400" t="s">
        <v>411</v>
      </c>
      <c r="D400" t="s">
        <v>909</v>
      </c>
      <c r="E400" t="s">
        <v>25</v>
      </c>
      <c r="F400" t="b">
        <v>0</v>
      </c>
      <c r="G400">
        <v>2</v>
      </c>
      <c r="H400" t="b">
        <v>0</v>
      </c>
      <c r="I400">
        <v>4</v>
      </c>
      <c r="J400" t="s">
        <v>30</v>
      </c>
      <c r="K400">
        <v>85</v>
      </c>
      <c r="L400">
        <v>68</v>
      </c>
      <c r="M400">
        <v>89</v>
      </c>
      <c r="N400">
        <v>64</v>
      </c>
      <c r="O400">
        <v>79</v>
      </c>
      <c r="P400">
        <v>66</v>
      </c>
      <c r="Q400">
        <v>66</v>
      </c>
      <c r="R400">
        <f>SUM(student_scores[[#This Row],[math_score]:[geography_score]])</f>
        <v>517</v>
      </c>
      <c r="S400" s="3">
        <f>student_scores[[#This Row],[Total_Score]]/7</f>
        <v>73.857142857142861</v>
      </c>
      <c r="T400" s="3" t="str" cm="1">
        <f t="array" ref="T400">_xlfn.IFS(student_scores[[#This Row],[weekly_self_study_hours]]&lt;=5,   "0 - 5", student_scores[[#This Row],[weekly_self_study_hours]]&lt;=10,  "6 - 10", student_scores[[#This Row],[weekly_self_study_hours]]&lt;=20,  "11 - 20",student_scores[[#This Row],[weekly_self_study_hours]]&lt;=30, "21 - 30",TRUE, "31+")</f>
        <v>0 - 5</v>
      </c>
      <c r="U400" t="str" cm="1">
        <f t="array" ref="U400">_xlfn.IFS(student_scores[[#This Row],[absence_days]]=0,"0", student_scores[[#This Row],[absence_days]]&lt;=3,"1-3", student_scores[[#This Row],[absence_days]]&lt;=6,"4-6", TRUE,"7-10")</f>
        <v>1-3</v>
      </c>
      <c r="V400" t="str">
        <f>IF(student_scores[[#This Row],[Total_Score]] &gt;= _xlfn.PERCENTILE.INC(student_scores[Total_Score], 0.8), "Yes", "No")</f>
        <v>No</v>
      </c>
    </row>
    <row r="401" spans="1:22" x14ac:dyDescent="0.35">
      <c r="A401">
        <v>400</v>
      </c>
      <c r="B401" t="s">
        <v>910</v>
      </c>
      <c r="C401" t="s">
        <v>103</v>
      </c>
      <c r="D401" t="s">
        <v>911</v>
      </c>
      <c r="E401" t="s">
        <v>20</v>
      </c>
      <c r="F401" t="b">
        <v>0</v>
      </c>
      <c r="G401">
        <v>4</v>
      </c>
      <c r="H401" t="b">
        <v>0</v>
      </c>
      <c r="I401">
        <v>32</v>
      </c>
      <c r="J401" t="s">
        <v>44</v>
      </c>
      <c r="K401">
        <v>85</v>
      </c>
      <c r="L401">
        <v>87</v>
      </c>
      <c r="M401">
        <v>91</v>
      </c>
      <c r="N401">
        <v>63</v>
      </c>
      <c r="O401">
        <v>95</v>
      </c>
      <c r="P401">
        <v>88</v>
      </c>
      <c r="Q401">
        <v>62</v>
      </c>
      <c r="R401">
        <f>SUM(student_scores[[#This Row],[math_score]:[geography_score]])</f>
        <v>571</v>
      </c>
      <c r="S401" s="3">
        <f>student_scores[[#This Row],[Total_Score]]/7</f>
        <v>81.571428571428569</v>
      </c>
      <c r="T401" s="3" t="str" cm="1">
        <f t="array" ref="T401">_xlfn.IFS(student_scores[[#This Row],[weekly_self_study_hours]]&lt;=5,   "0 - 5", student_scores[[#This Row],[weekly_self_study_hours]]&lt;=10,  "6 - 10", student_scores[[#This Row],[weekly_self_study_hours]]&lt;=20,  "11 - 20",student_scores[[#This Row],[weekly_self_study_hours]]&lt;=30, "21 - 30",TRUE, "31+")</f>
        <v>31+</v>
      </c>
      <c r="U401" t="str" cm="1">
        <f t="array" ref="U401">_xlfn.IFS(student_scores[[#This Row],[absence_days]]=0,"0", student_scores[[#This Row],[absence_days]]&lt;=3,"1-3", student_scores[[#This Row],[absence_days]]&lt;=6,"4-6", TRUE,"7-10")</f>
        <v>4-6</v>
      </c>
      <c r="V401" t="str">
        <f>IF(student_scores[[#This Row],[Total_Score]] &gt;= _xlfn.PERCENTILE.INC(student_scores[Total_Score], 0.8), "Yes", "No")</f>
        <v>No</v>
      </c>
    </row>
    <row r="402" spans="1:22" x14ac:dyDescent="0.35">
      <c r="A402">
        <v>401</v>
      </c>
      <c r="B402" t="s">
        <v>348</v>
      </c>
      <c r="C402" t="s">
        <v>42</v>
      </c>
      <c r="D402" t="s">
        <v>912</v>
      </c>
      <c r="E402" t="s">
        <v>20</v>
      </c>
      <c r="F402" t="b">
        <v>0</v>
      </c>
      <c r="G402">
        <v>3</v>
      </c>
      <c r="H402" t="b">
        <v>0</v>
      </c>
      <c r="I402">
        <v>16</v>
      </c>
      <c r="J402" t="s">
        <v>172</v>
      </c>
      <c r="K402">
        <v>99</v>
      </c>
      <c r="L402">
        <v>86</v>
      </c>
      <c r="M402">
        <v>90</v>
      </c>
      <c r="N402">
        <v>100</v>
      </c>
      <c r="O402">
        <v>96</v>
      </c>
      <c r="P402">
        <v>77</v>
      </c>
      <c r="Q402">
        <v>60</v>
      </c>
      <c r="R402">
        <f>SUM(student_scores[[#This Row],[math_score]:[geography_score]])</f>
        <v>608</v>
      </c>
      <c r="S402" s="3">
        <f>student_scores[[#This Row],[Total_Score]]/7</f>
        <v>86.857142857142861</v>
      </c>
      <c r="T402" s="3" t="str" cm="1">
        <f t="array" ref="T402">_xlfn.IFS(student_scores[[#This Row],[weekly_self_study_hours]]&lt;=5,   "0 - 5", student_scores[[#This Row],[weekly_self_study_hours]]&lt;=10,  "6 - 10", student_scores[[#This Row],[weekly_self_study_hours]]&lt;=20,  "11 - 20",student_scores[[#This Row],[weekly_self_study_hours]]&lt;=30, "21 - 30",TRUE, "31+")</f>
        <v>11 - 20</v>
      </c>
      <c r="U402" t="str" cm="1">
        <f t="array" ref="U402">_xlfn.IFS(student_scores[[#This Row],[absence_days]]=0,"0", student_scores[[#This Row],[absence_days]]&lt;=3,"1-3", student_scores[[#This Row],[absence_days]]&lt;=6,"4-6", TRUE,"7-10")</f>
        <v>1-3</v>
      </c>
      <c r="V402" t="str">
        <f>IF(student_scores[[#This Row],[Total_Score]] &gt;= _xlfn.PERCENTILE.INC(student_scores[Total_Score], 0.8), "Yes", "No")</f>
        <v>Yes</v>
      </c>
    </row>
    <row r="403" spans="1:22" x14ac:dyDescent="0.35">
      <c r="A403">
        <v>402</v>
      </c>
      <c r="B403" t="s">
        <v>913</v>
      </c>
      <c r="C403" t="s">
        <v>914</v>
      </c>
      <c r="D403" t="s">
        <v>915</v>
      </c>
      <c r="E403" t="s">
        <v>25</v>
      </c>
      <c r="F403" t="b">
        <v>0</v>
      </c>
      <c r="G403">
        <v>1</v>
      </c>
      <c r="H403" t="b">
        <v>0</v>
      </c>
      <c r="I403">
        <v>20</v>
      </c>
      <c r="J403" t="s">
        <v>105</v>
      </c>
      <c r="K403">
        <v>84</v>
      </c>
      <c r="L403">
        <v>92</v>
      </c>
      <c r="M403">
        <v>63</v>
      </c>
      <c r="N403">
        <v>91</v>
      </c>
      <c r="O403">
        <v>89</v>
      </c>
      <c r="P403">
        <v>92</v>
      </c>
      <c r="Q403">
        <v>76</v>
      </c>
      <c r="R403">
        <f>SUM(student_scores[[#This Row],[math_score]:[geography_score]])</f>
        <v>587</v>
      </c>
      <c r="S403" s="3">
        <f>student_scores[[#This Row],[Total_Score]]/7</f>
        <v>83.857142857142861</v>
      </c>
      <c r="T403" s="3" t="str" cm="1">
        <f t="array" ref="T403">_xlfn.IFS(student_scores[[#This Row],[weekly_self_study_hours]]&lt;=5,   "0 - 5", student_scores[[#This Row],[weekly_self_study_hours]]&lt;=10,  "6 - 10", student_scores[[#This Row],[weekly_self_study_hours]]&lt;=20,  "11 - 20",student_scores[[#This Row],[weekly_self_study_hours]]&lt;=30, "21 - 30",TRUE, "31+")</f>
        <v>11 - 20</v>
      </c>
      <c r="U403" t="str" cm="1">
        <f t="array" ref="U403">_xlfn.IFS(student_scores[[#This Row],[absence_days]]=0,"0", student_scores[[#This Row],[absence_days]]&lt;=3,"1-3", student_scores[[#This Row],[absence_days]]&lt;=6,"4-6", TRUE,"7-10")</f>
        <v>1-3</v>
      </c>
      <c r="V403" t="str">
        <f>IF(student_scores[[#This Row],[Total_Score]] &gt;= _xlfn.PERCENTILE.INC(student_scores[Total_Score], 0.8), "Yes", "No")</f>
        <v>No</v>
      </c>
    </row>
    <row r="404" spans="1:22" x14ac:dyDescent="0.35">
      <c r="A404">
        <v>403</v>
      </c>
      <c r="B404" t="s">
        <v>379</v>
      </c>
      <c r="C404" t="s">
        <v>259</v>
      </c>
      <c r="D404" t="s">
        <v>916</v>
      </c>
      <c r="E404" t="s">
        <v>20</v>
      </c>
      <c r="F404" t="b">
        <v>0</v>
      </c>
      <c r="G404">
        <v>4</v>
      </c>
      <c r="H404" t="b">
        <v>0</v>
      </c>
      <c r="I404">
        <v>28</v>
      </c>
      <c r="J404" t="s">
        <v>138</v>
      </c>
      <c r="K404">
        <v>85</v>
      </c>
      <c r="L404">
        <v>72</v>
      </c>
      <c r="M404">
        <v>87</v>
      </c>
      <c r="N404">
        <v>72</v>
      </c>
      <c r="O404">
        <v>68</v>
      </c>
      <c r="P404">
        <v>85</v>
      </c>
      <c r="Q404">
        <v>78</v>
      </c>
      <c r="R404">
        <f>SUM(student_scores[[#This Row],[math_score]:[geography_score]])</f>
        <v>547</v>
      </c>
      <c r="S404" s="3">
        <f>student_scores[[#This Row],[Total_Score]]/7</f>
        <v>78.142857142857139</v>
      </c>
      <c r="T404" s="3" t="str" cm="1">
        <f t="array" ref="T404">_xlfn.IFS(student_scores[[#This Row],[weekly_self_study_hours]]&lt;=5,   "0 - 5", student_scores[[#This Row],[weekly_self_study_hours]]&lt;=10,  "6 - 10", student_scores[[#This Row],[weekly_self_study_hours]]&lt;=20,  "11 - 20",student_scores[[#This Row],[weekly_self_study_hours]]&lt;=30, "21 - 30",TRUE, "31+")</f>
        <v>21 - 30</v>
      </c>
      <c r="U404" t="str" cm="1">
        <f t="array" ref="U404">_xlfn.IFS(student_scores[[#This Row],[absence_days]]=0,"0", student_scores[[#This Row],[absence_days]]&lt;=3,"1-3", student_scores[[#This Row],[absence_days]]&lt;=6,"4-6", TRUE,"7-10")</f>
        <v>4-6</v>
      </c>
      <c r="V404" t="str">
        <f>IF(student_scores[[#This Row],[Total_Score]] &gt;= _xlfn.PERCENTILE.INC(student_scores[Total_Score], 0.8), "Yes", "No")</f>
        <v>No</v>
      </c>
    </row>
    <row r="405" spans="1:22" x14ac:dyDescent="0.35">
      <c r="A405">
        <v>404</v>
      </c>
      <c r="B405" t="s">
        <v>612</v>
      </c>
      <c r="C405" t="s">
        <v>917</v>
      </c>
      <c r="D405" t="s">
        <v>918</v>
      </c>
      <c r="E405" t="s">
        <v>20</v>
      </c>
      <c r="F405" t="b">
        <v>0</v>
      </c>
      <c r="G405">
        <v>7</v>
      </c>
      <c r="H405" t="b">
        <v>0</v>
      </c>
      <c r="I405">
        <v>30</v>
      </c>
      <c r="J405" t="s">
        <v>44</v>
      </c>
      <c r="K405">
        <v>100</v>
      </c>
      <c r="L405">
        <v>79</v>
      </c>
      <c r="M405">
        <v>92</v>
      </c>
      <c r="N405">
        <v>92</v>
      </c>
      <c r="O405">
        <v>67</v>
      </c>
      <c r="P405">
        <v>68</v>
      </c>
      <c r="Q405">
        <v>72</v>
      </c>
      <c r="R405">
        <f>SUM(student_scores[[#This Row],[math_score]:[geography_score]])</f>
        <v>570</v>
      </c>
      <c r="S405" s="3">
        <f>student_scores[[#This Row],[Total_Score]]/7</f>
        <v>81.428571428571431</v>
      </c>
      <c r="T405" s="3" t="str" cm="1">
        <f t="array" ref="T405">_xlfn.IFS(student_scores[[#This Row],[weekly_self_study_hours]]&lt;=5,   "0 - 5", student_scores[[#This Row],[weekly_self_study_hours]]&lt;=10,  "6 - 10", student_scores[[#This Row],[weekly_self_study_hours]]&lt;=20,  "11 - 20",student_scores[[#This Row],[weekly_self_study_hours]]&lt;=30, "21 - 30",TRUE, "31+")</f>
        <v>21 - 30</v>
      </c>
      <c r="U405" t="str" cm="1">
        <f t="array" ref="U405">_xlfn.IFS(student_scores[[#This Row],[absence_days]]=0,"0", student_scores[[#This Row],[absence_days]]&lt;=3,"1-3", student_scores[[#This Row],[absence_days]]&lt;=6,"4-6", TRUE,"7-10")</f>
        <v>7-10</v>
      </c>
      <c r="V405" t="str">
        <f>IF(student_scores[[#This Row],[Total_Score]] &gt;= _xlfn.PERCENTILE.INC(student_scores[Total_Score], 0.8), "Yes", "No")</f>
        <v>No</v>
      </c>
    </row>
    <row r="406" spans="1:22" x14ac:dyDescent="0.35">
      <c r="A406">
        <v>405</v>
      </c>
      <c r="B406" t="s">
        <v>919</v>
      </c>
      <c r="C406" t="s">
        <v>118</v>
      </c>
      <c r="D406" t="s">
        <v>920</v>
      </c>
      <c r="E406" t="s">
        <v>25</v>
      </c>
      <c r="F406" t="b">
        <v>0</v>
      </c>
      <c r="G406">
        <v>3</v>
      </c>
      <c r="H406" t="b">
        <v>0</v>
      </c>
      <c r="I406">
        <v>17</v>
      </c>
      <c r="J406" t="s">
        <v>105</v>
      </c>
      <c r="K406">
        <v>86</v>
      </c>
      <c r="L406">
        <v>61</v>
      </c>
      <c r="M406">
        <v>68</v>
      </c>
      <c r="N406">
        <v>91</v>
      </c>
      <c r="O406">
        <v>60</v>
      </c>
      <c r="P406">
        <v>86</v>
      </c>
      <c r="Q406">
        <v>62</v>
      </c>
      <c r="R406">
        <f>SUM(student_scores[[#This Row],[math_score]:[geography_score]])</f>
        <v>514</v>
      </c>
      <c r="S406" s="3">
        <f>student_scores[[#This Row],[Total_Score]]/7</f>
        <v>73.428571428571431</v>
      </c>
      <c r="T406" s="3" t="str" cm="1">
        <f t="array" ref="T406">_xlfn.IFS(student_scores[[#This Row],[weekly_self_study_hours]]&lt;=5,   "0 - 5", student_scores[[#This Row],[weekly_self_study_hours]]&lt;=10,  "6 - 10", student_scores[[#This Row],[weekly_self_study_hours]]&lt;=20,  "11 - 20",student_scores[[#This Row],[weekly_self_study_hours]]&lt;=30, "21 - 30",TRUE, "31+")</f>
        <v>11 - 20</v>
      </c>
      <c r="U406" t="str" cm="1">
        <f t="array" ref="U406">_xlfn.IFS(student_scores[[#This Row],[absence_days]]=0,"0", student_scores[[#This Row],[absence_days]]&lt;=3,"1-3", student_scores[[#This Row],[absence_days]]&lt;=6,"4-6", TRUE,"7-10")</f>
        <v>1-3</v>
      </c>
      <c r="V406" t="str">
        <f>IF(student_scores[[#This Row],[Total_Score]] &gt;= _xlfn.PERCENTILE.INC(student_scores[Total_Score], 0.8), "Yes", "No")</f>
        <v>No</v>
      </c>
    </row>
    <row r="407" spans="1:22" x14ac:dyDescent="0.35">
      <c r="A407">
        <v>406</v>
      </c>
      <c r="B407" t="s">
        <v>921</v>
      </c>
      <c r="C407" t="s">
        <v>518</v>
      </c>
      <c r="D407" t="s">
        <v>922</v>
      </c>
      <c r="E407" t="s">
        <v>25</v>
      </c>
      <c r="F407" t="b">
        <v>0</v>
      </c>
      <c r="G407">
        <v>5</v>
      </c>
      <c r="H407" t="b">
        <v>0</v>
      </c>
      <c r="I407">
        <v>25</v>
      </c>
      <c r="J407" t="s">
        <v>38</v>
      </c>
      <c r="K407">
        <v>79</v>
      </c>
      <c r="L407">
        <v>70</v>
      </c>
      <c r="M407">
        <v>71</v>
      </c>
      <c r="N407">
        <v>95</v>
      </c>
      <c r="O407">
        <v>79</v>
      </c>
      <c r="P407">
        <v>77</v>
      </c>
      <c r="Q407">
        <v>68</v>
      </c>
      <c r="R407">
        <f>SUM(student_scores[[#This Row],[math_score]:[geography_score]])</f>
        <v>539</v>
      </c>
      <c r="S407" s="3">
        <f>student_scores[[#This Row],[Total_Score]]/7</f>
        <v>77</v>
      </c>
      <c r="T407" s="3" t="str" cm="1">
        <f t="array" ref="T407">_xlfn.IFS(student_scores[[#This Row],[weekly_self_study_hours]]&lt;=5,   "0 - 5", student_scores[[#This Row],[weekly_self_study_hours]]&lt;=10,  "6 - 10", student_scores[[#This Row],[weekly_self_study_hours]]&lt;=20,  "11 - 20",student_scores[[#This Row],[weekly_self_study_hours]]&lt;=30, "21 - 30",TRUE, "31+")</f>
        <v>21 - 30</v>
      </c>
      <c r="U407" t="str" cm="1">
        <f t="array" ref="U407">_xlfn.IFS(student_scores[[#This Row],[absence_days]]=0,"0", student_scores[[#This Row],[absence_days]]&lt;=3,"1-3", student_scores[[#This Row],[absence_days]]&lt;=6,"4-6", TRUE,"7-10")</f>
        <v>4-6</v>
      </c>
      <c r="V407" t="str">
        <f>IF(student_scores[[#This Row],[Total_Score]] &gt;= _xlfn.PERCENTILE.INC(student_scores[Total_Score], 0.8), "Yes", "No")</f>
        <v>No</v>
      </c>
    </row>
    <row r="408" spans="1:22" x14ac:dyDescent="0.35">
      <c r="A408">
        <v>407</v>
      </c>
      <c r="B408" t="s">
        <v>17</v>
      </c>
      <c r="C408" t="s">
        <v>923</v>
      </c>
      <c r="D408" t="s">
        <v>924</v>
      </c>
      <c r="E408" t="s">
        <v>20</v>
      </c>
      <c r="F408" t="b">
        <v>0</v>
      </c>
      <c r="G408">
        <v>5</v>
      </c>
      <c r="H408" t="b">
        <v>0</v>
      </c>
      <c r="I408">
        <v>18</v>
      </c>
      <c r="J408" t="s">
        <v>113</v>
      </c>
      <c r="K408">
        <v>76</v>
      </c>
      <c r="L408">
        <v>82</v>
      </c>
      <c r="M408">
        <v>76</v>
      </c>
      <c r="N408">
        <v>71</v>
      </c>
      <c r="O408">
        <v>70</v>
      </c>
      <c r="P408">
        <v>89</v>
      </c>
      <c r="Q408">
        <v>76</v>
      </c>
      <c r="R408">
        <f>SUM(student_scores[[#This Row],[math_score]:[geography_score]])</f>
        <v>540</v>
      </c>
      <c r="S408" s="3">
        <f>student_scores[[#This Row],[Total_Score]]/7</f>
        <v>77.142857142857139</v>
      </c>
      <c r="T408" s="3" t="str" cm="1">
        <f t="array" ref="T408">_xlfn.IFS(student_scores[[#This Row],[weekly_self_study_hours]]&lt;=5,   "0 - 5", student_scores[[#This Row],[weekly_self_study_hours]]&lt;=10,  "6 - 10", student_scores[[#This Row],[weekly_self_study_hours]]&lt;=20,  "11 - 20",student_scores[[#This Row],[weekly_self_study_hours]]&lt;=30, "21 - 30",TRUE, "31+")</f>
        <v>11 - 20</v>
      </c>
      <c r="U408" t="str" cm="1">
        <f t="array" ref="U408">_xlfn.IFS(student_scores[[#This Row],[absence_days]]=0,"0", student_scores[[#This Row],[absence_days]]&lt;=3,"1-3", student_scores[[#This Row],[absence_days]]&lt;=6,"4-6", TRUE,"7-10")</f>
        <v>4-6</v>
      </c>
      <c r="V408" t="str">
        <f>IF(student_scores[[#This Row],[Total_Score]] &gt;= _xlfn.PERCENTILE.INC(student_scores[Total_Score], 0.8), "Yes", "No")</f>
        <v>No</v>
      </c>
    </row>
    <row r="409" spans="1:22" x14ac:dyDescent="0.35">
      <c r="A409">
        <v>408</v>
      </c>
      <c r="B409" t="s">
        <v>413</v>
      </c>
      <c r="C409" t="s">
        <v>95</v>
      </c>
      <c r="D409" t="s">
        <v>925</v>
      </c>
      <c r="E409" t="s">
        <v>20</v>
      </c>
      <c r="F409" t="b">
        <v>1</v>
      </c>
      <c r="G409">
        <v>1</v>
      </c>
      <c r="H409" t="b">
        <v>0</v>
      </c>
      <c r="I409">
        <v>23</v>
      </c>
      <c r="J409" t="s">
        <v>44</v>
      </c>
      <c r="K409">
        <v>96</v>
      </c>
      <c r="L409">
        <v>63</v>
      </c>
      <c r="M409">
        <v>69</v>
      </c>
      <c r="N409">
        <v>67</v>
      </c>
      <c r="O409">
        <v>69</v>
      </c>
      <c r="P409">
        <v>92</v>
      </c>
      <c r="Q409">
        <v>77</v>
      </c>
      <c r="R409">
        <f>SUM(student_scores[[#This Row],[math_score]:[geography_score]])</f>
        <v>533</v>
      </c>
      <c r="S409" s="3">
        <f>student_scores[[#This Row],[Total_Score]]/7</f>
        <v>76.142857142857139</v>
      </c>
      <c r="T409" s="3" t="str" cm="1">
        <f t="array" ref="T409">_xlfn.IFS(student_scores[[#This Row],[weekly_self_study_hours]]&lt;=5,   "0 - 5", student_scores[[#This Row],[weekly_self_study_hours]]&lt;=10,  "6 - 10", student_scores[[#This Row],[weekly_self_study_hours]]&lt;=20,  "11 - 20",student_scores[[#This Row],[weekly_self_study_hours]]&lt;=30, "21 - 30",TRUE, "31+")</f>
        <v>21 - 30</v>
      </c>
      <c r="U409" t="str" cm="1">
        <f t="array" ref="U409">_xlfn.IFS(student_scores[[#This Row],[absence_days]]=0,"0", student_scores[[#This Row],[absence_days]]&lt;=3,"1-3", student_scores[[#This Row],[absence_days]]&lt;=6,"4-6", TRUE,"7-10")</f>
        <v>1-3</v>
      </c>
      <c r="V409" t="str">
        <f>IF(student_scores[[#This Row],[Total_Score]] &gt;= _xlfn.PERCENTILE.INC(student_scores[Total_Score], 0.8), "Yes", "No")</f>
        <v>No</v>
      </c>
    </row>
    <row r="410" spans="1:22" x14ac:dyDescent="0.35">
      <c r="A410">
        <v>409</v>
      </c>
      <c r="B410" t="s">
        <v>462</v>
      </c>
      <c r="C410" t="s">
        <v>667</v>
      </c>
      <c r="D410" t="s">
        <v>926</v>
      </c>
      <c r="E410" t="s">
        <v>20</v>
      </c>
      <c r="F410" t="b">
        <v>0</v>
      </c>
      <c r="G410">
        <v>4</v>
      </c>
      <c r="H410" t="b">
        <v>1</v>
      </c>
      <c r="I410">
        <v>23</v>
      </c>
      <c r="J410" t="s">
        <v>44</v>
      </c>
      <c r="K410">
        <v>100</v>
      </c>
      <c r="L410">
        <v>77</v>
      </c>
      <c r="M410">
        <v>75</v>
      </c>
      <c r="N410">
        <v>74</v>
      </c>
      <c r="O410">
        <v>80</v>
      </c>
      <c r="P410">
        <v>94</v>
      </c>
      <c r="Q410">
        <v>74</v>
      </c>
      <c r="R410">
        <f>SUM(student_scores[[#This Row],[math_score]:[geography_score]])</f>
        <v>574</v>
      </c>
      <c r="S410" s="3">
        <f>student_scores[[#This Row],[Total_Score]]/7</f>
        <v>82</v>
      </c>
      <c r="T410" s="3" t="str" cm="1">
        <f t="array" ref="T410">_xlfn.IFS(student_scores[[#This Row],[weekly_self_study_hours]]&lt;=5,   "0 - 5", student_scores[[#This Row],[weekly_self_study_hours]]&lt;=10,  "6 - 10", student_scores[[#This Row],[weekly_self_study_hours]]&lt;=20,  "11 - 20",student_scores[[#This Row],[weekly_self_study_hours]]&lt;=30, "21 - 30",TRUE, "31+")</f>
        <v>21 - 30</v>
      </c>
      <c r="U410" t="str" cm="1">
        <f t="array" ref="U410">_xlfn.IFS(student_scores[[#This Row],[absence_days]]=0,"0", student_scores[[#This Row],[absence_days]]&lt;=3,"1-3", student_scores[[#This Row],[absence_days]]&lt;=6,"4-6", TRUE,"7-10")</f>
        <v>4-6</v>
      </c>
      <c r="V410" t="str">
        <f>IF(student_scores[[#This Row],[Total_Score]] &gt;= _xlfn.PERCENTILE.INC(student_scores[Total_Score], 0.8), "Yes", "No")</f>
        <v>No</v>
      </c>
    </row>
    <row r="411" spans="1:22" x14ac:dyDescent="0.35">
      <c r="A411">
        <v>410</v>
      </c>
      <c r="B411" t="s">
        <v>120</v>
      </c>
      <c r="C411" t="s">
        <v>927</v>
      </c>
      <c r="D411" t="s">
        <v>928</v>
      </c>
      <c r="E411" t="s">
        <v>25</v>
      </c>
      <c r="F411" t="b">
        <v>0</v>
      </c>
      <c r="G411">
        <v>6</v>
      </c>
      <c r="H411" t="b">
        <v>0</v>
      </c>
      <c r="I411">
        <v>21</v>
      </c>
      <c r="J411" t="s">
        <v>44</v>
      </c>
      <c r="K411">
        <v>88</v>
      </c>
      <c r="L411">
        <v>84</v>
      </c>
      <c r="M411">
        <v>87</v>
      </c>
      <c r="N411">
        <v>97</v>
      </c>
      <c r="O411">
        <v>94</v>
      </c>
      <c r="P411">
        <v>87</v>
      </c>
      <c r="Q411">
        <v>85</v>
      </c>
      <c r="R411">
        <f>SUM(student_scores[[#This Row],[math_score]:[geography_score]])</f>
        <v>622</v>
      </c>
      <c r="S411" s="3">
        <f>student_scores[[#This Row],[Total_Score]]/7</f>
        <v>88.857142857142861</v>
      </c>
      <c r="T411" s="3" t="str" cm="1">
        <f t="array" ref="T411">_xlfn.IFS(student_scores[[#This Row],[weekly_self_study_hours]]&lt;=5,   "0 - 5", student_scores[[#This Row],[weekly_self_study_hours]]&lt;=10,  "6 - 10", student_scores[[#This Row],[weekly_self_study_hours]]&lt;=20,  "11 - 20",student_scores[[#This Row],[weekly_self_study_hours]]&lt;=30, "21 - 30",TRUE, "31+")</f>
        <v>21 - 30</v>
      </c>
      <c r="U411" t="str" cm="1">
        <f t="array" ref="U411">_xlfn.IFS(student_scores[[#This Row],[absence_days]]=0,"0", student_scores[[#This Row],[absence_days]]&lt;=3,"1-3", student_scores[[#This Row],[absence_days]]&lt;=6,"4-6", TRUE,"7-10")</f>
        <v>4-6</v>
      </c>
      <c r="V411" t="str">
        <f>IF(student_scores[[#This Row],[Total_Score]] &gt;= _xlfn.PERCENTILE.INC(student_scores[Total_Score], 0.8), "Yes", "No")</f>
        <v>Yes</v>
      </c>
    </row>
    <row r="412" spans="1:22" x14ac:dyDescent="0.35">
      <c r="A412">
        <v>411</v>
      </c>
      <c r="B412" t="s">
        <v>180</v>
      </c>
      <c r="C412" t="s">
        <v>929</v>
      </c>
      <c r="D412" t="s">
        <v>930</v>
      </c>
      <c r="E412" t="s">
        <v>25</v>
      </c>
      <c r="F412" t="b">
        <v>0</v>
      </c>
      <c r="G412">
        <v>3</v>
      </c>
      <c r="H412" t="b">
        <v>0</v>
      </c>
      <c r="I412">
        <v>27</v>
      </c>
      <c r="J412" t="s">
        <v>44</v>
      </c>
      <c r="K412">
        <v>96</v>
      </c>
      <c r="L412">
        <v>76</v>
      </c>
      <c r="M412">
        <v>98</v>
      </c>
      <c r="N412">
        <v>89</v>
      </c>
      <c r="O412">
        <v>93</v>
      </c>
      <c r="P412">
        <v>85</v>
      </c>
      <c r="Q412">
        <v>75</v>
      </c>
      <c r="R412">
        <f>SUM(student_scores[[#This Row],[math_score]:[geography_score]])</f>
        <v>612</v>
      </c>
      <c r="S412" s="3">
        <f>student_scores[[#This Row],[Total_Score]]/7</f>
        <v>87.428571428571431</v>
      </c>
      <c r="T412" s="3" t="str" cm="1">
        <f t="array" ref="T412">_xlfn.IFS(student_scores[[#This Row],[weekly_self_study_hours]]&lt;=5,   "0 - 5", student_scores[[#This Row],[weekly_self_study_hours]]&lt;=10,  "6 - 10", student_scores[[#This Row],[weekly_self_study_hours]]&lt;=20,  "11 - 20",student_scores[[#This Row],[weekly_self_study_hours]]&lt;=30, "21 - 30",TRUE, "31+")</f>
        <v>21 - 30</v>
      </c>
      <c r="U412" t="str" cm="1">
        <f t="array" ref="U412">_xlfn.IFS(student_scores[[#This Row],[absence_days]]=0,"0", student_scores[[#This Row],[absence_days]]&lt;=3,"1-3", student_scores[[#This Row],[absence_days]]&lt;=6,"4-6", TRUE,"7-10")</f>
        <v>1-3</v>
      </c>
      <c r="V412" t="str">
        <f>IF(student_scores[[#This Row],[Total_Score]] &gt;= _xlfn.PERCENTILE.INC(student_scores[Total_Score], 0.8), "Yes", "No")</f>
        <v>Yes</v>
      </c>
    </row>
    <row r="413" spans="1:22" x14ac:dyDescent="0.35">
      <c r="A413">
        <v>412</v>
      </c>
      <c r="B413" t="s">
        <v>931</v>
      </c>
      <c r="C413" t="s">
        <v>932</v>
      </c>
      <c r="D413" t="s">
        <v>933</v>
      </c>
      <c r="E413" t="s">
        <v>25</v>
      </c>
      <c r="F413" t="b">
        <v>0</v>
      </c>
      <c r="G413">
        <v>5</v>
      </c>
      <c r="H413" t="b">
        <v>0</v>
      </c>
      <c r="I413">
        <v>14</v>
      </c>
      <c r="J413" t="s">
        <v>44</v>
      </c>
      <c r="K413">
        <v>92</v>
      </c>
      <c r="L413">
        <v>66</v>
      </c>
      <c r="M413">
        <v>96</v>
      </c>
      <c r="N413">
        <v>71</v>
      </c>
      <c r="O413">
        <v>87</v>
      </c>
      <c r="P413">
        <v>89</v>
      </c>
      <c r="Q413">
        <v>61</v>
      </c>
      <c r="R413">
        <f>SUM(student_scores[[#This Row],[math_score]:[geography_score]])</f>
        <v>562</v>
      </c>
      <c r="S413" s="3">
        <f>student_scores[[#This Row],[Total_Score]]/7</f>
        <v>80.285714285714292</v>
      </c>
      <c r="T413" s="3" t="str" cm="1">
        <f t="array" ref="T413">_xlfn.IFS(student_scores[[#This Row],[weekly_self_study_hours]]&lt;=5,   "0 - 5", student_scores[[#This Row],[weekly_self_study_hours]]&lt;=10,  "6 - 10", student_scores[[#This Row],[weekly_self_study_hours]]&lt;=20,  "11 - 20",student_scores[[#This Row],[weekly_self_study_hours]]&lt;=30, "21 - 30",TRUE, "31+")</f>
        <v>11 - 20</v>
      </c>
      <c r="U413" t="str" cm="1">
        <f t="array" ref="U413">_xlfn.IFS(student_scores[[#This Row],[absence_days]]=0,"0", student_scores[[#This Row],[absence_days]]&lt;=3,"1-3", student_scores[[#This Row],[absence_days]]&lt;=6,"4-6", TRUE,"7-10")</f>
        <v>4-6</v>
      </c>
      <c r="V413" t="str">
        <f>IF(student_scores[[#This Row],[Total_Score]] &gt;= _xlfn.PERCENTILE.INC(student_scores[Total_Score], 0.8), "Yes", "No")</f>
        <v>No</v>
      </c>
    </row>
    <row r="414" spans="1:22" x14ac:dyDescent="0.35">
      <c r="A414">
        <v>413</v>
      </c>
      <c r="B414" t="s">
        <v>145</v>
      </c>
      <c r="C414" t="s">
        <v>934</v>
      </c>
      <c r="D414" t="s">
        <v>935</v>
      </c>
      <c r="E414" t="s">
        <v>20</v>
      </c>
      <c r="F414" t="b">
        <v>0</v>
      </c>
      <c r="G414">
        <v>2</v>
      </c>
      <c r="H414" t="b">
        <v>1</v>
      </c>
      <c r="I414">
        <v>37</v>
      </c>
      <c r="J414" t="s">
        <v>26</v>
      </c>
      <c r="K414">
        <v>87</v>
      </c>
      <c r="L414">
        <v>93</v>
      </c>
      <c r="M414">
        <v>99</v>
      </c>
      <c r="N414">
        <v>100</v>
      </c>
      <c r="O414">
        <v>97</v>
      </c>
      <c r="P414">
        <v>92</v>
      </c>
      <c r="Q414">
        <v>90</v>
      </c>
      <c r="R414">
        <f>SUM(student_scores[[#This Row],[math_score]:[geography_score]])</f>
        <v>658</v>
      </c>
      <c r="S414" s="3">
        <f>student_scores[[#This Row],[Total_Score]]/7</f>
        <v>94</v>
      </c>
      <c r="T414" s="3" t="str" cm="1">
        <f t="array" ref="T414">_xlfn.IFS(student_scores[[#This Row],[weekly_self_study_hours]]&lt;=5,   "0 - 5", student_scores[[#This Row],[weekly_self_study_hours]]&lt;=10,  "6 - 10", student_scores[[#This Row],[weekly_self_study_hours]]&lt;=20,  "11 - 20",student_scores[[#This Row],[weekly_self_study_hours]]&lt;=30, "21 - 30",TRUE, "31+")</f>
        <v>31+</v>
      </c>
      <c r="U414" t="str" cm="1">
        <f t="array" ref="U414">_xlfn.IFS(student_scores[[#This Row],[absence_days]]=0,"0", student_scores[[#This Row],[absence_days]]&lt;=3,"1-3", student_scores[[#This Row],[absence_days]]&lt;=6,"4-6", TRUE,"7-10")</f>
        <v>1-3</v>
      </c>
      <c r="V414" t="str">
        <f>IF(student_scores[[#This Row],[Total_Score]] &gt;= _xlfn.PERCENTILE.INC(student_scores[Total_Score], 0.8), "Yes", "No")</f>
        <v>Yes</v>
      </c>
    </row>
    <row r="415" spans="1:22" x14ac:dyDescent="0.35">
      <c r="A415">
        <v>414</v>
      </c>
      <c r="B415" t="s">
        <v>160</v>
      </c>
      <c r="C415" t="s">
        <v>936</v>
      </c>
      <c r="D415" t="s">
        <v>937</v>
      </c>
      <c r="E415" t="s">
        <v>20</v>
      </c>
      <c r="F415" t="b">
        <v>0</v>
      </c>
      <c r="G415">
        <v>3</v>
      </c>
      <c r="H415" t="b">
        <v>0</v>
      </c>
      <c r="I415">
        <v>29</v>
      </c>
      <c r="J415" t="s">
        <v>113</v>
      </c>
      <c r="K415">
        <v>95</v>
      </c>
      <c r="L415">
        <v>82</v>
      </c>
      <c r="M415">
        <v>74</v>
      </c>
      <c r="N415">
        <v>87</v>
      </c>
      <c r="O415">
        <v>36</v>
      </c>
      <c r="P415">
        <v>61</v>
      </c>
      <c r="Q415">
        <v>88</v>
      </c>
      <c r="R415">
        <f>SUM(student_scores[[#This Row],[math_score]:[geography_score]])</f>
        <v>523</v>
      </c>
      <c r="S415" s="3">
        <f>student_scores[[#This Row],[Total_Score]]/7</f>
        <v>74.714285714285708</v>
      </c>
      <c r="T415" s="3" t="str" cm="1">
        <f t="array" ref="T415">_xlfn.IFS(student_scores[[#This Row],[weekly_self_study_hours]]&lt;=5,   "0 - 5", student_scores[[#This Row],[weekly_self_study_hours]]&lt;=10,  "6 - 10", student_scores[[#This Row],[weekly_self_study_hours]]&lt;=20,  "11 - 20",student_scores[[#This Row],[weekly_self_study_hours]]&lt;=30, "21 - 30",TRUE, "31+")</f>
        <v>21 - 30</v>
      </c>
      <c r="U415" t="str" cm="1">
        <f t="array" ref="U415">_xlfn.IFS(student_scores[[#This Row],[absence_days]]=0,"0", student_scores[[#This Row],[absence_days]]&lt;=3,"1-3", student_scores[[#This Row],[absence_days]]&lt;=6,"4-6", TRUE,"7-10")</f>
        <v>1-3</v>
      </c>
      <c r="V415" t="str">
        <f>IF(student_scores[[#This Row],[Total_Score]] &gt;= _xlfn.PERCENTILE.INC(student_scores[Total_Score], 0.8), "Yes", "No")</f>
        <v>No</v>
      </c>
    </row>
    <row r="416" spans="1:22" x14ac:dyDescent="0.35">
      <c r="A416">
        <v>415</v>
      </c>
      <c r="B416" t="s">
        <v>758</v>
      </c>
      <c r="C416" t="s">
        <v>569</v>
      </c>
      <c r="D416" t="s">
        <v>938</v>
      </c>
      <c r="E416" t="s">
        <v>20</v>
      </c>
      <c r="F416" t="b">
        <v>1</v>
      </c>
      <c r="G416">
        <v>6</v>
      </c>
      <c r="H416" t="b">
        <v>0</v>
      </c>
      <c r="I416">
        <v>4</v>
      </c>
      <c r="J416" t="s">
        <v>64</v>
      </c>
      <c r="K416">
        <v>44</v>
      </c>
      <c r="L416">
        <v>76</v>
      </c>
      <c r="M416">
        <v>56</v>
      </c>
      <c r="N416">
        <v>71</v>
      </c>
      <c r="O416">
        <v>66</v>
      </c>
      <c r="P416">
        <v>54</v>
      </c>
      <c r="Q416">
        <v>91</v>
      </c>
      <c r="R416">
        <f>SUM(student_scores[[#This Row],[math_score]:[geography_score]])</f>
        <v>458</v>
      </c>
      <c r="S416" s="3">
        <f>student_scores[[#This Row],[Total_Score]]/7</f>
        <v>65.428571428571431</v>
      </c>
      <c r="T416" s="3" t="str" cm="1">
        <f t="array" ref="T416">_xlfn.IFS(student_scores[[#This Row],[weekly_self_study_hours]]&lt;=5,   "0 - 5", student_scores[[#This Row],[weekly_self_study_hours]]&lt;=10,  "6 - 10", student_scores[[#This Row],[weekly_self_study_hours]]&lt;=20,  "11 - 20",student_scores[[#This Row],[weekly_self_study_hours]]&lt;=30, "21 - 30",TRUE, "31+")</f>
        <v>0 - 5</v>
      </c>
      <c r="U416" t="str" cm="1">
        <f t="array" ref="U416">_xlfn.IFS(student_scores[[#This Row],[absence_days]]=0,"0", student_scores[[#This Row],[absence_days]]&lt;=3,"1-3", student_scores[[#This Row],[absence_days]]&lt;=6,"4-6", TRUE,"7-10")</f>
        <v>4-6</v>
      </c>
      <c r="V416" t="str">
        <f>IF(student_scores[[#This Row],[Total_Score]] &gt;= _xlfn.PERCENTILE.INC(student_scores[Total_Score], 0.8), "Yes", "No")</f>
        <v>No</v>
      </c>
    </row>
    <row r="417" spans="1:22" x14ac:dyDescent="0.35">
      <c r="A417">
        <v>416</v>
      </c>
      <c r="B417" t="s">
        <v>248</v>
      </c>
      <c r="C417" t="s">
        <v>939</v>
      </c>
      <c r="D417" t="s">
        <v>940</v>
      </c>
      <c r="E417" t="s">
        <v>25</v>
      </c>
      <c r="F417" t="b">
        <v>0</v>
      </c>
      <c r="G417">
        <v>3</v>
      </c>
      <c r="H417" t="b">
        <v>0</v>
      </c>
      <c r="I417">
        <v>16</v>
      </c>
      <c r="J417" t="s">
        <v>105</v>
      </c>
      <c r="K417">
        <v>78</v>
      </c>
      <c r="L417">
        <v>89</v>
      </c>
      <c r="M417">
        <v>68</v>
      </c>
      <c r="N417">
        <v>63</v>
      </c>
      <c r="O417">
        <v>81</v>
      </c>
      <c r="P417">
        <v>92</v>
      </c>
      <c r="Q417">
        <v>97</v>
      </c>
      <c r="R417">
        <f>SUM(student_scores[[#This Row],[math_score]:[geography_score]])</f>
        <v>568</v>
      </c>
      <c r="S417" s="3">
        <f>student_scores[[#This Row],[Total_Score]]/7</f>
        <v>81.142857142857139</v>
      </c>
      <c r="T417" s="3" t="str" cm="1">
        <f t="array" ref="T417">_xlfn.IFS(student_scores[[#This Row],[weekly_self_study_hours]]&lt;=5,   "0 - 5", student_scores[[#This Row],[weekly_self_study_hours]]&lt;=10,  "6 - 10", student_scores[[#This Row],[weekly_self_study_hours]]&lt;=20,  "11 - 20",student_scores[[#This Row],[weekly_self_study_hours]]&lt;=30, "21 - 30",TRUE, "31+")</f>
        <v>11 - 20</v>
      </c>
      <c r="U417" t="str" cm="1">
        <f t="array" ref="U417">_xlfn.IFS(student_scores[[#This Row],[absence_days]]=0,"0", student_scores[[#This Row],[absence_days]]&lt;=3,"1-3", student_scores[[#This Row],[absence_days]]&lt;=6,"4-6", TRUE,"7-10")</f>
        <v>1-3</v>
      </c>
      <c r="V417" t="str">
        <f>IF(student_scores[[#This Row],[Total_Score]] &gt;= _xlfn.PERCENTILE.INC(student_scores[Total_Score], 0.8), "Yes", "No")</f>
        <v>No</v>
      </c>
    </row>
    <row r="418" spans="1:22" x14ac:dyDescent="0.35">
      <c r="A418">
        <v>417</v>
      </c>
      <c r="B418" t="s">
        <v>193</v>
      </c>
      <c r="C418" t="s">
        <v>281</v>
      </c>
      <c r="D418" t="s">
        <v>941</v>
      </c>
      <c r="E418" t="s">
        <v>25</v>
      </c>
      <c r="F418" t="b">
        <v>0</v>
      </c>
      <c r="G418">
        <v>4</v>
      </c>
      <c r="H418" t="b">
        <v>0</v>
      </c>
      <c r="I418">
        <v>30</v>
      </c>
      <c r="J418" t="s">
        <v>113</v>
      </c>
      <c r="K418">
        <v>95</v>
      </c>
      <c r="L418">
        <v>78</v>
      </c>
      <c r="M418">
        <v>93</v>
      </c>
      <c r="N418">
        <v>85</v>
      </c>
      <c r="O418">
        <v>48</v>
      </c>
      <c r="P418">
        <v>68</v>
      </c>
      <c r="Q418">
        <v>75</v>
      </c>
      <c r="R418">
        <f>SUM(student_scores[[#This Row],[math_score]:[geography_score]])</f>
        <v>542</v>
      </c>
      <c r="S418" s="3">
        <f>student_scores[[#This Row],[Total_Score]]/7</f>
        <v>77.428571428571431</v>
      </c>
      <c r="T418" s="3" t="str" cm="1">
        <f t="array" ref="T418">_xlfn.IFS(student_scores[[#This Row],[weekly_self_study_hours]]&lt;=5,   "0 - 5", student_scores[[#This Row],[weekly_self_study_hours]]&lt;=10,  "6 - 10", student_scores[[#This Row],[weekly_self_study_hours]]&lt;=20,  "11 - 20",student_scores[[#This Row],[weekly_self_study_hours]]&lt;=30, "21 - 30",TRUE, "31+")</f>
        <v>21 - 30</v>
      </c>
      <c r="U418" t="str" cm="1">
        <f t="array" ref="U418">_xlfn.IFS(student_scores[[#This Row],[absence_days]]=0,"0", student_scores[[#This Row],[absence_days]]&lt;=3,"1-3", student_scores[[#This Row],[absence_days]]&lt;=6,"4-6", TRUE,"7-10")</f>
        <v>4-6</v>
      </c>
      <c r="V418" t="str">
        <f>IF(student_scores[[#This Row],[Total_Score]] &gt;= _xlfn.PERCENTILE.INC(student_scores[Total_Score], 0.8), "Yes", "No")</f>
        <v>No</v>
      </c>
    </row>
    <row r="419" spans="1:22" x14ac:dyDescent="0.35">
      <c r="A419">
        <v>418</v>
      </c>
      <c r="B419" t="s">
        <v>413</v>
      </c>
      <c r="C419" t="s">
        <v>942</v>
      </c>
      <c r="D419" t="s">
        <v>943</v>
      </c>
      <c r="E419" t="s">
        <v>20</v>
      </c>
      <c r="F419" t="b">
        <v>1</v>
      </c>
      <c r="G419">
        <v>7</v>
      </c>
      <c r="H419" t="b">
        <v>0</v>
      </c>
      <c r="I419">
        <v>1</v>
      </c>
      <c r="J419" t="s">
        <v>64</v>
      </c>
      <c r="K419">
        <v>57</v>
      </c>
      <c r="L419">
        <v>56</v>
      </c>
      <c r="M419">
        <v>53</v>
      </c>
      <c r="N419">
        <v>75</v>
      </c>
      <c r="O419">
        <v>98</v>
      </c>
      <c r="P419">
        <v>92</v>
      </c>
      <c r="Q419">
        <v>73</v>
      </c>
      <c r="R419">
        <f>SUM(student_scores[[#This Row],[math_score]:[geography_score]])</f>
        <v>504</v>
      </c>
      <c r="S419" s="3">
        <f>student_scores[[#This Row],[Total_Score]]/7</f>
        <v>72</v>
      </c>
      <c r="T419" s="3" t="str" cm="1">
        <f t="array" ref="T419">_xlfn.IFS(student_scores[[#This Row],[weekly_self_study_hours]]&lt;=5,   "0 - 5", student_scores[[#This Row],[weekly_self_study_hours]]&lt;=10,  "6 - 10", student_scores[[#This Row],[weekly_self_study_hours]]&lt;=20,  "11 - 20",student_scores[[#This Row],[weekly_self_study_hours]]&lt;=30, "21 - 30",TRUE, "31+")</f>
        <v>0 - 5</v>
      </c>
      <c r="U419" t="str" cm="1">
        <f t="array" ref="U419">_xlfn.IFS(student_scores[[#This Row],[absence_days]]=0,"0", student_scores[[#This Row],[absence_days]]&lt;=3,"1-3", student_scores[[#This Row],[absence_days]]&lt;=6,"4-6", TRUE,"7-10")</f>
        <v>7-10</v>
      </c>
      <c r="V419" t="str">
        <f>IF(student_scores[[#This Row],[Total_Score]] &gt;= _xlfn.PERCENTILE.INC(student_scores[Total_Score], 0.8), "Yes", "No")</f>
        <v>No</v>
      </c>
    </row>
    <row r="420" spans="1:22" x14ac:dyDescent="0.35">
      <c r="A420">
        <v>419</v>
      </c>
      <c r="B420" t="s">
        <v>944</v>
      </c>
      <c r="C420" t="s">
        <v>945</v>
      </c>
      <c r="D420" t="s">
        <v>946</v>
      </c>
      <c r="E420" t="s">
        <v>20</v>
      </c>
      <c r="F420" t="b">
        <v>0</v>
      </c>
      <c r="G420">
        <v>3</v>
      </c>
      <c r="H420" t="b">
        <v>1</v>
      </c>
      <c r="I420">
        <v>24</v>
      </c>
      <c r="J420" t="s">
        <v>44</v>
      </c>
      <c r="K420">
        <v>86</v>
      </c>
      <c r="L420">
        <v>99</v>
      </c>
      <c r="M420">
        <v>95</v>
      </c>
      <c r="N420">
        <v>94</v>
      </c>
      <c r="O420">
        <v>92</v>
      </c>
      <c r="P420">
        <v>90</v>
      </c>
      <c r="Q420">
        <v>77</v>
      </c>
      <c r="R420">
        <f>SUM(student_scores[[#This Row],[math_score]:[geography_score]])</f>
        <v>633</v>
      </c>
      <c r="S420" s="3">
        <f>student_scores[[#This Row],[Total_Score]]/7</f>
        <v>90.428571428571431</v>
      </c>
      <c r="T420" s="3" t="str" cm="1">
        <f t="array" ref="T420">_xlfn.IFS(student_scores[[#This Row],[weekly_self_study_hours]]&lt;=5,   "0 - 5", student_scores[[#This Row],[weekly_self_study_hours]]&lt;=10,  "6 - 10", student_scores[[#This Row],[weekly_self_study_hours]]&lt;=20,  "11 - 20",student_scores[[#This Row],[weekly_self_study_hours]]&lt;=30, "21 - 30",TRUE, "31+")</f>
        <v>21 - 30</v>
      </c>
      <c r="U420" t="str" cm="1">
        <f t="array" ref="U420">_xlfn.IFS(student_scores[[#This Row],[absence_days]]=0,"0", student_scores[[#This Row],[absence_days]]&lt;=3,"1-3", student_scores[[#This Row],[absence_days]]&lt;=6,"4-6", TRUE,"7-10")</f>
        <v>1-3</v>
      </c>
      <c r="V420" t="str">
        <f>IF(student_scores[[#This Row],[Total_Score]] &gt;= _xlfn.PERCENTILE.INC(student_scores[Total_Score], 0.8), "Yes", "No")</f>
        <v>Yes</v>
      </c>
    </row>
    <row r="421" spans="1:22" x14ac:dyDescent="0.35">
      <c r="A421">
        <v>420</v>
      </c>
      <c r="B421" t="s">
        <v>190</v>
      </c>
      <c r="C421" t="s">
        <v>98</v>
      </c>
      <c r="D421" t="s">
        <v>947</v>
      </c>
      <c r="E421" t="s">
        <v>25</v>
      </c>
      <c r="F421" t="b">
        <v>0</v>
      </c>
      <c r="G421">
        <v>2</v>
      </c>
      <c r="H421" t="b">
        <v>0</v>
      </c>
      <c r="I421">
        <v>35</v>
      </c>
      <c r="J421" t="s">
        <v>109</v>
      </c>
      <c r="K421">
        <v>92</v>
      </c>
      <c r="L421">
        <v>97</v>
      </c>
      <c r="M421">
        <v>100</v>
      </c>
      <c r="N421">
        <v>91</v>
      </c>
      <c r="O421">
        <v>95</v>
      </c>
      <c r="P421">
        <v>90</v>
      </c>
      <c r="Q421">
        <v>95</v>
      </c>
      <c r="R421">
        <f>SUM(student_scores[[#This Row],[math_score]:[geography_score]])</f>
        <v>660</v>
      </c>
      <c r="S421" s="3">
        <f>student_scores[[#This Row],[Total_Score]]/7</f>
        <v>94.285714285714292</v>
      </c>
      <c r="T421" s="3" t="str" cm="1">
        <f t="array" ref="T421">_xlfn.IFS(student_scores[[#This Row],[weekly_self_study_hours]]&lt;=5,   "0 - 5", student_scores[[#This Row],[weekly_self_study_hours]]&lt;=10,  "6 - 10", student_scores[[#This Row],[weekly_self_study_hours]]&lt;=20,  "11 - 20",student_scores[[#This Row],[weekly_self_study_hours]]&lt;=30, "21 - 30",TRUE, "31+")</f>
        <v>31+</v>
      </c>
      <c r="U421" t="str" cm="1">
        <f t="array" ref="U421">_xlfn.IFS(student_scores[[#This Row],[absence_days]]=0,"0", student_scores[[#This Row],[absence_days]]&lt;=3,"1-3", student_scores[[#This Row],[absence_days]]&lt;=6,"4-6", TRUE,"7-10")</f>
        <v>1-3</v>
      </c>
      <c r="V421" t="str">
        <f>IF(student_scores[[#This Row],[Total_Score]] &gt;= _xlfn.PERCENTILE.INC(student_scores[Total_Score], 0.8), "Yes", "No")</f>
        <v>Yes</v>
      </c>
    </row>
    <row r="422" spans="1:22" x14ac:dyDescent="0.35">
      <c r="A422">
        <v>421</v>
      </c>
      <c r="B422" t="s">
        <v>61</v>
      </c>
      <c r="C422" t="s">
        <v>948</v>
      </c>
      <c r="D422" t="s">
        <v>949</v>
      </c>
      <c r="E422" t="s">
        <v>25</v>
      </c>
      <c r="F422" t="b">
        <v>0</v>
      </c>
      <c r="G422">
        <v>1</v>
      </c>
      <c r="H422" t="b">
        <v>0</v>
      </c>
      <c r="I422">
        <v>14</v>
      </c>
      <c r="J422" t="s">
        <v>54</v>
      </c>
      <c r="K422">
        <v>69</v>
      </c>
      <c r="L422">
        <v>69</v>
      </c>
      <c r="M422">
        <v>84</v>
      </c>
      <c r="N422">
        <v>100</v>
      </c>
      <c r="O422">
        <v>69</v>
      </c>
      <c r="P422">
        <v>77</v>
      </c>
      <c r="Q422">
        <v>87</v>
      </c>
      <c r="R422">
        <f>SUM(student_scores[[#This Row],[math_score]:[geography_score]])</f>
        <v>555</v>
      </c>
      <c r="S422" s="3">
        <f>student_scores[[#This Row],[Total_Score]]/7</f>
        <v>79.285714285714292</v>
      </c>
      <c r="T422" s="3" t="str" cm="1">
        <f t="array" ref="T422">_xlfn.IFS(student_scores[[#This Row],[weekly_self_study_hours]]&lt;=5,   "0 - 5", student_scores[[#This Row],[weekly_self_study_hours]]&lt;=10,  "6 - 10", student_scores[[#This Row],[weekly_self_study_hours]]&lt;=20,  "11 - 20",student_scores[[#This Row],[weekly_self_study_hours]]&lt;=30, "21 - 30",TRUE, "31+")</f>
        <v>11 - 20</v>
      </c>
      <c r="U422" t="str" cm="1">
        <f t="array" ref="U422">_xlfn.IFS(student_scores[[#This Row],[absence_days]]=0,"0", student_scores[[#This Row],[absence_days]]&lt;=3,"1-3", student_scores[[#This Row],[absence_days]]&lt;=6,"4-6", TRUE,"7-10")</f>
        <v>1-3</v>
      </c>
      <c r="V422" t="str">
        <f>IF(student_scores[[#This Row],[Total_Score]] &gt;= _xlfn.PERCENTILE.INC(student_scores[Total_Score], 0.8), "Yes", "No")</f>
        <v>No</v>
      </c>
    </row>
    <row r="423" spans="1:22" x14ac:dyDescent="0.35">
      <c r="A423">
        <v>422</v>
      </c>
      <c r="B423" t="s">
        <v>180</v>
      </c>
      <c r="C423" t="s">
        <v>950</v>
      </c>
      <c r="D423" t="s">
        <v>951</v>
      </c>
      <c r="E423" t="s">
        <v>25</v>
      </c>
      <c r="F423" t="b">
        <v>0</v>
      </c>
      <c r="G423">
        <v>1</v>
      </c>
      <c r="H423" t="b">
        <v>0</v>
      </c>
      <c r="I423">
        <v>3</v>
      </c>
      <c r="J423" t="s">
        <v>123</v>
      </c>
      <c r="K423">
        <v>91</v>
      </c>
      <c r="L423">
        <v>62</v>
      </c>
      <c r="M423">
        <v>75</v>
      </c>
      <c r="N423">
        <v>60</v>
      </c>
      <c r="O423">
        <v>82</v>
      </c>
      <c r="P423">
        <v>91</v>
      </c>
      <c r="Q423">
        <v>96</v>
      </c>
      <c r="R423">
        <f>SUM(student_scores[[#This Row],[math_score]:[geography_score]])</f>
        <v>557</v>
      </c>
      <c r="S423" s="3">
        <f>student_scores[[#This Row],[Total_Score]]/7</f>
        <v>79.571428571428569</v>
      </c>
      <c r="T423" s="3" t="str" cm="1">
        <f t="array" ref="T423">_xlfn.IFS(student_scores[[#This Row],[weekly_self_study_hours]]&lt;=5,   "0 - 5", student_scores[[#This Row],[weekly_self_study_hours]]&lt;=10,  "6 - 10", student_scores[[#This Row],[weekly_self_study_hours]]&lt;=20,  "11 - 20",student_scores[[#This Row],[weekly_self_study_hours]]&lt;=30, "21 - 30",TRUE, "31+")</f>
        <v>0 - 5</v>
      </c>
      <c r="U423" t="str" cm="1">
        <f t="array" ref="U423">_xlfn.IFS(student_scores[[#This Row],[absence_days]]=0,"0", student_scores[[#This Row],[absence_days]]&lt;=3,"1-3", student_scores[[#This Row],[absence_days]]&lt;=6,"4-6", TRUE,"7-10")</f>
        <v>1-3</v>
      </c>
      <c r="V423" t="str">
        <f>IF(student_scores[[#This Row],[Total_Score]] &gt;= _xlfn.PERCENTILE.INC(student_scores[Total_Score], 0.8), "Yes", "No")</f>
        <v>No</v>
      </c>
    </row>
    <row r="424" spans="1:22" x14ac:dyDescent="0.35">
      <c r="A424">
        <v>423</v>
      </c>
      <c r="B424" t="s">
        <v>952</v>
      </c>
      <c r="C424" t="s">
        <v>32</v>
      </c>
      <c r="D424" t="s">
        <v>953</v>
      </c>
      <c r="E424" t="s">
        <v>25</v>
      </c>
      <c r="F424" t="b">
        <v>0</v>
      </c>
      <c r="G424">
        <v>4</v>
      </c>
      <c r="H424" t="b">
        <v>0</v>
      </c>
      <c r="I424">
        <v>15</v>
      </c>
      <c r="J424" t="s">
        <v>113</v>
      </c>
      <c r="K424">
        <v>79</v>
      </c>
      <c r="L424">
        <v>79</v>
      </c>
      <c r="M424">
        <v>97</v>
      </c>
      <c r="N424">
        <v>78</v>
      </c>
      <c r="O424">
        <v>31</v>
      </c>
      <c r="P424">
        <v>99</v>
      </c>
      <c r="Q424">
        <v>84</v>
      </c>
      <c r="R424">
        <f>SUM(student_scores[[#This Row],[math_score]:[geography_score]])</f>
        <v>547</v>
      </c>
      <c r="S424" s="3">
        <f>student_scores[[#This Row],[Total_Score]]/7</f>
        <v>78.142857142857139</v>
      </c>
      <c r="T424" s="3" t="str" cm="1">
        <f t="array" ref="T424">_xlfn.IFS(student_scores[[#This Row],[weekly_self_study_hours]]&lt;=5,   "0 - 5", student_scores[[#This Row],[weekly_self_study_hours]]&lt;=10,  "6 - 10", student_scores[[#This Row],[weekly_self_study_hours]]&lt;=20,  "11 - 20",student_scores[[#This Row],[weekly_self_study_hours]]&lt;=30, "21 - 30",TRUE, "31+")</f>
        <v>11 - 20</v>
      </c>
      <c r="U424" t="str" cm="1">
        <f t="array" ref="U424">_xlfn.IFS(student_scores[[#This Row],[absence_days]]=0,"0", student_scores[[#This Row],[absence_days]]&lt;=3,"1-3", student_scores[[#This Row],[absence_days]]&lt;=6,"4-6", TRUE,"7-10")</f>
        <v>4-6</v>
      </c>
      <c r="V424" t="str">
        <f>IF(student_scores[[#This Row],[Total_Score]] &gt;= _xlfn.PERCENTILE.INC(student_scores[Total_Score], 0.8), "Yes", "No")</f>
        <v>No</v>
      </c>
    </row>
    <row r="425" spans="1:22" x14ac:dyDescent="0.35">
      <c r="A425">
        <v>424</v>
      </c>
      <c r="B425" t="s">
        <v>110</v>
      </c>
      <c r="C425" t="s">
        <v>411</v>
      </c>
      <c r="D425" t="s">
        <v>954</v>
      </c>
      <c r="E425" t="s">
        <v>20</v>
      </c>
      <c r="F425" t="b">
        <v>0</v>
      </c>
      <c r="G425">
        <v>5</v>
      </c>
      <c r="H425" t="b">
        <v>0</v>
      </c>
      <c r="I425">
        <v>23</v>
      </c>
      <c r="J425" t="s">
        <v>44</v>
      </c>
      <c r="K425">
        <v>93</v>
      </c>
      <c r="L425">
        <v>96</v>
      </c>
      <c r="M425">
        <v>80</v>
      </c>
      <c r="N425">
        <v>64</v>
      </c>
      <c r="O425">
        <v>91</v>
      </c>
      <c r="P425">
        <v>68</v>
      </c>
      <c r="Q425">
        <v>71</v>
      </c>
      <c r="R425">
        <f>SUM(student_scores[[#This Row],[math_score]:[geography_score]])</f>
        <v>563</v>
      </c>
      <c r="S425" s="3">
        <f>student_scores[[#This Row],[Total_Score]]/7</f>
        <v>80.428571428571431</v>
      </c>
      <c r="T425" s="3" t="str" cm="1">
        <f t="array" ref="T425">_xlfn.IFS(student_scores[[#This Row],[weekly_self_study_hours]]&lt;=5,   "0 - 5", student_scores[[#This Row],[weekly_self_study_hours]]&lt;=10,  "6 - 10", student_scores[[#This Row],[weekly_self_study_hours]]&lt;=20,  "11 - 20",student_scores[[#This Row],[weekly_self_study_hours]]&lt;=30, "21 - 30",TRUE, "31+")</f>
        <v>21 - 30</v>
      </c>
      <c r="U425" t="str" cm="1">
        <f t="array" ref="U425">_xlfn.IFS(student_scores[[#This Row],[absence_days]]=0,"0", student_scores[[#This Row],[absence_days]]&lt;=3,"1-3", student_scores[[#This Row],[absence_days]]&lt;=6,"4-6", TRUE,"7-10")</f>
        <v>4-6</v>
      </c>
      <c r="V425" t="str">
        <f>IF(student_scores[[#This Row],[Total_Score]] &gt;= _xlfn.PERCENTILE.INC(student_scores[Total_Score], 0.8), "Yes", "No")</f>
        <v>No</v>
      </c>
    </row>
    <row r="426" spans="1:22" x14ac:dyDescent="0.35">
      <c r="A426">
        <v>425</v>
      </c>
      <c r="B426" t="s">
        <v>102</v>
      </c>
      <c r="C426" t="s">
        <v>518</v>
      </c>
      <c r="D426" t="s">
        <v>955</v>
      </c>
      <c r="E426" t="s">
        <v>20</v>
      </c>
      <c r="F426" t="b">
        <v>0</v>
      </c>
      <c r="G426">
        <v>6</v>
      </c>
      <c r="H426" t="b">
        <v>0</v>
      </c>
      <c r="I426">
        <v>19</v>
      </c>
      <c r="J426" t="s">
        <v>38</v>
      </c>
      <c r="K426">
        <v>90</v>
      </c>
      <c r="L426">
        <v>79</v>
      </c>
      <c r="M426">
        <v>90</v>
      </c>
      <c r="N426">
        <v>73</v>
      </c>
      <c r="O426">
        <v>76</v>
      </c>
      <c r="P426">
        <v>68</v>
      </c>
      <c r="Q426">
        <v>95</v>
      </c>
      <c r="R426">
        <f>SUM(student_scores[[#This Row],[math_score]:[geography_score]])</f>
        <v>571</v>
      </c>
      <c r="S426" s="3">
        <f>student_scores[[#This Row],[Total_Score]]/7</f>
        <v>81.571428571428569</v>
      </c>
      <c r="T426" s="3" t="str" cm="1">
        <f t="array" ref="T426">_xlfn.IFS(student_scores[[#This Row],[weekly_self_study_hours]]&lt;=5,   "0 - 5", student_scores[[#This Row],[weekly_self_study_hours]]&lt;=10,  "6 - 10", student_scores[[#This Row],[weekly_self_study_hours]]&lt;=20,  "11 - 20",student_scores[[#This Row],[weekly_self_study_hours]]&lt;=30, "21 - 30",TRUE, "31+")</f>
        <v>11 - 20</v>
      </c>
      <c r="U426" t="str" cm="1">
        <f t="array" ref="U426">_xlfn.IFS(student_scores[[#This Row],[absence_days]]=0,"0", student_scores[[#This Row],[absence_days]]&lt;=3,"1-3", student_scores[[#This Row],[absence_days]]&lt;=6,"4-6", TRUE,"7-10")</f>
        <v>4-6</v>
      </c>
      <c r="V426" t="str">
        <f>IF(student_scores[[#This Row],[Total_Score]] &gt;= _xlfn.PERCENTILE.INC(student_scores[Total_Score], 0.8), "Yes", "No")</f>
        <v>No</v>
      </c>
    </row>
    <row r="427" spans="1:22" x14ac:dyDescent="0.35">
      <c r="A427">
        <v>426</v>
      </c>
      <c r="B427" t="s">
        <v>145</v>
      </c>
      <c r="C427" t="s">
        <v>669</v>
      </c>
      <c r="D427" t="s">
        <v>956</v>
      </c>
      <c r="E427" t="s">
        <v>20</v>
      </c>
      <c r="F427" t="b">
        <v>0</v>
      </c>
      <c r="G427">
        <v>3</v>
      </c>
      <c r="H427" t="b">
        <v>0</v>
      </c>
      <c r="I427">
        <v>33</v>
      </c>
      <c r="J427" t="s">
        <v>26</v>
      </c>
      <c r="K427">
        <v>99</v>
      </c>
      <c r="L427">
        <v>68</v>
      </c>
      <c r="M427">
        <v>100</v>
      </c>
      <c r="N427">
        <v>95</v>
      </c>
      <c r="O427">
        <v>95</v>
      </c>
      <c r="P427">
        <v>88</v>
      </c>
      <c r="Q427">
        <v>83</v>
      </c>
      <c r="R427">
        <f>SUM(student_scores[[#This Row],[math_score]:[geography_score]])</f>
        <v>628</v>
      </c>
      <c r="S427" s="3">
        <f>student_scores[[#This Row],[Total_Score]]/7</f>
        <v>89.714285714285708</v>
      </c>
      <c r="T427" s="3" t="str" cm="1">
        <f t="array" ref="T427">_xlfn.IFS(student_scores[[#This Row],[weekly_self_study_hours]]&lt;=5,   "0 - 5", student_scores[[#This Row],[weekly_self_study_hours]]&lt;=10,  "6 - 10", student_scores[[#This Row],[weekly_self_study_hours]]&lt;=20,  "11 - 20",student_scores[[#This Row],[weekly_self_study_hours]]&lt;=30, "21 - 30",TRUE, "31+")</f>
        <v>31+</v>
      </c>
      <c r="U427" t="str" cm="1">
        <f t="array" ref="U427">_xlfn.IFS(student_scores[[#This Row],[absence_days]]=0,"0", student_scores[[#This Row],[absence_days]]&lt;=3,"1-3", student_scores[[#This Row],[absence_days]]&lt;=6,"4-6", TRUE,"7-10")</f>
        <v>1-3</v>
      </c>
      <c r="V427" t="str">
        <f>IF(student_scores[[#This Row],[Total_Score]] &gt;= _xlfn.PERCENTILE.INC(student_scores[Total_Score], 0.8), "Yes", "No")</f>
        <v>Yes</v>
      </c>
    </row>
    <row r="428" spans="1:22" x14ac:dyDescent="0.35">
      <c r="A428">
        <v>427</v>
      </c>
      <c r="B428" t="s">
        <v>957</v>
      </c>
      <c r="C428" t="s">
        <v>457</v>
      </c>
      <c r="D428" t="s">
        <v>958</v>
      </c>
      <c r="E428" t="s">
        <v>25</v>
      </c>
      <c r="F428" t="b">
        <v>0</v>
      </c>
      <c r="G428">
        <v>0</v>
      </c>
      <c r="H428" t="b">
        <v>0</v>
      </c>
      <c r="I428">
        <v>14</v>
      </c>
      <c r="J428" t="s">
        <v>105</v>
      </c>
      <c r="K428">
        <v>90</v>
      </c>
      <c r="L428">
        <v>69</v>
      </c>
      <c r="M428">
        <v>81</v>
      </c>
      <c r="N428">
        <v>92</v>
      </c>
      <c r="O428">
        <v>65</v>
      </c>
      <c r="P428">
        <v>89</v>
      </c>
      <c r="Q428">
        <v>69</v>
      </c>
      <c r="R428">
        <f>SUM(student_scores[[#This Row],[math_score]:[geography_score]])</f>
        <v>555</v>
      </c>
      <c r="S428" s="3">
        <f>student_scores[[#This Row],[Total_Score]]/7</f>
        <v>79.285714285714292</v>
      </c>
      <c r="T428" s="3" t="str" cm="1">
        <f t="array" ref="T428">_xlfn.IFS(student_scores[[#This Row],[weekly_self_study_hours]]&lt;=5,   "0 - 5", student_scores[[#This Row],[weekly_self_study_hours]]&lt;=10,  "6 - 10", student_scores[[#This Row],[weekly_self_study_hours]]&lt;=20,  "11 - 20",student_scores[[#This Row],[weekly_self_study_hours]]&lt;=30, "21 - 30",TRUE, "31+")</f>
        <v>11 - 20</v>
      </c>
      <c r="U428" t="str" cm="1">
        <f t="array" ref="U428">_xlfn.IFS(student_scores[[#This Row],[absence_days]]=0,"0", student_scores[[#This Row],[absence_days]]&lt;=3,"1-3", student_scores[[#This Row],[absence_days]]&lt;=6,"4-6", TRUE,"7-10")</f>
        <v>0</v>
      </c>
      <c r="V428" t="str">
        <f>IF(student_scores[[#This Row],[Total_Score]] &gt;= _xlfn.PERCENTILE.INC(student_scores[Total_Score], 0.8), "Yes", "No")</f>
        <v>No</v>
      </c>
    </row>
    <row r="429" spans="1:22" x14ac:dyDescent="0.35">
      <c r="A429">
        <v>428</v>
      </c>
      <c r="B429" t="s">
        <v>230</v>
      </c>
      <c r="C429" t="s">
        <v>460</v>
      </c>
      <c r="D429" t="s">
        <v>959</v>
      </c>
      <c r="E429" t="s">
        <v>25</v>
      </c>
      <c r="F429" t="b">
        <v>0</v>
      </c>
      <c r="G429">
        <v>1</v>
      </c>
      <c r="H429" t="b">
        <v>1</v>
      </c>
      <c r="I429">
        <v>0</v>
      </c>
      <c r="J429" t="s">
        <v>34</v>
      </c>
      <c r="K429">
        <v>71</v>
      </c>
      <c r="L429">
        <v>84</v>
      </c>
      <c r="M429">
        <v>66</v>
      </c>
      <c r="N429">
        <v>75</v>
      </c>
      <c r="O429">
        <v>93</v>
      </c>
      <c r="P429">
        <v>84</v>
      </c>
      <c r="Q429">
        <v>69</v>
      </c>
      <c r="R429">
        <f>SUM(student_scores[[#This Row],[math_score]:[geography_score]])</f>
        <v>542</v>
      </c>
      <c r="S429" s="3">
        <f>student_scores[[#This Row],[Total_Score]]/7</f>
        <v>77.428571428571431</v>
      </c>
      <c r="T429" s="3" t="str" cm="1">
        <f t="array" ref="T429">_xlfn.IFS(student_scores[[#This Row],[weekly_self_study_hours]]&lt;=5,   "0 - 5", student_scores[[#This Row],[weekly_self_study_hours]]&lt;=10,  "6 - 10", student_scores[[#This Row],[weekly_self_study_hours]]&lt;=20,  "11 - 20",student_scores[[#This Row],[weekly_self_study_hours]]&lt;=30, "21 - 30",TRUE, "31+")</f>
        <v>0 - 5</v>
      </c>
      <c r="U429" t="str" cm="1">
        <f t="array" ref="U429">_xlfn.IFS(student_scores[[#This Row],[absence_days]]=0,"0", student_scores[[#This Row],[absence_days]]&lt;=3,"1-3", student_scores[[#This Row],[absence_days]]&lt;=6,"4-6", TRUE,"7-10")</f>
        <v>1-3</v>
      </c>
      <c r="V429" t="str">
        <f>IF(student_scores[[#This Row],[Total_Score]] &gt;= _xlfn.PERCENTILE.INC(student_scores[Total_Score], 0.8), "Yes", "No")</f>
        <v>No</v>
      </c>
    </row>
    <row r="430" spans="1:22" x14ac:dyDescent="0.35">
      <c r="A430">
        <v>429</v>
      </c>
      <c r="B430" t="s">
        <v>190</v>
      </c>
      <c r="C430" t="s">
        <v>960</v>
      </c>
      <c r="D430" t="s">
        <v>961</v>
      </c>
      <c r="E430" t="s">
        <v>25</v>
      </c>
      <c r="F430" t="b">
        <v>0</v>
      </c>
      <c r="G430">
        <v>1</v>
      </c>
      <c r="H430" t="b">
        <v>0</v>
      </c>
      <c r="I430">
        <v>34</v>
      </c>
      <c r="J430" t="s">
        <v>21</v>
      </c>
      <c r="K430">
        <v>98</v>
      </c>
      <c r="L430">
        <v>93</v>
      </c>
      <c r="M430">
        <v>67</v>
      </c>
      <c r="N430">
        <v>74</v>
      </c>
      <c r="O430">
        <v>81</v>
      </c>
      <c r="P430">
        <v>87</v>
      </c>
      <c r="Q430">
        <v>76</v>
      </c>
      <c r="R430">
        <f>SUM(student_scores[[#This Row],[math_score]:[geography_score]])</f>
        <v>576</v>
      </c>
      <c r="S430" s="3">
        <f>student_scores[[#This Row],[Total_Score]]/7</f>
        <v>82.285714285714292</v>
      </c>
      <c r="T430" s="3" t="str" cm="1">
        <f t="array" ref="T430">_xlfn.IFS(student_scores[[#This Row],[weekly_self_study_hours]]&lt;=5,   "0 - 5", student_scores[[#This Row],[weekly_self_study_hours]]&lt;=10,  "6 - 10", student_scores[[#This Row],[weekly_self_study_hours]]&lt;=20,  "11 - 20",student_scores[[#This Row],[weekly_self_study_hours]]&lt;=30, "21 - 30",TRUE, "31+")</f>
        <v>31+</v>
      </c>
      <c r="U430" t="str" cm="1">
        <f t="array" ref="U430">_xlfn.IFS(student_scores[[#This Row],[absence_days]]=0,"0", student_scores[[#This Row],[absence_days]]&lt;=3,"1-3", student_scores[[#This Row],[absence_days]]&lt;=6,"4-6", TRUE,"7-10")</f>
        <v>1-3</v>
      </c>
      <c r="V430" t="str">
        <f>IF(student_scores[[#This Row],[Total_Score]] &gt;= _xlfn.PERCENTILE.INC(student_scores[Total_Score], 0.8), "Yes", "No")</f>
        <v>No</v>
      </c>
    </row>
    <row r="431" spans="1:22" x14ac:dyDescent="0.35">
      <c r="A431">
        <v>430</v>
      </c>
      <c r="B431" t="s">
        <v>160</v>
      </c>
      <c r="C431" t="s">
        <v>259</v>
      </c>
      <c r="D431" t="s">
        <v>962</v>
      </c>
      <c r="E431" t="s">
        <v>20</v>
      </c>
      <c r="F431" t="b">
        <v>0</v>
      </c>
      <c r="G431">
        <v>5</v>
      </c>
      <c r="H431" t="b">
        <v>0</v>
      </c>
      <c r="I431">
        <v>33</v>
      </c>
      <c r="J431" t="s">
        <v>76</v>
      </c>
      <c r="K431">
        <v>94</v>
      </c>
      <c r="L431">
        <v>99</v>
      </c>
      <c r="M431">
        <v>83</v>
      </c>
      <c r="N431">
        <v>94</v>
      </c>
      <c r="O431">
        <v>93</v>
      </c>
      <c r="P431">
        <v>95</v>
      </c>
      <c r="Q431">
        <v>93</v>
      </c>
      <c r="R431">
        <f>SUM(student_scores[[#This Row],[math_score]:[geography_score]])</f>
        <v>651</v>
      </c>
      <c r="S431" s="3">
        <f>student_scores[[#This Row],[Total_Score]]/7</f>
        <v>93</v>
      </c>
      <c r="T431" s="3" t="str" cm="1">
        <f t="array" ref="T431">_xlfn.IFS(student_scores[[#This Row],[weekly_self_study_hours]]&lt;=5,   "0 - 5", student_scores[[#This Row],[weekly_self_study_hours]]&lt;=10,  "6 - 10", student_scores[[#This Row],[weekly_self_study_hours]]&lt;=20,  "11 - 20",student_scores[[#This Row],[weekly_self_study_hours]]&lt;=30, "21 - 30",TRUE, "31+")</f>
        <v>31+</v>
      </c>
      <c r="U431" t="str" cm="1">
        <f t="array" ref="U431">_xlfn.IFS(student_scores[[#This Row],[absence_days]]=0,"0", student_scores[[#This Row],[absence_days]]&lt;=3,"1-3", student_scores[[#This Row],[absence_days]]&lt;=6,"4-6", TRUE,"7-10")</f>
        <v>4-6</v>
      </c>
      <c r="V431" t="str">
        <f>IF(student_scores[[#This Row],[Total_Score]] &gt;= _xlfn.PERCENTILE.INC(student_scores[Total_Score], 0.8), "Yes", "No")</f>
        <v>Yes</v>
      </c>
    </row>
    <row r="432" spans="1:22" x14ac:dyDescent="0.35">
      <c r="A432">
        <v>431</v>
      </c>
      <c r="B432" t="s">
        <v>899</v>
      </c>
      <c r="C432" t="s">
        <v>261</v>
      </c>
      <c r="D432" t="s">
        <v>963</v>
      </c>
      <c r="E432" t="s">
        <v>25</v>
      </c>
      <c r="F432" t="b">
        <v>0</v>
      </c>
      <c r="G432">
        <v>7</v>
      </c>
      <c r="H432" t="b">
        <v>0</v>
      </c>
      <c r="I432">
        <v>7</v>
      </c>
      <c r="J432" t="s">
        <v>172</v>
      </c>
      <c r="K432">
        <v>92</v>
      </c>
      <c r="L432">
        <v>89</v>
      </c>
      <c r="M432">
        <v>79</v>
      </c>
      <c r="N432">
        <v>76</v>
      </c>
      <c r="O432">
        <v>86</v>
      </c>
      <c r="P432">
        <v>61</v>
      </c>
      <c r="Q432">
        <v>81</v>
      </c>
      <c r="R432">
        <f>SUM(student_scores[[#This Row],[math_score]:[geography_score]])</f>
        <v>564</v>
      </c>
      <c r="S432" s="3">
        <f>student_scores[[#This Row],[Total_Score]]/7</f>
        <v>80.571428571428569</v>
      </c>
      <c r="T432" s="3" t="str" cm="1">
        <f t="array" ref="T432">_xlfn.IFS(student_scores[[#This Row],[weekly_self_study_hours]]&lt;=5,   "0 - 5", student_scores[[#This Row],[weekly_self_study_hours]]&lt;=10,  "6 - 10", student_scores[[#This Row],[weekly_self_study_hours]]&lt;=20,  "11 - 20",student_scores[[#This Row],[weekly_self_study_hours]]&lt;=30, "21 - 30",TRUE, "31+")</f>
        <v>6 - 10</v>
      </c>
      <c r="U432" t="str" cm="1">
        <f t="array" ref="U432">_xlfn.IFS(student_scores[[#This Row],[absence_days]]=0,"0", student_scores[[#This Row],[absence_days]]&lt;=3,"1-3", student_scores[[#This Row],[absence_days]]&lt;=6,"4-6", TRUE,"7-10")</f>
        <v>7-10</v>
      </c>
      <c r="V432" t="str">
        <f>IF(student_scores[[#This Row],[Total_Score]] &gt;= _xlfn.PERCENTILE.INC(student_scores[Total_Score], 0.8), "Yes", "No")</f>
        <v>No</v>
      </c>
    </row>
    <row r="433" spans="1:22" x14ac:dyDescent="0.35">
      <c r="A433">
        <v>432</v>
      </c>
      <c r="B433" t="s">
        <v>641</v>
      </c>
      <c r="C433" t="s">
        <v>964</v>
      </c>
      <c r="D433" t="s">
        <v>965</v>
      </c>
      <c r="E433" t="s">
        <v>20</v>
      </c>
      <c r="F433" t="b">
        <v>0</v>
      </c>
      <c r="G433">
        <v>2</v>
      </c>
      <c r="H433" t="b">
        <v>0</v>
      </c>
      <c r="I433">
        <v>18</v>
      </c>
      <c r="J433" t="s">
        <v>44</v>
      </c>
      <c r="K433">
        <v>100</v>
      </c>
      <c r="L433">
        <v>96</v>
      </c>
      <c r="M433">
        <v>74</v>
      </c>
      <c r="N433">
        <v>61</v>
      </c>
      <c r="O433">
        <v>87</v>
      </c>
      <c r="P433">
        <v>94</v>
      </c>
      <c r="Q433">
        <v>60</v>
      </c>
      <c r="R433">
        <f>SUM(student_scores[[#This Row],[math_score]:[geography_score]])</f>
        <v>572</v>
      </c>
      <c r="S433" s="3">
        <f>student_scores[[#This Row],[Total_Score]]/7</f>
        <v>81.714285714285708</v>
      </c>
      <c r="T433" s="3" t="str" cm="1">
        <f t="array" ref="T433">_xlfn.IFS(student_scores[[#This Row],[weekly_self_study_hours]]&lt;=5,   "0 - 5", student_scores[[#This Row],[weekly_self_study_hours]]&lt;=10,  "6 - 10", student_scores[[#This Row],[weekly_self_study_hours]]&lt;=20,  "11 - 20",student_scores[[#This Row],[weekly_self_study_hours]]&lt;=30, "21 - 30",TRUE, "31+")</f>
        <v>11 - 20</v>
      </c>
      <c r="U433" t="str" cm="1">
        <f t="array" ref="U433">_xlfn.IFS(student_scores[[#This Row],[absence_days]]=0,"0", student_scores[[#This Row],[absence_days]]&lt;=3,"1-3", student_scores[[#This Row],[absence_days]]&lt;=6,"4-6", TRUE,"7-10")</f>
        <v>1-3</v>
      </c>
      <c r="V433" t="str">
        <f>IF(student_scores[[#This Row],[Total_Score]] &gt;= _xlfn.PERCENTILE.INC(student_scores[Total_Score], 0.8), "Yes", "No")</f>
        <v>No</v>
      </c>
    </row>
    <row r="434" spans="1:22" x14ac:dyDescent="0.35">
      <c r="A434">
        <v>433</v>
      </c>
      <c r="B434" t="s">
        <v>283</v>
      </c>
      <c r="C434" t="s">
        <v>135</v>
      </c>
      <c r="D434" t="s">
        <v>966</v>
      </c>
      <c r="E434" t="s">
        <v>20</v>
      </c>
      <c r="F434" t="b">
        <v>0</v>
      </c>
      <c r="G434">
        <v>9</v>
      </c>
      <c r="H434" t="b">
        <v>0</v>
      </c>
      <c r="I434">
        <v>4</v>
      </c>
      <c r="J434" t="s">
        <v>64</v>
      </c>
      <c r="K434">
        <v>48</v>
      </c>
      <c r="L434">
        <v>55</v>
      </c>
      <c r="M434">
        <v>86</v>
      </c>
      <c r="N434">
        <v>51</v>
      </c>
      <c r="O434">
        <v>54</v>
      </c>
      <c r="P434">
        <v>94</v>
      </c>
      <c r="Q434">
        <v>61</v>
      </c>
      <c r="R434">
        <f>SUM(student_scores[[#This Row],[math_score]:[geography_score]])</f>
        <v>449</v>
      </c>
      <c r="S434" s="3">
        <f>student_scores[[#This Row],[Total_Score]]/7</f>
        <v>64.142857142857139</v>
      </c>
      <c r="T434" s="3" t="str" cm="1">
        <f t="array" ref="T434">_xlfn.IFS(student_scores[[#This Row],[weekly_self_study_hours]]&lt;=5,   "0 - 5", student_scores[[#This Row],[weekly_self_study_hours]]&lt;=10,  "6 - 10", student_scores[[#This Row],[weekly_self_study_hours]]&lt;=20,  "11 - 20",student_scores[[#This Row],[weekly_self_study_hours]]&lt;=30, "21 - 30",TRUE, "31+")</f>
        <v>0 - 5</v>
      </c>
      <c r="U434" t="str" cm="1">
        <f t="array" ref="U434">_xlfn.IFS(student_scores[[#This Row],[absence_days]]=0,"0", student_scores[[#This Row],[absence_days]]&lt;=3,"1-3", student_scores[[#This Row],[absence_days]]&lt;=6,"4-6", TRUE,"7-10")</f>
        <v>7-10</v>
      </c>
      <c r="V434" t="str">
        <f>IF(student_scores[[#This Row],[Total_Score]] &gt;= _xlfn.PERCENTILE.INC(student_scores[Total_Score], 0.8), "Yes", "No")</f>
        <v>No</v>
      </c>
    </row>
    <row r="435" spans="1:22" x14ac:dyDescent="0.35">
      <c r="A435">
        <v>434</v>
      </c>
      <c r="B435" t="s">
        <v>463</v>
      </c>
      <c r="C435" t="s">
        <v>967</v>
      </c>
      <c r="D435" t="s">
        <v>968</v>
      </c>
      <c r="E435" t="s">
        <v>20</v>
      </c>
      <c r="F435" t="b">
        <v>0</v>
      </c>
      <c r="G435">
        <v>6</v>
      </c>
      <c r="H435" t="b">
        <v>0</v>
      </c>
      <c r="I435">
        <v>10</v>
      </c>
      <c r="J435" t="s">
        <v>224</v>
      </c>
      <c r="K435">
        <v>63</v>
      </c>
      <c r="L435">
        <v>87</v>
      </c>
      <c r="M435">
        <v>71</v>
      </c>
      <c r="N435">
        <v>68</v>
      </c>
      <c r="O435">
        <v>66</v>
      </c>
      <c r="P435">
        <v>67</v>
      </c>
      <c r="Q435">
        <v>99</v>
      </c>
      <c r="R435">
        <f>SUM(student_scores[[#This Row],[math_score]:[geography_score]])</f>
        <v>521</v>
      </c>
      <c r="S435" s="3">
        <f>student_scores[[#This Row],[Total_Score]]/7</f>
        <v>74.428571428571431</v>
      </c>
      <c r="T435" s="3" t="str" cm="1">
        <f t="array" ref="T435">_xlfn.IFS(student_scores[[#This Row],[weekly_self_study_hours]]&lt;=5,   "0 - 5", student_scores[[#This Row],[weekly_self_study_hours]]&lt;=10,  "6 - 10", student_scores[[#This Row],[weekly_self_study_hours]]&lt;=20,  "11 - 20",student_scores[[#This Row],[weekly_self_study_hours]]&lt;=30, "21 - 30",TRUE, "31+")</f>
        <v>6 - 10</v>
      </c>
      <c r="U435" t="str" cm="1">
        <f t="array" ref="U435">_xlfn.IFS(student_scores[[#This Row],[absence_days]]=0,"0", student_scores[[#This Row],[absence_days]]&lt;=3,"1-3", student_scores[[#This Row],[absence_days]]&lt;=6,"4-6", TRUE,"7-10")</f>
        <v>4-6</v>
      </c>
      <c r="V435" t="str">
        <f>IF(student_scores[[#This Row],[Total_Score]] &gt;= _xlfn.PERCENTILE.INC(student_scores[Total_Score], 0.8), "Yes", "No")</f>
        <v>No</v>
      </c>
    </row>
    <row r="436" spans="1:22" x14ac:dyDescent="0.35">
      <c r="A436">
        <v>435</v>
      </c>
      <c r="B436" t="s">
        <v>58</v>
      </c>
      <c r="C436" t="s">
        <v>167</v>
      </c>
      <c r="D436" t="s">
        <v>969</v>
      </c>
      <c r="E436" t="s">
        <v>20</v>
      </c>
      <c r="F436" t="b">
        <v>1</v>
      </c>
      <c r="G436">
        <v>2</v>
      </c>
      <c r="H436" t="b">
        <v>0</v>
      </c>
      <c r="I436">
        <v>22</v>
      </c>
      <c r="J436" t="s">
        <v>44</v>
      </c>
      <c r="K436">
        <v>89</v>
      </c>
      <c r="L436">
        <v>83</v>
      </c>
      <c r="M436">
        <v>89</v>
      </c>
      <c r="N436">
        <v>91</v>
      </c>
      <c r="O436">
        <v>94</v>
      </c>
      <c r="P436">
        <v>93</v>
      </c>
      <c r="Q436">
        <v>69</v>
      </c>
      <c r="R436">
        <f>SUM(student_scores[[#This Row],[math_score]:[geography_score]])</f>
        <v>608</v>
      </c>
      <c r="S436" s="3">
        <f>student_scores[[#This Row],[Total_Score]]/7</f>
        <v>86.857142857142861</v>
      </c>
      <c r="T436" s="3" t="str" cm="1">
        <f t="array" ref="T436">_xlfn.IFS(student_scores[[#This Row],[weekly_self_study_hours]]&lt;=5,   "0 - 5", student_scores[[#This Row],[weekly_self_study_hours]]&lt;=10,  "6 - 10", student_scores[[#This Row],[weekly_self_study_hours]]&lt;=20,  "11 - 20",student_scores[[#This Row],[weekly_self_study_hours]]&lt;=30, "21 - 30",TRUE, "31+")</f>
        <v>21 - 30</v>
      </c>
      <c r="U436" t="str" cm="1">
        <f t="array" ref="U436">_xlfn.IFS(student_scores[[#This Row],[absence_days]]=0,"0", student_scores[[#This Row],[absence_days]]&lt;=3,"1-3", student_scores[[#This Row],[absence_days]]&lt;=6,"4-6", TRUE,"7-10")</f>
        <v>1-3</v>
      </c>
      <c r="V436" t="str">
        <f>IF(student_scores[[#This Row],[Total_Score]] &gt;= _xlfn.PERCENTILE.INC(student_scores[Total_Score], 0.8), "Yes", "No")</f>
        <v>Yes</v>
      </c>
    </row>
    <row r="437" spans="1:22" x14ac:dyDescent="0.35">
      <c r="A437">
        <v>436</v>
      </c>
      <c r="B437" t="s">
        <v>970</v>
      </c>
      <c r="C437" t="s">
        <v>23</v>
      </c>
      <c r="D437" t="s">
        <v>971</v>
      </c>
      <c r="E437" t="s">
        <v>25</v>
      </c>
      <c r="F437" t="b">
        <v>0</v>
      </c>
      <c r="G437">
        <v>5</v>
      </c>
      <c r="H437" t="b">
        <v>0</v>
      </c>
      <c r="I437">
        <v>28</v>
      </c>
      <c r="J437" t="s">
        <v>172</v>
      </c>
      <c r="K437">
        <v>88</v>
      </c>
      <c r="L437">
        <v>90</v>
      </c>
      <c r="M437">
        <v>93</v>
      </c>
      <c r="N437">
        <v>81</v>
      </c>
      <c r="O437">
        <v>88</v>
      </c>
      <c r="P437">
        <v>90</v>
      </c>
      <c r="Q437">
        <v>74</v>
      </c>
      <c r="R437">
        <f>SUM(student_scores[[#This Row],[math_score]:[geography_score]])</f>
        <v>604</v>
      </c>
      <c r="S437" s="3">
        <f>student_scores[[#This Row],[Total_Score]]/7</f>
        <v>86.285714285714292</v>
      </c>
      <c r="T437" s="3" t="str" cm="1">
        <f t="array" ref="T437">_xlfn.IFS(student_scores[[#This Row],[weekly_self_study_hours]]&lt;=5,   "0 - 5", student_scores[[#This Row],[weekly_self_study_hours]]&lt;=10,  "6 - 10", student_scores[[#This Row],[weekly_self_study_hours]]&lt;=20,  "11 - 20",student_scores[[#This Row],[weekly_self_study_hours]]&lt;=30, "21 - 30",TRUE, "31+")</f>
        <v>21 - 30</v>
      </c>
      <c r="U437" t="str" cm="1">
        <f t="array" ref="U437">_xlfn.IFS(student_scores[[#This Row],[absence_days]]=0,"0", student_scores[[#This Row],[absence_days]]&lt;=3,"1-3", student_scores[[#This Row],[absence_days]]&lt;=6,"4-6", TRUE,"7-10")</f>
        <v>4-6</v>
      </c>
      <c r="V437" t="str">
        <f>IF(student_scores[[#This Row],[Total_Score]] &gt;= _xlfn.PERCENTILE.INC(student_scores[Total_Score], 0.8), "Yes", "No")</f>
        <v>Yes</v>
      </c>
    </row>
    <row r="438" spans="1:22" x14ac:dyDescent="0.35">
      <c r="A438">
        <v>437</v>
      </c>
      <c r="B438" t="s">
        <v>476</v>
      </c>
      <c r="C438" t="s">
        <v>972</v>
      </c>
      <c r="D438" t="s">
        <v>973</v>
      </c>
      <c r="E438" t="s">
        <v>20</v>
      </c>
      <c r="F438" t="b">
        <v>0</v>
      </c>
      <c r="G438">
        <v>2</v>
      </c>
      <c r="H438" t="b">
        <v>0</v>
      </c>
      <c r="I438">
        <v>2</v>
      </c>
      <c r="J438" t="s">
        <v>224</v>
      </c>
      <c r="K438">
        <v>98</v>
      </c>
      <c r="L438">
        <v>87</v>
      </c>
      <c r="M438">
        <v>67</v>
      </c>
      <c r="N438">
        <v>97</v>
      </c>
      <c r="O438">
        <v>62</v>
      </c>
      <c r="P438">
        <v>60</v>
      </c>
      <c r="Q438">
        <v>79</v>
      </c>
      <c r="R438">
        <f>SUM(student_scores[[#This Row],[math_score]:[geography_score]])</f>
        <v>550</v>
      </c>
      <c r="S438" s="3">
        <f>student_scores[[#This Row],[Total_Score]]/7</f>
        <v>78.571428571428569</v>
      </c>
      <c r="T438" s="3" t="str" cm="1">
        <f t="array" ref="T438">_xlfn.IFS(student_scores[[#This Row],[weekly_self_study_hours]]&lt;=5,   "0 - 5", student_scores[[#This Row],[weekly_self_study_hours]]&lt;=10,  "6 - 10", student_scores[[#This Row],[weekly_self_study_hours]]&lt;=20,  "11 - 20",student_scores[[#This Row],[weekly_self_study_hours]]&lt;=30, "21 - 30",TRUE, "31+")</f>
        <v>0 - 5</v>
      </c>
      <c r="U438" t="str" cm="1">
        <f t="array" ref="U438">_xlfn.IFS(student_scores[[#This Row],[absence_days]]=0,"0", student_scores[[#This Row],[absence_days]]&lt;=3,"1-3", student_scores[[#This Row],[absence_days]]&lt;=6,"4-6", TRUE,"7-10")</f>
        <v>1-3</v>
      </c>
      <c r="V438" t="str">
        <f>IF(student_scores[[#This Row],[Total_Score]] &gt;= _xlfn.PERCENTILE.INC(student_scores[Total_Score], 0.8), "Yes", "No")</f>
        <v>No</v>
      </c>
    </row>
    <row r="439" spans="1:22" x14ac:dyDescent="0.35">
      <c r="A439">
        <v>438</v>
      </c>
      <c r="B439" t="s">
        <v>974</v>
      </c>
      <c r="C439" t="s">
        <v>975</v>
      </c>
      <c r="D439" t="s">
        <v>976</v>
      </c>
      <c r="E439" t="s">
        <v>25</v>
      </c>
      <c r="F439" t="b">
        <v>0</v>
      </c>
      <c r="G439">
        <v>1</v>
      </c>
      <c r="H439" t="b">
        <v>0</v>
      </c>
      <c r="I439">
        <v>0</v>
      </c>
      <c r="J439" t="s">
        <v>64</v>
      </c>
      <c r="K439">
        <v>92</v>
      </c>
      <c r="L439">
        <v>86</v>
      </c>
      <c r="M439">
        <v>88</v>
      </c>
      <c r="N439">
        <v>75</v>
      </c>
      <c r="O439">
        <v>60</v>
      </c>
      <c r="P439">
        <v>50</v>
      </c>
      <c r="Q439">
        <v>79</v>
      </c>
      <c r="R439">
        <f>SUM(student_scores[[#This Row],[math_score]:[geography_score]])</f>
        <v>530</v>
      </c>
      <c r="S439" s="3">
        <f>student_scores[[#This Row],[Total_Score]]/7</f>
        <v>75.714285714285708</v>
      </c>
      <c r="T439" s="3" t="str" cm="1">
        <f t="array" ref="T439">_xlfn.IFS(student_scores[[#This Row],[weekly_self_study_hours]]&lt;=5,   "0 - 5", student_scores[[#This Row],[weekly_self_study_hours]]&lt;=10,  "6 - 10", student_scores[[#This Row],[weekly_self_study_hours]]&lt;=20,  "11 - 20",student_scores[[#This Row],[weekly_self_study_hours]]&lt;=30, "21 - 30",TRUE, "31+")</f>
        <v>0 - 5</v>
      </c>
      <c r="U439" t="str" cm="1">
        <f t="array" ref="U439">_xlfn.IFS(student_scores[[#This Row],[absence_days]]=0,"0", student_scores[[#This Row],[absence_days]]&lt;=3,"1-3", student_scores[[#This Row],[absence_days]]&lt;=6,"4-6", TRUE,"7-10")</f>
        <v>1-3</v>
      </c>
      <c r="V439" t="str">
        <f>IF(student_scores[[#This Row],[Total_Score]] &gt;= _xlfn.PERCENTILE.INC(student_scores[Total_Score], 0.8), "Yes", "No")</f>
        <v>No</v>
      </c>
    </row>
    <row r="440" spans="1:22" x14ac:dyDescent="0.35">
      <c r="A440">
        <v>439</v>
      </c>
      <c r="B440" t="s">
        <v>348</v>
      </c>
      <c r="C440" t="s">
        <v>977</v>
      </c>
      <c r="D440" t="s">
        <v>978</v>
      </c>
      <c r="E440" t="s">
        <v>20</v>
      </c>
      <c r="F440" t="b">
        <v>0</v>
      </c>
      <c r="G440">
        <v>3</v>
      </c>
      <c r="H440" t="b">
        <v>0</v>
      </c>
      <c r="I440">
        <v>24</v>
      </c>
      <c r="J440" t="s">
        <v>26</v>
      </c>
      <c r="K440">
        <v>80</v>
      </c>
      <c r="L440">
        <v>60</v>
      </c>
      <c r="M440">
        <v>100</v>
      </c>
      <c r="N440">
        <v>99</v>
      </c>
      <c r="O440">
        <v>98</v>
      </c>
      <c r="P440">
        <v>75</v>
      </c>
      <c r="Q440">
        <v>94</v>
      </c>
      <c r="R440">
        <f>SUM(student_scores[[#This Row],[math_score]:[geography_score]])</f>
        <v>606</v>
      </c>
      <c r="S440" s="3">
        <f>student_scores[[#This Row],[Total_Score]]/7</f>
        <v>86.571428571428569</v>
      </c>
      <c r="T440" s="3" t="str" cm="1">
        <f t="array" ref="T440">_xlfn.IFS(student_scores[[#This Row],[weekly_self_study_hours]]&lt;=5,   "0 - 5", student_scores[[#This Row],[weekly_self_study_hours]]&lt;=10,  "6 - 10", student_scores[[#This Row],[weekly_self_study_hours]]&lt;=20,  "11 - 20",student_scores[[#This Row],[weekly_self_study_hours]]&lt;=30, "21 - 30",TRUE, "31+")</f>
        <v>21 - 30</v>
      </c>
      <c r="U440" t="str" cm="1">
        <f t="array" ref="U440">_xlfn.IFS(student_scores[[#This Row],[absence_days]]=0,"0", student_scores[[#This Row],[absence_days]]&lt;=3,"1-3", student_scores[[#This Row],[absence_days]]&lt;=6,"4-6", TRUE,"7-10")</f>
        <v>1-3</v>
      </c>
      <c r="V440" t="str">
        <f>IF(student_scores[[#This Row],[Total_Score]] &gt;= _xlfn.PERCENTILE.INC(student_scores[Total_Score], 0.8), "Yes", "No")</f>
        <v>Yes</v>
      </c>
    </row>
    <row r="441" spans="1:22" x14ac:dyDescent="0.35">
      <c r="A441">
        <v>440</v>
      </c>
      <c r="B441" t="s">
        <v>979</v>
      </c>
      <c r="C441" t="s">
        <v>355</v>
      </c>
      <c r="D441" t="s">
        <v>980</v>
      </c>
      <c r="E441" t="s">
        <v>20</v>
      </c>
      <c r="F441" t="b">
        <v>0</v>
      </c>
      <c r="G441">
        <v>2</v>
      </c>
      <c r="H441" t="b">
        <v>0</v>
      </c>
      <c r="I441">
        <v>15</v>
      </c>
      <c r="J441" t="s">
        <v>138</v>
      </c>
      <c r="K441">
        <v>92</v>
      </c>
      <c r="L441">
        <v>63</v>
      </c>
      <c r="M441">
        <v>91</v>
      </c>
      <c r="N441">
        <v>65</v>
      </c>
      <c r="O441">
        <v>69</v>
      </c>
      <c r="P441">
        <v>94</v>
      </c>
      <c r="Q441">
        <v>98</v>
      </c>
      <c r="R441">
        <f>SUM(student_scores[[#This Row],[math_score]:[geography_score]])</f>
        <v>572</v>
      </c>
      <c r="S441" s="3">
        <f>student_scores[[#This Row],[Total_Score]]/7</f>
        <v>81.714285714285708</v>
      </c>
      <c r="T441" s="3" t="str" cm="1">
        <f t="array" ref="T441">_xlfn.IFS(student_scores[[#This Row],[weekly_self_study_hours]]&lt;=5,   "0 - 5", student_scores[[#This Row],[weekly_self_study_hours]]&lt;=10,  "6 - 10", student_scores[[#This Row],[weekly_self_study_hours]]&lt;=20,  "11 - 20",student_scores[[#This Row],[weekly_self_study_hours]]&lt;=30, "21 - 30",TRUE, "31+")</f>
        <v>11 - 20</v>
      </c>
      <c r="U441" t="str" cm="1">
        <f t="array" ref="U441">_xlfn.IFS(student_scores[[#This Row],[absence_days]]=0,"0", student_scores[[#This Row],[absence_days]]&lt;=3,"1-3", student_scores[[#This Row],[absence_days]]&lt;=6,"4-6", TRUE,"7-10")</f>
        <v>1-3</v>
      </c>
      <c r="V441" t="str">
        <f>IF(student_scores[[#This Row],[Total_Score]] &gt;= _xlfn.PERCENTILE.INC(student_scores[Total_Score], 0.8), "Yes", "No")</f>
        <v>No</v>
      </c>
    </row>
    <row r="442" spans="1:22" x14ac:dyDescent="0.35">
      <c r="A442">
        <v>441</v>
      </c>
      <c r="B442" t="s">
        <v>981</v>
      </c>
      <c r="C442" t="s">
        <v>982</v>
      </c>
      <c r="D442" t="s">
        <v>983</v>
      </c>
      <c r="E442" t="s">
        <v>25</v>
      </c>
      <c r="F442" t="b">
        <v>1</v>
      </c>
      <c r="G442">
        <v>2</v>
      </c>
      <c r="H442" t="b">
        <v>0</v>
      </c>
      <c r="I442">
        <v>1</v>
      </c>
      <c r="J442" t="s">
        <v>34</v>
      </c>
      <c r="K442">
        <v>82</v>
      </c>
      <c r="L442">
        <v>95</v>
      </c>
      <c r="M442">
        <v>68</v>
      </c>
      <c r="N442">
        <v>64</v>
      </c>
      <c r="O442">
        <v>97</v>
      </c>
      <c r="P442">
        <v>99</v>
      </c>
      <c r="Q442">
        <v>60</v>
      </c>
      <c r="R442">
        <f>SUM(student_scores[[#This Row],[math_score]:[geography_score]])</f>
        <v>565</v>
      </c>
      <c r="S442" s="3">
        <f>student_scores[[#This Row],[Total_Score]]/7</f>
        <v>80.714285714285708</v>
      </c>
      <c r="T442" s="3" t="str" cm="1">
        <f t="array" ref="T442">_xlfn.IFS(student_scores[[#This Row],[weekly_self_study_hours]]&lt;=5,   "0 - 5", student_scores[[#This Row],[weekly_self_study_hours]]&lt;=10,  "6 - 10", student_scores[[#This Row],[weekly_self_study_hours]]&lt;=20,  "11 - 20",student_scores[[#This Row],[weekly_self_study_hours]]&lt;=30, "21 - 30",TRUE, "31+")</f>
        <v>0 - 5</v>
      </c>
      <c r="U442" t="str" cm="1">
        <f t="array" ref="U442">_xlfn.IFS(student_scores[[#This Row],[absence_days]]=0,"0", student_scores[[#This Row],[absence_days]]&lt;=3,"1-3", student_scores[[#This Row],[absence_days]]&lt;=6,"4-6", TRUE,"7-10")</f>
        <v>1-3</v>
      </c>
      <c r="V442" t="str">
        <f>IF(student_scores[[#This Row],[Total_Score]] &gt;= _xlfn.PERCENTILE.INC(student_scores[Total_Score], 0.8), "Yes", "No")</f>
        <v>No</v>
      </c>
    </row>
    <row r="443" spans="1:22" x14ac:dyDescent="0.35">
      <c r="A443">
        <v>442</v>
      </c>
      <c r="B443" t="s">
        <v>984</v>
      </c>
      <c r="C443" t="s">
        <v>131</v>
      </c>
      <c r="D443" t="s">
        <v>985</v>
      </c>
      <c r="E443" t="s">
        <v>20</v>
      </c>
      <c r="F443" t="b">
        <v>0</v>
      </c>
      <c r="G443">
        <v>1</v>
      </c>
      <c r="H443" t="b">
        <v>0</v>
      </c>
      <c r="I443">
        <v>8</v>
      </c>
      <c r="J443" t="s">
        <v>172</v>
      </c>
      <c r="K443">
        <v>84</v>
      </c>
      <c r="L443">
        <v>74</v>
      </c>
      <c r="M443">
        <v>74</v>
      </c>
      <c r="N443">
        <v>75</v>
      </c>
      <c r="O443">
        <v>99</v>
      </c>
      <c r="P443">
        <v>99</v>
      </c>
      <c r="Q443">
        <v>85</v>
      </c>
      <c r="R443">
        <f>SUM(student_scores[[#This Row],[math_score]:[geography_score]])</f>
        <v>590</v>
      </c>
      <c r="S443" s="3">
        <f>student_scores[[#This Row],[Total_Score]]/7</f>
        <v>84.285714285714292</v>
      </c>
      <c r="T443" s="3" t="str" cm="1">
        <f t="array" ref="T443">_xlfn.IFS(student_scores[[#This Row],[weekly_self_study_hours]]&lt;=5,   "0 - 5", student_scores[[#This Row],[weekly_self_study_hours]]&lt;=10,  "6 - 10", student_scores[[#This Row],[weekly_self_study_hours]]&lt;=20,  "11 - 20",student_scores[[#This Row],[weekly_self_study_hours]]&lt;=30, "21 - 30",TRUE, "31+")</f>
        <v>6 - 10</v>
      </c>
      <c r="U443" t="str" cm="1">
        <f t="array" ref="U443">_xlfn.IFS(student_scores[[#This Row],[absence_days]]=0,"0", student_scores[[#This Row],[absence_days]]&lt;=3,"1-3", student_scores[[#This Row],[absence_days]]&lt;=6,"4-6", TRUE,"7-10")</f>
        <v>1-3</v>
      </c>
      <c r="V443" t="str">
        <f>IF(student_scores[[#This Row],[Total_Score]] &gt;= _xlfn.PERCENTILE.INC(student_scores[Total_Score], 0.8), "Yes", "No")</f>
        <v>No</v>
      </c>
    </row>
    <row r="444" spans="1:22" x14ac:dyDescent="0.35">
      <c r="A444">
        <v>443</v>
      </c>
      <c r="B444" t="s">
        <v>986</v>
      </c>
      <c r="C444" t="s">
        <v>48</v>
      </c>
      <c r="D444" t="s">
        <v>987</v>
      </c>
      <c r="E444" t="s">
        <v>25</v>
      </c>
      <c r="F444" t="b">
        <v>0</v>
      </c>
      <c r="G444">
        <v>7</v>
      </c>
      <c r="H444" t="b">
        <v>0</v>
      </c>
      <c r="I444">
        <v>9</v>
      </c>
      <c r="J444" t="s">
        <v>54</v>
      </c>
      <c r="K444">
        <v>61</v>
      </c>
      <c r="L444">
        <v>70</v>
      </c>
      <c r="M444">
        <v>65</v>
      </c>
      <c r="N444">
        <v>67</v>
      </c>
      <c r="O444">
        <v>93</v>
      </c>
      <c r="P444">
        <v>81</v>
      </c>
      <c r="Q444">
        <v>63</v>
      </c>
      <c r="R444">
        <f>SUM(student_scores[[#This Row],[math_score]:[geography_score]])</f>
        <v>500</v>
      </c>
      <c r="S444" s="3">
        <f>student_scores[[#This Row],[Total_Score]]/7</f>
        <v>71.428571428571431</v>
      </c>
      <c r="T444" s="3" t="str" cm="1">
        <f t="array" ref="T444">_xlfn.IFS(student_scores[[#This Row],[weekly_self_study_hours]]&lt;=5,   "0 - 5", student_scores[[#This Row],[weekly_self_study_hours]]&lt;=10,  "6 - 10", student_scores[[#This Row],[weekly_self_study_hours]]&lt;=20,  "11 - 20",student_scores[[#This Row],[weekly_self_study_hours]]&lt;=30, "21 - 30",TRUE, "31+")</f>
        <v>6 - 10</v>
      </c>
      <c r="U444" t="str" cm="1">
        <f t="array" ref="U444">_xlfn.IFS(student_scores[[#This Row],[absence_days]]=0,"0", student_scores[[#This Row],[absence_days]]&lt;=3,"1-3", student_scores[[#This Row],[absence_days]]&lt;=6,"4-6", TRUE,"7-10")</f>
        <v>7-10</v>
      </c>
      <c r="V444" t="str">
        <f>IF(student_scores[[#This Row],[Total_Score]] &gt;= _xlfn.PERCENTILE.INC(student_scores[Total_Score], 0.8), "Yes", "No")</f>
        <v>No</v>
      </c>
    </row>
    <row r="445" spans="1:22" x14ac:dyDescent="0.35">
      <c r="A445">
        <v>444</v>
      </c>
      <c r="B445" t="s">
        <v>266</v>
      </c>
      <c r="C445" t="s">
        <v>988</v>
      </c>
      <c r="D445" t="s">
        <v>989</v>
      </c>
      <c r="E445" t="s">
        <v>20</v>
      </c>
      <c r="F445" t="b">
        <v>0</v>
      </c>
      <c r="G445">
        <v>4</v>
      </c>
      <c r="H445" t="b">
        <v>0</v>
      </c>
      <c r="I445">
        <v>33</v>
      </c>
      <c r="J445" t="s">
        <v>44</v>
      </c>
      <c r="K445">
        <v>99</v>
      </c>
      <c r="L445">
        <v>87</v>
      </c>
      <c r="M445">
        <v>98</v>
      </c>
      <c r="N445">
        <v>76</v>
      </c>
      <c r="O445">
        <v>65</v>
      </c>
      <c r="P445">
        <v>94</v>
      </c>
      <c r="Q445">
        <v>67</v>
      </c>
      <c r="R445">
        <f>SUM(student_scores[[#This Row],[math_score]:[geography_score]])</f>
        <v>586</v>
      </c>
      <c r="S445" s="3">
        <f>student_scores[[#This Row],[Total_Score]]/7</f>
        <v>83.714285714285708</v>
      </c>
      <c r="T445" s="3" t="str" cm="1">
        <f t="array" ref="T445">_xlfn.IFS(student_scores[[#This Row],[weekly_self_study_hours]]&lt;=5,   "0 - 5", student_scores[[#This Row],[weekly_self_study_hours]]&lt;=10,  "6 - 10", student_scores[[#This Row],[weekly_self_study_hours]]&lt;=20,  "11 - 20",student_scores[[#This Row],[weekly_self_study_hours]]&lt;=30, "21 - 30",TRUE, "31+")</f>
        <v>31+</v>
      </c>
      <c r="U445" t="str" cm="1">
        <f t="array" ref="U445">_xlfn.IFS(student_scores[[#This Row],[absence_days]]=0,"0", student_scores[[#This Row],[absence_days]]&lt;=3,"1-3", student_scores[[#This Row],[absence_days]]&lt;=6,"4-6", TRUE,"7-10")</f>
        <v>4-6</v>
      </c>
      <c r="V445" t="str">
        <f>IF(student_scores[[#This Row],[Total_Score]] &gt;= _xlfn.PERCENTILE.INC(student_scores[Total_Score], 0.8), "Yes", "No")</f>
        <v>No</v>
      </c>
    </row>
    <row r="446" spans="1:22" x14ac:dyDescent="0.35">
      <c r="A446">
        <v>445</v>
      </c>
      <c r="B446" t="s">
        <v>202</v>
      </c>
      <c r="C446" t="s">
        <v>990</v>
      </c>
      <c r="D446" t="s">
        <v>991</v>
      </c>
      <c r="E446" t="s">
        <v>25</v>
      </c>
      <c r="F446" t="b">
        <v>0</v>
      </c>
      <c r="G446">
        <v>3</v>
      </c>
      <c r="H446" t="b">
        <v>0</v>
      </c>
      <c r="I446">
        <v>32</v>
      </c>
      <c r="J446" t="s">
        <v>113</v>
      </c>
      <c r="K446">
        <v>83</v>
      </c>
      <c r="L446">
        <v>69</v>
      </c>
      <c r="M446">
        <v>90</v>
      </c>
      <c r="N446">
        <v>78</v>
      </c>
      <c r="O446">
        <v>39</v>
      </c>
      <c r="P446">
        <v>95</v>
      </c>
      <c r="Q446">
        <v>82</v>
      </c>
      <c r="R446">
        <f>SUM(student_scores[[#This Row],[math_score]:[geography_score]])</f>
        <v>536</v>
      </c>
      <c r="S446" s="3">
        <f>student_scores[[#This Row],[Total_Score]]/7</f>
        <v>76.571428571428569</v>
      </c>
      <c r="T446" s="3" t="str" cm="1">
        <f t="array" ref="T446">_xlfn.IFS(student_scores[[#This Row],[weekly_self_study_hours]]&lt;=5,   "0 - 5", student_scores[[#This Row],[weekly_self_study_hours]]&lt;=10,  "6 - 10", student_scores[[#This Row],[weekly_self_study_hours]]&lt;=20,  "11 - 20",student_scores[[#This Row],[weekly_self_study_hours]]&lt;=30, "21 - 30",TRUE, "31+")</f>
        <v>31+</v>
      </c>
      <c r="U446" t="str" cm="1">
        <f t="array" ref="U446">_xlfn.IFS(student_scores[[#This Row],[absence_days]]=0,"0", student_scores[[#This Row],[absence_days]]&lt;=3,"1-3", student_scores[[#This Row],[absence_days]]&lt;=6,"4-6", TRUE,"7-10")</f>
        <v>1-3</v>
      </c>
      <c r="V446" t="str">
        <f>IF(student_scores[[#This Row],[Total_Score]] &gt;= _xlfn.PERCENTILE.INC(student_scores[Total_Score], 0.8), "Yes", "No")</f>
        <v>No</v>
      </c>
    </row>
    <row r="447" spans="1:22" x14ac:dyDescent="0.35">
      <c r="A447">
        <v>446</v>
      </c>
      <c r="B447" t="s">
        <v>248</v>
      </c>
      <c r="C447" t="s">
        <v>742</v>
      </c>
      <c r="D447" t="s">
        <v>992</v>
      </c>
      <c r="E447" t="s">
        <v>25</v>
      </c>
      <c r="F447" t="b">
        <v>1</v>
      </c>
      <c r="G447">
        <v>9</v>
      </c>
      <c r="H447" t="b">
        <v>0</v>
      </c>
      <c r="I447">
        <v>4</v>
      </c>
      <c r="J447" t="s">
        <v>64</v>
      </c>
      <c r="K447">
        <v>56</v>
      </c>
      <c r="L447">
        <v>90</v>
      </c>
      <c r="M447">
        <v>95</v>
      </c>
      <c r="N447">
        <v>59</v>
      </c>
      <c r="O447">
        <v>91</v>
      </c>
      <c r="P447">
        <v>77</v>
      </c>
      <c r="Q447">
        <v>99</v>
      </c>
      <c r="R447">
        <f>SUM(student_scores[[#This Row],[math_score]:[geography_score]])</f>
        <v>567</v>
      </c>
      <c r="S447" s="3">
        <f>student_scores[[#This Row],[Total_Score]]/7</f>
        <v>81</v>
      </c>
      <c r="T447" s="3" t="str" cm="1">
        <f t="array" ref="T447">_xlfn.IFS(student_scores[[#This Row],[weekly_self_study_hours]]&lt;=5,   "0 - 5", student_scores[[#This Row],[weekly_self_study_hours]]&lt;=10,  "6 - 10", student_scores[[#This Row],[weekly_self_study_hours]]&lt;=20,  "11 - 20",student_scores[[#This Row],[weekly_self_study_hours]]&lt;=30, "21 - 30",TRUE, "31+")</f>
        <v>0 - 5</v>
      </c>
      <c r="U447" t="str" cm="1">
        <f t="array" ref="U447">_xlfn.IFS(student_scores[[#This Row],[absence_days]]=0,"0", student_scores[[#This Row],[absence_days]]&lt;=3,"1-3", student_scores[[#This Row],[absence_days]]&lt;=6,"4-6", TRUE,"7-10")</f>
        <v>7-10</v>
      </c>
      <c r="V447" t="str">
        <f>IF(student_scores[[#This Row],[Total_Score]] &gt;= _xlfn.PERCENTILE.INC(student_scores[Total_Score], 0.8), "Yes", "No")</f>
        <v>No</v>
      </c>
    </row>
    <row r="448" spans="1:22" x14ac:dyDescent="0.35">
      <c r="A448">
        <v>447</v>
      </c>
      <c r="B448" t="s">
        <v>413</v>
      </c>
      <c r="C448" t="s">
        <v>993</v>
      </c>
      <c r="D448" t="s">
        <v>994</v>
      </c>
      <c r="E448" t="s">
        <v>20</v>
      </c>
      <c r="F448" t="b">
        <v>0</v>
      </c>
      <c r="G448">
        <v>2</v>
      </c>
      <c r="H448" t="b">
        <v>0</v>
      </c>
      <c r="I448">
        <v>2</v>
      </c>
      <c r="J448" t="s">
        <v>64</v>
      </c>
      <c r="K448">
        <v>65</v>
      </c>
      <c r="L448">
        <v>64</v>
      </c>
      <c r="M448">
        <v>52</v>
      </c>
      <c r="N448">
        <v>56</v>
      </c>
      <c r="O448">
        <v>63</v>
      </c>
      <c r="P448">
        <v>82</v>
      </c>
      <c r="Q448">
        <v>83</v>
      </c>
      <c r="R448">
        <f>SUM(student_scores[[#This Row],[math_score]:[geography_score]])</f>
        <v>465</v>
      </c>
      <c r="S448" s="3">
        <f>student_scores[[#This Row],[Total_Score]]/7</f>
        <v>66.428571428571431</v>
      </c>
      <c r="T448" s="3" t="str" cm="1">
        <f t="array" ref="T448">_xlfn.IFS(student_scores[[#This Row],[weekly_self_study_hours]]&lt;=5,   "0 - 5", student_scores[[#This Row],[weekly_self_study_hours]]&lt;=10,  "6 - 10", student_scores[[#This Row],[weekly_self_study_hours]]&lt;=20,  "11 - 20",student_scores[[#This Row],[weekly_self_study_hours]]&lt;=30, "21 - 30",TRUE, "31+")</f>
        <v>0 - 5</v>
      </c>
      <c r="U448" t="str" cm="1">
        <f t="array" ref="U448">_xlfn.IFS(student_scores[[#This Row],[absence_days]]=0,"0", student_scores[[#This Row],[absence_days]]&lt;=3,"1-3", student_scores[[#This Row],[absence_days]]&lt;=6,"4-6", TRUE,"7-10")</f>
        <v>1-3</v>
      </c>
      <c r="V448" t="str">
        <f>IF(student_scores[[#This Row],[Total_Score]] &gt;= _xlfn.PERCENTILE.INC(student_scores[Total_Score], 0.8), "Yes", "No")</f>
        <v>No</v>
      </c>
    </row>
    <row r="449" spans="1:22" x14ac:dyDescent="0.35">
      <c r="A449">
        <v>448</v>
      </c>
      <c r="B449" t="s">
        <v>568</v>
      </c>
      <c r="C449" t="s">
        <v>995</v>
      </c>
      <c r="D449" t="s">
        <v>996</v>
      </c>
      <c r="E449" t="s">
        <v>20</v>
      </c>
      <c r="F449" t="b">
        <v>0</v>
      </c>
      <c r="G449">
        <v>3</v>
      </c>
      <c r="H449" t="b">
        <v>0</v>
      </c>
      <c r="I449">
        <v>20</v>
      </c>
      <c r="J449" t="s">
        <v>123</v>
      </c>
      <c r="K449">
        <v>94</v>
      </c>
      <c r="L449">
        <v>61</v>
      </c>
      <c r="M449">
        <v>77</v>
      </c>
      <c r="N449">
        <v>73</v>
      </c>
      <c r="O449">
        <v>79</v>
      </c>
      <c r="P449">
        <v>65</v>
      </c>
      <c r="Q449">
        <v>89</v>
      </c>
      <c r="R449">
        <f>SUM(student_scores[[#This Row],[math_score]:[geography_score]])</f>
        <v>538</v>
      </c>
      <c r="S449" s="3">
        <f>student_scores[[#This Row],[Total_Score]]/7</f>
        <v>76.857142857142861</v>
      </c>
      <c r="T449" s="3" t="str" cm="1">
        <f t="array" ref="T449">_xlfn.IFS(student_scores[[#This Row],[weekly_self_study_hours]]&lt;=5,   "0 - 5", student_scores[[#This Row],[weekly_self_study_hours]]&lt;=10,  "6 - 10", student_scores[[#This Row],[weekly_self_study_hours]]&lt;=20,  "11 - 20",student_scores[[#This Row],[weekly_self_study_hours]]&lt;=30, "21 - 30",TRUE, "31+")</f>
        <v>11 - 20</v>
      </c>
      <c r="U449" t="str" cm="1">
        <f t="array" ref="U449">_xlfn.IFS(student_scores[[#This Row],[absence_days]]=0,"0", student_scores[[#This Row],[absence_days]]&lt;=3,"1-3", student_scores[[#This Row],[absence_days]]&lt;=6,"4-6", TRUE,"7-10")</f>
        <v>1-3</v>
      </c>
      <c r="V449" t="str">
        <f>IF(student_scores[[#This Row],[Total_Score]] &gt;= _xlfn.PERCENTILE.INC(student_scores[Total_Score], 0.8), "Yes", "No")</f>
        <v>No</v>
      </c>
    </row>
    <row r="450" spans="1:22" x14ac:dyDescent="0.35">
      <c r="A450">
        <v>449</v>
      </c>
      <c r="B450" t="s">
        <v>388</v>
      </c>
      <c r="C450" t="s">
        <v>997</v>
      </c>
      <c r="D450" t="s">
        <v>998</v>
      </c>
      <c r="E450" t="s">
        <v>25</v>
      </c>
      <c r="F450" t="b">
        <v>0</v>
      </c>
      <c r="G450">
        <v>1</v>
      </c>
      <c r="H450" t="b">
        <v>0</v>
      </c>
      <c r="I450">
        <v>21</v>
      </c>
      <c r="J450" t="s">
        <v>44</v>
      </c>
      <c r="K450">
        <v>90</v>
      </c>
      <c r="L450">
        <v>96</v>
      </c>
      <c r="M450">
        <v>73</v>
      </c>
      <c r="N450">
        <v>89</v>
      </c>
      <c r="O450">
        <v>93</v>
      </c>
      <c r="P450">
        <v>87</v>
      </c>
      <c r="Q450">
        <v>96</v>
      </c>
      <c r="R450">
        <f>SUM(student_scores[[#This Row],[math_score]:[geography_score]])</f>
        <v>624</v>
      </c>
      <c r="S450" s="3">
        <f>student_scores[[#This Row],[Total_Score]]/7</f>
        <v>89.142857142857139</v>
      </c>
      <c r="T450" s="3" t="str" cm="1">
        <f t="array" ref="T450">_xlfn.IFS(student_scores[[#This Row],[weekly_self_study_hours]]&lt;=5,   "0 - 5", student_scores[[#This Row],[weekly_self_study_hours]]&lt;=10,  "6 - 10", student_scores[[#This Row],[weekly_self_study_hours]]&lt;=20,  "11 - 20",student_scores[[#This Row],[weekly_self_study_hours]]&lt;=30, "21 - 30",TRUE, "31+")</f>
        <v>21 - 30</v>
      </c>
      <c r="U450" t="str" cm="1">
        <f t="array" ref="U450">_xlfn.IFS(student_scores[[#This Row],[absence_days]]=0,"0", student_scores[[#This Row],[absence_days]]&lt;=3,"1-3", student_scores[[#This Row],[absence_days]]&lt;=6,"4-6", TRUE,"7-10")</f>
        <v>1-3</v>
      </c>
      <c r="V450" t="str">
        <f>IF(student_scores[[#This Row],[Total_Score]] &gt;= _xlfn.PERCENTILE.INC(student_scores[Total_Score], 0.8), "Yes", "No")</f>
        <v>Yes</v>
      </c>
    </row>
    <row r="451" spans="1:22" x14ac:dyDescent="0.35">
      <c r="A451">
        <v>450</v>
      </c>
      <c r="B451" t="s">
        <v>999</v>
      </c>
      <c r="C451" t="s">
        <v>281</v>
      </c>
      <c r="D451" t="s">
        <v>1000</v>
      </c>
      <c r="E451" t="s">
        <v>25</v>
      </c>
      <c r="F451" t="b">
        <v>0</v>
      </c>
      <c r="G451">
        <v>3</v>
      </c>
      <c r="H451" t="b">
        <v>0</v>
      </c>
      <c r="I451">
        <v>29</v>
      </c>
      <c r="J451" t="s">
        <v>21</v>
      </c>
      <c r="K451">
        <v>94</v>
      </c>
      <c r="L451">
        <v>82</v>
      </c>
      <c r="M451">
        <v>81</v>
      </c>
      <c r="N451">
        <v>90</v>
      </c>
      <c r="O451">
        <v>76</v>
      </c>
      <c r="P451">
        <v>97</v>
      </c>
      <c r="Q451">
        <v>86</v>
      </c>
      <c r="R451">
        <f>SUM(student_scores[[#This Row],[math_score]:[geography_score]])</f>
        <v>606</v>
      </c>
      <c r="S451" s="3">
        <f>student_scores[[#This Row],[Total_Score]]/7</f>
        <v>86.571428571428569</v>
      </c>
      <c r="T451" s="3" t="str" cm="1">
        <f t="array" ref="T451">_xlfn.IFS(student_scores[[#This Row],[weekly_self_study_hours]]&lt;=5,   "0 - 5", student_scores[[#This Row],[weekly_self_study_hours]]&lt;=10,  "6 - 10", student_scores[[#This Row],[weekly_self_study_hours]]&lt;=20,  "11 - 20",student_scores[[#This Row],[weekly_self_study_hours]]&lt;=30, "21 - 30",TRUE, "31+")</f>
        <v>21 - 30</v>
      </c>
      <c r="U451" t="str" cm="1">
        <f t="array" ref="U451">_xlfn.IFS(student_scores[[#This Row],[absence_days]]=0,"0", student_scores[[#This Row],[absence_days]]&lt;=3,"1-3", student_scores[[#This Row],[absence_days]]&lt;=6,"4-6", TRUE,"7-10")</f>
        <v>1-3</v>
      </c>
      <c r="V451" t="str">
        <f>IF(student_scores[[#This Row],[Total_Score]] &gt;= _xlfn.PERCENTILE.INC(student_scores[Total_Score], 0.8), "Yes", "No")</f>
        <v>Yes</v>
      </c>
    </row>
    <row r="452" spans="1:22" x14ac:dyDescent="0.35">
      <c r="A452">
        <v>451</v>
      </c>
      <c r="B452" t="s">
        <v>1001</v>
      </c>
      <c r="C452" t="s">
        <v>135</v>
      </c>
      <c r="D452" t="s">
        <v>1002</v>
      </c>
      <c r="E452" t="s">
        <v>25</v>
      </c>
      <c r="F452" t="b">
        <v>0</v>
      </c>
      <c r="G452">
        <v>3</v>
      </c>
      <c r="H452" t="b">
        <v>0</v>
      </c>
      <c r="I452">
        <v>13</v>
      </c>
      <c r="J452" t="s">
        <v>38</v>
      </c>
      <c r="K452">
        <v>89</v>
      </c>
      <c r="L452">
        <v>87</v>
      </c>
      <c r="M452">
        <v>63</v>
      </c>
      <c r="N452">
        <v>83</v>
      </c>
      <c r="O452">
        <v>64</v>
      </c>
      <c r="P452">
        <v>85</v>
      </c>
      <c r="Q452">
        <v>72</v>
      </c>
      <c r="R452">
        <f>SUM(student_scores[[#This Row],[math_score]:[geography_score]])</f>
        <v>543</v>
      </c>
      <c r="S452" s="3">
        <f>student_scores[[#This Row],[Total_Score]]/7</f>
        <v>77.571428571428569</v>
      </c>
      <c r="T452" s="3" t="str" cm="1">
        <f t="array" ref="T452">_xlfn.IFS(student_scores[[#This Row],[weekly_self_study_hours]]&lt;=5,   "0 - 5", student_scores[[#This Row],[weekly_self_study_hours]]&lt;=10,  "6 - 10", student_scores[[#This Row],[weekly_self_study_hours]]&lt;=20,  "11 - 20",student_scores[[#This Row],[weekly_self_study_hours]]&lt;=30, "21 - 30",TRUE, "31+")</f>
        <v>11 - 20</v>
      </c>
      <c r="U452" t="str" cm="1">
        <f t="array" ref="U452">_xlfn.IFS(student_scores[[#This Row],[absence_days]]=0,"0", student_scores[[#This Row],[absence_days]]&lt;=3,"1-3", student_scores[[#This Row],[absence_days]]&lt;=6,"4-6", TRUE,"7-10")</f>
        <v>1-3</v>
      </c>
      <c r="V452" t="str">
        <f>IF(student_scores[[#This Row],[Total_Score]] &gt;= _xlfn.PERCENTILE.INC(student_scores[Total_Score], 0.8), "Yes", "No")</f>
        <v>No</v>
      </c>
    </row>
    <row r="453" spans="1:22" x14ac:dyDescent="0.35">
      <c r="A453">
        <v>452</v>
      </c>
      <c r="B453" t="s">
        <v>135</v>
      </c>
      <c r="C453" t="s">
        <v>551</v>
      </c>
      <c r="D453" t="s">
        <v>1003</v>
      </c>
      <c r="E453" t="s">
        <v>20</v>
      </c>
      <c r="F453" t="b">
        <v>0</v>
      </c>
      <c r="G453">
        <v>1</v>
      </c>
      <c r="H453" t="b">
        <v>0</v>
      </c>
      <c r="I453">
        <v>24</v>
      </c>
      <c r="J453" t="s">
        <v>113</v>
      </c>
      <c r="K453">
        <v>89</v>
      </c>
      <c r="L453">
        <v>67</v>
      </c>
      <c r="M453">
        <v>68</v>
      </c>
      <c r="N453">
        <v>93</v>
      </c>
      <c r="O453">
        <v>98</v>
      </c>
      <c r="P453">
        <v>75</v>
      </c>
      <c r="Q453">
        <v>88</v>
      </c>
      <c r="R453">
        <f>SUM(student_scores[[#This Row],[math_score]:[geography_score]])</f>
        <v>578</v>
      </c>
      <c r="S453" s="3">
        <f>student_scores[[#This Row],[Total_Score]]/7</f>
        <v>82.571428571428569</v>
      </c>
      <c r="T453" s="3" t="str" cm="1">
        <f t="array" ref="T453">_xlfn.IFS(student_scores[[#This Row],[weekly_self_study_hours]]&lt;=5,   "0 - 5", student_scores[[#This Row],[weekly_self_study_hours]]&lt;=10,  "6 - 10", student_scores[[#This Row],[weekly_self_study_hours]]&lt;=20,  "11 - 20",student_scores[[#This Row],[weekly_self_study_hours]]&lt;=30, "21 - 30",TRUE, "31+")</f>
        <v>21 - 30</v>
      </c>
      <c r="U453" t="str" cm="1">
        <f t="array" ref="U453">_xlfn.IFS(student_scores[[#This Row],[absence_days]]=0,"0", student_scores[[#This Row],[absence_days]]&lt;=3,"1-3", student_scores[[#This Row],[absence_days]]&lt;=6,"4-6", TRUE,"7-10")</f>
        <v>1-3</v>
      </c>
      <c r="V453" t="str">
        <f>IF(student_scores[[#This Row],[Total_Score]] &gt;= _xlfn.PERCENTILE.INC(student_scores[Total_Score], 0.8), "Yes", "No")</f>
        <v>No</v>
      </c>
    </row>
    <row r="454" spans="1:22" x14ac:dyDescent="0.35">
      <c r="A454">
        <v>453</v>
      </c>
      <c r="B454" t="s">
        <v>446</v>
      </c>
      <c r="C454" t="s">
        <v>515</v>
      </c>
      <c r="D454" t="s">
        <v>1004</v>
      </c>
      <c r="E454" t="s">
        <v>20</v>
      </c>
      <c r="F454" t="b">
        <v>0</v>
      </c>
      <c r="G454">
        <v>7</v>
      </c>
      <c r="H454" t="b">
        <v>0</v>
      </c>
      <c r="I454">
        <v>30</v>
      </c>
      <c r="J454" t="s">
        <v>26</v>
      </c>
      <c r="K454">
        <v>88</v>
      </c>
      <c r="L454">
        <v>98</v>
      </c>
      <c r="M454">
        <v>87</v>
      </c>
      <c r="N454">
        <v>85</v>
      </c>
      <c r="O454">
        <v>96</v>
      </c>
      <c r="P454">
        <v>77</v>
      </c>
      <c r="Q454">
        <v>96</v>
      </c>
      <c r="R454">
        <f>SUM(student_scores[[#This Row],[math_score]:[geography_score]])</f>
        <v>627</v>
      </c>
      <c r="S454" s="3">
        <f>student_scores[[#This Row],[Total_Score]]/7</f>
        <v>89.571428571428569</v>
      </c>
      <c r="T454" s="3" t="str" cm="1">
        <f t="array" ref="T454">_xlfn.IFS(student_scores[[#This Row],[weekly_self_study_hours]]&lt;=5,   "0 - 5", student_scores[[#This Row],[weekly_self_study_hours]]&lt;=10,  "6 - 10", student_scores[[#This Row],[weekly_self_study_hours]]&lt;=20,  "11 - 20",student_scores[[#This Row],[weekly_self_study_hours]]&lt;=30, "21 - 30",TRUE, "31+")</f>
        <v>21 - 30</v>
      </c>
      <c r="U454" t="str" cm="1">
        <f t="array" ref="U454">_xlfn.IFS(student_scores[[#This Row],[absence_days]]=0,"0", student_scores[[#This Row],[absence_days]]&lt;=3,"1-3", student_scores[[#This Row],[absence_days]]&lt;=6,"4-6", TRUE,"7-10")</f>
        <v>7-10</v>
      </c>
      <c r="V454" t="str">
        <f>IF(student_scores[[#This Row],[Total_Score]] &gt;= _xlfn.PERCENTILE.INC(student_scores[Total_Score], 0.8), "Yes", "No")</f>
        <v>Yes</v>
      </c>
    </row>
    <row r="455" spans="1:22" x14ac:dyDescent="0.35">
      <c r="A455">
        <v>454</v>
      </c>
      <c r="B455" t="s">
        <v>568</v>
      </c>
      <c r="C455" t="s">
        <v>1005</v>
      </c>
      <c r="D455" t="s">
        <v>1006</v>
      </c>
      <c r="E455" t="s">
        <v>20</v>
      </c>
      <c r="F455" t="b">
        <v>0</v>
      </c>
      <c r="G455">
        <v>1</v>
      </c>
      <c r="H455" t="b">
        <v>0</v>
      </c>
      <c r="I455">
        <v>25</v>
      </c>
      <c r="J455" t="s">
        <v>172</v>
      </c>
      <c r="K455">
        <v>76</v>
      </c>
      <c r="L455">
        <v>94</v>
      </c>
      <c r="M455">
        <v>90</v>
      </c>
      <c r="N455">
        <v>75</v>
      </c>
      <c r="O455">
        <v>92</v>
      </c>
      <c r="P455">
        <v>86</v>
      </c>
      <c r="Q455">
        <v>87</v>
      </c>
      <c r="R455">
        <f>SUM(student_scores[[#This Row],[math_score]:[geography_score]])</f>
        <v>600</v>
      </c>
      <c r="S455" s="3">
        <f>student_scores[[#This Row],[Total_Score]]/7</f>
        <v>85.714285714285708</v>
      </c>
      <c r="T455" s="3" t="str" cm="1">
        <f t="array" ref="T455">_xlfn.IFS(student_scores[[#This Row],[weekly_self_study_hours]]&lt;=5,   "0 - 5", student_scores[[#This Row],[weekly_self_study_hours]]&lt;=10,  "6 - 10", student_scores[[#This Row],[weekly_self_study_hours]]&lt;=20,  "11 - 20",student_scores[[#This Row],[weekly_self_study_hours]]&lt;=30, "21 - 30",TRUE, "31+")</f>
        <v>21 - 30</v>
      </c>
      <c r="U455" t="str" cm="1">
        <f t="array" ref="U455">_xlfn.IFS(student_scores[[#This Row],[absence_days]]=0,"0", student_scores[[#This Row],[absence_days]]&lt;=3,"1-3", student_scores[[#This Row],[absence_days]]&lt;=6,"4-6", TRUE,"7-10")</f>
        <v>1-3</v>
      </c>
      <c r="V455" t="str">
        <f>IF(student_scores[[#This Row],[Total_Score]] &gt;= _xlfn.PERCENTILE.INC(student_scores[Total_Score], 0.8), "Yes", "No")</f>
        <v>No</v>
      </c>
    </row>
    <row r="456" spans="1:22" x14ac:dyDescent="0.35">
      <c r="A456">
        <v>455</v>
      </c>
      <c r="B456" t="s">
        <v>1007</v>
      </c>
      <c r="C456" t="s">
        <v>281</v>
      </c>
      <c r="D456" t="s">
        <v>1008</v>
      </c>
      <c r="E456" t="s">
        <v>20</v>
      </c>
      <c r="F456" t="b">
        <v>0</v>
      </c>
      <c r="G456">
        <v>1</v>
      </c>
      <c r="H456" t="b">
        <v>0</v>
      </c>
      <c r="I456">
        <v>1</v>
      </c>
      <c r="J456" t="s">
        <v>123</v>
      </c>
      <c r="K456">
        <v>88</v>
      </c>
      <c r="L456">
        <v>78</v>
      </c>
      <c r="M456">
        <v>84</v>
      </c>
      <c r="N456">
        <v>96</v>
      </c>
      <c r="O456">
        <v>92</v>
      </c>
      <c r="P456">
        <v>99</v>
      </c>
      <c r="Q456">
        <v>97</v>
      </c>
      <c r="R456">
        <f>SUM(student_scores[[#This Row],[math_score]:[geography_score]])</f>
        <v>634</v>
      </c>
      <c r="S456" s="3">
        <f>student_scores[[#This Row],[Total_Score]]/7</f>
        <v>90.571428571428569</v>
      </c>
      <c r="T456" s="3" t="str" cm="1">
        <f t="array" ref="T456">_xlfn.IFS(student_scores[[#This Row],[weekly_self_study_hours]]&lt;=5,   "0 - 5", student_scores[[#This Row],[weekly_self_study_hours]]&lt;=10,  "6 - 10", student_scores[[#This Row],[weekly_self_study_hours]]&lt;=20,  "11 - 20",student_scores[[#This Row],[weekly_self_study_hours]]&lt;=30, "21 - 30",TRUE, "31+")</f>
        <v>0 - 5</v>
      </c>
      <c r="U456" t="str" cm="1">
        <f t="array" ref="U456">_xlfn.IFS(student_scores[[#This Row],[absence_days]]=0,"0", student_scores[[#This Row],[absence_days]]&lt;=3,"1-3", student_scores[[#This Row],[absence_days]]&lt;=6,"4-6", TRUE,"7-10")</f>
        <v>1-3</v>
      </c>
      <c r="V456" t="str">
        <f>IF(student_scores[[#This Row],[Total_Score]] &gt;= _xlfn.PERCENTILE.INC(student_scores[Total_Score], 0.8), "Yes", "No")</f>
        <v>Yes</v>
      </c>
    </row>
    <row r="457" spans="1:22" x14ac:dyDescent="0.35">
      <c r="A457">
        <v>456</v>
      </c>
      <c r="B457" t="s">
        <v>1009</v>
      </c>
      <c r="C457" t="s">
        <v>682</v>
      </c>
      <c r="D457" t="s">
        <v>1010</v>
      </c>
      <c r="E457" t="s">
        <v>20</v>
      </c>
      <c r="F457" t="b">
        <v>0</v>
      </c>
      <c r="G457">
        <v>4</v>
      </c>
      <c r="H457" t="b">
        <v>0</v>
      </c>
      <c r="I457">
        <v>27</v>
      </c>
      <c r="J457" t="s">
        <v>44</v>
      </c>
      <c r="K457">
        <v>88</v>
      </c>
      <c r="L457">
        <v>76</v>
      </c>
      <c r="M457">
        <v>80</v>
      </c>
      <c r="N457">
        <v>72</v>
      </c>
      <c r="O457">
        <v>100</v>
      </c>
      <c r="P457">
        <v>69</v>
      </c>
      <c r="Q457">
        <v>71</v>
      </c>
      <c r="R457">
        <f>SUM(student_scores[[#This Row],[math_score]:[geography_score]])</f>
        <v>556</v>
      </c>
      <c r="S457" s="3">
        <f>student_scores[[#This Row],[Total_Score]]/7</f>
        <v>79.428571428571431</v>
      </c>
      <c r="T457" s="3" t="str" cm="1">
        <f t="array" ref="T457">_xlfn.IFS(student_scores[[#This Row],[weekly_self_study_hours]]&lt;=5,   "0 - 5", student_scores[[#This Row],[weekly_self_study_hours]]&lt;=10,  "6 - 10", student_scores[[#This Row],[weekly_self_study_hours]]&lt;=20,  "11 - 20",student_scores[[#This Row],[weekly_self_study_hours]]&lt;=30, "21 - 30",TRUE, "31+")</f>
        <v>21 - 30</v>
      </c>
      <c r="U457" t="str" cm="1">
        <f t="array" ref="U457">_xlfn.IFS(student_scores[[#This Row],[absence_days]]=0,"0", student_scores[[#This Row],[absence_days]]&lt;=3,"1-3", student_scores[[#This Row],[absence_days]]&lt;=6,"4-6", TRUE,"7-10")</f>
        <v>4-6</v>
      </c>
      <c r="V457" t="str">
        <f>IF(student_scores[[#This Row],[Total_Score]] &gt;= _xlfn.PERCENTILE.INC(student_scores[Total_Score], 0.8), "Yes", "No")</f>
        <v>No</v>
      </c>
    </row>
    <row r="458" spans="1:22" x14ac:dyDescent="0.35">
      <c r="A458">
        <v>457</v>
      </c>
      <c r="B458" t="s">
        <v>881</v>
      </c>
      <c r="C458" t="s">
        <v>288</v>
      </c>
      <c r="D458" t="s">
        <v>1011</v>
      </c>
      <c r="E458" t="s">
        <v>20</v>
      </c>
      <c r="F458" t="b">
        <v>0</v>
      </c>
      <c r="G458">
        <v>0</v>
      </c>
      <c r="H458" t="b">
        <v>1</v>
      </c>
      <c r="I458">
        <v>4</v>
      </c>
      <c r="J458" t="s">
        <v>224</v>
      </c>
      <c r="K458">
        <v>54</v>
      </c>
      <c r="L458">
        <v>88</v>
      </c>
      <c r="M458">
        <v>82</v>
      </c>
      <c r="N458">
        <v>89</v>
      </c>
      <c r="O458">
        <v>72</v>
      </c>
      <c r="P458">
        <v>60</v>
      </c>
      <c r="Q458">
        <v>69</v>
      </c>
      <c r="R458">
        <f>SUM(student_scores[[#This Row],[math_score]:[geography_score]])</f>
        <v>514</v>
      </c>
      <c r="S458" s="3">
        <f>student_scores[[#This Row],[Total_Score]]/7</f>
        <v>73.428571428571431</v>
      </c>
      <c r="T458" s="3" t="str" cm="1">
        <f t="array" ref="T458">_xlfn.IFS(student_scores[[#This Row],[weekly_self_study_hours]]&lt;=5,   "0 - 5", student_scores[[#This Row],[weekly_self_study_hours]]&lt;=10,  "6 - 10", student_scores[[#This Row],[weekly_self_study_hours]]&lt;=20,  "11 - 20",student_scores[[#This Row],[weekly_self_study_hours]]&lt;=30, "21 - 30",TRUE, "31+")</f>
        <v>0 - 5</v>
      </c>
      <c r="U458" t="str" cm="1">
        <f t="array" ref="U458">_xlfn.IFS(student_scores[[#This Row],[absence_days]]=0,"0", student_scores[[#This Row],[absence_days]]&lt;=3,"1-3", student_scores[[#This Row],[absence_days]]&lt;=6,"4-6", TRUE,"7-10")</f>
        <v>0</v>
      </c>
      <c r="V458" t="str">
        <f>IF(student_scores[[#This Row],[Total_Score]] &gt;= _xlfn.PERCENTILE.INC(student_scores[Total_Score], 0.8), "Yes", "No")</f>
        <v>No</v>
      </c>
    </row>
    <row r="459" spans="1:22" x14ac:dyDescent="0.35">
      <c r="A459">
        <v>458</v>
      </c>
      <c r="B459" t="s">
        <v>230</v>
      </c>
      <c r="C459" t="s">
        <v>1012</v>
      </c>
      <c r="D459" t="s">
        <v>1013</v>
      </c>
      <c r="E459" t="s">
        <v>25</v>
      </c>
      <c r="F459" t="b">
        <v>0</v>
      </c>
      <c r="G459">
        <v>2</v>
      </c>
      <c r="H459" t="b">
        <v>1</v>
      </c>
      <c r="I459">
        <v>32</v>
      </c>
      <c r="J459" t="s">
        <v>105</v>
      </c>
      <c r="K459">
        <v>87</v>
      </c>
      <c r="L459">
        <v>87</v>
      </c>
      <c r="M459">
        <v>76</v>
      </c>
      <c r="N459">
        <v>67</v>
      </c>
      <c r="O459">
        <v>68</v>
      </c>
      <c r="P459">
        <v>89</v>
      </c>
      <c r="Q459">
        <v>77</v>
      </c>
      <c r="R459">
        <f>SUM(student_scores[[#This Row],[math_score]:[geography_score]])</f>
        <v>551</v>
      </c>
      <c r="S459" s="3">
        <f>student_scores[[#This Row],[Total_Score]]/7</f>
        <v>78.714285714285708</v>
      </c>
      <c r="T459" s="3" t="str" cm="1">
        <f t="array" ref="T459">_xlfn.IFS(student_scores[[#This Row],[weekly_self_study_hours]]&lt;=5,   "0 - 5", student_scores[[#This Row],[weekly_self_study_hours]]&lt;=10,  "6 - 10", student_scores[[#This Row],[weekly_self_study_hours]]&lt;=20,  "11 - 20",student_scores[[#This Row],[weekly_self_study_hours]]&lt;=30, "21 - 30",TRUE, "31+")</f>
        <v>31+</v>
      </c>
      <c r="U459" t="str" cm="1">
        <f t="array" ref="U459">_xlfn.IFS(student_scores[[#This Row],[absence_days]]=0,"0", student_scores[[#This Row],[absence_days]]&lt;=3,"1-3", student_scores[[#This Row],[absence_days]]&lt;=6,"4-6", TRUE,"7-10")</f>
        <v>1-3</v>
      </c>
      <c r="V459" t="str">
        <f>IF(student_scores[[#This Row],[Total_Score]] &gt;= _xlfn.PERCENTILE.INC(student_scores[Total_Score], 0.8), "Yes", "No")</f>
        <v>No</v>
      </c>
    </row>
    <row r="460" spans="1:22" x14ac:dyDescent="0.35">
      <c r="A460">
        <v>459</v>
      </c>
      <c r="B460" t="s">
        <v>351</v>
      </c>
      <c r="C460" t="s">
        <v>934</v>
      </c>
      <c r="D460" t="s">
        <v>1014</v>
      </c>
      <c r="E460" t="s">
        <v>25</v>
      </c>
      <c r="F460" t="b">
        <v>0</v>
      </c>
      <c r="G460">
        <v>1</v>
      </c>
      <c r="H460" t="b">
        <v>0</v>
      </c>
      <c r="I460">
        <v>1</v>
      </c>
      <c r="J460" t="s">
        <v>34</v>
      </c>
      <c r="K460">
        <v>95</v>
      </c>
      <c r="L460">
        <v>73</v>
      </c>
      <c r="M460">
        <v>79</v>
      </c>
      <c r="N460">
        <v>81</v>
      </c>
      <c r="O460">
        <v>82</v>
      </c>
      <c r="P460">
        <v>69</v>
      </c>
      <c r="Q460">
        <v>100</v>
      </c>
      <c r="R460">
        <f>SUM(student_scores[[#This Row],[math_score]:[geography_score]])</f>
        <v>579</v>
      </c>
      <c r="S460" s="3">
        <f>student_scores[[#This Row],[Total_Score]]/7</f>
        <v>82.714285714285708</v>
      </c>
      <c r="T460" s="3" t="str" cm="1">
        <f t="array" ref="T460">_xlfn.IFS(student_scores[[#This Row],[weekly_self_study_hours]]&lt;=5,   "0 - 5", student_scores[[#This Row],[weekly_self_study_hours]]&lt;=10,  "6 - 10", student_scores[[#This Row],[weekly_self_study_hours]]&lt;=20,  "11 - 20",student_scores[[#This Row],[weekly_self_study_hours]]&lt;=30, "21 - 30",TRUE, "31+")</f>
        <v>0 - 5</v>
      </c>
      <c r="U460" t="str" cm="1">
        <f t="array" ref="U460">_xlfn.IFS(student_scores[[#This Row],[absence_days]]=0,"0", student_scores[[#This Row],[absence_days]]&lt;=3,"1-3", student_scores[[#This Row],[absence_days]]&lt;=6,"4-6", TRUE,"7-10")</f>
        <v>1-3</v>
      </c>
      <c r="V460" t="str">
        <f>IF(student_scores[[#This Row],[Total_Score]] &gt;= _xlfn.PERCENTILE.INC(student_scores[Total_Score], 0.8), "Yes", "No")</f>
        <v>No</v>
      </c>
    </row>
    <row r="461" spans="1:22" x14ac:dyDescent="0.35">
      <c r="A461">
        <v>460</v>
      </c>
      <c r="B461" t="s">
        <v>999</v>
      </c>
      <c r="C461" t="s">
        <v>231</v>
      </c>
      <c r="D461" t="s">
        <v>1015</v>
      </c>
      <c r="E461" t="s">
        <v>25</v>
      </c>
      <c r="F461" t="b">
        <v>0</v>
      </c>
      <c r="G461">
        <v>2</v>
      </c>
      <c r="H461" t="b">
        <v>0</v>
      </c>
      <c r="I461">
        <v>32</v>
      </c>
      <c r="J461" t="s">
        <v>123</v>
      </c>
      <c r="K461">
        <v>72</v>
      </c>
      <c r="L461">
        <v>72</v>
      </c>
      <c r="M461">
        <v>68</v>
      </c>
      <c r="N461">
        <v>81</v>
      </c>
      <c r="O461">
        <v>95</v>
      </c>
      <c r="P461">
        <v>90</v>
      </c>
      <c r="Q461">
        <v>99</v>
      </c>
      <c r="R461">
        <f>SUM(student_scores[[#This Row],[math_score]:[geography_score]])</f>
        <v>577</v>
      </c>
      <c r="S461" s="3">
        <f>student_scores[[#This Row],[Total_Score]]/7</f>
        <v>82.428571428571431</v>
      </c>
      <c r="T461" s="3" t="str" cm="1">
        <f t="array" ref="T461">_xlfn.IFS(student_scores[[#This Row],[weekly_self_study_hours]]&lt;=5,   "0 - 5", student_scores[[#This Row],[weekly_self_study_hours]]&lt;=10,  "6 - 10", student_scores[[#This Row],[weekly_self_study_hours]]&lt;=20,  "11 - 20",student_scores[[#This Row],[weekly_self_study_hours]]&lt;=30, "21 - 30",TRUE, "31+")</f>
        <v>31+</v>
      </c>
      <c r="U461" t="str" cm="1">
        <f t="array" ref="U461">_xlfn.IFS(student_scores[[#This Row],[absence_days]]=0,"0", student_scores[[#This Row],[absence_days]]&lt;=3,"1-3", student_scores[[#This Row],[absence_days]]&lt;=6,"4-6", TRUE,"7-10")</f>
        <v>1-3</v>
      </c>
      <c r="V461" t="str">
        <f>IF(student_scores[[#This Row],[Total_Score]] &gt;= _xlfn.PERCENTILE.INC(student_scores[Total_Score], 0.8), "Yes", "No")</f>
        <v>No</v>
      </c>
    </row>
    <row r="462" spans="1:22" x14ac:dyDescent="0.35">
      <c r="A462">
        <v>461</v>
      </c>
      <c r="B462" t="s">
        <v>715</v>
      </c>
      <c r="C462" t="s">
        <v>1016</v>
      </c>
      <c r="D462" t="s">
        <v>1017</v>
      </c>
      <c r="E462" t="s">
        <v>25</v>
      </c>
      <c r="F462" t="b">
        <v>0</v>
      </c>
      <c r="G462">
        <v>1</v>
      </c>
      <c r="H462" t="b">
        <v>1</v>
      </c>
      <c r="I462">
        <v>4</v>
      </c>
      <c r="J462" t="s">
        <v>224</v>
      </c>
      <c r="K462">
        <v>95</v>
      </c>
      <c r="L462">
        <v>76</v>
      </c>
      <c r="M462">
        <v>70</v>
      </c>
      <c r="N462">
        <v>89</v>
      </c>
      <c r="O462">
        <v>88</v>
      </c>
      <c r="P462">
        <v>87</v>
      </c>
      <c r="Q462">
        <v>62</v>
      </c>
      <c r="R462">
        <f>SUM(student_scores[[#This Row],[math_score]:[geography_score]])</f>
        <v>567</v>
      </c>
      <c r="S462" s="3">
        <f>student_scores[[#This Row],[Total_Score]]/7</f>
        <v>81</v>
      </c>
      <c r="T462" s="3" t="str" cm="1">
        <f t="array" ref="T462">_xlfn.IFS(student_scores[[#This Row],[weekly_self_study_hours]]&lt;=5,   "0 - 5", student_scores[[#This Row],[weekly_self_study_hours]]&lt;=10,  "6 - 10", student_scores[[#This Row],[weekly_self_study_hours]]&lt;=20,  "11 - 20",student_scores[[#This Row],[weekly_self_study_hours]]&lt;=30, "21 - 30",TRUE, "31+")</f>
        <v>0 - 5</v>
      </c>
      <c r="U462" t="str" cm="1">
        <f t="array" ref="U462">_xlfn.IFS(student_scores[[#This Row],[absence_days]]=0,"0", student_scores[[#This Row],[absence_days]]&lt;=3,"1-3", student_scores[[#This Row],[absence_days]]&lt;=6,"4-6", TRUE,"7-10")</f>
        <v>1-3</v>
      </c>
      <c r="V462" t="str">
        <f>IF(student_scores[[#This Row],[Total_Score]] &gt;= _xlfn.PERCENTILE.INC(student_scores[Total_Score], 0.8), "Yes", "No")</f>
        <v>No</v>
      </c>
    </row>
    <row r="463" spans="1:22" x14ac:dyDescent="0.35">
      <c r="A463">
        <v>462</v>
      </c>
      <c r="B463" t="s">
        <v>830</v>
      </c>
      <c r="C463" t="s">
        <v>74</v>
      </c>
      <c r="D463" t="s">
        <v>1018</v>
      </c>
      <c r="E463" t="s">
        <v>20</v>
      </c>
      <c r="F463" t="b">
        <v>0</v>
      </c>
      <c r="G463">
        <v>4</v>
      </c>
      <c r="H463" t="b">
        <v>0</v>
      </c>
      <c r="I463">
        <v>28</v>
      </c>
      <c r="J463" t="s">
        <v>44</v>
      </c>
      <c r="K463">
        <v>91</v>
      </c>
      <c r="L463">
        <v>97</v>
      </c>
      <c r="M463">
        <v>86</v>
      </c>
      <c r="N463">
        <v>77</v>
      </c>
      <c r="O463">
        <v>83</v>
      </c>
      <c r="P463">
        <v>79</v>
      </c>
      <c r="Q463">
        <v>62</v>
      </c>
      <c r="R463">
        <f>SUM(student_scores[[#This Row],[math_score]:[geography_score]])</f>
        <v>575</v>
      </c>
      <c r="S463" s="3">
        <f>student_scores[[#This Row],[Total_Score]]/7</f>
        <v>82.142857142857139</v>
      </c>
      <c r="T463" s="3" t="str" cm="1">
        <f t="array" ref="T463">_xlfn.IFS(student_scores[[#This Row],[weekly_self_study_hours]]&lt;=5,   "0 - 5", student_scores[[#This Row],[weekly_self_study_hours]]&lt;=10,  "6 - 10", student_scores[[#This Row],[weekly_self_study_hours]]&lt;=20,  "11 - 20",student_scores[[#This Row],[weekly_self_study_hours]]&lt;=30, "21 - 30",TRUE, "31+")</f>
        <v>21 - 30</v>
      </c>
      <c r="U463" t="str" cm="1">
        <f t="array" ref="U463">_xlfn.IFS(student_scores[[#This Row],[absence_days]]=0,"0", student_scores[[#This Row],[absence_days]]&lt;=3,"1-3", student_scores[[#This Row],[absence_days]]&lt;=6,"4-6", TRUE,"7-10")</f>
        <v>4-6</v>
      </c>
      <c r="V463" t="str">
        <f>IF(student_scores[[#This Row],[Total_Score]] &gt;= _xlfn.PERCENTILE.INC(student_scores[Total_Score], 0.8), "Yes", "No")</f>
        <v>No</v>
      </c>
    </row>
    <row r="464" spans="1:22" x14ac:dyDescent="0.35">
      <c r="A464">
        <v>463</v>
      </c>
      <c r="B464" t="s">
        <v>146</v>
      </c>
      <c r="C464" t="s">
        <v>707</v>
      </c>
      <c r="D464" t="s">
        <v>1019</v>
      </c>
      <c r="E464" t="s">
        <v>25</v>
      </c>
      <c r="F464" t="b">
        <v>0</v>
      </c>
      <c r="G464">
        <v>3</v>
      </c>
      <c r="H464" t="b">
        <v>1</v>
      </c>
      <c r="I464">
        <v>32</v>
      </c>
      <c r="J464" t="s">
        <v>21</v>
      </c>
      <c r="K464">
        <v>79</v>
      </c>
      <c r="L464">
        <v>81</v>
      </c>
      <c r="M464">
        <v>63</v>
      </c>
      <c r="N464">
        <v>79</v>
      </c>
      <c r="O464">
        <v>96</v>
      </c>
      <c r="P464">
        <v>96</v>
      </c>
      <c r="Q464">
        <v>89</v>
      </c>
      <c r="R464">
        <f>SUM(student_scores[[#This Row],[math_score]:[geography_score]])</f>
        <v>583</v>
      </c>
      <c r="S464" s="3">
        <f>student_scores[[#This Row],[Total_Score]]/7</f>
        <v>83.285714285714292</v>
      </c>
      <c r="T464" s="3" t="str" cm="1">
        <f t="array" ref="T464">_xlfn.IFS(student_scores[[#This Row],[weekly_self_study_hours]]&lt;=5,   "0 - 5", student_scores[[#This Row],[weekly_self_study_hours]]&lt;=10,  "6 - 10", student_scores[[#This Row],[weekly_self_study_hours]]&lt;=20,  "11 - 20",student_scores[[#This Row],[weekly_self_study_hours]]&lt;=30, "21 - 30",TRUE, "31+")</f>
        <v>31+</v>
      </c>
      <c r="U464" t="str" cm="1">
        <f t="array" ref="U464">_xlfn.IFS(student_scores[[#This Row],[absence_days]]=0,"0", student_scores[[#This Row],[absence_days]]&lt;=3,"1-3", student_scores[[#This Row],[absence_days]]&lt;=6,"4-6", TRUE,"7-10")</f>
        <v>1-3</v>
      </c>
      <c r="V464" t="str">
        <f>IF(student_scores[[#This Row],[Total_Score]] &gt;= _xlfn.PERCENTILE.INC(student_scores[Total_Score], 0.8), "Yes", "No")</f>
        <v>No</v>
      </c>
    </row>
    <row r="465" spans="1:22" x14ac:dyDescent="0.35">
      <c r="A465">
        <v>464</v>
      </c>
      <c r="B465" t="s">
        <v>173</v>
      </c>
      <c r="C465" t="s">
        <v>98</v>
      </c>
      <c r="D465" t="s">
        <v>1020</v>
      </c>
      <c r="E465" t="s">
        <v>25</v>
      </c>
      <c r="F465" t="b">
        <v>0</v>
      </c>
      <c r="G465">
        <v>1</v>
      </c>
      <c r="H465" t="b">
        <v>0</v>
      </c>
      <c r="I465">
        <v>33</v>
      </c>
      <c r="J465" t="s">
        <v>26</v>
      </c>
      <c r="K465">
        <v>80</v>
      </c>
      <c r="L465">
        <v>71</v>
      </c>
      <c r="M465">
        <v>94</v>
      </c>
      <c r="N465">
        <v>92</v>
      </c>
      <c r="O465">
        <v>92</v>
      </c>
      <c r="P465">
        <v>60</v>
      </c>
      <c r="Q465">
        <v>78</v>
      </c>
      <c r="R465">
        <f>SUM(student_scores[[#This Row],[math_score]:[geography_score]])</f>
        <v>567</v>
      </c>
      <c r="S465" s="3">
        <f>student_scores[[#This Row],[Total_Score]]/7</f>
        <v>81</v>
      </c>
      <c r="T465" s="3" t="str" cm="1">
        <f t="array" ref="T465">_xlfn.IFS(student_scores[[#This Row],[weekly_self_study_hours]]&lt;=5,   "0 - 5", student_scores[[#This Row],[weekly_self_study_hours]]&lt;=10,  "6 - 10", student_scores[[#This Row],[weekly_self_study_hours]]&lt;=20,  "11 - 20",student_scores[[#This Row],[weekly_self_study_hours]]&lt;=30, "21 - 30",TRUE, "31+")</f>
        <v>31+</v>
      </c>
      <c r="U465" t="str" cm="1">
        <f t="array" ref="U465">_xlfn.IFS(student_scores[[#This Row],[absence_days]]=0,"0", student_scores[[#This Row],[absence_days]]&lt;=3,"1-3", student_scores[[#This Row],[absence_days]]&lt;=6,"4-6", TRUE,"7-10")</f>
        <v>1-3</v>
      </c>
      <c r="V465" t="str">
        <f>IF(student_scores[[#This Row],[Total_Score]] &gt;= _xlfn.PERCENTILE.INC(student_scores[Total_Score], 0.8), "Yes", "No")</f>
        <v>No</v>
      </c>
    </row>
    <row r="466" spans="1:22" x14ac:dyDescent="0.35">
      <c r="A466">
        <v>465</v>
      </c>
      <c r="B466" t="s">
        <v>1021</v>
      </c>
      <c r="C466" t="s">
        <v>136</v>
      </c>
      <c r="D466" t="s">
        <v>1022</v>
      </c>
      <c r="E466" t="s">
        <v>20</v>
      </c>
      <c r="F466" t="b">
        <v>1</v>
      </c>
      <c r="G466">
        <v>2</v>
      </c>
      <c r="H466" t="b">
        <v>0</v>
      </c>
      <c r="I466">
        <v>4</v>
      </c>
      <c r="J466" t="s">
        <v>64</v>
      </c>
      <c r="K466">
        <v>86</v>
      </c>
      <c r="L466">
        <v>90</v>
      </c>
      <c r="M466">
        <v>88</v>
      </c>
      <c r="N466">
        <v>73</v>
      </c>
      <c r="O466">
        <v>50</v>
      </c>
      <c r="P466">
        <v>93</v>
      </c>
      <c r="Q466">
        <v>71</v>
      </c>
      <c r="R466">
        <f>SUM(student_scores[[#This Row],[math_score]:[geography_score]])</f>
        <v>551</v>
      </c>
      <c r="S466" s="3">
        <f>student_scores[[#This Row],[Total_Score]]/7</f>
        <v>78.714285714285708</v>
      </c>
      <c r="T466" s="3" t="str" cm="1">
        <f t="array" ref="T466">_xlfn.IFS(student_scores[[#This Row],[weekly_self_study_hours]]&lt;=5,   "0 - 5", student_scores[[#This Row],[weekly_self_study_hours]]&lt;=10,  "6 - 10", student_scores[[#This Row],[weekly_self_study_hours]]&lt;=20,  "11 - 20",student_scores[[#This Row],[weekly_self_study_hours]]&lt;=30, "21 - 30",TRUE, "31+")</f>
        <v>0 - 5</v>
      </c>
      <c r="U466" t="str" cm="1">
        <f t="array" ref="U466">_xlfn.IFS(student_scores[[#This Row],[absence_days]]=0,"0", student_scores[[#This Row],[absence_days]]&lt;=3,"1-3", student_scores[[#This Row],[absence_days]]&lt;=6,"4-6", TRUE,"7-10")</f>
        <v>1-3</v>
      </c>
      <c r="V466" t="str">
        <f>IF(student_scores[[#This Row],[Total_Score]] &gt;= _xlfn.PERCENTILE.INC(student_scores[Total_Score], 0.8), "Yes", "No")</f>
        <v>No</v>
      </c>
    </row>
    <row r="467" spans="1:22" x14ac:dyDescent="0.35">
      <c r="A467">
        <v>466</v>
      </c>
      <c r="B467" t="s">
        <v>447</v>
      </c>
      <c r="C467" t="s">
        <v>977</v>
      </c>
      <c r="D467" t="s">
        <v>1023</v>
      </c>
      <c r="E467" t="s">
        <v>20</v>
      </c>
      <c r="F467" t="b">
        <v>0</v>
      </c>
      <c r="G467">
        <v>1</v>
      </c>
      <c r="H467" t="b">
        <v>0</v>
      </c>
      <c r="I467">
        <v>31</v>
      </c>
      <c r="J467" t="s">
        <v>44</v>
      </c>
      <c r="K467">
        <v>88</v>
      </c>
      <c r="L467">
        <v>88</v>
      </c>
      <c r="M467">
        <v>90</v>
      </c>
      <c r="N467">
        <v>67</v>
      </c>
      <c r="O467">
        <v>77</v>
      </c>
      <c r="P467">
        <v>83</v>
      </c>
      <c r="Q467">
        <v>64</v>
      </c>
      <c r="R467">
        <f>SUM(student_scores[[#This Row],[math_score]:[geography_score]])</f>
        <v>557</v>
      </c>
      <c r="S467" s="3">
        <f>student_scores[[#This Row],[Total_Score]]/7</f>
        <v>79.571428571428569</v>
      </c>
      <c r="T467" s="3" t="str" cm="1">
        <f t="array" ref="T467">_xlfn.IFS(student_scores[[#This Row],[weekly_self_study_hours]]&lt;=5,   "0 - 5", student_scores[[#This Row],[weekly_self_study_hours]]&lt;=10,  "6 - 10", student_scores[[#This Row],[weekly_self_study_hours]]&lt;=20,  "11 - 20",student_scores[[#This Row],[weekly_self_study_hours]]&lt;=30, "21 - 30",TRUE, "31+")</f>
        <v>31+</v>
      </c>
      <c r="U467" t="str" cm="1">
        <f t="array" ref="U467">_xlfn.IFS(student_scores[[#This Row],[absence_days]]=0,"0", student_scores[[#This Row],[absence_days]]&lt;=3,"1-3", student_scores[[#This Row],[absence_days]]&lt;=6,"4-6", TRUE,"7-10")</f>
        <v>1-3</v>
      </c>
      <c r="V467" t="str">
        <f>IF(student_scores[[#This Row],[Total_Score]] &gt;= _xlfn.PERCENTILE.INC(student_scores[Total_Score], 0.8), "Yes", "No")</f>
        <v>No</v>
      </c>
    </row>
    <row r="468" spans="1:22" x14ac:dyDescent="0.35">
      <c r="A468">
        <v>467</v>
      </c>
      <c r="B468" t="s">
        <v>1024</v>
      </c>
      <c r="C468" t="s">
        <v>782</v>
      </c>
      <c r="D468" t="s">
        <v>1025</v>
      </c>
      <c r="E468" t="s">
        <v>20</v>
      </c>
      <c r="F468" t="b">
        <v>0</v>
      </c>
      <c r="G468">
        <v>5</v>
      </c>
      <c r="H468" t="b">
        <v>0</v>
      </c>
      <c r="I468">
        <v>17</v>
      </c>
      <c r="J468" t="s">
        <v>138</v>
      </c>
      <c r="K468">
        <v>83</v>
      </c>
      <c r="L468">
        <v>95</v>
      </c>
      <c r="M468">
        <v>86</v>
      </c>
      <c r="N468">
        <v>80</v>
      </c>
      <c r="O468">
        <v>64</v>
      </c>
      <c r="P468">
        <v>66</v>
      </c>
      <c r="Q468">
        <v>97</v>
      </c>
      <c r="R468">
        <f>SUM(student_scores[[#This Row],[math_score]:[geography_score]])</f>
        <v>571</v>
      </c>
      <c r="S468" s="3">
        <f>student_scores[[#This Row],[Total_Score]]/7</f>
        <v>81.571428571428569</v>
      </c>
      <c r="T468" s="3" t="str" cm="1">
        <f t="array" ref="T468">_xlfn.IFS(student_scores[[#This Row],[weekly_self_study_hours]]&lt;=5,   "0 - 5", student_scores[[#This Row],[weekly_self_study_hours]]&lt;=10,  "6 - 10", student_scores[[#This Row],[weekly_self_study_hours]]&lt;=20,  "11 - 20",student_scores[[#This Row],[weekly_self_study_hours]]&lt;=30, "21 - 30",TRUE, "31+")</f>
        <v>11 - 20</v>
      </c>
      <c r="U468" t="str" cm="1">
        <f t="array" ref="U468">_xlfn.IFS(student_scores[[#This Row],[absence_days]]=0,"0", student_scores[[#This Row],[absence_days]]&lt;=3,"1-3", student_scores[[#This Row],[absence_days]]&lt;=6,"4-6", TRUE,"7-10")</f>
        <v>4-6</v>
      </c>
      <c r="V468" t="str">
        <f>IF(student_scores[[#This Row],[Total_Score]] &gt;= _xlfn.PERCENTILE.INC(student_scores[Total_Score], 0.8), "Yes", "No")</f>
        <v>No</v>
      </c>
    </row>
    <row r="469" spans="1:22" x14ac:dyDescent="0.35">
      <c r="A469">
        <v>468</v>
      </c>
      <c r="B469" t="s">
        <v>357</v>
      </c>
      <c r="C469" t="s">
        <v>684</v>
      </c>
      <c r="D469" t="s">
        <v>1026</v>
      </c>
      <c r="E469" t="s">
        <v>20</v>
      </c>
      <c r="F469" t="b">
        <v>0</v>
      </c>
      <c r="G469">
        <v>2</v>
      </c>
      <c r="H469" t="b">
        <v>0</v>
      </c>
      <c r="I469">
        <v>23</v>
      </c>
      <c r="J469" t="s">
        <v>26</v>
      </c>
      <c r="K469">
        <v>84</v>
      </c>
      <c r="L469">
        <v>84</v>
      </c>
      <c r="M469">
        <v>80</v>
      </c>
      <c r="N469">
        <v>97</v>
      </c>
      <c r="O469">
        <v>87</v>
      </c>
      <c r="P469">
        <v>97</v>
      </c>
      <c r="Q469">
        <v>91</v>
      </c>
      <c r="R469">
        <f>SUM(student_scores[[#This Row],[math_score]:[geography_score]])</f>
        <v>620</v>
      </c>
      <c r="S469" s="3">
        <f>student_scores[[#This Row],[Total_Score]]/7</f>
        <v>88.571428571428569</v>
      </c>
      <c r="T469" s="3" t="str" cm="1">
        <f t="array" ref="T469">_xlfn.IFS(student_scores[[#This Row],[weekly_self_study_hours]]&lt;=5,   "0 - 5", student_scores[[#This Row],[weekly_self_study_hours]]&lt;=10,  "6 - 10", student_scores[[#This Row],[weekly_self_study_hours]]&lt;=20,  "11 - 20",student_scores[[#This Row],[weekly_self_study_hours]]&lt;=30, "21 - 30",TRUE, "31+")</f>
        <v>21 - 30</v>
      </c>
      <c r="U469" t="str" cm="1">
        <f t="array" ref="U469">_xlfn.IFS(student_scores[[#This Row],[absence_days]]=0,"0", student_scores[[#This Row],[absence_days]]&lt;=3,"1-3", student_scores[[#This Row],[absence_days]]&lt;=6,"4-6", TRUE,"7-10")</f>
        <v>1-3</v>
      </c>
      <c r="V469" t="str">
        <f>IF(student_scores[[#This Row],[Total_Score]] &gt;= _xlfn.PERCENTILE.INC(student_scores[Total_Score], 0.8), "Yes", "No")</f>
        <v>Yes</v>
      </c>
    </row>
    <row r="470" spans="1:22" x14ac:dyDescent="0.35">
      <c r="A470">
        <v>469</v>
      </c>
      <c r="B470" t="s">
        <v>1027</v>
      </c>
      <c r="C470" t="s">
        <v>1028</v>
      </c>
      <c r="D470" t="s">
        <v>1029</v>
      </c>
      <c r="E470" t="s">
        <v>25</v>
      </c>
      <c r="F470" t="b">
        <v>0</v>
      </c>
      <c r="G470">
        <v>0</v>
      </c>
      <c r="H470" t="b">
        <v>0</v>
      </c>
      <c r="I470">
        <v>29</v>
      </c>
      <c r="J470" t="s">
        <v>44</v>
      </c>
      <c r="K470">
        <v>85</v>
      </c>
      <c r="L470">
        <v>82</v>
      </c>
      <c r="M470">
        <v>81</v>
      </c>
      <c r="N470">
        <v>85</v>
      </c>
      <c r="O470">
        <v>72</v>
      </c>
      <c r="P470">
        <v>90</v>
      </c>
      <c r="Q470">
        <v>71</v>
      </c>
      <c r="R470">
        <f>SUM(student_scores[[#This Row],[math_score]:[geography_score]])</f>
        <v>566</v>
      </c>
      <c r="S470" s="3">
        <f>student_scores[[#This Row],[Total_Score]]/7</f>
        <v>80.857142857142861</v>
      </c>
      <c r="T470" s="3" t="str" cm="1">
        <f t="array" ref="T470">_xlfn.IFS(student_scores[[#This Row],[weekly_self_study_hours]]&lt;=5,   "0 - 5", student_scores[[#This Row],[weekly_self_study_hours]]&lt;=10,  "6 - 10", student_scores[[#This Row],[weekly_self_study_hours]]&lt;=20,  "11 - 20",student_scores[[#This Row],[weekly_self_study_hours]]&lt;=30, "21 - 30",TRUE, "31+")</f>
        <v>21 - 30</v>
      </c>
      <c r="U470" t="str" cm="1">
        <f t="array" ref="U470">_xlfn.IFS(student_scores[[#This Row],[absence_days]]=0,"0", student_scores[[#This Row],[absence_days]]&lt;=3,"1-3", student_scores[[#This Row],[absence_days]]&lt;=6,"4-6", TRUE,"7-10")</f>
        <v>0</v>
      </c>
      <c r="V470" t="str">
        <f>IF(student_scores[[#This Row],[Total_Score]] &gt;= _xlfn.PERCENTILE.INC(student_scores[Total_Score], 0.8), "Yes", "No")</f>
        <v>No</v>
      </c>
    </row>
    <row r="471" spans="1:22" x14ac:dyDescent="0.35">
      <c r="A471">
        <v>470</v>
      </c>
      <c r="B471" t="s">
        <v>139</v>
      </c>
      <c r="C471" t="s">
        <v>1030</v>
      </c>
      <c r="D471" t="s">
        <v>1031</v>
      </c>
      <c r="E471" t="s">
        <v>20</v>
      </c>
      <c r="F471" t="b">
        <v>0</v>
      </c>
      <c r="G471">
        <v>2</v>
      </c>
      <c r="H471" t="b">
        <v>0</v>
      </c>
      <c r="I471">
        <v>19</v>
      </c>
      <c r="J471" t="s">
        <v>44</v>
      </c>
      <c r="K471">
        <v>91</v>
      </c>
      <c r="L471">
        <v>85</v>
      </c>
      <c r="M471">
        <v>96</v>
      </c>
      <c r="N471">
        <v>83</v>
      </c>
      <c r="O471">
        <v>74</v>
      </c>
      <c r="P471">
        <v>87</v>
      </c>
      <c r="Q471">
        <v>74</v>
      </c>
      <c r="R471">
        <f>SUM(student_scores[[#This Row],[math_score]:[geography_score]])</f>
        <v>590</v>
      </c>
      <c r="S471" s="3">
        <f>student_scores[[#This Row],[Total_Score]]/7</f>
        <v>84.285714285714292</v>
      </c>
      <c r="T471" s="3" t="str" cm="1">
        <f t="array" ref="T471">_xlfn.IFS(student_scores[[#This Row],[weekly_self_study_hours]]&lt;=5,   "0 - 5", student_scores[[#This Row],[weekly_self_study_hours]]&lt;=10,  "6 - 10", student_scores[[#This Row],[weekly_self_study_hours]]&lt;=20,  "11 - 20",student_scores[[#This Row],[weekly_self_study_hours]]&lt;=30, "21 - 30",TRUE, "31+")</f>
        <v>11 - 20</v>
      </c>
      <c r="U471" t="str" cm="1">
        <f t="array" ref="U471">_xlfn.IFS(student_scores[[#This Row],[absence_days]]=0,"0", student_scores[[#This Row],[absence_days]]&lt;=3,"1-3", student_scores[[#This Row],[absence_days]]&lt;=6,"4-6", TRUE,"7-10")</f>
        <v>1-3</v>
      </c>
      <c r="V471" t="str">
        <f>IF(student_scores[[#This Row],[Total_Score]] &gt;= _xlfn.PERCENTILE.INC(student_scores[Total_Score], 0.8), "Yes", "No")</f>
        <v>No</v>
      </c>
    </row>
    <row r="472" spans="1:22" x14ac:dyDescent="0.35">
      <c r="A472">
        <v>471</v>
      </c>
      <c r="B472" t="s">
        <v>329</v>
      </c>
      <c r="C472" t="s">
        <v>1032</v>
      </c>
      <c r="D472" t="s">
        <v>1033</v>
      </c>
      <c r="E472" t="s">
        <v>20</v>
      </c>
      <c r="F472" t="b">
        <v>1</v>
      </c>
      <c r="G472">
        <v>4</v>
      </c>
      <c r="H472" t="b">
        <v>1</v>
      </c>
      <c r="I472">
        <v>26</v>
      </c>
      <c r="J472" t="s">
        <v>105</v>
      </c>
      <c r="K472">
        <v>83</v>
      </c>
      <c r="L472">
        <v>71</v>
      </c>
      <c r="M472">
        <v>94</v>
      </c>
      <c r="N472">
        <v>60</v>
      </c>
      <c r="O472">
        <v>63</v>
      </c>
      <c r="P472">
        <v>93</v>
      </c>
      <c r="Q472">
        <v>67</v>
      </c>
      <c r="R472">
        <f>SUM(student_scores[[#This Row],[math_score]:[geography_score]])</f>
        <v>531</v>
      </c>
      <c r="S472" s="3">
        <f>student_scores[[#This Row],[Total_Score]]/7</f>
        <v>75.857142857142861</v>
      </c>
      <c r="T472" s="3" t="str" cm="1">
        <f t="array" ref="T472">_xlfn.IFS(student_scores[[#This Row],[weekly_self_study_hours]]&lt;=5,   "0 - 5", student_scores[[#This Row],[weekly_self_study_hours]]&lt;=10,  "6 - 10", student_scores[[#This Row],[weekly_self_study_hours]]&lt;=20,  "11 - 20",student_scores[[#This Row],[weekly_self_study_hours]]&lt;=30, "21 - 30",TRUE, "31+")</f>
        <v>21 - 30</v>
      </c>
      <c r="U472" t="str" cm="1">
        <f t="array" ref="U472">_xlfn.IFS(student_scores[[#This Row],[absence_days]]=0,"0", student_scores[[#This Row],[absence_days]]&lt;=3,"1-3", student_scores[[#This Row],[absence_days]]&lt;=6,"4-6", TRUE,"7-10")</f>
        <v>4-6</v>
      </c>
      <c r="V472" t="str">
        <f>IF(student_scores[[#This Row],[Total_Score]] &gt;= _xlfn.PERCENTILE.INC(student_scores[Total_Score], 0.8), "Yes", "No")</f>
        <v>No</v>
      </c>
    </row>
    <row r="473" spans="1:22" x14ac:dyDescent="0.35">
      <c r="A473">
        <v>472</v>
      </c>
      <c r="B473" t="s">
        <v>1034</v>
      </c>
      <c r="C473" t="s">
        <v>32</v>
      </c>
      <c r="D473" t="s">
        <v>1035</v>
      </c>
      <c r="E473" t="s">
        <v>25</v>
      </c>
      <c r="F473" t="b">
        <v>0</v>
      </c>
      <c r="G473">
        <v>7</v>
      </c>
      <c r="H473" t="b">
        <v>0</v>
      </c>
      <c r="I473">
        <v>7</v>
      </c>
      <c r="J473" t="s">
        <v>224</v>
      </c>
      <c r="K473">
        <v>97</v>
      </c>
      <c r="L473">
        <v>93</v>
      </c>
      <c r="M473">
        <v>99</v>
      </c>
      <c r="N473">
        <v>98</v>
      </c>
      <c r="O473">
        <v>96</v>
      </c>
      <c r="P473">
        <v>79</v>
      </c>
      <c r="Q473">
        <v>88</v>
      </c>
      <c r="R473">
        <f>SUM(student_scores[[#This Row],[math_score]:[geography_score]])</f>
        <v>650</v>
      </c>
      <c r="S473" s="3">
        <f>student_scores[[#This Row],[Total_Score]]/7</f>
        <v>92.857142857142861</v>
      </c>
      <c r="T473" s="3" t="str" cm="1">
        <f t="array" ref="T473">_xlfn.IFS(student_scores[[#This Row],[weekly_self_study_hours]]&lt;=5,   "0 - 5", student_scores[[#This Row],[weekly_self_study_hours]]&lt;=10,  "6 - 10", student_scores[[#This Row],[weekly_self_study_hours]]&lt;=20,  "11 - 20",student_scores[[#This Row],[weekly_self_study_hours]]&lt;=30, "21 - 30",TRUE, "31+")</f>
        <v>6 - 10</v>
      </c>
      <c r="U473" t="str" cm="1">
        <f t="array" ref="U473">_xlfn.IFS(student_scores[[#This Row],[absence_days]]=0,"0", student_scores[[#This Row],[absence_days]]&lt;=3,"1-3", student_scores[[#This Row],[absence_days]]&lt;=6,"4-6", TRUE,"7-10")</f>
        <v>7-10</v>
      </c>
      <c r="V473" t="str">
        <f>IF(student_scores[[#This Row],[Total_Score]] &gt;= _xlfn.PERCENTILE.INC(student_scores[Total_Score], 0.8), "Yes", "No")</f>
        <v>Yes</v>
      </c>
    </row>
    <row r="474" spans="1:22" x14ac:dyDescent="0.35">
      <c r="A474">
        <v>473</v>
      </c>
      <c r="B474" t="s">
        <v>1036</v>
      </c>
      <c r="C474" t="s">
        <v>707</v>
      </c>
      <c r="D474" t="s">
        <v>1037</v>
      </c>
      <c r="E474" t="s">
        <v>25</v>
      </c>
      <c r="F474" t="b">
        <v>0</v>
      </c>
      <c r="G474">
        <v>6</v>
      </c>
      <c r="H474" t="b">
        <v>0</v>
      </c>
      <c r="I474">
        <v>4</v>
      </c>
      <c r="J474" t="s">
        <v>224</v>
      </c>
      <c r="K474">
        <v>63</v>
      </c>
      <c r="L474">
        <v>68</v>
      </c>
      <c r="M474">
        <v>92</v>
      </c>
      <c r="N474">
        <v>73</v>
      </c>
      <c r="O474">
        <v>66</v>
      </c>
      <c r="P474">
        <v>69</v>
      </c>
      <c r="Q474">
        <v>87</v>
      </c>
      <c r="R474">
        <f>SUM(student_scores[[#This Row],[math_score]:[geography_score]])</f>
        <v>518</v>
      </c>
      <c r="S474" s="3">
        <f>student_scores[[#This Row],[Total_Score]]/7</f>
        <v>74</v>
      </c>
      <c r="T474" s="3" t="str" cm="1">
        <f t="array" ref="T474">_xlfn.IFS(student_scores[[#This Row],[weekly_self_study_hours]]&lt;=5,   "0 - 5", student_scores[[#This Row],[weekly_self_study_hours]]&lt;=10,  "6 - 10", student_scores[[#This Row],[weekly_self_study_hours]]&lt;=20,  "11 - 20",student_scores[[#This Row],[weekly_self_study_hours]]&lt;=30, "21 - 30",TRUE, "31+")</f>
        <v>0 - 5</v>
      </c>
      <c r="U474" t="str" cm="1">
        <f t="array" ref="U474">_xlfn.IFS(student_scores[[#This Row],[absence_days]]=0,"0", student_scores[[#This Row],[absence_days]]&lt;=3,"1-3", student_scores[[#This Row],[absence_days]]&lt;=6,"4-6", TRUE,"7-10")</f>
        <v>4-6</v>
      </c>
      <c r="V474" t="str">
        <f>IF(student_scores[[#This Row],[Total_Score]] &gt;= _xlfn.PERCENTILE.INC(student_scores[Total_Score], 0.8), "Yes", "No")</f>
        <v>No</v>
      </c>
    </row>
    <row r="475" spans="1:22" x14ac:dyDescent="0.35">
      <c r="A475">
        <v>474</v>
      </c>
      <c r="B475" t="s">
        <v>1038</v>
      </c>
      <c r="C475" t="s">
        <v>32</v>
      </c>
      <c r="D475" t="s">
        <v>1039</v>
      </c>
      <c r="E475" t="s">
        <v>20</v>
      </c>
      <c r="F475" t="b">
        <v>0</v>
      </c>
      <c r="G475">
        <v>6</v>
      </c>
      <c r="H475" t="b">
        <v>0</v>
      </c>
      <c r="I475">
        <v>22</v>
      </c>
      <c r="J475" t="s">
        <v>26</v>
      </c>
      <c r="K475">
        <v>92</v>
      </c>
      <c r="L475">
        <v>98</v>
      </c>
      <c r="M475">
        <v>90</v>
      </c>
      <c r="N475">
        <v>82</v>
      </c>
      <c r="O475">
        <v>86</v>
      </c>
      <c r="P475">
        <v>86</v>
      </c>
      <c r="Q475">
        <v>89</v>
      </c>
      <c r="R475">
        <f>SUM(student_scores[[#This Row],[math_score]:[geography_score]])</f>
        <v>623</v>
      </c>
      <c r="S475" s="3">
        <f>student_scores[[#This Row],[Total_Score]]/7</f>
        <v>89</v>
      </c>
      <c r="T475" s="3" t="str" cm="1">
        <f t="array" ref="T475">_xlfn.IFS(student_scores[[#This Row],[weekly_self_study_hours]]&lt;=5,   "0 - 5", student_scores[[#This Row],[weekly_self_study_hours]]&lt;=10,  "6 - 10", student_scores[[#This Row],[weekly_self_study_hours]]&lt;=20,  "11 - 20",student_scores[[#This Row],[weekly_self_study_hours]]&lt;=30, "21 - 30",TRUE, "31+")</f>
        <v>21 - 30</v>
      </c>
      <c r="U475" t="str" cm="1">
        <f t="array" ref="U475">_xlfn.IFS(student_scores[[#This Row],[absence_days]]=0,"0", student_scores[[#This Row],[absence_days]]&lt;=3,"1-3", student_scores[[#This Row],[absence_days]]&lt;=6,"4-6", TRUE,"7-10")</f>
        <v>4-6</v>
      </c>
      <c r="V475" t="str">
        <f>IF(student_scores[[#This Row],[Total_Score]] &gt;= _xlfn.PERCENTILE.INC(student_scores[Total_Score], 0.8), "Yes", "No")</f>
        <v>Yes</v>
      </c>
    </row>
    <row r="476" spans="1:22" x14ac:dyDescent="0.35">
      <c r="A476">
        <v>475</v>
      </c>
      <c r="B476" t="s">
        <v>408</v>
      </c>
      <c r="C476" t="s">
        <v>42</v>
      </c>
      <c r="D476" t="s">
        <v>1040</v>
      </c>
      <c r="E476" t="s">
        <v>20</v>
      </c>
      <c r="F476" t="b">
        <v>1</v>
      </c>
      <c r="G476">
        <v>6</v>
      </c>
      <c r="H476" t="b">
        <v>1</v>
      </c>
      <c r="I476">
        <v>4</v>
      </c>
      <c r="J476" t="s">
        <v>64</v>
      </c>
      <c r="K476">
        <v>78</v>
      </c>
      <c r="L476">
        <v>78</v>
      </c>
      <c r="M476">
        <v>64</v>
      </c>
      <c r="N476">
        <v>94</v>
      </c>
      <c r="O476">
        <v>79</v>
      </c>
      <c r="P476">
        <v>92</v>
      </c>
      <c r="Q476">
        <v>63</v>
      </c>
      <c r="R476">
        <f>SUM(student_scores[[#This Row],[math_score]:[geography_score]])</f>
        <v>548</v>
      </c>
      <c r="S476" s="3">
        <f>student_scores[[#This Row],[Total_Score]]/7</f>
        <v>78.285714285714292</v>
      </c>
      <c r="T476" s="3" t="str" cm="1">
        <f t="array" ref="T476">_xlfn.IFS(student_scores[[#This Row],[weekly_self_study_hours]]&lt;=5,   "0 - 5", student_scores[[#This Row],[weekly_self_study_hours]]&lt;=10,  "6 - 10", student_scores[[#This Row],[weekly_self_study_hours]]&lt;=20,  "11 - 20",student_scores[[#This Row],[weekly_self_study_hours]]&lt;=30, "21 - 30",TRUE, "31+")</f>
        <v>0 - 5</v>
      </c>
      <c r="U476" t="str" cm="1">
        <f t="array" ref="U476">_xlfn.IFS(student_scores[[#This Row],[absence_days]]=0,"0", student_scores[[#This Row],[absence_days]]&lt;=3,"1-3", student_scores[[#This Row],[absence_days]]&lt;=6,"4-6", TRUE,"7-10")</f>
        <v>4-6</v>
      </c>
      <c r="V476" t="str">
        <f>IF(student_scores[[#This Row],[Total_Score]] &gt;= _xlfn.PERCENTILE.INC(student_scores[Total_Score], 0.8), "Yes", "No")</f>
        <v>No</v>
      </c>
    </row>
    <row r="477" spans="1:22" x14ac:dyDescent="0.35">
      <c r="A477">
        <v>476</v>
      </c>
      <c r="B477" t="s">
        <v>534</v>
      </c>
      <c r="C477" t="s">
        <v>1041</v>
      </c>
      <c r="D477" t="s">
        <v>1042</v>
      </c>
      <c r="E477" t="s">
        <v>25</v>
      </c>
      <c r="F477" t="b">
        <v>0</v>
      </c>
      <c r="G477">
        <v>3</v>
      </c>
      <c r="H477" t="b">
        <v>0</v>
      </c>
      <c r="I477">
        <v>29</v>
      </c>
      <c r="J477" t="s">
        <v>21</v>
      </c>
      <c r="K477">
        <v>78</v>
      </c>
      <c r="L477">
        <v>90</v>
      </c>
      <c r="M477">
        <v>69</v>
      </c>
      <c r="N477">
        <v>100</v>
      </c>
      <c r="O477">
        <v>90</v>
      </c>
      <c r="P477">
        <v>91</v>
      </c>
      <c r="Q477">
        <v>90</v>
      </c>
      <c r="R477">
        <f>SUM(student_scores[[#This Row],[math_score]:[geography_score]])</f>
        <v>608</v>
      </c>
      <c r="S477" s="3">
        <f>student_scores[[#This Row],[Total_Score]]/7</f>
        <v>86.857142857142861</v>
      </c>
      <c r="T477" s="3" t="str" cm="1">
        <f t="array" ref="T477">_xlfn.IFS(student_scores[[#This Row],[weekly_self_study_hours]]&lt;=5,   "0 - 5", student_scores[[#This Row],[weekly_self_study_hours]]&lt;=10,  "6 - 10", student_scores[[#This Row],[weekly_self_study_hours]]&lt;=20,  "11 - 20",student_scores[[#This Row],[weekly_self_study_hours]]&lt;=30, "21 - 30",TRUE, "31+")</f>
        <v>21 - 30</v>
      </c>
      <c r="U477" t="str" cm="1">
        <f t="array" ref="U477">_xlfn.IFS(student_scores[[#This Row],[absence_days]]=0,"0", student_scores[[#This Row],[absence_days]]&lt;=3,"1-3", student_scores[[#This Row],[absence_days]]&lt;=6,"4-6", TRUE,"7-10")</f>
        <v>1-3</v>
      </c>
      <c r="V477" t="str">
        <f>IF(student_scores[[#This Row],[Total_Score]] &gt;= _xlfn.PERCENTILE.INC(student_scores[Total_Score], 0.8), "Yes", "No")</f>
        <v>Yes</v>
      </c>
    </row>
    <row r="478" spans="1:22" x14ac:dyDescent="0.35">
      <c r="A478">
        <v>477</v>
      </c>
      <c r="B478" t="s">
        <v>1043</v>
      </c>
      <c r="C478" t="s">
        <v>1044</v>
      </c>
      <c r="D478" t="s">
        <v>1045</v>
      </c>
      <c r="E478" t="s">
        <v>20</v>
      </c>
      <c r="F478" t="b">
        <v>0</v>
      </c>
      <c r="G478">
        <v>8</v>
      </c>
      <c r="H478" t="b">
        <v>1</v>
      </c>
      <c r="I478">
        <v>21</v>
      </c>
      <c r="J478" t="s">
        <v>172</v>
      </c>
      <c r="K478">
        <v>89</v>
      </c>
      <c r="L478">
        <v>60</v>
      </c>
      <c r="M478">
        <v>93</v>
      </c>
      <c r="N478">
        <v>79</v>
      </c>
      <c r="O478">
        <v>72</v>
      </c>
      <c r="P478">
        <v>76</v>
      </c>
      <c r="Q478">
        <v>85</v>
      </c>
      <c r="R478">
        <f>SUM(student_scores[[#This Row],[math_score]:[geography_score]])</f>
        <v>554</v>
      </c>
      <c r="S478" s="3">
        <f>student_scores[[#This Row],[Total_Score]]/7</f>
        <v>79.142857142857139</v>
      </c>
      <c r="T478" s="3" t="str" cm="1">
        <f t="array" ref="T478">_xlfn.IFS(student_scores[[#This Row],[weekly_self_study_hours]]&lt;=5,   "0 - 5", student_scores[[#This Row],[weekly_self_study_hours]]&lt;=10,  "6 - 10", student_scores[[#This Row],[weekly_self_study_hours]]&lt;=20,  "11 - 20",student_scores[[#This Row],[weekly_self_study_hours]]&lt;=30, "21 - 30",TRUE, "31+")</f>
        <v>21 - 30</v>
      </c>
      <c r="U478" t="str" cm="1">
        <f t="array" ref="U478">_xlfn.IFS(student_scores[[#This Row],[absence_days]]=0,"0", student_scores[[#This Row],[absence_days]]&lt;=3,"1-3", student_scores[[#This Row],[absence_days]]&lt;=6,"4-6", TRUE,"7-10")</f>
        <v>7-10</v>
      </c>
      <c r="V478" t="str">
        <f>IF(student_scores[[#This Row],[Total_Score]] &gt;= _xlfn.PERCENTILE.INC(student_scores[Total_Score], 0.8), "Yes", "No")</f>
        <v>No</v>
      </c>
    </row>
    <row r="479" spans="1:22" x14ac:dyDescent="0.35">
      <c r="A479">
        <v>478</v>
      </c>
      <c r="B479" t="s">
        <v>1046</v>
      </c>
      <c r="C479" t="s">
        <v>950</v>
      </c>
      <c r="D479" t="s">
        <v>1047</v>
      </c>
      <c r="E479" t="s">
        <v>25</v>
      </c>
      <c r="F479" t="b">
        <v>0</v>
      </c>
      <c r="G479">
        <v>3</v>
      </c>
      <c r="H479" t="b">
        <v>0</v>
      </c>
      <c r="I479">
        <v>5</v>
      </c>
      <c r="J479" t="s">
        <v>224</v>
      </c>
      <c r="K479">
        <v>53</v>
      </c>
      <c r="L479">
        <v>87</v>
      </c>
      <c r="M479">
        <v>100</v>
      </c>
      <c r="N479">
        <v>84</v>
      </c>
      <c r="O479">
        <v>63</v>
      </c>
      <c r="P479">
        <v>62</v>
      </c>
      <c r="Q479">
        <v>95</v>
      </c>
      <c r="R479">
        <f>SUM(student_scores[[#This Row],[math_score]:[geography_score]])</f>
        <v>544</v>
      </c>
      <c r="S479" s="3">
        <f>student_scores[[#This Row],[Total_Score]]/7</f>
        <v>77.714285714285708</v>
      </c>
      <c r="T479" s="3" t="str" cm="1">
        <f t="array" ref="T479">_xlfn.IFS(student_scores[[#This Row],[weekly_self_study_hours]]&lt;=5,   "0 - 5", student_scores[[#This Row],[weekly_self_study_hours]]&lt;=10,  "6 - 10", student_scores[[#This Row],[weekly_self_study_hours]]&lt;=20,  "11 - 20",student_scores[[#This Row],[weekly_self_study_hours]]&lt;=30, "21 - 30",TRUE, "31+")</f>
        <v>0 - 5</v>
      </c>
      <c r="U479" t="str" cm="1">
        <f t="array" ref="U479">_xlfn.IFS(student_scores[[#This Row],[absence_days]]=0,"0", student_scores[[#This Row],[absence_days]]&lt;=3,"1-3", student_scores[[#This Row],[absence_days]]&lt;=6,"4-6", TRUE,"7-10")</f>
        <v>1-3</v>
      </c>
      <c r="V479" t="str">
        <f>IF(student_scores[[#This Row],[Total_Score]] &gt;= _xlfn.PERCENTILE.INC(student_scores[Total_Score], 0.8), "Yes", "No")</f>
        <v>No</v>
      </c>
    </row>
    <row r="480" spans="1:22" x14ac:dyDescent="0.35">
      <c r="A480">
        <v>479</v>
      </c>
      <c r="B480" t="s">
        <v>612</v>
      </c>
      <c r="C480" t="s">
        <v>525</v>
      </c>
      <c r="D480" t="s">
        <v>1048</v>
      </c>
      <c r="E480" t="s">
        <v>20</v>
      </c>
      <c r="F480" t="b">
        <v>0</v>
      </c>
      <c r="G480">
        <v>5</v>
      </c>
      <c r="H480" t="b">
        <v>0</v>
      </c>
      <c r="I480">
        <v>15</v>
      </c>
      <c r="J480" t="s">
        <v>38</v>
      </c>
      <c r="K480">
        <v>63</v>
      </c>
      <c r="L480">
        <v>84</v>
      </c>
      <c r="M480">
        <v>60</v>
      </c>
      <c r="N480">
        <v>85</v>
      </c>
      <c r="O480">
        <v>91</v>
      </c>
      <c r="P480">
        <v>83</v>
      </c>
      <c r="Q480">
        <v>84</v>
      </c>
      <c r="R480">
        <f>SUM(student_scores[[#This Row],[math_score]:[geography_score]])</f>
        <v>550</v>
      </c>
      <c r="S480" s="3">
        <f>student_scores[[#This Row],[Total_Score]]/7</f>
        <v>78.571428571428569</v>
      </c>
      <c r="T480" s="3" t="str" cm="1">
        <f t="array" ref="T480">_xlfn.IFS(student_scores[[#This Row],[weekly_self_study_hours]]&lt;=5,   "0 - 5", student_scores[[#This Row],[weekly_self_study_hours]]&lt;=10,  "6 - 10", student_scores[[#This Row],[weekly_self_study_hours]]&lt;=20,  "11 - 20",student_scores[[#This Row],[weekly_self_study_hours]]&lt;=30, "21 - 30",TRUE, "31+")</f>
        <v>11 - 20</v>
      </c>
      <c r="U480" t="str" cm="1">
        <f t="array" ref="U480">_xlfn.IFS(student_scores[[#This Row],[absence_days]]=0,"0", student_scores[[#This Row],[absence_days]]&lt;=3,"1-3", student_scores[[#This Row],[absence_days]]&lt;=6,"4-6", TRUE,"7-10")</f>
        <v>4-6</v>
      </c>
      <c r="V480" t="str">
        <f>IF(student_scores[[#This Row],[Total_Score]] &gt;= _xlfn.PERCENTILE.INC(student_scores[Total_Score], 0.8), "Yes", "No")</f>
        <v>No</v>
      </c>
    </row>
    <row r="481" spans="1:22" x14ac:dyDescent="0.35">
      <c r="A481">
        <v>480</v>
      </c>
      <c r="B481" t="s">
        <v>1049</v>
      </c>
      <c r="C481" t="s">
        <v>778</v>
      </c>
      <c r="D481" t="s">
        <v>1050</v>
      </c>
      <c r="E481" t="s">
        <v>20</v>
      </c>
      <c r="F481" t="b">
        <v>0</v>
      </c>
      <c r="G481">
        <v>3</v>
      </c>
      <c r="H481" t="b">
        <v>1</v>
      </c>
      <c r="I481">
        <v>10</v>
      </c>
      <c r="J481" t="s">
        <v>38</v>
      </c>
      <c r="K481">
        <v>100</v>
      </c>
      <c r="L481">
        <v>98</v>
      </c>
      <c r="M481">
        <v>71</v>
      </c>
      <c r="N481">
        <v>100</v>
      </c>
      <c r="O481">
        <v>71</v>
      </c>
      <c r="P481">
        <v>92</v>
      </c>
      <c r="Q481">
        <v>63</v>
      </c>
      <c r="R481">
        <f>SUM(student_scores[[#This Row],[math_score]:[geography_score]])</f>
        <v>595</v>
      </c>
      <c r="S481" s="3">
        <f>student_scores[[#This Row],[Total_Score]]/7</f>
        <v>85</v>
      </c>
      <c r="T481" s="3" t="str" cm="1">
        <f t="array" ref="T481">_xlfn.IFS(student_scores[[#This Row],[weekly_self_study_hours]]&lt;=5,   "0 - 5", student_scores[[#This Row],[weekly_self_study_hours]]&lt;=10,  "6 - 10", student_scores[[#This Row],[weekly_self_study_hours]]&lt;=20,  "11 - 20",student_scores[[#This Row],[weekly_self_study_hours]]&lt;=30, "21 - 30",TRUE, "31+")</f>
        <v>6 - 10</v>
      </c>
      <c r="U481" t="str" cm="1">
        <f t="array" ref="U481">_xlfn.IFS(student_scores[[#This Row],[absence_days]]=0,"0", student_scores[[#This Row],[absence_days]]&lt;=3,"1-3", student_scores[[#This Row],[absence_days]]&lt;=6,"4-6", TRUE,"7-10")</f>
        <v>1-3</v>
      </c>
      <c r="V481" t="str">
        <f>IF(student_scores[[#This Row],[Total_Score]] &gt;= _xlfn.PERCENTILE.INC(student_scores[Total_Score], 0.8), "Yes", "No")</f>
        <v>No</v>
      </c>
    </row>
    <row r="482" spans="1:22" x14ac:dyDescent="0.35">
      <c r="A482">
        <v>481</v>
      </c>
      <c r="B482" t="s">
        <v>1051</v>
      </c>
      <c r="C482" t="s">
        <v>167</v>
      </c>
      <c r="D482" t="s">
        <v>1052</v>
      </c>
      <c r="E482" t="s">
        <v>25</v>
      </c>
      <c r="F482" t="b">
        <v>1</v>
      </c>
      <c r="G482">
        <v>7</v>
      </c>
      <c r="H482" t="b">
        <v>0</v>
      </c>
      <c r="I482">
        <v>2</v>
      </c>
      <c r="J482" t="s">
        <v>64</v>
      </c>
      <c r="K482">
        <v>79</v>
      </c>
      <c r="L482">
        <v>54</v>
      </c>
      <c r="M482">
        <v>81</v>
      </c>
      <c r="N482">
        <v>87</v>
      </c>
      <c r="O482">
        <v>67</v>
      </c>
      <c r="P482">
        <v>74</v>
      </c>
      <c r="Q482">
        <v>85</v>
      </c>
      <c r="R482">
        <f>SUM(student_scores[[#This Row],[math_score]:[geography_score]])</f>
        <v>527</v>
      </c>
      <c r="S482" s="3">
        <f>student_scores[[#This Row],[Total_Score]]/7</f>
        <v>75.285714285714292</v>
      </c>
      <c r="T482" s="3" t="str" cm="1">
        <f t="array" ref="T482">_xlfn.IFS(student_scores[[#This Row],[weekly_self_study_hours]]&lt;=5,   "0 - 5", student_scores[[#This Row],[weekly_self_study_hours]]&lt;=10,  "6 - 10", student_scores[[#This Row],[weekly_self_study_hours]]&lt;=20,  "11 - 20",student_scores[[#This Row],[weekly_self_study_hours]]&lt;=30, "21 - 30",TRUE, "31+")</f>
        <v>0 - 5</v>
      </c>
      <c r="U482" t="str" cm="1">
        <f t="array" ref="U482">_xlfn.IFS(student_scores[[#This Row],[absence_days]]=0,"0", student_scores[[#This Row],[absence_days]]&lt;=3,"1-3", student_scores[[#This Row],[absence_days]]&lt;=6,"4-6", TRUE,"7-10")</f>
        <v>7-10</v>
      </c>
      <c r="V482" t="str">
        <f>IF(student_scores[[#This Row],[Total_Score]] &gt;= _xlfn.PERCENTILE.INC(student_scores[Total_Score], 0.8), "Yes", "No")</f>
        <v>No</v>
      </c>
    </row>
    <row r="483" spans="1:22" x14ac:dyDescent="0.35">
      <c r="A483">
        <v>482</v>
      </c>
      <c r="B483" t="s">
        <v>913</v>
      </c>
      <c r="C483" t="s">
        <v>684</v>
      </c>
      <c r="D483" t="s">
        <v>1053</v>
      </c>
      <c r="E483" t="s">
        <v>25</v>
      </c>
      <c r="F483" t="b">
        <v>0</v>
      </c>
      <c r="G483">
        <v>4</v>
      </c>
      <c r="H483" t="b">
        <v>1</v>
      </c>
      <c r="I483">
        <v>0</v>
      </c>
      <c r="J483" t="s">
        <v>224</v>
      </c>
      <c r="K483">
        <v>93</v>
      </c>
      <c r="L483">
        <v>77</v>
      </c>
      <c r="M483">
        <v>71</v>
      </c>
      <c r="N483">
        <v>62</v>
      </c>
      <c r="O483">
        <v>94</v>
      </c>
      <c r="P483">
        <v>69</v>
      </c>
      <c r="Q483">
        <v>72</v>
      </c>
      <c r="R483">
        <f>SUM(student_scores[[#This Row],[math_score]:[geography_score]])</f>
        <v>538</v>
      </c>
      <c r="S483" s="3">
        <f>student_scores[[#This Row],[Total_Score]]/7</f>
        <v>76.857142857142861</v>
      </c>
      <c r="T483" s="3" t="str" cm="1">
        <f t="array" ref="T483">_xlfn.IFS(student_scores[[#This Row],[weekly_self_study_hours]]&lt;=5,   "0 - 5", student_scores[[#This Row],[weekly_self_study_hours]]&lt;=10,  "6 - 10", student_scores[[#This Row],[weekly_self_study_hours]]&lt;=20,  "11 - 20",student_scores[[#This Row],[weekly_self_study_hours]]&lt;=30, "21 - 30",TRUE, "31+")</f>
        <v>0 - 5</v>
      </c>
      <c r="U483" t="str" cm="1">
        <f t="array" ref="U483">_xlfn.IFS(student_scores[[#This Row],[absence_days]]=0,"0", student_scores[[#This Row],[absence_days]]&lt;=3,"1-3", student_scores[[#This Row],[absence_days]]&lt;=6,"4-6", TRUE,"7-10")</f>
        <v>4-6</v>
      </c>
      <c r="V483" t="str">
        <f>IF(student_scores[[#This Row],[Total_Score]] &gt;= _xlfn.PERCENTILE.INC(student_scores[Total_Score], 0.8), "Yes", "No")</f>
        <v>No</v>
      </c>
    </row>
    <row r="484" spans="1:22" x14ac:dyDescent="0.35">
      <c r="A484">
        <v>483</v>
      </c>
      <c r="B484" t="s">
        <v>35</v>
      </c>
      <c r="C484" t="s">
        <v>1028</v>
      </c>
      <c r="D484" t="s">
        <v>1054</v>
      </c>
      <c r="E484" t="s">
        <v>20</v>
      </c>
      <c r="F484" t="b">
        <v>0</v>
      </c>
      <c r="G484">
        <v>5</v>
      </c>
      <c r="H484" t="b">
        <v>1</v>
      </c>
      <c r="I484">
        <v>3</v>
      </c>
      <c r="J484" t="s">
        <v>34</v>
      </c>
      <c r="K484">
        <v>97</v>
      </c>
      <c r="L484">
        <v>88</v>
      </c>
      <c r="M484">
        <v>67</v>
      </c>
      <c r="N484">
        <v>72</v>
      </c>
      <c r="O484">
        <v>83</v>
      </c>
      <c r="P484">
        <v>87</v>
      </c>
      <c r="Q484">
        <v>62</v>
      </c>
      <c r="R484">
        <f>SUM(student_scores[[#This Row],[math_score]:[geography_score]])</f>
        <v>556</v>
      </c>
      <c r="S484" s="3">
        <f>student_scores[[#This Row],[Total_Score]]/7</f>
        <v>79.428571428571431</v>
      </c>
      <c r="T484" s="3" t="str" cm="1">
        <f t="array" ref="T484">_xlfn.IFS(student_scores[[#This Row],[weekly_self_study_hours]]&lt;=5,   "0 - 5", student_scores[[#This Row],[weekly_self_study_hours]]&lt;=10,  "6 - 10", student_scores[[#This Row],[weekly_self_study_hours]]&lt;=20,  "11 - 20",student_scores[[#This Row],[weekly_self_study_hours]]&lt;=30, "21 - 30",TRUE, "31+")</f>
        <v>0 - 5</v>
      </c>
      <c r="U484" t="str" cm="1">
        <f t="array" ref="U484">_xlfn.IFS(student_scores[[#This Row],[absence_days]]=0,"0", student_scores[[#This Row],[absence_days]]&lt;=3,"1-3", student_scores[[#This Row],[absence_days]]&lt;=6,"4-6", TRUE,"7-10")</f>
        <v>4-6</v>
      </c>
      <c r="V484" t="str">
        <f>IF(student_scores[[#This Row],[Total_Score]] &gt;= _xlfn.PERCENTILE.INC(student_scores[Total_Score], 0.8), "Yes", "No")</f>
        <v>No</v>
      </c>
    </row>
    <row r="485" spans="1:22" x14ac:dyDescent="0.35">
      <c r="A485">
        <v>484</v>
      </c>
      <c r="B485" t="s">
        <v>417</v>
      </c>
      <c r="C485" t="s">
        <v>1055</v>
      </c>
      <c r="D485" t="s">
        <v>1056</v>
      </c>
      <c r="E485" t="s">
        <v>25</v>
      </c>
      <c r="F485" t="b">
        <v>0</v>
      </c>
      <c r="G485">
        <v>6</v>
      </c>
      <c r="H485" t="b">
        <v>1</v>
      </c>
      <c r="I485">
        <v>1</v>
      </c>
      <c r="J485" t="s">
        <v>38</v>
      </c>
      <c r="K485">
        <v>76</v>
      </c>
      <c r="L485">
        <v>82</v>
      </c>
      <c r="M485">
        <v>93</v>
      </c>
      <c r="N485">
        <v>98</v>
      </c>
      <c r="O485">
        <v>98</v>
      </c>
      <c r="P485">
        <v>60</v>
      </c>
      <c r="Q485">
        <v>65</v>
      </c>
      <c r="R485">
        <f>SUM(student_scores[[#This Row],[math_score]:[geography_score]])</f>
        <v>572</v>
      </c>
      <c r="S485" s="3">
        <f>student_scores[[#This Row],[Total_Score]]/7</f>
        <v>81.714285714285708</v>
      </c>
      <c r="T485" s="3" t="str" cm="1">
        <f t="array" ref="T485">_xlfn.IFS(student_scores[[#This Row],[weekly_self_study_hours]]&lt;=5,   "0 - 5", student_scores[[#This Row],[weekly_self_study_hours]]&lt;=10,  "6 - 10", student_scores[[#This Row],[weekly_self_study_hours]]&lt;=20,  "11 - 20",student_scores[[#This Row],[weekly_self_study_hours]]&lt;=30, "21 - 30",TRUE, "31+")</f>
        <v>0 - 5</v>
      </c>
      <c r="U485" t="str" cm="1">
        <f t="array" ref="U485">_xlfn.IFS(student_scores[[#This Row],[absence_days]]=0,"0", student_scores[[#This Row],[absence_days]]&lt;=3,"1-3", student_scores[[#This Row],[absence_days]]&lt;=6,"4-6", TRUE,"7-10")</f>
        <v>4-6</v>
      </c>
      <c r="V485" t="str">
        <f>IF(student_scores[[#This Row],[Total_Score]] &gt;= _xlfn.PERCENTILE.INC(student_scores[Total_Score], 0.8), "Yes", "No")</f>
        <v>No</v>
      </c>
    </row>
    <row r="486" spans="1:22" x14ac:dyDescent="0.35">
      <c r="A486">
        <v>485</v>
      </c>
      <c r="B486" t="s">
        <v>1057</v>
      </c>
      <c r="C486" t="s">
        <v>934</v>
      </c>
      <c r="D486" t="s">
        <v>1058</v>
      </c>
      <c r="E486" t="s">
        <v>25</v>
      </c>
      <c r="F486" t="b">
        <v>0</v>
      </c>
      <c r="G486">
        <v>3</v>
      </c>
      <c r="H486" t="b">
        <v>1</v>
      </c>
      <c r="I486">
        <v>26</v>
      </c>
      <c r="J486" t="s">
        <v>113</v>
      </c>
      <c r="K486">
        <v>84</v>
      </c>
      <c r="L486">
        <v>83</v>
      </c>
      <c r="M486">
        <v>80</v>
      </c>
      <c r="N486">
        <v>91</v>
      </c>
      <c r="O486">
        <v>88</v>
      </c>
      <c r="P486">
        <v>61</v>
      </c>
      <c r="Q486">
        <v>61</v>
      </c>
      <c r="R486">
        <f>SUM(student_scores[[#This Row],[math_score]:[geography_score]])</f>
        <v>548</v>
      </c>
      <c r="S486" s="3">
        <f>student_scores[[#This Row],[Total_Score]]/7</f>
        <v>78.285714285714292</v>
      </c>
      <c r="T486" s="3" t="str" cm="1">
        <f t="array" ref="T486">_xlfn.IFS(student_scores[[#This Row],[weekly_self_study_hours]]&lt;=5,   "0 - 5", student_scores[[#This Row],[weekly_self_study_hours]]&lt;=10,  "6 - 10", student_scores[[#This Row],[weekly_self_study_hours]]&lt;=20,  "11 - 20",student_scores[[#This Row],[weekly_self_study_hours]]&lt;=30, "21 - 30",TRUE, "31+")</f>
        <v>21 - 30</v>
      </c>
      <c r="U486" t="str" cm="1">
        <f t="array" ref="U486">_xlfn.IFS(student_scores[[#This Row],[absence_days]]=0,"0", student_scores[[#This Row],[absence_days]]&lt;=3,"1-3", student_scores[[#This Row],[absence_days]]&lt;=6,"4-6", TRUE,"7-10")</f>
        <v>1-3</v>
      </c>
      <c r="V486" t="str">
        <f>IF(student_scores[[#This Row],[Total_Score]] &gt;= _xlfn.PERCENTILE.INC(student_scores[Total_Score], 0.8), "Yes", "No")</f>
        <v>No</v>
      </c>
    </row>
    <row r="487" spans="1:22" x14ac:dyDescent="0.35">
      <c r="A487">
        <v>486</v>
      </c>
      <c r="B487" t="s">
        <v>1059</v>
      </c>
      <c r="C487" t="s">
        <v>884</v>
      </c>
      <c r="D487" t="s">
        <v>1060</v>
      </c>
      <c r="E487" t="s">
        <v>25</v>
      </c>
      <c r="F487" t="b">
        <v>1</v>
      </c>
      <c r="G487">
        <v>5</v>
      </c>
      <c r="H487" t="b">
        <v>0</v>
      </c>
      <c r="I487">
        <v>2</v>
      </c>
      <c r="J487" t="s">
        <v>64</v>
      </c>
      <c r="K487">
        <v>56</v>
      </c>
      <c r="L487">
        <v>96</v>
      </c>
      <c r="M487">
        <v>65</v>
      </c>
      <c r="N487">
        <v>61</v>
      </c>
      <c r="O487">
        <v>78</v>
      </c>
      <c r="P487">
        <v>77</v>
      </c>
      <c r="Q487">
        <v>95</v>
      </c>
      <c r="R487">
        <f>SUM(student_scores[[#This Row],[math_score]:[geography_score]])</f>
        <v>528</v>
      </c>
      <c r="S487" s="3">
        <f>student_scores[[#This Row],[Total_Score]]/7</f>
        <v>75.428571428571431</v>
      </c>
      <c r="T487" s="3" t="str" cm="1">
        <f t="array" ref="T487">_xlfn.IFS(student_scores[[#This Row],[weekly_self_study_hours]]&lt;=5,   "0 - 5", student_scores[[#This Row],[weekly_self_study_hours]]&lt;=10,  "6 - 10", student_scores[[#This Row],[weekly_self_study_hours]]&lt;=20,  "11 - 20",student_scores[[#This Row],[weekly_self_study_hours]]&lt;=30, "21 - 30",TRUE, "31+")</f>
        <v>0 - 5</v>
      </c>
      <c r="U487" t="str" cm="1">
        <f t="array" ref="U487">_xlfn.IFS(student_scores[[#This Row],[absence_days]]=0,"0", student_scores[[#This Row],[absence_days]]&lt;=3,"1-3", student_scores[[#This Row],[absence_days]]&lt;=6,"4-6", TRUE,"7-10")</f>
        <v>4-6</v>
      </c>
      <c r="V487" t="str">
        <f>IF(student_scores[[#This Row],[Total_Score]] &gt;= _xlfn.PERCENTILE.INC(student_scores[Total_Score], 0.8), "Yes", "No")</f>
        <v>No</v>
      </c>
    </row>
    <row r="488" spans="1:22" x14ac:dyDescent="0.35">
      <c r="A488">
        <v>487</v>
      </c>
      <c r="B488" t="s">
        <v>666</v>
      </c>
      <c r="C488" t="s">
        <v>118</v>
      </c>
      <c r="D488" t="s">
        <v>1061</v>
      </c>
      <c r="E488" t="s">
        <v>25</v>
      </c>
      <c r="F488" t="b">
        <v>0</v>
      </c>
      <c r="G488">
        <v>3</v>
      </c>
      <c r="H488" t="b">
        <v>0</v>
      </c>
      <c r="I488">
        <v>21</v>
      </c>
      <c r="J488" t="s">
        <v>38</v>
      </c>
      <c r="K488">
        <v>97</v>
      </c>
      <c r="L488">
        <v>89</v>
      </c>
      <c r="M488">
        <v>94</v>
      </c>
      <c r="N488">
        <v>91</v>
      </c>
      <c r="O488">
        <v>95</v>
      </c>
      <c r="P488">
        <v>70</v>
      </c>
      <c r="Q488">
        <v>75</v>
      </c>
      <c r="R488">
        <f>SUM(student_scores[[#This Row],[math_score]:[geography_score]])</f>
        <v>611</v>
      </c>
      <c r="S488" s="3">
        <f>student_scores[[#This Row],[Total_Score]]/7</f>
        <v>87.285714285714292</v>
      </c>
      <c r="T488" s="3" t="str" cm="1">
        <f t="array" ref="T488">_xlfn.IFS(student_scores[[#This Row],[weekly_self_study_hours]]&lt;=5,   "0 - 5", student_scores[[#This Row],[weekly_self_study_hours]]&lt;=10,  "6 - 10", student_scores[[#This Row],[weekly_self_study_hours]]&lt;=20,  "11 - 20",student_scores[[#This Row],[weekly_self_study_hours]]&lt;=30, "21 - 30",TRUE, "31+")</f>
        <v>21 - 30</v>
      </c>
      <c r="U488" t="str" cm="1">
        <f t="array" ref="U488">_xlfn.IFS(student_scores[[#This Row],[absence_days]]=0,"0", student_scores[[#This Row],[absence_days]]&lt;=3,"1-3", student_scores[[#This Row],[absence_days]]&lt;=6,"4-6", TRUE,"7-10")</f>
        <v>1-3</v>
      </c>
      <c r="V488" t="str">
        <f>IF(student_scores[[#This Row],[Total_Score]] &gt;= _xlfn.PERCENTILE.INC(student_scores[Total_Score], 0.8), "Yes", "No")</f>
        <v>Yes</v>
      </c>
    </row>
    <row r="489" spans="1:22" x14ac:dyDescent="0.35">
      <c r="A489">
        <v>488</v>
      </c>
      <c r="B489" t="s">
        <v>715</v>
      </c>
      <c r="C489" t="s">
        <v>1062</v>
      </c>
      <c r="D489" t="s">
        <v>1063</v>
      </c>
      <c r="E489" t="s">
        <v>25</v>
      </c>
      <c r="F489" t="b">
        <v>0</v>
      </c>
      <c r="G489">
        <v>10</v>
      </c>
      <c r="H489" t="b">
        <v>0</v>
      </c>
      <c r="I489">
        <v>5</v>
      </c>
      <c r="J489" t="s">
        <v>64</v>
      </c>
      <c r="K489">
        <v>67</v>
      </c>
      <c r="L489">
        <v>60</v>
      </c>
      <c r="M489">
        <v>97</v>
      </c>
      <c r="N489">
        <v>53</v>
      </c>
      <c r="O489">
        <v>93</v>
      </c>
      <c r="P489">
        <v>78</v>
      </c>
      <c r="Q489">
        <v>81</v>
      </c>
      <c r="R489">
        <f>SUM(student_scores[[#This Row],[math_score]:[geography_score]])</f>
        <v>529</v>
      </c>
      <c r="S489" s="3">
        <f>student_scores[[#This Row],[Total_Score]]/7</f>
        <v>75.571428571428569</v>
      </c>
      <c r="T489" s="3" t="str" cm="1">
        <f t="array" ref="T489">_xlfn.IFS(student_scores[[#This Row],[weekly_self_study_hours]]&lt;=5,   "0 - 5", student_scores[[#This Row],[weekly_self_study_hours]]&lt;=10,  "6 - 10", student_scores[[#This Row],[weekly_self_study_hours]]&lt;=20,  "11 - 20",student_scores[[#This Row],[weekly_self_study_hours]]&lt;=30, "21 - 30",TRUE, "31+")</f>
        <v>0 - 5</v>
      </c>
      <c r="U489" t="str" cm="1">
        <f t="array" ref="U489">_xlfn.IFS(student_scores[[#This Row],[absence_days]]=0,"0", student_scores[[#This Row],[absence_days]]&lt;=3,"1-3", student_scores[[#This Row],[absence_days]]&lt;=6,"4-6", TRUE,"7-10")</f>
        <v>7-10</v>
      </c>
      <c r="V489" t="str">
        <f>IF(student_scores[[#This Row],[Total_Score]] &gt;= _xlfn.PERCENTILE.INC(student_scores[Total_Score], 0.8), "Yes", "No")</f>
        <v>No</v>
      </c>
    </row>
    <row r="490" spans="1:22" x14ac:dyDescent="0.35">
      <c r="A490">
        <v>489</v>
      </c>
      <c r="B490" t="s">
        <v>83</v>
      </c>
      <c r="C490" t="s">
        <v>329</v>
      </c>
      <c r="D490" t="s">
        <v>1064</v>
      </c>
      <c r="E490" t="s">
        <v>25</v>
      </c>
      <c r="F490" t="b">
        <v>1</v>
      </c>
      <c r="G490">
        <v>10</v>
      </c>
      <c r="H490" t="b">
        <v>0</v>
      </c>
      <c r="I490">
        <v>5</v>
      </c>
      <c r="J490" t="s">
        <v>64</v>
      </c>
      <c r="K490">
        <v>97</v>
      </c>
      <c r="L490">
        <v>93</v>
      </c>
      <c r="M490">
        <v>64</v>
      </c>
      <c r="N490">
        <v>74</v>
      </c>
      <c r="O490">
        <v>94</v>
      </c>
      <c r="P490">
        <v>74</v>
      </c>
      <c r="Q490">
        <v>76</v>
      </c>
      <c r="R490">
        <f>SUM(student_scores[[#This Row],[math_score]:[geography_score]])</f>
        <v>572</v>
      </c>
      <c r="S490" s="3">
        <f>student_scores[[#This Row],[Total_Score]]/7</f>
        <v>81.714285714285708</v>
      </c>
      <c r="T490" s="3" t="str" cm="1">
        <f t="array" ref="T490">_xlfn.IFS(student_scores[[#This Row],[weekly_self_study_hours]]&lt;=5,   "0 - 5", student_scores[[#This Row],[weekly_self_study_hours]]&lt;=10,  "6 - 10", student_scores[[#This Row],[weekly_self_study_hours]]&lt;=20,  "11 - 20",student_scores[[#This Row],[weekly_self_study_hours]]&lt;=30, "21 - 30",TRUE, "31+")</f>
        <v>0 - 5</v>
      </c>
      <c r="U490" t="str" cm="1">
        <f t="array" ref="U490">_xlfn.IFS(student_scores[[#This Row],[absence_days]]=0,"0", student_scores[[#This Row],[absence_days]]&lt;=3,"1-3", student_scores[[#This Row],[absence_days]]&lt;=6,"4-6", TRUE,"7-10")</f>
        <v>7-10</v>
      </c>
      <c r="V490" t="str">
        <f>IF(student_scores[[#This Row],[Total_Score]] &gt;= _xlfn.PERCENTILE.INC(student_scores[Total_Score], 0.8), "Yes", "No")</f>
        <v>No</v>
      </c>
    </row>
    <row r="491" spans="1:22" x14ac:dyDescent="0.35">
      <c r="A491">
        <v>490</v>
      </c>
      <c r="B491" t="s">
        <v>468</v>
      </c>
      <c r="C491" t="s">
        <v>499</v>
      </c>
      <c r="D491" t="s">
        <v>1065</v>
      </c>
      <c r="E491" t="s">
        <v>25</v>
      </c>
      <c r="F491" t="b">
        <v>0</v>
      </c>
      <c r="G491">
        <v>5</v>
      </c>
      <c r="H491" t="b">
        <v>0</v>
      </c>
      <c r="I491">
        <v>0</v>
      </c>
      <c r="J491" t="s">
        <v>64</v>
      </c>
      <c r="K491">
        <v>100</v>
      </c>
      <c r="L491">
        <v>67</v>
      </c>
      <c r="M491">
        <v>50</v>
      </c>
      <c r="N491">
        <v>78</v>
      </c>
      <c r="O491">
        <v>73</v>
      </c>
      <c r="P491">
        <v>90</v>
      </c>
      <c r="Q491">
        <v>91</v>
      </c>
      <c r="R491">
        <f>SUM(student_scores[[#This Row],[math_score]:[geography_score]])</f>
        <v>549</v>
      </c>
      <c r="S491" s="3">
        <f>student_scores[[#This Row],[Total_Score]]/7</f>
        <v>78.428571428571431</v>
      </c>
      <c r="T491" s="3" t="str" cm="1">
        <f t="array" ref="T491">_xlfn.IFS(student_scores[[#This Row],[weekly_self_study_hours]]&lt;=5,   "0 - 5", student_scores[[#This Row],[weekly_self_study_hours]]&lt;=10,  "6 - 10", student_scores[[#This Row],[weekly_self_study_hours]]&lt;=20,  "11 - 20",student_scores[[#This Row],[weekly_self_study_hours]]&lt;=30, "21 - 30",TRUE, "31+")</f>
        <v>0 - 5</v>
      </c>
      <c r="U491" t="str" cm="1">
        <f t="array" ref="U491">_xlfn.IFS(student_scores[[#This Row],[absence_days]]=0,"0", student_scores[[#This Row],[absence_days]]&lt;=3,"1-3", student_scores[[#This Row],[absence_days]]&lt;=6,"4-6", TRUE,"7-10")</f>
        <v>4-6</v>
      </c>
      <c r="V491" t="str">
        <f>IF(student_scores[[#This Row],[Total_Score]] &gt;= _xlfn.PERCENTILE.INC(student_scores[Total_Score], 0.8), "Yes", "No")</f>
        <v>No</v>
      </c>
    </row>
    <row r="492" spans="1:22" x14ac:dyDescent="0.35">
      <c r="A492">
        <v>491</v>
      </c>
      <c r="B492" t="s">
        <v>39</v>
      </c>
      <c r="C492" t="s">
        <v>658</v>
      </c>
      <c r="D492" t="s">
        <v>1066</v>
      </c>
      <c r="E492" t="s">
        <v>25</v>
      </c>
      <c r="F492" t="b">
        <v>0</v>
      </c>
      <c r="G492">
        <v>5</v>
      </c>
      <c r="H492" t="b">
        <v>1</v>
      </c>
      <c r="I492">
        <v>10</v>
      </c>
      <c r="J492" t="s">
        <v>54</v>
      </c>
      <c r="K492">
        <v>83</v>
      </c>
      <c r="L492">
        <v>61</v>
      </c>
      <c r="M492">
        <v>76</v>
      </c>
      <c r="N492">
        <v>75</v>
      </c>
      <c r="O492">
        <v>62</v>
      </c>
      <c r="P492">
        <v>79</v>
      </c>
      <c r="Q492">
        <v>94</v>
      </c>
      <c r="R492">
        <f>SUM(student_scores[[#This Row],[math_score]:[geography_score]])</f>
        <v>530</v>
      </c>
      <c r="S492" s="3">
        <f>student_scores[[#This Row],[Total_Score]]/7</f>
        <v>75.714285714285708</v>
      </c>
      <c r="T492" s="3" t="str" cm="1">
        <f t="array" ref="T492">_xlfn.IFS(student_scores[[#This Row],[weekly_self_study_hours]]&lt;=5,   "0 - 5", student_scores[[#This Row],[weekly_self_study_hours]]&lt;=10,  "6 - 10", student_scores[[#This Row],[weekly_self_study_hours]]&lt;=20,  "11 - 20",student_scores[[#This Row],[weekly_self_study_hours]]&lt;=30, "21 - 30",TRUE, "31+")</f>
        <v>6 - 10</v>
      </c>
      <c r="U492" t="str" cm="1">
        <f t="array" ref="U492">_xlfn.IFS(student_scores[[#This Row],[absence_days]]=0,"0", student_scores[[#This Row],[absence_days]]&lt;=3,"1-3", student_scores[[#This Row],[absence_days]]&lt;=6,"4-6", TRUE,"7-10")</f>
        <v>4-6</v>
      </c>
      <c r="V492" t="str">
        <f>IF(student_scores[[#This Row],[Total_Score]] &gt;= _xlfn.PERCENTILE.INC(student_scores[Total_Score], 0.8), "Yes", "No")</f>
        <v>No</v>
      </c>
    </row>
    <row r="493" spans="1:22" x14ac:dyDescent="0.35">
      <c r="A493">
        <v>492</v>
      </c>
      <c r="B493" t="s">
        <v>139</v>
      </c>
      <c r="C493" t="s">
        <v>32</v>
      </c>
      <c r="D493" t="s">
        <v>1067</v>
      </c>
      <c r="E493" t="s">
        <v>20</v>
      </c>
      <c r="F493" t="b">
        <v>0</v>
      </c>
      <c r="G493">
        <v>5</v>
      </c>
      <c r="H493" t="b">
        <v>0</v>
      </c>
      <c r="I493">
        <v>2</v>
      </c>
      <c r="J493" t="s">
        <v>34</v>
      </c>
      <c r="K493">
        <v>85</v>
      </c>
      <c r="L493">
        <v>63</v>
      </c>
      <c r="M493">
        <v>83</v>
      </c>
      <c r="N493">
        <v>83</v>
      </c>
      <c r="O493">
        <v>69</v>
      </c>
      <c r="P493">
        <v>94</v>
      </c>
      <c r="Q493">
        <v>80</v>
      </c>
      <c r="R493">
        <f>SUM(student_scores[[#This Row],[math_score]:[geography_score]])</f>
        <v>557</v>
      </c>
      <c r="S493" s="3">
        <f>student_scores[[#This Row],[Total_Score]]/7</f>
        <v>79.571428571428569</v>
      </c>
      <c r="T493" s="3" t="str" cm="1">
        <f t="array" ref="T493">_xlfn.IFS(student_scores[[#This Row],[weekly_self_study_hours]]&lt;=5,   "0 - 5", student_scores[[#This Row],[weekly_self_study_hours]]&lt;=10,  "6 - 10", student_scores[[#This Row],[weekly_self_study_hours]]&lt;=20,  "11 - 20",student_scores[[#This Row],[weekly_self_study_hours]]&lt;=30, "21 - 30",TRUE, "31+")</f>
        <v>0 - 5</v>
      </c>
      <c r="U493" t="str" cm="1">
        <f t="array" ref="U493">_xlfn.IFS(student_scores[[#This Row],[absence_days]]=0,"0", student_scores[[#This Row],[absence_days]]&lt;=3,"1-3", student_scores[[#This Row],[absence_days]]&lt;=6,"4-6", TRUE,"7-10")</f>
        <v>4-6</v>
      </c>
      <c r="V493" t="str">
        <f>IF(student_scores[[#This Row],[Total_Score]] &gt;= _xlfn.PERCENTILE.INC(student_scores[Total_Score], 0.8), "Yes", "No")</f>
        <v>No</v>
      </c>
    </row>
    <row r="494" spans="1:22" x14ac:dyDescent="0.35">
      <c r="A494">
        <v>493</v>
      </c>
      <c r="B494" t="s">
        <v>555</v>
      </c>
      <c r="C494" t="s">
        <v>1068</v>
      </c>
      <c r="D494" t="s">
        <v>1069</v>
      </c>
      <c r="E494" t="s">
        <v>25</v>
      </c>
      <c r="F494" t="b">
        <v>0</v>
      </c>
      <c r="G494">
        <v>5</v>
      </c>
      <c r="H494" t="b">
        <v>1</v>
      </c>
      <c r="I494">
        <v>24</v>
      </c>
      <c r="J494" t="s">
        <v>105</v>
      </c>
      <c r="K494">
        <v>100</v>
      </c>
      <c r="L494">
        <v>96</v>
      </c>
      <c r="M494">
        <v>97</v>
      </c>
      <c r="N494">
        <v>64</v>
      </c>
      <c r="O494">
        <v>76</v>
      </c>
      <c r="P494">
        <v>77</v>
      </c>
      <c r="Q494">
        <v>61</v>
      </c>
      <c r="R494">
        <f>SUM(student_scores[[#This Row],[math_score]:[geography_score]])</f>
        <v>571</v>
      </c>
      <c r="S494" s="3">
        <f>student_scores[[#This Row],[Total_Score]]/7</f>
        <v>81.571428571428569</v>
      </c>
      <c r="T494" s="3" t="str" cm="1">
        <f t="array" ref="T494">_xlfn.IFS(student_scores[[#This Row],[weekly_self_study_hours]]&lt;=5,   "0 - 5", student_scores[[#This Row],[weekly_self_study_hours]]&lt;=10,  "6 - 10", student_scores[[#This Row],[weekly_self_study_hours]]&lt;=20,  "11 - 20",student_scores[[#This Row],[weekly_self_study_hours]]&lt;=30, "21 - 30",TRUE, "31+")</f>
        <v>21 - 30</v>
      </c>
      <c r="U494" t="str" cm="1">
        <f t="array" ref="U494">_xlfn.IFS(student_scores[[#This Row],[absence_days]]=0,"0", student_scores[[#This Row],[absence_days]]&lt;=3,"1-3", student_scores[[#This Row],[absence_days]]&lt;=6,"4-6", TRUE,"7-10")</f>
        <v>4-6</v>
      </c>
      <c r="V494" t="str">
        <f>IF(student_scores[[#This Row],[Total_Score]] &gt;= _xlfn.PERCENTILE.INC(student_scores[Total_Score], 0.8), "Yes", "No")</f>
        <v>No</v>
      </c>
    </row>
    <row r="495" spans="1:22" x14ac:dyDescent="0.35">
      <c r="A495">
        <v>494</v>
      </c>
      <c r="B495" t="s">
        <v>221</v>
      </c>
      <c r="C495" t="s">
        <v>1070</v>
      </c>
      <c r="D495" t="s">
        <v>1071</v>
      </c>
      <c r="E495" t="s">
        <v>20</v>
      </c>
      <c r="F495" t="b">
        <v>0</v>
      </c>
      <c r="G495">
        <v>4</v>
      </c>
      <c r="H495" t="b">
        <v>0</v>
      </c>
      <c r="I495">
        <v>46</v>
      </c>
      <c r="J495" t="s">
        <v>26</v>
      </c>
      <c r="K495">
        <v>92</v>
      </c>
      <c r="L495">
        <v>98</v>
      </c>
      <c r="M495">
        <v>99</v>
      </c>
      <c r="N495">
        <v>86</v>
      </c>
      <c r="O495">
        <v>100</v>
      </c>
      <c r="P495">
        <v>86</v>
      </c>
      <c r="Q495">
        <v>87</v>
      </c>
      <c r="R495">
        <f>SUM(student_scores[[#This Row],[math_score]:[geography_score]])</f>
        <v>648</v>
      </c>
      <c r="S495" s="3">
        <f>student_scores[[#This Row],[Total_Score]]/7</f>
        <v>92.571428571428569</v>
      </c>
      <c r="T495" s="3" t="str" cm="1">
        <f t="array" ref="T495">_xlfn.IFS(student_scores[[#This Row],[weekly_self_study_hours]]&lt;=5,   "0 - 5", student_scores[[#This Row],[weekly_self_study_hours]]&lt;=10,  "6 - 10", student_scores[[#This Row],[weekly_self_study_hours]]&lt;=20,  "11 - 20",student_scores[[#This Row],[weekly_self_study_hours]]&lt;=30, "21 - 30",TRUE, "31+")</f>
        <v>31+</v>
      </c>
      <c r="U495" t="str" cm="1">
        <f t="array" ref="U495">_xlfn.IFS(student_scores[[#This Row],[absence_days]]=0,"0", student_scores[[#This Row],[absence_days]]&lt;=3,"1-3", student_scores[[#This Row],[absence_days]]&lt;=6,"4-6", TRUE,"7-10")</f>
        <v>4-6</v>
      </c>
      <c r="V495" t="str">
        <f>IF(student_scores[[#This Row],[Total_Score]] &gt;= _xlfn.PERCENTILE.INC(student_scores[Total_Score], 0.8), "Yes", "No")</f>
        <v>Yes</v>
      </c>
    </row>
    <row r="496" spans="1:22" x14ac:dyDescent="0.35">
      <c r="A496">
        <v>495</v>
      </c>
      <c r="B496" t="s">
        <v>413</v>
      </c>
      <c r="C496" t="s">
        <v>100</v>
      </c>
      <c r="D496" t="s">
        <v>1072</v>
      </c>
      <c r="E496" t="s">
        <v>20</v>
      </c>
      <c r="F496" t="b">
        <v>0</v>
      </c>
      <c r="G496">
        <v>3</v>
      </c>
      <c r="H496" t="b">
        <v>0</v>
      </c>
      <c r="I496">
        <v>31</v>
      </c>
      <c r="J496" t="s">
        <v>109</v>
      </c>
      <c r="K496">
        <v>88</v>
      </c>
      <c r="L496">
        <v>98</v>
      </c>
      <c r="M496">
        <v>65</v>
      </c>
      <c r="N496">
        <v>68</v>
      </c>
      <c r="O496">
        <v>99</v>
      </c>
      <c r="P496">
        <v>94</v>
      </c>
      <c r="Q496">
        <v>79</v>
      </c>
      <c r="R496">
        <f>SUM(student_scores[[#This Row],[math_score]:[geography_score]])</f>
        <v>591</v>
      </c>
      <c r="S496" s="3">
        <f>student_scores[[#This Row],[Total_Score]]/7</f>
        <v>84.428571428571431</v>
      </c>
      <c r="T496" s="3" t="str" cm="1">
        <f t="array" ref="T496">_xlfn.IFS(student_scores[[#This Row],[weekly_self_study_hours]]&lt;=5,   "0 - 5", student_scores[[#This Row],[weekly_self_study_hours]]&lt;=10,  "6 - 10", student_scores[[#This Row],[weekly_self_study_hours]]&lt;=20,  "11 - 20",student_scores[[#This Row],[weekly_self_study_hours]]&lt;=30, "21 - 30",TRUE, "31+")</f>
        <v>31+</v>
      </c>
      <c r="U496" t="str" cm="1">
        <f t="array" ref="U496">_xlfn.IFS(student_scores[[#This Row],[absence_days]]=0,"0", student_scores[[#This Row],[absence_days]]&lt;=3,"1-3", student_scores[[#This Row],[absence_days]]&lt;=6,"4-6", TRUE,"7-10")</f>
        <v>1-3</v>
      </c>
      <c r="V496" t="str">
        <f>IF(student_scores[[#This Row],[Total_Score]] &gt;= _xlfn.PERCENTILE.INC(student_scores[Total_Score], 0.8), "Yes", "No")</f>
        <v>No</v>
      </c>
    </row>
    <row r="497" spans="1:22" x14ac:dyDescent="0.35">
      <c r="A497">
        <v>496</v>
      </c>
      <c r="B497" t="s">
        <v>312</v>
      </c>
      <c r="C497" t="s">
        <v>1073</v>
      </c>
      <c r="D497" t="s">
        <v>1074</v>
      </c>
      <c r="E497" t="s">
        <v>20</v>
      </c>
      <c r="F497" t="b">
        <v>0</v>
      </c>
      <c r="G497">
        <v>1</v>
      </c>
      <c r="H497" t="b">
        <v>0</v>
      </c>
      <c r="I497">
        <v>33</v>
      </c>
      <c r="J497" t="s">
        <v>21</v>
      </c>
      <c r="K497">
        <v>95</v>
      </c>
      <c r="L497">
        <v>82</v>
      </c>
      <c r="M497">
        <v>62</v>
      </c>
      <c r="N497">
        <v>76</v>
      </c>
      <c r="O497">
        <v>64</v>
      </c>
      <c r="P497">
        <v>91</v>
      </c>
      <c r="Q497">
        <v>79</v>
      </c>
      <c r="R497">
        <f>SUM(student_scores[[#This Row],[math_score]:[geography_score]])</f>
        <v>549</v>
      </c>
      <c r="S497" s="3">
        <f>student_scores[[#This Row],[Total_Score]]/7</f>
        <v>78.428571428571431</v>
      </c>
      <c r="T497" s="3" t="str" cm="1">
        <f t="array" ref="T497">_xlfn.IFS(student_scores[[#This Row],[weekly_self_study_hours]]&lt;=5,   "0 - 5", student_scores[[#This Row],[weekly_self_study_hours]]&lt;=10,  "6 - 10", student_scores[[#This Row],[weekly_self_study_hours]]&lt;=20,  "11 - 20",student_scores[[#This Row],[weekly_self_study_hours]]&lt;=30, "21 - 30",TRUE, "31+")</f>
        <v>31+</v>
      </c>
      <c r="U497" t="str" cm="1">
        <f t="array" ref="U497">_xlfn.IFS(student_scores[[#This Row],[absence_days]]=0,"0", student_scores[[#This Row],[absence_days]]&lt;=3,"1-3", student_scores[[#This Row],[absence_days]]&lt;=6,"4-6", TRUE,"7-10")</f>
        <v>1-3</v>
      </c>
      <c r="V497" t="str">
        <f>IF(student_scores[[#This Row],[Total_Score]] &gt;= _xlfn.PERCENTILE.INC(student_scores[Total_Score], 0.8), "Yes", "No")</f>
        <v>No</v>
      </c>
    </row>
    <row r="498" spans="1:22" x14ac:dyDescent="0.35">
      <c r="A498">
        <v>497</v>
      </c>
      <c r="B498" t="s">
        <v>294</v>
      </c>
      <c r="C498" t="s">
        <v>782</v>
      </c>
      <c r="D498" t="s">
        <v>1075</v>
      </c>
      <c r="E498" t="s">
        <v>25</v>
      </c>
      <c r="F498" t="b">
        <v>0</v>
      </c>
      <c r="G498">
        <v>5</v>
      </c>
      <c r="H498" t="b">
        <v>0</v>
      </c>
      <c r="I498">
        <v>26</v>
      </c>
      <c r="J498" t="s">
        <v>172</v>
      </c>
      <c r="K498">
        <v>76</v>
      </c>
      <c r="L498">
        <v>81</v>
      </c>
      <c r="M498">
        <v>84</v>
      </c>
      <c r="N498">
        <v>80</v>
      </c>
      <c r="O498">
        <v>80</v>
      </c>
      <c r="P498">
        <v>84</v>
      </c>
      <c r="Q498">
        <v>70</v>
      </c>
      <c r="R498">
        <f>SUM(student_scores[[#This Row],[math_score]:[geography_score]])</f>
        <v>555</v>
      </c>
      <c r="S498" s="3">
        <f>student_scores[[#This Row],[Total_Score]]/7</f>
        <v>79.285714285714292</v>
      </c>
      <c r="T498" s="3" t="str" cm="1">
        <f t="array" ref="T498">_xlfn.IFS(student_scores[[#This Row],[weekly_self_study_hours]]&lt;=5,   "0 - 5", student_scores[[#This Row],[weekly_self_study_hours]]&lt;=10,  "6 - 10", student_scores[[#This Row],[weekly_self_study_hours]]&lt;=20,  "11 - 20",student_scores[[#This Row],[weekly_self_study_hours]]&lt;=30, "21 - 30",TRUE, "31+")</f>
        <v>21 - 30</v>
      </c>
      <c r="U498" t="str" cm="1">
        <f t="array" ref="U498">_xlfn.IFS(student_scores[[#This Row],[absence_days]]=0,"0", student_scores[[#This Row],[absence_days]]&lt;=3,"1-3", student_scores[[#This Row],[absence_days]]&lt;=6,"4-6", TRUE,"7-10")</f>
        <v>4-6</v>
      </c>
      <c r="V498" t="str">
        <f>IF(student_scores[[#This Row],[Total_Score]] &gt;= _xlfn.PERCENTILE.INC(student_scores[Total_Score], 0.8), "Yes", "No")</f>
        <v>No</v>
      </c>
    </row>
    <row r="499" spans="1:22" x14ac:dyDescent="0.35">
      <c r="A499">
        <v>498</v>
      </c>
      <c r="B499" t="s">
        <v>300</v>
      </c>
      <c r="C499" t="s">
        <v>1076</v>
      </c>
      <c r="D499" t="s">
        <v>1077</v>
      </c>
      <c r="E499" t="s">
        <v>20</v>
      </c>
      <c r="F499" t="b">
        <v>0</v>
      </c>
      <c r="G499">
        <v>2</v>
      </c>
      <c r="H499" t="b">
        <v>0</v>
      </c>
      <c r="I499">
        <v>19</v>
      </c>
      <c r="J499" t="s">
        <v>113</v>
      </c>
      <c r="K499">
        <v>79</v>
      </c>
      <c r="L499">
        <v>93</v>
      </c>
      <c r="M499">
        <v>72</v>
      </c>
      <c r="N499">
        <v>97</v>
      </c>
      <c r="O499">
        <v>69</v>
      </c>
      <c r="P499">
        <v>78</v>
      </c>
      <c r="Q499">
        <v>87</v>
      </c>
      <c r="R499">
        <f>SUM(student_scores[[#This Row],[math_score]:[geography_score]])</f>
        <v>575</v>
      </c>
      <c r="S499" s="3">
        <f>student_scores[[#This Row],[Total_Score]]/7</f>
        <v>82.142857142857139</v>
      </c>
      <c r="T499" s="3" t="str" cm="1">
        <f t="array" ref="T499">_xlfn.IFS(student_scores[[#This Row],[weekly_self_study_hours]]&lt;=5,   "0 - 5", student_scores[[#This Row],[weekly_self_study_hours]]&lt;=10,  "6 - 10", student_scores[[#This Row],[weekly_self_study_hours]]&lt;=20,  "11 - 20",student_scores[[#This Row],[weekly_self_study_hours]]&lt;=30, "21 - 30",TRUE, "31+")</f>
        <v>11 - 20</v>
      </c>
      <c r="U499" t="str" cm="1">
        <f t="array" ref="U499">_xlfn.IFS(student_scores[[#This Row],[absence_days]]=0,"0", student_scores[[#This Row],[absence_days]]&lt;=3,"1-3", student_scores[[#This Row],[absence_days]]&lt;=6,"4-6", TRUE,"7-10")</f>
        <v>1-3</v>
      </c>
      <c r="V499" t="str">
        <f>IF(student_scores[[#This Row],[Total_Score]] &gt;= _xlfn.PERCENTILE.INC(student_scores[Total_Score], 0.8), "Yes", "No")</f>
        <v>No</v>
      </c>
    </row>
    <row r="500" spans="1:22" x14ac:dyDescent="0.35">
      <c r="A500">
        <v>499</v>
      </c>
      <c r="B500" t="s">
        <v>410</v>
      </c>
      <c r="C500" t="s">
        <v>435</v>
      </c>
      <c r="D500" t="s">
        <v>1078</v>
      </c>
      <c r="E500" t="s">
        <v>20</v>
      </c>
      <c r="F500" t="b">
        <v>0</v>
      </c>
      <c r="G500">
        <v>3</v>
      </c>
      <c r="H500" t="b">
        <v>0</v>
      </c>
      <c r="I500">
        <v>25</v>
      </c>
      <c r="J500" t="s">
        <v>44</v>
      </c>
      <c r="K500">
        <v>93</v>
      </c>
      <c r="L500">
        <v>70</v>
      </c>
      <c r="M500">
        <v>84</v>
      </c>
      <c r="N500">
        <v>68</v>
      </c>
      <c r="O500">
        <v>71</v>
      </c>
      <c r="P500">
        <v>85</v>
      </c>
      <c r="Q500">
        <v>70</v>
      </c>
      <c r="R500">
        <f>SUM(student_scores[[#This Row],[math_score]:[geography_score]])</f>
        <v>541</v>
      </c>
      <c r="S500" s="3">
        <f>student_scores[[#This Row],[Total_Score]]/7</f>
        <v>77.285714285714292</v>
      </c>
      <c r="T500" s="3" t="str" cm="1">
        <f t="array" ref="T500">_xlfn.IFS(student_scores[[#This Row],[weekly_self_study_hours]]&lt;=5,   "0 - 5", student_scores[[#This Row],[weekly_self_study_hours]]&lt;=10,  "6 - 10", student_scores[[#This Row],[weekly_self_study_hours]]&lt;=20,  "11 - 20",student_scores[[#This Row],[weekly_self_study_hours]]&lt;=30, "21 - 30",TRUE, "31+")</f>
        <v>21 - 30</v>
      </c>
      <c r="U500" t="str" cm="1">
        <f t="array" ref="U500">_xlfn.IFS(student_scores[[#This Row],[absence_days]]=0,"0", student_scores[[#This Row],[absence_days]]&lt;=3,"1-3", student_scores[[#This Row],[absence_days]]&lt;=6,"4-6", TRUE,"7-10")</f>
        <v>1-3</v>
      </c>
      <c r="V500" t="str">
        <f>IF(student_scores[[#This Row],[Total_Score]] &gt;= _xlfn.PERCENTILE.INC(student_scores[Total_Score], 0.8), "Yes", "No")</f>
        <v>No</v>
      </c>
    </row>
    <row r="501" spans="1:22" x14ac:dyDescent="0.35">
      <c r="A501">
        <v>500</v>
      </c>
      <c r="B501" t="s">
        <v>1079</v>
      </c>
      <c r="C501" t="s">
        <v>1080</v>
      </c>
      <c r="D501" t="s">
        <v>1081</v>
      </c>
      <c r="E501" t="s">
        <v>25</v>
      </c>
      <c r="F501" t="b">
        <v>0</v>
      </c>
      <c r="G501">
        <v>3</v>
      </c>
      <c r="H501" t="b">
        <v>0</v>
      </c>
      <c r="I501">
        <v>24</v>
      </c>
      <c r="J501" t="s">
        <v>113</v>
      </c>
      <c r="K501">
        <v>79</v>
      </c>
      <c r="L501">
        <v>96</v>
      </c>
      <c r="M501">
        <v>78</v>
      </c>
      <c r="N501">
        <v>90</v>
      </c>
      <c r="O501">
        <v>94</v>
      </c>
      <c r="P501">
        <v>76</v>
      </c>
      <c r="Q501">
        <v>88</v>
      </c>
      <c r="R501">
        <f>SUM(student_scores[[#This Row],[math_score]:[geography_score]])</f>
        <v>601</v>
      </c>
      <c r="S501" s="3">
        <f>student_scores[[#This Row],[Total_Score]]/7</f>
        <v>85.857142857142861</v>
      </c>
      <c r="T501" s="3" t="str" cm="1">
        <f t="array" ref="T501">_xlfn.IFS(student_scores[[#This Row],[weekly_self_study_hours]]&lt;=5,   "0 - 5", student_scores[[#This Row],[weekly_self_study_hours]]&lt;=10,  "6 - 10", student_scores[[#This Row],[weekly_self_study_hours]]&lt;=20,  "11 - 20",student_scores[[#This Row],[weekly_self_study_hours]]&lt;=30, "21 - 30",TRUE, "31+")</f>
        <v>21 - 30</v>
      </c>
      <c r="U501" t="str" cm="1">
        <f t="array" ref="U501">_xlfn.IFS(student_scores[[#This Row],[absence_days]]=0,"0", student_scores[[#This Row],[absence_days]]&lt;=3,"1-3", student_scores[[#This Row],[absence_days]]&lt;=6,"4-6", TRUE,"7-10")</f>
        <v>1-3</v>
      </c>
      <c r="V501" t="str">
        <f>IF(student_scores[[#This Row],[Total_Score]] &gt;= _xlfn.PERCENTILE.INC(student_scores[Total_Score], 0.8), "Yes", "No")</f>
        <v>Yes</v>
      </c>
    </row>
    <row r="502" spans="1:22" x14ac:dyDescent="0.35">
      <c r="A502">
        <v>501</v>
      </c>
      <c r="B502" t="s">
        <v>1082</v>
      </c>
      <c r="C502" t="s">
        <v>164</v>
      </c>
      <c r="D502" t="s">
        <v>1083</v>
      </c>
      <c r="E502" t="s">
        <v>20</v>
      </c>
      <c r="F502" t="b">
        <v>0</v>
      </c>
      <c r="G502">
        <v>1</v>
      </c>
      <c r="H502" t="b">
        <v>0</v>
      </c>
      <c r="I502">
        <v>21</v>
      </c>
      <c r="J502" t="s">
        <v>172</v>
      </c>
      <c r="K502">
        <v>98</v>
      </c>
      <c r="L502">
        <v>99</v>
      </c>
      <c r="M502">
        <v>72</v>
      </c>
      <c r="N502">
        <v>100</v>
      </c>
      <c r="O502">
        <v>94</v>
      </c>
      <c r="P502">
        <v>77</v>
      </c>
      <c r="Q502">
        <v>84</v>
      </c>
      <c r="R502">
        <f>SUM(student_scores[[#This Row],[math_score]:[geography_score]])</f>
        <v>624</v>
      </c>
      <c r="S502" s="3">
        <f>student_scores[[#This Row],[Total_Score]]/7</f>
        <v>89.142857142857139</v>
      </c>
      <c r="T502" s="3" t="str" cm="1">
        <f t="array" ref="T502">_xlfn.IFS(student_scores[[#This Row],[weekly_self_study_hours]]&lt;=5,   "0 - 5", student_scores[[#This Row],[weekly_self_study_hours]]&lt;=10,  "6 - 10", student_scores[[#This Row],[weekly_self_study_hours]]&lt;=20,  "11 - 20",student_scores[[#This Row],[weekly_self_study_hours]]&lt;=30, "21 - 30",TRUE, "31+")</f>
        <v>21 - 30</v>
      </c>
      <c r="U502" t="str" cm="1">
        <f t="array" ref="U502">_xlfn.IFS(student_scores[[#This Row],[absence_days]]=0,"0", student_scores[[#This Row],[absence_days]]&lt;=3,"1-3", student_scores[[#This Row],[absence_days]]&lt;=6,"4-6", TRUE,"7-10")</f>
        <v>1-3</v>
      </c>
      <c r="V502" t="str">
        <f>IF(student_scores[[#This Row],[Total_Score]] &gt;= _xlfn.PERCENTILE.INC(student_scores[Total_Score], 0.8), "Yes", "No")</f>
        <v>Yes</v>
      </c>
    </row>
    <row r="503" spans="1:22" x14ac:dyDescent="0.35">
      <c r="A503">
        <v>502</v>
      </c>
      <c r="B503" t="s">
        <v>999</v>
      </c>
      <c r="C503" t="s">
        <v>768</v>
      </c>
      <c r="D503" t="s">
        <v>1084</v>
      </c>
      <c r="E503" t="s">
        <v>25</v>
      </c>
      <c r="F503" t="b">
        <v>1</v>
      </c>
      <c r="G503">
        <v>8</v>
      </c>
      <c r="H503" t="b">
        <v>1</v>
      </c>
      <c r="I503">
        <v>0</v>
      </c>
      <c r="J503" t="s">
        <v>64</v>
      </c>
      <c r="K503">
        <v>93</v>
      </c>
      <c r="L503">
        <v>99</v>
      </c>
      <c r="M503">
        <v>81</v>
      </c>
      <c r="N503">
        <v>67</v>
      </c>
      <c r="O503">
        <v>87</v>
      </c>
      <c r="P503">
        <v>76</v>
      </c>
      <c r="Q503">
        <v>60</v>
      </c>
      <c r="R503">
        <f>SUM(student_scores[[#This Row],[math_score]:[geography_score]])</f>
        <v>563</v>
      </c>
      <c r="S503" s="3">
        <f>student_scores[[#This Row],[Total_Score]]/7</f>
        <v>80.428571428571431</v>
      </c>
      <c r="T503" s="3" t="str" cm="1">
        <f t="array" ref="T503">_xlfn.IFS(student_scores[[#This Row],[weekly_self_study_hours]]&lt;=5,   "0 - 5", student_scores[[#This Row],[weekly_self_study_hours]]&lt;=10,  "6 - 10", student_scores[[#This Row],[weekly_self_study_hours]]&lt;=20,  "11 - 20",student_scores[[#This Row],[weekly_self_study_hours]]&lt;=30, "21 - 30",TRUE, "31+")</f>
        <v>0 - 5</v>
      </c>
      <c r="U503" t="str" cm="1">
        <f t="array" ref="U503">_xlfn.IFS(student_scores[[#This Row],[absence_days]]=0,"0", student_scores[[#This Row],[absence_days]]&lt;=3,"1-3", student_scores[[#This Row],[absence_days]]&lt;=6,"4-6", TRUE,"7-10")</f>
        <v>7-10</v>
      </c>
      <c r="V503" t="str">
        <f>IF(student_scores[[#This Row],[Total_Score]] &gt;= _xlfn.PERCENTILE.INC(student_scores[Total_Score], 0.8), "Yes", "No")</f>
        <v>No</v>
      </c>
    </row>
    <row r="504" spans="1:22" x14ac:dyDescent="0.35">
      <c r="A504">
        <v>503</v>
      </c>
      <c r="B504" t="s">
        <v>473</v>
      </c>
      <c r="C504" t="s">
        <v>143</v>
      </c>
      <c r="D504" t="s">
        <v>1085</v>
      </c>
      <c r="E504" t="s">
        <v>20</v>
      </c>
      <c r="F504" t="b">
        <v>0</v>
      </c>
      <c r="G504">
        <v>4</v>
      </c>
      <c r="H504" t="b">
        <v>0</v>
      </c>
      <c r="I504">
        <v>30</v>
      </c>
      <c r="J504" t="s">
        <v>105</v>
      </c>
      <c r="K504">
        <v>91</v>
      </c>
      <c r="L504">
        <v>79</v>
      </c>
      <c r="M504">
        <v>78</v>
      </c>
      <c r="N504">
        <v>95</v>
      </c>
      <c r="O504">
        <v>86</v>
      </c>
      <c r="P504">
        <v>89</v>
      </c>
      <c r="Q504">
        <v>100</v>
      </c>
      <c r="R504">
        <f>SUM(student_scores[[#This Row],[math_score]:[geography_score]])</f>
        <v>618</v>
      </c>
      <c r="S504" s="3">
        <f>student_scores[[#This Row],[Total_Score]]/7</f>
        <v>88.285714285714292</v>
      </c>
      <c r="T504" s="3" t="str" cm="1">
        <f t="array" ref="T504">_xlfn.IFS(student_scores[[#This Row],[weekly_self_study_hours]]&lt;=5,   "0 - 5", student_scores[[#This Row],[weekly_self_study_hours]]&lt;=10,  "6 - 10", student_scores[[#This Row],[weekly_self_study_hours]]&lt;=20,  "11 - 20",student_scores[[#This Row],[weekly_self_study_hours]]&lt;=30, "21 - 30",TRUE, "31+")</f>
        <v>21 - 30</v>
      </c>
      <c r="U504" t="str" cm="1">
        <f t="array" ref="U504">_xlfn.IFS(student_scores[[#This Row],[absence_days]]=0,"0", student_scores[[#This Row],[absence_days]]&lt;=3,"1-3", student_scores[[#This Row],[absence_days]]&lt;=6,"4-6", TRUE,"7-10")</f>
        <v>4-6</v>
      </c>
      <c r="V504" t="str">
        <f>IF(student_scores[[#This Row],[Total_Score]] &gt;= _xlfn.PERCENTILE.INC(student_scores[Total_Score], 0.8), "Yes", "No")</f>
        <v>Yes</v>
      </c>
    </row>
    <row r="505" spans="1:22" x14ac:dyDescent="0.35">
      <c r="A505">
        <v>504</v>
      </c>
      <c r="B505" t="s">
        <v>1086</v>
      </c>
      <c r="C505" t="s">
        <v>574</v>
      </c>
      <c r="D505" t="s">
        <v>1087</v>
      </c>
      <c r="E505" t="s">
        <v>25</v>
      </c>
      <c r="F505" t="b">
        <v>0</v>
      </c>
      <c r="G505">
        <v>4</v>
      </c>
      <c r="H505" t="b">
        <v>0</v>
      </c>
      <c r="I505">
        <v>32</v>
      </c>
      <c r="J505" t="s">
        <v>44</v>
      </c>
      <c r="K505">
        <v>86</v>
      </c>
      <c r="L505">
        <v>99</v>
      </c>
      <c r="M505">
        <v>77</v>
      </c>
      <c r="N505">
        <v>61</v>
      </c>
      <c r="O505">
        <v>72</v>
      </c>
      <c r="P505">
        <v>92</v>
      </c>
      <c r="Q505">
        <v>70</v>
      </c>
      <c r="R505">
        <f>SUM(student_scores[[#This Row],[math_score]:[geography_score]])</f>
        <v>557</v>
      </c>
      <c r="S505" s="3">
        <f>student_scores[[#This Row],[Total_Score]]/7</f>
        <v>79.571428571428569</v>
      </c>
      <c r="T505" s="3" t="str" cm="1">
        <f t="array" ref="T505">_xlfn.IFS(student_scores[[#This Row],[weekly_self_study_hours]]&lt;=5,   "0 - 5", student_scores[[#This Row],[weekly_self_study_hours]]&lt;=10,  "6 - 10", student_scores[[#This Row],[weekly_self_study_hours]]&lt;=20,  "11 - 20",student_scores[[#This Row],[weekly_self_study_hours]]&lt;=30, "21 - 30",TRUE, "31+")</f>
        <v>31+</v>
      </c>
      <c r="U505" t="str" cm="1">
        <f t="array" ref="U505">_xlfn.IFS(student_scores[[#This Row],[absence_days]]=0,"0", student_scores[[#This Row],[absence_days]]&lt;=3,"1-3", student_scores[[#This Row],[absence_days]]&lt;=6,"4-6", TRUE,"7-10")</f>
        <v>4-6</v>
      </c>
      <c r="V505" t="str">
        <f>IF(student_scores[[#This Row],[Total_Score]] &gt;= _xlfn.PERCENTILE.INC(student_scores[Total_Score], 0.8), "Yes", "No")</f>
        <v>No</v>
      </c>
    </row>
    <row r="506" spans="1:22" x14ac:dyDescent="0.35">
      <c r="A506">
        <v>505</v>
      </c>
      <c r="B506" t="s">
        <v>1088</v>
      </c>
      <c r="C506" t="s">
        <v>1089</v>
      </c>
      <c r="D506" t="s">
        <v>1090</v>
      </c>
      <c r="E506" t="s">
        <v>25</v>
      </c>
      <c r="F506" t="b">
        <v>0</v>
      </c>
      <c r="G506">
        <v>8</v>
      </c>
      <c r="H506" t="b">
        <v>0</v>
      </c>
      <c r="I506">
        <v>15</v>
      </c>
      <c r="J506" t="s">
        <v>38</v>
      </c>
      <c r="K506">
        <v>81</v>
      </c>
      <c r="L506">
        <v>80</v>
      </c>
      <c r="M506">
        <v>85</v>
      </c>
      <c r="N506">
        <v>93</v>
      </c>
      <c r="O506">
        <v>68</v>
      </c>
      <c r="P506">
        <v>75</v>
      </c>
      <c r="Q506">
        <v>90</v>
      </c>
      <c r="R506">
        <f>SUM(student_scores[[#This Row],[math_score]:[geography_score]])</f>
        <v>572</v>
      </c>
      <c r="S506" s="3">
        <f>student_scores[[#This Row],[Total_Score]]/7</f>
        <v>81.714285714285708</v>
      </c>
      <c r="T506" s="3" t="str" cm="1">
        <f t="array" ref="T506">_xlfn.IFS(student_scores[[#This Row],[weekly_self_study_hours]]&lt;=5,   "0 - 5", student_scores[[#This Row],[weekly_self_study_hours]]&lt;=10,  "6 - 10", student_scores[[#This Row],[weekly_self_study_hours]]&lt;=20,  "11 - 20",student_scores[[#This Row],[weekly_self_study_hours]]&lt;=30, "21 - 30",TRUE, "31+")</f>
        <v>11 - 20</v>
      </c>
      <c r="U506" t="str" cm="1">
        <f t="array" ref="U506">_xlfn.IFS(student_scores[[#This Row],[absence_days]]=0,"0", student_scores[[#This Row],[absence_days]]&lt;=3,"1-3", student_scores[[#This Row],[absence_days]]&lt;=6,"4-6", TRUE,"7-10")</f>
        <v>7-10</v>
      </c>
      <c r="V506" t="str">
        <f>IF(student_scores[[#This Row],[Total_Score]] &gt;= _xlfn.PERCENTILE.INC(student_scores[Total_Score], 0.8), "Yes", "No")</f>
        <v>No</v>
      </c>
    </row>
    <row r="507" spans="1:22" x14ac:dyDescent="0.35">
      <c r="A507">
        <v>506</v>
      </c>
      <c r="B507" t="s">
        <v>892</v>
      </c>
      <c r="C507" t="s">
        <v>528</v>
      </c>
      <c r="D507" t="s">
        <v>1091</v>
      </c>
      <c r="E507" t="s">
        <v>25</v>
      </c>
      <c r="F507" t="b">
        <v>0</v>
      </c>
      <c r="G507">
        <v>6</v>
      </c>
      <c r="H507" t="b">
        <v>0</v>
      </c>
      <c r="I507">
        <v>15</v>
      </c>
      <c r="J507" t="s">
        <v>30</v>
      </c>
      <c r="K507">
        <v>97</v>
      </c>
      <c r="L507">
        <v>94</v>
      </c>
      <c r="M507">
        <v>94</v>
      </c>
      <c r="N507">
        <v>83</v>
      </c>
      <c r="O507">
        <v>91</v>
      </c>
      <c r="P507">
        <v>65</v>
      </c>
      <c r="Q507">
        <v>96</v>
      </c>
      <c r="R507">
        <f>SUM(student_scores[[#This Row],[math_score]:[geography_score]])</f>
        <v>620</v>
      </c>
      <c r="S507" s="3">
        <f>student_scores[[#This Row],[Total_Score]]/7</f>
        <v>88.571428571428569</v>
      </c>
      <c r="T507" s="3" t="str" cm="1">
        <f t="array" ref="T507">_xlfn.IFS(student_scores[[#This Row],[weekly_self_study_hours]]&lt;=5,   "0 - 5", student_scores[[#This Row],[weekly_self_study_hours]]&lt;=10,  "6 - 10", student_scores[[#This Row],[weekly_self_study_hours]]&lt;=20,  "11 - 20",student_scores[[#This Row],[weekly_self_study_hours]]&lt;=30, "21 - 30",TRUE, "31+")</f>
        <v>11 - 20</v>
      </c>
      <c r="U507" t="str" cm="1">
        <f t="array" ref="U507">_xlfn.IFS(student_scores[[#This Row],[absence_days]]=0,"0", student_scores[[#This Row],[absence_days]]&lt;=3,"1-3", student_scores[[#This Row],[absence_days]]&lt;=6,"4-6", TRUE,"7-10")</f>
        <v>4-6</v>
      </c>
      <c r="V507" t="str">
        <f>IF(student_scores[[#This Row],[Total_Score]] &gt;= _xlfn.PERCENTILE.INC(student_scores[Total_Score], 0.8), "Yes", "No")</f>
        <v>Yes</v>
      </c>
    </row>
    <row r="508" spans="1:22" x14ac:dyDescent="0.35">
      <c r="A508">
        <v>507</v>
      </c>
      <c r="B508" t="s">
        <v>558</v>
      </c>
      <c r="C508" t="s">
        <v>429</v>
      </c>
      <c r="D508" t="s">
        <v>1092</v>
      </c>
      <c r="E508" t="s">
        <v>25</v>
      </c>
      <c r="F508" t="b">
        <v>0</v>
      </c>
      <c r="G508">
        <v>3</v>
      </c>
      <c r="H508" t="b">
        <v>1</v>
      </c>
      <c r="I508">
        <v>4</v>
      </c>
      <c r="J508" t="s">
        <v>159</v>
      </c>
      <c r="K508">
        <v>90</v>
      </c>
      <c r="L508">
        <v>95</v>
      </c>
      <c r="M508">
        <v>89</v>
      </c>
      <c r="N508">
        <v>93</v>
      </c>
      <c r="O508">
        <v>92</v>
      </c>
      <c r="P508">
        <v>99</v>
      </c>
      <c r="Q508">
        <v>88</v>
      </c>
      <c r="R508">
        <f>SUM(student_scores[[#This Row],[math_score]:[geography_score]])</f>
        <v>646</v>
      </c>
      <c r="S508" s="3">
        <f>student_scores[[#This Row],[Total_Score]]/7</f>
        <v>92.285714285714292</v>
      </c>
      <c r="T508" s="3" t="str" cm="1">
        <f t="array" ref="T508">_xlfn.IFS(student_scores[[#This Row],[weekly_self_study_hours]]&lt;=5,   "0 - 5", student_scores[[#This Row],[weekly_self_study_hours]]&lt;=10,  "6 - 10", student_scores[[#This Row],[weekly_self_study_hours]]&lt;=20,  "11 - 20",student_scores[[#This Row],[weekly_self_study_hours]]&lt;=30, "21 - 30",TRUE, "31+")</f>
        <v>0 - 5</v>
      </c>
      <c r="U508" t="str" cm="1">
        <f t="array" ref="U508">_xlfn.IFS(student_scores[[#This Row],[absence_days]]=0,"0", student_scores[[#This Row],[absence_days]]&lt;=3,"1-3", student_scores[[#This Row],[absence_days]]&lt;=6,"4-6", TRUE,"7-10")</f>
        <v>1-3</v>
      </c>
      <c r="V508" t="str">
        <f>IF(student_scores[[#This Row],[Total_Score]] &gt;= _xlfn.PERCENTILE.INC(student_scores[Total_Score], 0.8), "Yes", "No")</f>
        <v>Yes</v>
      </c>
    </row>
    <row r="509" spans="1:22" x14ac:dyDescent="0.35">
      <c r="A509">
        <v>508</v>
      </c>
      <c r="B509" t="s">
        <v>214</v>
      </c>
      <c r="C509" t="s">
        <v>261</v>
      </c>
      <c r="D509" t="s">
        <v>1093</v>
      </c>
      <c r="E509" t="s">
        <v>20</v>
      </c>
      <c r="F509" t="b">
        <v>0</v>
      </c>
      <c r="G509">
        <v>1</v>
      </c>
      <c r="H509" t="b">
        <v>1</v>
      </c>
      <c r="I509">
        <v>27</v>
      </c>
      <c r="J509" t="s">
        <v>44</v>
      </c>
      <c r="K509">
        <v>90</v>
      </c>
      <c r="L509">
        <v>91</v>
      </c>
      <c r="M509">
        <v>62</v>
      </c>
      <c r="N509">
        <v>82</v>
      </c>
      <c r="O509">
        <v>76</v>
      </c>
      <c r="P509">
        <v>70</v>
      </c>
      <c r="Q509">
        <v>64</v>
      </c>
      <c r="R509">
        <f>SUM(student_scores[[#This Row],[math_score]:[geography_score]])</f>
        <v>535</v>
      </c>
      <c r="S509" s="3">
        <f>student_scores[[#This Row],[Total_Score]]/7</f>
        <v>76.428571428571431</v>
      </c>
      <c r="T509" s="3" t="str" cm="1">
        <f t="array" ref="T509">_xlfn.IFS(student_scores[[#This Row],[weekly_self_study_hours]]&lt;=5,   "0 - 5", student_scores[[#This Row],[weekly_self_study_hours]]&lt;=10,  "6 - 10", student_scores[[#This Row],[weekly_self_study_hours]]&lt;=20,  "11 - 20",student_scores[[#This Row],[weekly_self_study_hours]]&lt;=30, "21 - 30",TRUE, "31+")</f>
        <v>21 - 30</v>
      </c>
      <c r="U509" t="str" cm="1">
        <f t="array" ref="U509">_xlfn.IFS(student_scores[[#This Row],[absence_days]]=0,"0", student_scores[[#This Row],[absence_days]]&lt;=3,"1-3", student_scores[[#This Row],[absence_days]]&lt;=6,"4-6", TRUE,"7-10")</f>
        <v>1-3</v>
      </c>
      <c r="V509" t="str">
        <f>IF(student_scores[[#This Row],[Total_Score]] &gt;= _xlfn.PERCENTILE.INC(student_scores[Total_Score], 0.8), "Yes", "No")</f>
        <v>No</v>
      </c>
    </row>
    <row r="510" spans="1:22" x14ac:dyDescent="0.35">
      <c r="A510">
        <v>509</v>
      </c>
      <c r="B510" t="s">
        <v>17</v>
      </c>
      <c r="C510" t="s">
        <v>1094</v>
      </c>
      <c r="D510" t="s">
        <v>1095</v>
      </c>
      <c r="E510" t="s">
        <v>20</v>
      </c>
      <c r="F510" t="b">
        <v>0</v>
      </c>
      <c r="G510">
        <v>5</v>
      </c>
      <c r="H510" t="b">
        <v>0</v>
      </c>
      <c r="I510">
        <v>33</v>
      </c>
      <c r="J510" t="s">
        <v>138</v>
      </c>
      <c r="K510">
        <v>82</v>
      </c>
      <c r="L510">
        <v>92</v>
      </c>
      <c r="M510">
        <v>95</v>
      </c>
      <c r="N510">
        <v>61</v>
      </c>
      <c r="O510">
        <v>84</v>
      </c>
      <c r="P510">
        <v>81</v>
      </c>
      <c r="Q510">
        <v>82</v>
      </c>
      <c r="R510">
        <f>SUM(student_scores[[#This Row],[math_score]:[geography_score]])</f>
        <v>577</v>
      </c>
      <c r="S510" s="3">
        <f>student_scores[[#This Row],[Total_Score]]/7</f>
        <v>82.428571428571431</v>
      </c>
      <c r="T510" s="3" t="str" cm="1">
        <f t="array" ref="T510">_xlfn.IFS(student_scores[[#This Row],[weekly_self_study_hours]]&lt;=5,   "0 - 5", student_scores[[#This Row],[weekly_self_study_hours]]&lt;=10,  "6 - 10", student_scores[[#This Row],[weekly_self_study_hours]]&lt;=20,  "11 - 20",student_scores[[#This Row],[weekly_self_study_hours]]&lt;=30, "21 - 30",TRUE, "31+")</f>
        <v>31+</v>
      </c>
      <c r="U510" t="str" cm="1">
        <f t="array" ref="U510">_xlfn.IFS(student_scores[[#This Row],[absence_days]]=0,"0", student_scores[[#This Row],[absence_days]]&lt;=3,"1-3", student_scores[[#This Row],[absence_days]]&lt;=6,"4-6", TRUE,"7-10")</f>
        <v>4-6</v>
      </c>
      <c r="V510" t="str">
        <f>IF(student_scores[[#This Row],[Total_Score]] &gt;= _xlfn.PERCENTILE.INC(student_scores[Total_Score], 0.8), "Yes", "No")</f>
        <v>No</v>
      </c>
    </row>
    <row r="511" spans="1:22" x14ac:dyDescent="0.35">
      <c r="A511">
        <v>510</v>
      </c>
      <c r="B511" t="s">
        <v>1096</v>
      </c>
      <c r="C511" t="s">
        <v>143</v>
      </c>
      <c r="D511" t="s">
        <v>1097</v>
      </c>
      <c r="E511" t="s">
        <v>20</v>
      </c>
      <c r="F511" t="b">
        <v>0</v>
      </c>
      <c r="G511">
        <v>7</v>
      </c>
      <c r="H511" t="b">
        <v>0</v>
      </c>
      <c r="I511">
        <v>25</v>
      </c>
      <c r="J511" t="s">
        <v>44</v>
      </c>
      <c r="K511">
        <v>91</v>
      </c>
      <c r="L511">
        <v>94</v>
      </c>
      <c r="M511">
        <v>89</v>
      </c>
      <c r="N511">
        <v>74</v>
      </c>
      <c r="O511">
        <v>60</v>
      </c>
      <c r="P511">
        <v>77</v>
      </c>
      <c r="Q511">
        <v>77</v>
      </c>
      <c r="R511">
        <f>SUM(student_scores[[#This Row],[math_score]:[geography_score]])</f>
        <v>562</v>
      </c>
      <c r="S511" s="3">
        <f>student_scores[[#This Row],[Total_Score]]/7</f>
        <v>80.285714285714292</v>
      </c>
      <c r="T511" s="3" t="str" cm="1">
        <f t="array" ref="T511">_xlfn.IFS(student_scores[[#This Row],[weekly_self_study_hours]]&lt;=5,   "0 - 5", student_scores[[#This Row],[weekly_self_study_hours]]&lt;=10,  "6 - 10", student_scores[[#This Row],[weekly_self_study_hours]]&lt;=20,  "11 - 20",student_scores[[#This Row],[weekly_self_study_hours]]&lt;=30, "21 - 30",TRUE, "31+")</f>
        <v>21 - 30</v>
      </c>
      <c r="U511" t="str" cm="1">
        <f t="array" ref="U511">_xlfn.IFS(student_scores[[#This Row],[absence_days]]=0,"0", student_scores[[#This Row],[absence_days]]&lt;=3,"1-3", student_scores[[#This Row],[absence_days]]&lt;=6,"4-6", TRUE,"7-10")</f>
        <v>7-10</v>
      </c>
      <c r="V511" t="str">
        <f>IF(student_scores[[#This Row],[Total_Score]] &gt;= _xlfn.PERCENTILE.INC(student_scores[Total_Score], 0.8), "Yes", "No")</f>
        <v>No</v>
      </c>
    </row>
    <row r="512" spans="1:22" x14ac:dyDescent="0.35">
      <c r="A512">
        <v>511</v>
      </c>
      <c r="B512" t="s">
        <v>180</v>
      </c>
      <c r="C512" t="s">
        <v>1098</v>
      </c>
      <c r="D512" t="s">
        <v>1099</v>
      </c>
      <c r="E512" t="s">
        <v>25</v>
      </c>
      <c r="F512" t="b">
        <v>0</v>
      </c>
      <c r="G512">
        <v>0</v>
      </c>
      <c r="H512" t="b">
        <v>0</v>
      </c>
      <c r="I512">
        <v>29</v>
      </c>
      <c r="J512" t="s">
        <v>21</v>
      </c>
      <c r="K512">
        <v>70</v>
      </c>
      <c r="L512">
        <v>94</v>
      </c>
      <c r="M512">
        <v>67</v>
      </c>
      <c r="N512">
        <v>74</v>
      </c>
      <c r="O512">
        <v>84</v>
      </c>
      <c r="P512">
        <v>95</v>
      </c>
      <c r="Q512">
        <v>65</v>
      </c>
      <c r="R512">
        <f>SUM(student_scores[[#This Row],[math_score]:[geography_score]])</f>
        <v>549</v>
      </c>
      <c r="S512" s="3">
        <f>student_scores[[#This Row],[Total_Score]]/7</f>
        <v>78.428571428571431</v>
      </c>
      <c r="T512" s="3" t="str" cm="1">
        <f t="array" ref="T512">_xlfn.IFS(student_scores[[#This Row],[weekly_self_study_hours]]&lt;=5,   "0 - 5", student_scores[[#This Row],[weekly_self_study_hours]]&lt;=10,  "6 - 10", student_scores[[#This Row],[weekly_self_study_hours]]&lt;=20,  "11 - 20",student_scores[[#This Row],[weekly_self_study_hours]]&lt;=30, "21 - 30",TRUE, "31+")</f>
        <v>21 - 30</v>
      </c>
      <c r="U512" t="str" cm="1">
        <f t="array" ref="U512">_xlfn.IFS(student_scores[[#This Row],[absence_days]]=0,"0", student_scores[[#This Row],[absence_days]]&lt;=3,"1-3", student_scores[[#This Row],[absence_days]]&lt;=6,"4-6", TRUE,"7-10")</f>
        <v>0</v>
      </c>
      <c r="V512" t="str">
        <f>IF(student_scores[[#This Row],[Total_Score]] &gt;= _xlfn.PERCENTILE.INC(student_scores[Total_Score], 0.8), "Yes", "No")</f>
        <v>No</v>
      </c>
    </row>
    <row r="513" spans="1:22" x14ac:dyDescent="0.35">
      <c r="A513">
        <v>512</v>
      </c>
      <c r="B513" t="s">
        <v>816</v>
      </c>
      <c r="C513" t="s">
        <v>1100</v>
      </c>
      <c r="D513" t="s">
        <v>1101</v>
      </c>
      <c r="E513" t="s">
        <v>25</v>
      </c>
      <c r="F513" t="b">
        <v>0</v>
      </c>
      <c r="G513">
        <v>2</v>
      </c>
      <c r="H513" t="b">
        <v>0</v>
      </c>
      <c r="I513">
        <v>13</v>
      </c>
      <c r="J513" t="s">
        <v>38</v>
      </c>
      <c r="K513">
        <v>60</v>
      </c>
      <c r="L513">
        <v>75</v>
      </c>
      <c r="M513">
        <v>70</v>
      </c>
      <c r="N513">
        <v>96</v>
      </c>
      <c r="O513">
        <v>63</v>
      </c>
      <c r="P513">
        <v>82</v>
      </c>
      <c r="Q513">
        <v>80</v>
      </c>
      <c r="R513">
        <f>SUM(student_scores[[#This Row],[math_score]:[geography_score]])</f>
        <v>526</v>
      </c>
      <c r="S513" s="3">
        <f>student_scores[[#This Row],[Total_Score]]/7</f>
        <v>75.142857142857139</v>
      </c>
      <c r="T513" s="3" t="str" cm="1">
        <f t="array" ref="T513">_xlfn.IFS(student_scores[[#This Row],[weekly_self_study_hours]]&lt;=5,   "0 - 5", student_scores[[#This Row],[weekly_self_study_hours]]&lt;=10,  "6 - 10", student_scores[[#This Row],[weekly_self_study_hours]]&lt;=20,  "11 - 20",student_scores[[#This Row],[weekly_self_study_hours]]&lt;=30, "21 - 30",TRUE, "31+")</f>
        <v>11 - 20</v>
      </c>
      <c r="U513" t="str" cm="1">
        <f t="array" ref="U513">_xlfn.IFS(student_scores[[#This Row],[absence_days]]=0,"0", student_scores[[#This Row],[absence_days]]&lt;=3,"1-3", student_scores[[#This Row],[absence_days]]&lt;=6,"4-6", TRUE,"7-10")</f>
        <v>1-3</v>
      </c>
      <c r="V513" t="str">
        <f>IF(student_scores[[#This Row],[Total_Score]] &gt;= _xlfn.PERCENTILE.INC(student_scores[Total_Score], 0.8), "Yes", "No")</f>
        <v>No</v>
      </c>
    </row>
    <row r="514" spans="1:22" x14ac:dyDescent="0.35">
      <c r="A514">
        <v>513</v>
      </c>
      <c r="B514" t="s">
        <v>148</v>
      </c>
      <c r="C514" t="s">
        <v>354</v>
      </c>
      <c r="D514" t="s">
        <v>1102</v>
      </c>
      <c r="E514" t="s">
        <v>25</v>
      </c>
      <c r="F514" t="b">
        <v>0</v>
      </c>
      <c r="G514">
        <v>3</v>
      </c>
      <c r="H514" t="b">
        <v>0</v>
      </c>
      <c r="I514">
        <v>49</v>
      </c>
      <c r="J514" t="s">
        <v>26</v>
      </c>
      <c r="K514">
        <v>85</v>
      </c>
      <c r="L514">
        <v>96</v>
      </c>
      <c r="M514">
        <v>99</v>
      </c>
      <c r="N514">
        <v>94</v>
      </c>
      <c r="O514">
        <v>95</v>
      </c>
      <c r="P514">
        <v>92</v>
      </c>
      <c r="Q514">
        <v>95</v>
      </c>
      <c r="R514">
        <f>SUM(student_scores[[#This Row],[math_score]:[geography_score]])</f>
        <v>656</v>
      </c>
      <c r="S514" s="3">
        <f>student_scores[[#This Row],[Total_Score]]/7</f>
        <v>93.714285714285708</v>
      </c>
      <c r="T514" s="3" t="str" cm="1">
        <f t="array" ref="T514">_xlfn.IFS(student_scores[[#This Row],[weekly_self_study_hours]]&lt;=5,   "0 - 5", student_scores[[#This Row],[weekly_self_study_hours]]&lt;=10,  "6 - 10", student_scores[[#This Row],[weekly_self_study_hours]]&lt;=20,  "11 - 20",student_scores[[#This Row],[weekly_self_study_hours]]&lt;=30, "21 - 30",TRUE, "31+")</f>
        <v>31+</v>
      </c>
      <c r="U514" t="str" cm="1">
        <f t="array" ref="U514">_xlfn.IFS(student_scores[[#This Row],[absence_days]]=0,"0", student_scores[[#This Row],[absence_days]]&lt;=3,"1-3", student_scores[[#This Row],[absence_days]]&lt;=6,"4-6", TRUE,"7-10")</f>
        <v>1-3</v>
      </c>
      <c r="V514" t="str">
        <f>IF(student_scores[[#This Row],[Total_Score]] &gt;= _xlfn.PERCENTILE.INC(student_scores[Total_Score], 0.8), "Yes", "No")</f>
        <v>Yes</v>
      </c>
    </row>
    <row r="515" spans="1:22" x14ac:dyDescent="0.35">
      <c r="A515">
        <v>514</v>
      </c>
      <c r="B515" t="s">
        <v>473</v>
      </c>
      <c r="C515" t="s">
        <v>1103</v>
      </c>
      <c r="D515" t="s">
        <v>1104</v>
      </c>
      <c r="E515" t="s">
        <v>20</v>
      </c>
      <c r="F515" t="b">
        <v>0</v>
      </c>
      <c r="G515">
        <v>6</v>
      </c>
      <c r="H515" t="b">
        <v>0</v>
      </c>
      <c r="I515">
        <v>34</v>
      </c>
      <c r="J515" t="s">
        <v>21</v>
      </c>
      <c r="K515">
        <v>82</v>
      </c>
      <c r="L515">
        <v>85</v>
      </c>
      <c r="M515">
        <v>72</v>
      </c>
      <c r="N515">
        <v>69</v>
      </c>
      <c r="O515">
        <v>63</v>
      </c>
      <c r="P515">
        <v>99</v>
      </c>
      <c r="Q515">
        <v>68</v>
      </c>
      <c r="R515">
        <f>SUM(student_scores[[#This Row],[math_score]:[geography_score]])</f>
        <v>538</v>
      </c>
      <c r="S515" s="3">
        <f>student_scores[[#This Row],[Total_Score]]/7</f>
        <v>76.857142857142861</v>
      </c>
      <c r="T515" s="3" t="str" cm="1">
        <f t="array" ref="T515">_xlfn.IFS(student_scores[[#This Row],[weekly_self_study_hours]]&lt;=5,   "0 - 5", student_scores[[#This Row],[weekly_self_study_hours]]&lt;=10,  "6 - 10", student_scores[[#This Row],[weekly_self_study_hours]]&lt;=20,  "11 - 20",student_scores[[#This Row],[weekly_self_study_hours]]&lt;=30, "21 - 30",TRUE, "31+")</f>
        <v>31+</v>
      </c>
      <c r="U515" t="str" cm="1">
        <f t="array" ref="U515">_xlfn.IFS(student_scores[[#This Row],[absence_days]]=0,"0", student_scores[[#This Row],[absence_days]]&lt;=3,"1-3", student_scores[[#This Row],[absence_days]]&lt;=6,"4-6", TRUE,"7-10")</f>
        <v>4-6</v>
      </c>
      <c r="V515" t="str">
        <f>IF(student_scores[[#This Row],[Total_Score]] &gt;= _xlfn.PERCENTILE.INC(student_scores[Total_Score], 0.8), "Yes", "No")</f>
        <v>No</v>
      </c>
    </row>
    <row r="516" spans="1:22" x14ac:dyDescent="0.35">
      <c r="A516">
        <v>515</v>
      </c>
      <c r="B516" t="s">
        <v>348</v>
      </c>
      <c r="C516" t="s">
        <v>1105</v>
      </c>
      <c r="D516" t="s">
        <v>1106</v>
      </c>
      <c r="E516" t="s">
        <v>20</v>
      </c>
      <c r="F516" t="b">
        <v>1</v>
      </c>
      <c r="G516">
        <v>4</v>
      </c>
      <c r="H516" t="b">
        <v>0</v>
      </c>
      <c r="I516">
        <v>28</v>
      </c>
      <c r="J516" t="s">
        <v>138</v>
      </c>
      <c r="K516">
        <v>83</v>
      </c>
      <c r="L516">
        <v>79</v>
      </c>
      <c r="M516">
        <v>92</v>
      </c>
      <c r="N516">
        <v>69</v>
      </c>
      <c r="O516">
        <v>85</v>
      </c>
      <c r="P516">
        <v>71</v>
      </c>
      <c r="Q516">
        <v>95</v>
      </c>
      <c r="R516">
        <f>SUM(student_scores[[#This Row],[math_score]:[geography_score]])</f>
        <v>574</v>
      </c>
      <c r="S516" s="3">
        <f>student_scores[[#This Row],[Total_Score]]/7</f>
        <v>82</v>
      </c>
      <c r="T516" s="3" t="str" cm="1">
        <f t="array" ref="T516">_xlfn.IFS(student_scores[[#This Row],[weekly_self_study_hours]]&lt;=5,   "0 - 5", student_scores[[#This Row],[weekly_self_study_hours]]&lt;=10,  "6 - 10", student_scores[[#This Row],[weekly_self_study_hours]]&lt;=20,  "11 - 20",student_scores[[#This Row],[weekly_self_study_hours]]&lt;=30, "21 - 30",TRUE, "31+")</f>
        <v>21 - 30</v>
      </c>
      <c r="U516" t="str" cm="1">
        <f t="array" ref="U516">_xlfn.IFS(student_scores[[#This Row],[absence_days]]=0,"0", student_scores[[#This Row],[absence_days]]&lt;=3,"1-3", student_scores[[#This Row],[absence_days]]&lt;=6,"4-6", TRUE,"7-10")</f>
        <v>4-6</v>
      </c>
      <c r="V516" t="str">
        <f>IF(student_scores[[#This Row],[Total_Score]] &gt;= _xlfn.PERCENTILE.INC(student_scores[Total_Score], 0.8), "Yes", "No")</f>
        <v>No</v>
      </c>
    </row>
    <row r="517" spans="1:22" x14ac:dyDescent="0.35">
      <c r="A517">
        <v>516</v>
      </c>
      <c r="B517" t="s">
        <v>631</v>
      </c>
      <c r="C517" t="s">
        <v>131</v>
      </c>
      <c r="D517" t="s">
        <v>1107</v>
      </c>
      <c r="E517" t="s">
        <v>25</v>
      </c>
      <c r="F517" t="b">
        <v>0</v>
      </c>
      <c r="G517">
        <v>2</v>
      </c>
      <c r="H517" t="b">
        <v>0</v>
      </c>
      <c r="I517">
        <v>44</v>
      </c>
      <c r="J517" t="s">
        <v>26</v>
      </c>
      <c r="K517">
        <v>96</v>
      </c>
      <c r="L517">
        <v>88</v>
      </c>
      <c r="M517">
        <v>100</v>
      </c>
      <c r="N517">
        <v>95</v>
      </c>
      <c r="O517">
        <v>85</v>
      </c>
      <c r="P517">
        <v>94</v>
      </c>
      <c r="Q517">
        <v>93</v>
      </c>
      <c r="R517">
        <f>SUM(student_scores[[#This Row],[math_score]:[geography_score]])</f>
        <v>651</v>
      </c>
      <c r="S517" s="3">
        <f>student_scores[[#This Row],[Total_Score]]/7</f>
        <v>93</v>
      </c>
      <c r="T517" s="3" t="str" cm="1">
        <f t="array" ref="T517">_xlfn.IFS(student_scores[[#This Row],[weekly_self_study_hours]]&lt;=5,   "0 - 5", student_scores[[#This Row],[weekly_self_study_hours]]&lt;=10,  "6 - 10", student_scores[[#This Row],[weekly_self_study_hours]]&lt;=20,  "11 - 20",student_scores[[#This Row],[weekly_self_study_hours]]&lt;=30, "21 - 30",TRUE, "31+")</f>
        <v>31+</v>
      </c>
      <c r="U517" t="str" cm="1">
        <f t="array" ref="U517">_xlfn.IFS(student_scores[[#This Row],[absence_days]]=0,"0", student_scores[[#This Row],[absence_days]]&lt;=3,"1-3", student_scores[[#This Row],[absence_days]]&lt;=6,"4-6", TRUE,"7-10")</f>
        <v>1-3</v>
      </c>
      <c r="V517" t="str">
        <f>IF(student_scores[[#This Row],[Total_Score]] &gt;= _xlfn.PERCENTILE.INC(student_scores[Total_Score], 0.8), "Yes", "No")</f>
        <v>Yes</v>
      </c>
    </row>
    <row r="518" spans="1:22" x14ac:dyDescent="0.35">
      <c r="A518">
        <v>517</v>
      </c>
      <c r="B518" t="s">
        <v>1108</v>
      </c>
      <c r="C518" t="s">
        <v>423</v>
      </c>
      <c r="D518" t="s">
        <v>1109</v>
      </c>
      <c r="E518" t="s">
        <v>25</v>
      </c>
      <c r="F518" t="b">
        <v>0</v>
      </c>
      <c r="G518">
        <v>1</v>
      </c>
      <c r="H518" t="b">
        <v>0</v>
      </c>
      <c r="I518">
        <v>14</v>
      </c>
      <c r="J518" t="s">
        <v>44</v>
      </c>
      <c r="K518">
        <v>85</v>
      </c>
      <c r="L518">
        <v>87</v>
      </c>
      <c r="M518">
        <v>78</v>
      </c>
      <c r="N518">
        <v>72</v>
      </c>
      <c r="O518">
        <v>91</v>
      </c>
      <c r="P518">
        <v>88</v>
      </c>
      <c r="Q518">
        <v>93</v>
      </c>
      <c r="R518">
        <f>SUM(student_scores[[#This Row],[math_score]:[geography_score]])</f>
        <v>594</v>
      </c>
      <c r="S518" s="3">
        <f>student_scores[[#This Row],[Total_Score]]/7</f>
        <v>84.857142857142861</v>
      </c>
      <c r="T518" s="3" t="str" cm="1">
        <f t="array" ref="T518">_xlfn.IFS(student_scores[[#This Row],[weekly_self_study_hours]]&lt;=5,   "0 - 5", student_scores[[#This Row],[weekly_self_study_hours]]&lt;=10,  "6 - 10", student_scores[[#This Row],[weekly_self_study_hours]]&lt;=20,  "11 - 20",student_scores[[#This Row],[weekly_self_study_hours]]&lt;=30, "21 - 30",TRUE, "31+")</f>
        <v>11 - 20</v>
      </c>
      <c r="U518" t="str" cm="1">
        <f t="array" ref="U518">_xlfn.IFS(student_scores[[#This Row],[absence_days]]=0,"0", student_scores[[#This Row],[absence_days]]&lt;=3,"1-3", student_scores[[#This Row],[absence_days]]&lt;=6,"4-6", TRUE,"7-10")</f>
        <v>1-3</v>
      </c>
      <c r="V518" t="str">
        <f>IF(student_scores[[#This Row],[Total_Score]] &gt;= _xlfn.PERCENTILE.INC(student_scores[Total_Score], 0.8), "Yes", "No")</f>
        <v>No</v>
      </c>
    </row>
    <row r="519" spans="1:22" x14ac:dyDescent="0.35">
      <c r="A519">
        <v>518</v>
      </c>
      <c r="B519" t="s">
        <v>319</v>
      </c>
      <c r="C519" t="s">
        <v>1110</v>
      </c>
      <c r="D519" t="s">
        <v>1111</v>
      </c>
      <c r="E519" t="s">
        <v>25</v>
      </c>
      <c r="F519" t="b">
        <v>0</v>
      </c>
      <c r="G519">
        <v>4</v>
      </c>
      <c r="H519" t="b">
        <v>0</v>
      </c>
      <c r="I519">
        <v>1</v>
      </c>
      <c r="J519" t="s">
        <v>224</v>
      </c>
      <c r="K519">
        <v>95</v>
      </c>
      <c r="L519">
        <v>61</v>
      </c>
      <c r="M519">
        <v>84</v>
      </c>
      <c r="N519">
        <v>98</v>
      </c>
      <c r="O519">
        <v>63</v>
      </c>
      <c r="P519">
        <v>66</v>
      </c>
      <c r="Q519">
        <v>80</v>
      </c>
      <c r="R519">
        <f>SUM(student_scores[[#This Row],[math_score]:[geography_score]])</f>
        <v>547</v>
      </c>
      <c r="S519" s="3">
        <f>student_scores[[#This Row],[Total_Score]]/7</f>
        <v>78.142857142857139</v>
      </c>
      <c r="T519" s="3" t="str" cm="1">
        <f t="array" ref="T519">_xlfn.IFS(student_scores[[#This Row],[weekly_self_study_hours]]&lt;=5,   "0 - 5", student_scores[[#This Row],[weekly_self_study_hours]]&lt;=10,  "6 - 10", student_scores[[#This Row],[weekly_self_study_hours]]&lt;=20,  "11 - 20",student_scores[[#This Row],[weekly_self_study_hours]]&lt;=30, "21 - 30",TRUE, "31+")</f>
        <v>0 - 5</v>
      </c>
      <c r="U519" t="str" cm="1">
        <f t="array" ref="U519">_xlfn.IFS(student_scores[[#This Row],[absence_days]]=0,"0", student_scores[[#This Row],[absence_days]]&lt;=3,"1-3", student_scores[[#This Row],[absence_days]]&lt;=6,"4-6", TRUE,"7-10")</f>
        <v>4-6</v>
      </c>
      <c r="V519" t="str">
        <f>IF(student_scores[[#This Row],[Total_Score]] &gt;= _xlfn.PERCENTILE.INC(student_scores[Total_Score], 0.8), "Yes", "No")</f>
        <v>No</v>
      </c>
    </row>
    <row r="520" spans="1:22" x14ac:dyDescent="0.35">
      <c r="A520">
        <v>519</v>
      </c>
      <c r="B520" t="s">
        <v>1112</v>
      </c>
      <c r="C520" t="s">
        <v>1113</v>
      </c>
      <c r="D520" t="s">
        <v>1114</v>
      </c>
      <c r="E520" t="s">
        <v>20</v>
      </c>
      <c r="F520" t="b">
        <v>0</v>
      </c>
      <c r="G520">
        <v>6</v>
      </c>
      <c r="H520" t="b">
        <v>0</v>
      </c>
      <c r="I520">
        <v>22</v>
      </c>
      <c r="J520" t="s">
        <v>44</v>
      </c>
      <c r="K520">
        <v>97</v>
      </c>
      <c r="L520">
        <v>92</v>
      </c>
      <c r="M520">
        <v>87</v>
      </c>
      <c r="N520">
        <v>61</v>
      </c>
      <c r="O520">
        <v>75</v>
      </c>
      <c r="P520">
        <v>62</v>
      </c>
      <c r="Q520">
        <v>94</v>
      </c>
      <c r="R520">
        <f>SUM(student_scores[[#This Row],[math_score]:[geography_score]])</f>
        <v>568</v>
      </c>
      <c r="S520" s="3">
        <f>student_scores[[#This Row],[Total_Score]]/7</f>
        <v>81.142857142857139</v>
      </c>
      <c r="T520" s="3" t="str" cm="1">
        <f t="array" ref="T520">_xlfn.IFS(student_scores[[#This Row],[weekly_self_study_hours]]&lt;=5,   "0 - 5", student_scores[[#This Row],[weekly_self_study_hours]]&lt;=10,  "6 - 10", student_scores[[#This Row],[weekly_self_study_hours]]&lt;=20,  "11 - 20",student_scores[[#This Row],[weekly_self_study_hours]]&lt;=30, "21 - 30",TRUE, "31+")</f>
        <v>21 - 30</v>
      </c>
      <c r="U520" t="str" cm="1">
        <f t="array" ref="U520">_xlfn.IFS(student_scores[[#This Row],[absence_days]]=0,"0", student_scores[[#This Row],[absence_days]]&lt;=3,"1-3", student_scores[[#This Row],[absence_days]]&lt;=6,"4-6", TRUE,"7-10")</f>
        <v>4-6</v>
      </c>
      <c r="V520" t="str">
        <f>IF(student_scores[[#This Row],[Total_Score]] &gt;= _xlfn.PERCENTILE.INC(student_scores[Total_Score], 0.8), "Yes", "No")</f>
        <v>No</v>
      </c>
    </row>
    <row r="521" spans="1:22" x14ac:dyDescent="0.35">
      <c r="A521">
        <v>520</v>
      </c>
      <c r="B521" t="s">
        <v>1115</v>
      </c>
      <c r="C521" t="s">
        <v>1116</v>
      </c>
      <c r="D521" t="s">
        <v>1117</v>
      </c>
      <c r="E521" t="s">
        <v>25</v>
      </c>
      <c r="F521" t="b">
        <v>0</v>
      </c>
      <c r="G521">
        <v>2</v>
      </c>
      <c r="H521" t="b">
        <v>0</v>
      </c>
      <c r="I521">
        <v>11</v>
      </c>
      <c r="J521" t="s">
        <v>54</v>
      </c>
      <c r="K521">
        <v>95</v>
      </c>
      <c r="L521">
        <v>69</v>
      </c>
      <c r="M521">
        <v>91</v>
      </c>
      <c r="N521">
        <v>97</v>
      </c>
      <c r="O521">
        <v>89</v>
      </c>
      <c r="P521">
        <v>84</v>
      </c>
      <c r="Q521">
        <v>66</v>
      </c>
      <c r="R521">
        <f>SUM(student_scores[[#This Row],[math_score]:[geography_score]])</f>
        <v>591</v>
      </c>
      <c r="S521" s="3">
        <f>student_scores[[#This Row],[Total_Score]]/7</f>
        <v>84.428571428571431</v>
      </c>
      <c r="T521" s="3" t="str" cm="1">
        <f t="array" ref="T521">_xlfn.IFS(student_scores[[#This Row],[weekly_self_study_hours]]&lt;=5,   "0 - 5", student_scores[[#This Row],[weekly_self_study_hours]]&lt;=10,  "6 - 10", student_scores[[#This Row],[weekly_self_study_hours]]&lt;=20,  "11 - 20",student_scores[[#This Row],[weekly_self_study_hours]]&lt;=30, "21 - 30",TRUE, "31+")</f>
        <v>11 - 20</v>
      </c>
      <c r="U521" t="str" cm="1">
        <f t="array" ref="U521">_xlfn.IFS(student_scores[[#This Row],[absence_days]]=0,"0", student_scores[[#This Row],[absence_days]]&lt;=3,"1-3", student_scores[[#This Row],[absence_days]]&lt;=6,"4-6", TRUE,"7-10")</f>
        <v>1-3</v>
      </c>
      <c r="V521" t="str">
        <f>IF(student_scores[[#This Row],[Total_Score]] &gt;= _xlfn.PERCENTILE.INC(student_scores[Total_Score], 0.8), "Yes", "No")</f>
        <v>No</v>
      </c>
    </row>
    <row r="522" spans="1:22" x14ac:dyDescent="0.35">
      <c r="A522">
        <v>521</v>
      </c>
      <c r="B522" t="s">
        <v>120</v>
      </c>
      <c r="C522" t="s">
        <v>103</v>
      </c>
      <c r="D522" t="s">
        <v>1118</v>
      </c>
      <c r="E522" t="s">
        <v>25</v>
      </c>
      <c r="F522" t="b">
        <v>0</v>
      </c>
      <c r="G522">
        <v>3</v>
      </c>
      <c r="H522" t="b">
        <v>0</v>
      </c>
      <c r="I522">
        <v>2</v>
      </c>
      <c r="J522" t="s">
        <v>38</v>
      </c>
      <c r="K522">
        <v>69</v>
      </c>
      <c r="L522">
        <v>98</v>
      </c>
      <c r="M522">
        <v>77</v>
      </c>
      <c r="N522">
        <v>63</v>
      </c>
      <c r="O522">
        <v>88</v>
      </c>
      <c r="P522">
        <v>64</v>
      </c>
      <c r="Q522">
        <v>60</v>
      </c>
      <c r="R522">
        <f>SUM(student_scores[[#This Row],[math_score]:[geography_score]])</f>
        <v>519</v>
      </c>
      <c r="S522" s="3">
        <f>student_scores[[#This Row],[Total_Score]]/7</f>
        <v>74.142857142857139</v>
      </c>
      <c r="T522" s="3" t="str" cm="1">
        <f t="array" ref="T522">_xlfn.IFS(student_scores[[#This Row],[weekly_self_study_hours]]&lt;=5,   "0 - 5", student_scores[[#This Row],[weekly_self_study_hours]]&lt;=10,  "6 - 10", student_scores[[#This Row],[weekly_self_study_hours]]&lt;=20,  "11 - 20",student_scores[[#This Row],[weekly_self_study_hours]]&lt;=30, "21 - 30",TRUE, "31+")</f>
        <v>0 - 5</v>
      </c>
      <c r="U522" t="str" cm="1">
        <f t="array" ref="U522">_xlfn.IFS(student_scores[[#This Row],[absence_days]]=0,"0", student_scores[[#This Row],[absence_days]]&lt;=3,"1-3", student_scores[[#This Row],[absence_days]]&lt;=6,"4-6", TRUE,"7-10")</f>
        <v>1-3</v>
      </c>
      <c r="V522" t="str">
        <f>IF(student_scores[[#This Row],[Total_Score]] &gt;= _xlfn.PERCENTILE.INC(student_scores[Total_Score], 0.8), "Yes", "No")</f>
        <v>No</v>
      </c>
    </row>
    <row r="523" spans="1:22" x14ac:dyDescent="0.35">
      <c r="A523">
        <v>522</v>
      </c>
      <c r="B523" t="s">
        <v>495</v>
      </c>
      <c r="C523" t="s">
        <v>1119</v>
      </c>
      <c r="D523" t="s">
        <v>1120</v>
      </c>
      <c r="E523" t="s">
        <v>25</v>
      </c>
      <c r="F523" t="b">
        <v>0</v>
      </c>
      <c r="G523">
        <v>9</v>
      </c>
      <c r="H523" t="b">
        <v>0</v>
      </c>
      <c r="I523">
        <v>3</v>
      </c>
      <c r="J523" t="s">
        <v>64</v>
      </c>
      <c r="K523">
        <v>84</v>
      </c>
      <c r="L523">
        <v>55</v>
      </c>
      <c r="M523">
        <v>65</v>
      </c>
      <c r="N523">
        <v>62</v>
      </c>
      <c r="O523">
        <v>56</v>
      </c>
      <c r="P523">
        <v>91</v>
      </c>
      <c r="Q523">
        <v>81</v>
      </c>
      <c r="R523">
        <f>SUM(student_scores[[#This Row],[math_score]:[geography_score]])</f>
        <v>494</v>
      </c>
      <c r="S523" s="3">
        <f>student_scores[[#This Row],[Total_Score]]/7</f>
        <v>70.571428571428569</v>
      </c>
      <c r="T523" s="3" t="str" cm="1">
        <f t="array" ref="T523">_xlfn.IFS(student_scores[[#This Row],[weekly_self_study_hours]]&lt;=5,   "0 - 5", student_scores[[#This Row],[weekly_self_study_hours]]&lt;=10,  "6 - 10", student_scores[[#This Row],[weekly_self_study_hours]]&lt;=20,  "11 - 20",student_scores[[#This Row],[weekly_self_study_hours]]&lt;=30, "21 - 30",TRUE, "31+")</f>
        <v>0 - 5</v>
      </c>
      <c r="U523" t="str" cm="1">
        <f t="array" ref="U523">_xlfn.IFS(student_scores[[#This Row],[absence_days]]=0,"0", student_scores[[#This Row],[absence_days]]&lt;=3,"1-3", student_scores[[#This Row],[absence_days]]&lt;=6,"4-6", TRUE,"7-10")</f>
        <v>7-10</v>
      </c>
      <c r="V523" t="str">
        <f>IF(student_scores[[#This Row],[Total_Score]] &gt;= _xlfn.PERCENTILE.INC(student_scores[Total_Score], 0.8), "Yes", "No")</f>
        <v>No</v>
      </c>
    </row>
    <row r="524" spans="1:22" x14ac:dyDescent="0.35">
      <c r="A524">
        <v>523</v>
      </c>
      <c r="B524" t="s">
        <v>83</v>
      </c>
      <c r="C524" t="s">
        <v>1121</v>
      </c>
      <c r="D524" t="s">
        <v>1122</v>
      </c>
      <c r="E524" t="s">
        <v>25</v>
      </c>
      <c r="F524" t="b">
        <v>0</v>
      </c>
      <c r="G524">
        <v>5</v>
      </c>
      <c r="H524" t="b">
        <v>0</v>
      </c>
      <c r="I524">
        <v>28</v>
      </c>
      <c r="J524" t="s">
        <v>105</v>
      </c>
      <c r="K524">
        <v>92</v>
      </c>
      <c r="L524">
        <v>100</v>
      </c>
      <c r="M524">
        <v>100</v>
      </c>
      <c r="N524">
        <v>98</v>
      </c>
      <c r="O524">
        <v>83</v>
      </c>
      <c r="P524">
        <v>75</v>
      </c>
      <c r="Q524">
        <v>72</v>
      </c>
      <c r="R524">
        <f>SUM(student_scores[[#This Row],[math_score]:[geography_score]])</f>
        <v>620</v>
      </c>
      <c r="S524" s="3">
        <f>student_scores[[#This Row],[Total_Score]]/7</f>
        <v>88.571428571428569</v>
      </c>
      <c r="T524" s="3" t="str" cm="1">
        <f t="array" ref="T524">_xlfn.IFS(student_scores[[#This Row],[weekly_self_study_hours]]&lt;=5,   "0 - 5", student_scores[[#This Row],[weekly_self_study_hours]]&lt;=10,  "6 - 10", student_scores[[#This Row],[weekly_self_study_hours]]&lt;=20,  "11 - 20",student_scores[[#This Row],[weekly_self_study_hours]]&lt;=30, "21 - 30",TRUE, "31+")</f>
        <v>21 - 30</v>
      </c>
      <c r="U524" t="str" cm="1">
        <f t="array" ref="U524">_xlfn.IFS(student_scores[[#This Row],[absence_days]]=0,"0", student_scores[[#This Row],[absence_days]]&lt;=3,"1-3", student_scores[[#This Row],[absence_days]]&lt;=6,"4-6", TRUE,"7-10")</f>
        <v>4-6</v>
      </c>
      <c r="V524" t="str">
        <f>IF(student_scores[[#This Row],[Total_Score]] &gt;= _xlfn.PERCENTILE.INC(student_scores[Total_Score], 0.8), "Yes", "No")</f>
        <v>Yes</v>
      </c>
    </row>
    <row r="525" spans="1:22" x14ac:dyDescent="0.35">
      <c r="A525">
        <v>524</v>
      </c>
      <c r="B525" t="s">
        <v>280</v>
      </c>
      <c r="C525" t="s">
        <v>1123</v>
      </c>
      <c r="D525" t="s">
        <v>1124</v>
      </c>
      <c r="E525" t="s">
        <v>20</v>
      </c>
      <c r="F525" t="b">
        <v>1</v>
      </c>
      <c r="G525">
        <v>2</v>
      </c>
      <c r="H525" t="b">
        <v>0</v>
      </c>
      <c r="I525">
        <v>0</v>
      </c>
      <c r="J525" t="s">
        <v>64</v>
      </c>
      <c r="K525">
        <v>87</v>
      </c>
      <c r="L525">
        <v>95</v>
      </c>
      <c r="M525">
        <v>78</v>
      </c>
      <c r="N525">
        <v>82</v>
      </c>
      <c r="O525">
        <v>53</v>
      </c>
      <c r="P525">
        <v>59</v>
      </c>
      <c r="Q525">
        <v>66</v>
      </c>
      <c r="R525">
        <f>SUM(student_scores[[#This Row],[math_score]:[geography_score]])</f>
        <v>520</v>
      </c>
      <c r="S525" s="3">
        <f>student_scores[[#This Row],[Total_Score]]/7</f>
        <v>74.285714285714292</v>
      </c>
      <c r="T525" s="3" t="str" cm="1">
        <f t="array" ref="T525">_xlfn.IFS(student_scores[[#This Row],[weekly_self_study_hours]]&lt;=5,   "0 - 5", student_scores[[#This Row],[weekly_self_study_hours]]&lt;=10,  "6 - 10", student_scores[[#This Row],[weekly_self_study_hours]]&lt;=20,  "11 - 20",student_scores[[#This Row],[weekly_self_study_hours]]&lt;=30, "21 - 30",TRUE, "31+")</f>
        <v>0 - 5</v>
      </c>
      <c r="U525" t="str" cm="1">
        <f t="array" ref="U525">_xlfn.IFS(student_scores[[#This Row],[absence_days]]=0,"0", student_scores[[#This Row],[absence_days]]&lt;=3,"1-3", student_scores[[#This Row],[absence_days]]&lt;=6,"4-6", TRUE,"7-10")</f>
        <v>1-3</v>
      </c>
      <c r="V525" t="str">
        <f>IF(student_scores[[#This Row],[Total_Score]] &gt;= _xlfn.PERCENTILE.INC(student_scores[Total_Score], 0.8), "Yes", "No")</f>
        <v>No</v>
      </c>
    </row>
    <row r="526" spans="1:22" x14ac:dyDescent="0.35">
      <c r="A526">
        <v>525</v>
      </c>
      <c r="B526" t="s">
        <v>139</v>
      </c>
      <c r="C526" t="s">
        <v>1125</v>
      </c>
      <c r="D526" t="s">
        <v>1126</v>
      </c>
      <c r="E526" t="s">
        <v>20</v>
      </c>
      <c r="F526" t="b">
        <v>0</v>
      </c>
      <c r="G526">
        <v>5</v>
      </c>
      <c r="H526" t="b">
        <v>0</v>
      </c>
      <c r="I526">
        <v>22</v>
      </c>
      <c r="J526" t="s">
        <v>105</v>
      </c>
      <c r="K526">
        <v>97</v>
      </c>
      <c r="L526">
        <v>87</v>
      </c>
      <c r="M526">
        <v>90</v>
      </c>
      <c r="N526">
        <v>70</v>
      </c>
      <c r="O526">
        <v>96</v>
      </c>
      <c r="P526">
        <v>75</v>
      </c>
      <c r="Q526">
        <v>93</v>
      </c>
      <c r="R526">
        <f>SUM(student_scores[[#This Row],[math_score]:[geography_score]])</f>
        <v>608</v>
      </c>
      <c r="S526" s="3">
        <f>student_scores[[#This Row],[Total_Score]]/7</f>
        <v>86.857142857142861</v>
      </c>
      <c r="T526" s="3" t="str" cm="1">
        <f t="array" ref="T526">_xlfn.IFS(student_scores[[#This Row],[weekly_self_study_hours]]&lt;=5,   "0 - 5", student_scores[[#This Row],[weekly_self_study_hours]]&lt;=10,  "6 - 10", student_scores[[#This Row],[weekly_self_study_hours]]&lt;=20,  "11 - 20",student_scores[[#This Row],[weekly_self_study_hours]]&lt;=30, "21 - 30",TRUE, "31+")</f>
        <v>21 - 30</v>
      </c>
      <c r="U526" t="str" cm="1">
        <f t="array" ref="U526">_xlfn.IFS(student_scores[[#This Row],[absence_days]]=0,"0", student_scores[[#This Row],[absence_days]]&lt;=3,"1-3", student_scores[[#This Row],[absence_days]]&lt;=6,"4-6", TRUE,"7-10")</f>
        <v>4-6</v>
      </c>
      <c r="V526" t="str">
        <f>IF(student_scores[[#This Row],[Total_Score]] &gt;= _xlfn.PERCENTILE.INC(student_scores[Total_Score], 0.8), "Yes", "No")</f>
        <v>Yes</v>
      </c>
    </row>
    <row r="527" spans="1:22" x14ac:dyDescent="0.35">
      <c r="A527">
        <v>526</v>
      </c>
      <c r="B527" t="s">
        <v>319</v>
      </c>
      <c r="C527" t="s">
        <v>118</v>
      </c>
      <c r="D527" t="s">
        <v>1127</v>
      </c>
      <c r="E527" t="s">
        <v>25</v>
      </c>
      <c r="F527" t="b">
        <v>1</v>
      </c>
      <c r="G527">
        <v>8</v>
      </c>
      <c r="H527" t="b">
        <v>0</v>
      </c>
      <c r="I527">
        <v>3</v>
      </c>
      <c r="J527" t="s">
        <v>64</v>
      </c>
      <c r="K527">
        <v>92</v>
      </c>
      <c r="L527">
        <v>96</v>
      </c>
      <c r="M527">
        <v>77</v>
      </c>
      <c r="N527">
        <v>95</v>
      </c>
      <c r="O527">
        <v>63</v>
      </c>
      <c r="P527">
        <v>57</v>
      </c>
      <c r="Q527">
        <v>90</v>
      </c>
      <c r="R527">
        <f>SUM(student_scores[[#This Row],[math_score]:[geography_score]])</f>
        <v>570</v>
      </c>
      <c r="S527" s="3">
        <f>student_scores[[#This Row],[Total_Score]]/7</f>
        <v>81.428571428571431</v>
      </c>
      <c r="T527" s="3" t="str" cm="1">
        <f t="array" ref="T527">_xlfn.IFS(student_scores[[#This Row],[weekly_self_study_hours]]&lt;=5,   "0 - 5", student_scores[[#This Row],[weekly_self_study_hours]]&lt;=10,  "6 - 10", student_scores[[#This Row],[weekly_self_study_hours]]&lt;=20,  "11 - 20",student_scores[[#This Row],[weekly_self_study_hours]]&lt;=30, "21 - 30",TRUE, "31+")</f>
        <v>0 - 5</v>
      </c>
      <c r="U527" t="str" cm="1">
        <f t="array" ref="U527">_xlfn.IFS(student_scores[[#This Row],[absence_days]]=0,"0", student_scores[[#This Row],[absence_days]]&lt;=3,"1-3", student_scores[[#This Row],[absence_days]]&lt;=6,"4-6", TRUE,"7-10")</f>
        <v>7-10</v>
      </c>
      <c r="V527" t="str">
        <f>IF(student_scores[[#This Row],[Total_Score]] &gt;= _xlfn.PERCENTILE.INC(student_scores[Total_Score], 0.8), "Yes", "No")</f>
        <v>No</v>
      </c>
    </row>
    <row r="528" spans="1:22" x14ac:dyDescent="0.35">
      <c r="A528">
        <v>527</v>
      </c>
      <c r="B528" t="s">
        <v>277</v>
      </c>
      <c r="C528" t="s">
        <v>1128</v>
      </c>
      <c r="D528" t="s">
        <v>1129</v>
      </c>
      <c r="E528" t="s">
        <v>20</v>
      </c>
      <c r="F528" t="b">
        <v>0</v>
      </c>
      <c r="G528">
        <v>2</v>
      </c>
      <c r="H528" t="b">
        <v>0</v>
      </c>
      <c r="I528">
        <v>25</v>
      </c>
      <c r="J528" t="s">
        <v>38</v>
      </c>
      <c r="K528">
        <v>72</v>
      </c>
      <c r="L528">
        <v>91</v>
      </c>
      <c r="M528">
        <v>68</v>
      </c>
      <c r="N528">
        <v>79</v>
      </c>
      <c r="O528">
        <v>98</v>
      </c>
      <c r="P528">
        <v>71</v>
      </c>
      <c r="Q528">
        <v>89</v>
      </c>
      <c r="R528">
        <f>SUM(student_scores[[#This Row],[math_score]:[geography_score]])</f>
        <v>568</v>
      </c>
      <c r="S528" s="3">
        <f>student_scores[[#This Row],[Total_Score]]/7</f>
        <v>81.142857142857139</v>
      </c>
      <c r="T528" s="3" t="str" cm="1">
        <f t="array" ref="T528">_xlfn.IFS(student_scores[[#This Row],[weekly_self_study_hours]]&lt;=5,   "0 - 5", student_scores[[#This Row],[weekly_self_study_hours]]&lt;=10,  "6 - 10", student_scores[[#This Row],[weekly_self_study_hours]]&lt;=20,  "11 - 20",student_scores[[#This Row],[weekly_self_study_hours]]&lt;=30, "21 - 30",TRUE, "31+")</f>
        <v>21 - 30</v>
      </c>
      <c r="U528" t="str" cm="1">
        <f t="array" ref="U528">_xlfn.IFS(student_scores[[#This Row],[absence_days]]=0,"0", student_scores[[#This Row],[absence_days]]&lt;=3,"1-3", student_scores[[#This Row],[absence_days]]&lt;=6,"4-6", TRUE,"7-10")</f>
        <v>1-3</v>
      </c>
      <c r="V528" t="str">
        <f>IF(student_scores[[#This Row],[Total_Score]] &gt;= _xlfn.PERCENTILE.INC(student_scores[Total_Score], 0.8), "Yes", "No")</f>
        <v>No</v>
      </c>
    </row>
    <row r="529" spans="1:22" x14ac:dyDescent="0.35">
      <c r="A529">
        <v>528</v>
      </c>
      <c r="B529" t="s">
        <v>919</v>
      </c>
      <c r="C529" t="s">
        <v>1130</v>
      </c>
      <c r="D529" t="s">
        <v>1131</v>
      </c>
      <c r="E529" t="s">
        <v>25</v>
      </c>
      <c r="F529" t="b">
        <v>0</v>
      </c>
      <c r="G529">
        <v>3</v>
      </c>
      <c r="H529" t="b">
        <v>1</v>
      </c>
      <c r="I529">
        <v>1</v>
      </c>
      <c r="J529" t="s">
        <v>64</v>
      </c>
      <c r="K529">
        <v>50</v>
      </c>
      <c r="L529">
        <v>55</v>
      </c>
      <c r="M529">
        <v>96</v>
      </c>
      <c r="N529">
        <v>72</v>
      </c>
      <c r="O529">
        <v>55</v>
      </c>
      <c r="P529">
        <v>50</v>
      </c>
      <c r="Q529">
        <v>64</v>
      </c>
      <c r="R529">
        <f>SUM(student_scores[[#This Row],[math_score]:[geography_score]])</f>
        <v>442</v>
      </c>
      <c r="S529" s="3">
        <f>student_scores[[#This Row],[Total_Score]]/7</f>
        <v>63.142857142857146</v>
      </c>
      <c r="T529" s="3" t="str" cm="1">
        <f t="array" ref="T529">_xlfn.IFS(student_scores[[#This Row],[weekly_self_study_hours]]&lt;=5,   "0 - 5", student_scores[[#This Row],[weekly_self_study_hours]]&lt;=10,  "6 - 10", student_scores[[#This Row],[weekly_self_study_hours]]&lt;=20,  "11 - 20",student_scores[[#This Row],[weekly_self_study_hours]]&lt;=30, "21 - 30",TRUE, "31+")</f>
        <v>0 - 5</v>
      </c>
      <c r="U529" t="str" cm="1">
        <f t="array" ref="U529">_xlfn.IFS(student_scores[[#This Row],[absence_days]]=0,"0", student_scores[[#This Row],[absence_days]]&lt;=3,"1-3", student_scores[[#This Row],[absence_days]]&lt;=6,"4-6", TRUE,"7-10")</f>
        <v>1-3</v>
      </c>
      <c r="V529" t="str">
        <f>IF(student_scores[[#This Row],[Total_Score]] &gt;= _xlfn.PERCENTILE.INC(student_scores[Total_Score], 0.8), "Yes", "No")</f>
        <v>No</v>
      </c>
    </row>
    <row r="530" spans="1:22" x14ac:dyDescent="0.35">
      <c r="A530">
        <v>529</v>
      </c>
      <c r="B530" t="s">
        <v>838</v>
      </c>
      <c r="C530" t="s">
        <v>295</v>
      </c>
      <c r="D530" t="s">
        <v>1132</v>
      </c>
      <c r="E530" t="s">
        <v>25</v>
      </c>
      <c r="F530" t="b">
        <v>0</v>
      </c>
      <c r="G530">
        <v>7</v>
      </c>
      <c r="H530" t="b">
        <v>0</v>
      </c>
      <c r="I530">
        <v>37</v>
      </c>
      <c r="J530" t="s">
        <v>26</v>
      </c>
      <c r="K530">
        <v>97</v>
      </c>
      <c r="L530">
        <v>96</v>
      </c>
      <c r="M530">
        <v>93</v>
      </c>
      <c r="N530">
        <v>94</v>
      </c>
      <c r="O530">
        <v>91</v>
      </c>
      <c r="P530">
        <v>96</v>
      </c>
      <c r="Q530">
        <v>87</v>
      </c>
      <c r="R530">
        <f>SUM(student_scores[[#This Row],[math_score]:[geography_score]])</f>
        <v>654</v>
      </c>
      <c r="S530" s="3">
        <f>student_scores[[#This Row],[Total_Score]]/7</f>
        <v>93.428571428571431</v>
      </c>
      <c r="T530" s="3" t="str" cm="1">
        <f t="array" ref="T530">_xlfn.IFS(student_scores[[#This Row],[weekly_self_study_hours]]&lt;=5,   "0 - 5", student_scores[[#This Row],[weekly_self_study_hours]]&lt;=10,  "6 - 10", student_scores[[#This Row],[weekly_self_study_hours]]&lt;=20,  "11 - 20",student_scores[[#This Row],[weekly_self_study_hours]]&lt;=30, "21 - 30",TRUE, "31+")</f>
        <v>31+</v>
      </c>
      <c r="U530" t="str" cm="1">
        <f t="array" ref="U530">_xlfn.IFS(student_scores[[#This Row],[absence_days]]=0,"0", student_scores[[#This Row],[absence_days]]&lt;=3,"1-3", student_scores[[#This Row],[absence_days]]&lt;=6,"4-6", TRUE,"7-10")</f>
        <v>7-10</v>
      </c>
      <c r="V530" t="str">
        <f>IF(student_scores[[#This Row],[Total_Score]] &gt;= _xlfn.PERCENTILE.INC(student_scores[Total_Score], 0.8), "Yes", "No")</f>
        <v>Yes</v>
      </c>
    </row>
    <row r="531" spans="1:22" x14ac:dyDescent="0.35">
      <c r="A531">
        <v>530</v>
      </c>
      <c r="B531" t="s">
        <v>1133</v>
      </c>
      <c r="C531" t="s">
        <v>32</v>
      </c>
      <c r="D531" t="s">
        <v>1134</v>
      </c>
      <c r="E531" t="s">
        <v>25</v>
      </c>
      <c r="F531" t="b">
        <v>0</v>
      </c>
      <c r="G531">
        <v>3</v>
      </c>
      <c r="H531" t="b">
        <v>1</v>
      </c>
      <c r="I531">
        <v>28</v>
      </c>
      <c r="J531" t="s">
        <v>44</v>
      </c>
      <c r="K531">
        <v>89</v>
      </c>
      <c r="L531">
        <v>77</v>
      </c>
      <c r="M531">
        <v>69</v>
      </c>
      <c r="N531">
        <v>72</v>
      </c>
      <c r="O531">
        <v>63</v>
      </c>
      <c r="P531">
        <v>84</v>
      </c>
      <c r="Q531">
        <v>99</v>
      </c>
      <c r="R531">
        <f>SUM(student_scores[[#This Row],[math_score]:[geography_score]])</f>
        <v>553</v>
      </c>
      <c r="S531" s="3">
        <f>student_scores[[#This Row],[Total_Score]]/7</f>
        <v>79</v>
      </c>
      <c r="T531" s="3" t="str" cm="1">
        <f t="array" ref="T531">_xlfn.IFS(student_scores[[#This Row],[weekly_self_study_hours]]&lt;=5,   "0 - 5", student_scores[[#This Row],[weekly_self_study_hours]]&lt;=10,  "6 - 10", student_scores[[#This Row],[weekly_self_study_hours]]&lt;=20,  "11 - 20",student_scores[[#This Row],[weekly_self_study_hours]]&lt;=30, "21 - 30",TRUE, "31+")</f>
        <v>21 - 30</v>
      </c>
      <c r="U531" t="str" cm="1">
        <f t="array" ref="U531">_xlfn.IFS(student_scores[[#This Row],[absence_days]]=0,"0", student_scores[[#This Row],[absence_days]]&lt;=3,"1-3", student_scores[[#This Row],[absence_days]]&lt;=6,"4-6", TRUE,"7-10")</f>
        <v>1-3</v>
      </c>
      <c r="V531" t="str">
        <f>IF(student_scores[[#This Row],[Total_Score]] &gt;= _xlfn.PERCENTILE.INC(student_scores[Total_Score], 0.8), "Yes", "No")</f>
        <v>No</v>
      </c>
    </row>
    <row r="532" spans="1:22" x14ac:dyDescent="0.35">
      <c r="A532">
        <v>531</v>
      </c>
      <c r="B532" t="s">
        <v>534</v>
      </c>
      <c r="C532" t="s">
        <v>1135</v>
      </c>
      <c r="D532" t="s">
        <v>1136</v>
      </c>
      <c r="E532" t="s">
        <v>25</v>
      </c>
      <c r="F532" t="b">
        <v>0</v>
      </c>
      <c r="G532">
        <v>3</v>
      </c>
      <c r="H532" t="b">
        <v>0</v>
      </c>
      <c r="I532">
        <v>30</v>
      </c>
      <c r="J532" t="s">
        <v>76</v>
      </c>
      <c r="K532">
        <v>77</v>
      </c>
      <c r="L532">
        <v>76</v>
      </c>
      <c r="M532">
        <v>90</v>
      </c>
      <c r="N532">
        <v>95</v>
      </c>
      <c r="O532">
        <v>94</v>
      </c>
      <c r="P532">
        <v>99</v>
      </c>
      <c r="Q532">
        <v>94</v>
      </c>
      <c r="R532">
        <f>SUM(student_scores[[#This Row],[math_score]:[geography_score]])</f>
        <v>625</v>
      </c>
      <c r="S532" s="3">
        <f>student_scores[[#This Row],[Total_Score]]/7</f>
        <v>89.285714285714292</v>
      </c>
      <c r="T532" s="3" t="str" cm="1">
        <f t="array" ref="T532">_xlfn.IFS(student_scores[[#This Row],[weekly_self_study_hours]]&lt;=5,   "0 - 5", student_scores[[#This Row],[weekly_self_study_hours]]&lt;=10,  "6 - 10", student_scores[[#This Row],[weekly_self_study_hours]]&lt;=20,  "11 - 20",student_scores[[#This Row],[weekly_self_study_hours]]&lt;=30, "21 - 30",TRUE, "31+")</f>
        <v>21 - 30</v>
      </c>
      <c r="U532" t="str" cm="1">
        <f t="array" ref="U532">_xlfn.IFS(student_scores[[#This Row],[absence_days]]=0,"0", student_scores[[#This Row],[absence_days]]&lt;=3,"1-3", student_scores[[#This Row],[absence_days]]&lt;=6,"4-6", TRUE,"7-10")</f>
        <v>1-3</v>
      </c>
      <c r="V532" t="str">
        <f>IF(student_scores[[#This Row],[Total_Score]] &gt;= _xlfn.PERCENTILE.INC(student_scores[Total_Score], 0.8), "Yes", "No")</f>
        <v>Yes</v>
      </c>
    </row>
    <row r="533" spans="1:22" x14ac:dyDescent="0.35">
      <c r="A533">
        <v>532</v>
      </c>
      <c r="B533" t="s">
        <v>1007</v>
      </c>
      <c r="C533" t="s">
        <v>66</v>
      </c>
      <c r="D533" t="s">
        <v>1137</v>
      </c>
      <c r="E533" t="s">
        <v>20</v>
      </c>
      <c r="F533" t="b">
        <v>0</v>
      </c>
      <c r="G533">
        <v>1</v>
      </c>
      <c r="H533" t="b">
        <v>0</v>
      </c>
      <c r="I533">
        <v>19</v>
      </c>
      <c r="J533" t="s">
        <v>172</v>
      </c>
      <c r="K533">
        <v>91</v>
      </c>
      <c r="L533">
        <v>89</v>
      </c>
      <c r="M533">
        <v>66</v>
      </c>
      <c r="N533">
        <v>69</v>
      </c>
      <c r="O533">
        <v>100</v>
      </c>
      <c r="P533">
        <v>88</v>
      </c>
      <c r="Q533">
        <v>79</v>
      </c>
      <c r="R533">
        <f>SUM(student_scores[[#This Row],[math_score]:[geography_score]])</f>
        <v>582</v>
      </c>
      <c r="S533" s="3">
        <f>student_scores[[#This Row],[Total_Score]]/7</f>
        <v>83.142857142857139</v>
      </c>
      <c r="T533" s="3" t="str" cm="1">
        <f t="array" ref="T533">_xlfn.IFS(student_scores[[#This Row],[weekly_self_study_hours]]&lt;=5,   "0 - 5", student_scores[[#This Row],[weekly_self_study_hours]]&lt;=10,  "6 - 10", student_scores[[#This Row],[weekly_self_study_hours]]&lt;=20,  "11 - 20",student_scores[[#This Row],[weekly_self_study_hours]]&lt;=30, "21 - 30",TRUE, "31+")</f>
        <v>11 - 20</v>
      </c>
      <c r="U533" t="str" cm="1">
        <f t="array" ref="U533">_xlfn.IFS(student_scores[[#This Row],[absence_days]]=0,"0", student_scores[[#This Row],[absence_days]]&lt;=3,"1-3", student_scores[[#This Row],[absence_days]]&lt;=6,"4-6", TRUE,"7-10")</f>
        <v>1-3</v>
      </c>
      <c r="V533" t="str">
        <f>IF(student_scores[[#This Row],[Total_Score]] &gt;= _xlfn.PERCENTILE.INC(student_scores[Total_Score], 0.8), "Yes", "No")</f>
        <v>No</v>
      </c>
    </row>
    <row r="534" spans="1:22" x14ac:dyDescent="0.35">
      <c r="A534">
        <v>533</v>
      </c>
      <c r="B534" t="s">
        <v>939</v>
      </c>
      <c r="C534" t="s">
        <v>292</v>
      </c>
      <c r="D534" t="s">
        <v>1138</v>
      </c>
      <c r="E534" t="s">
        <v>20</v>
      </c>
      <c r="F534" t="b">
        <v>1</v>
      </c>
      <c r="G534">
        <v>7</v>
      </c>
      <c r="H534" t="b">
        <v>0</v>
      </c>
      <c r="I534">
        <v>2</v>
      </c>
      <c r="J534" t="s">
        <v>64</v>
      </c>
      <c r="K534">
        <v>64</v>
      </c>
      <c r="L534">
        <v>92</v>
      </c>
      <c r="M534">
        <v>70</v>
      </c>
      <c r="N534">
        <v>81</v>
      </c>
      <c r="O534">
        <v>85</v>
      </c>
      <c r="P534">
        <v>55</v>
      </c>
      <c r="Q534">
        <v>76</v>
      </c>
      <c r="R534">
        <f>SUM(student_scores[[#This Row],[math_score]:[geography_score]])</f>
        <v>523</v>
      </c>
      <c r="S534" s="3">
        <f>student_scores[[#This Row],[Total_Score]]/7</f>
        <v>74.714285714285708</v>
      </c>
      <c r="T534" s="3" t="str" cm="1">
        <f t="array" ref="T534">_xlfn.IFS(student_scores[[#This Row],[weekly_self_study_hours]]&lt;=5,   "0 - 5", student_scores[[#This Row],[weekly_self_study_hours]]&lt;=10,  "6 - 10", student_scores[[#This Row],[weekly_self_study_hours]]&lt;=20,  "11 - 20",student_scores[[#This Row],[weekly_self_study_hours]]&lt;=30, "21 - 30",TRUE, "31+")</f>
        <v>0 - 5</v>
      </c>
      <c r="U534" t="str" cm="1">
        <f t="array" ref="U534">_xlfn.IFS(student_scores[[#This Row],[absence_days]]=0,"0", student_scores[[#This Row],[absence_days]]&lt;=3,"1-3", student_scores[[#This Row],[absence_days]]&lt;=6,"4-6", TRUE,"7-10")</f>
        <v>7-10</v>
      </c>
      <c r="V534" t="str">
        <f>IF(student_scores[[#This Row],[Total_Score]] &gt;= _xlfn.PERCENTILE.INC(student_scores[Total_Score], 0.8), "Yes", "No")</f>
        <v>No</v>
      </c>
    </row>
    <row r="535" spans="1:22" x14ac:dyDescent="0.35">
      <c r="A535">
        <v>534</v>
      </c>
      <c r="B535" t="s">
        <v>127</v>
      </c>
      <c r="C535" t="s">
        <v>450</v>
      </c>
      <c r="D535" t="s">
        <v>1139</v>
      </c>
      <c r="E535" t="s">
        <v>25</v>
      </c>
      <c r="F535" t="b">
        <v>1</v>
      </c>
      <c r="G535">
        <v>4</v>
      </c>
      <c r="H535" t="b">
        <v>0</v>
      </c>
      <c r="I535">
        <v>26</v>
      </c>
      <c r="J535" t="s">
        <v>38</v>
      </c>
      <c r="K535">
        <v>71</v>
      </c>
      <c r="L535">
        <v>87</v>
      </c>
      <c r="M535">
        <v>63</v>
      </c>
      <c r="N535">
        <v>73</v>
      </c>
      <c r="O535">
        <v>89</v>
      </c>
      <c r="P535">
        <v>77</v>
      </c>
      <c r="Q535">
        <v>66</v>
      </c>
      <c r="R535">
        <f>SUM(student_scores[[#This Row],[math_score]:[geography_score]])</f>
        <v>526</v>
      </c>
      <c r="S535" s="3">
        <f>student_scores[[#This Row],[Total_Score]]/7</f>
        <v>75.142857142857139</v>
      </c>
      <c r="T535" s="3" t="str" cm="1">
        <f t="array" ref="T535">_xlfn.IFS(student_scores[[#This Row],[weekly_self_study_hours]]&lt;=5,   "0 - 5", student_scores[[#This Row],[weekly_self_study_hours]]&lt;=10,  "6 - 10", student_scores[[#This Row],[weekly_self_study_hours]]&lt;=20,  "11 - 20",student_scores[[#This Row],[weekly_self_study_hours]]&lt;=30, "21 - 30",TRUE, "31+")</f>
        <v>21 - 30</v>
      </c>
      <c r="U535" t="str" cm="1">
        <f t="array" ref="U535">_xlfn.IFS(student_scores[[#This Row],[absence_days]]=0,"0", student_scores[[#This Row],[absence_days]]&lt;=3,"1-3", student_scores[[#This Row],[absence_days]]&lt;=6,"4-6", TRUE,"7-10")</f>
        <v>4-6</v>
      </c>
      <c r="V535" t="str">
        <f>IF(student_scores[[#This Row],[Total_Score]] &gt;= _xlfn.PERCENTILE.INC(student_scores[Total_Score], 0.8), "Yes", "No")</f>
        <v>No</v>
      </c>
    </row>
    <row r="536" spans="1:22" x14ac:dyDescent="0.35">
      <c r="A536">
        <v>535</v>
      </c>
      <c r="B536" t="s">
        <v>300</v>
      </c>
      <c r="C536" t="s">
        <v>32</v>
      </c>
      <c r="D536" t="s">
        <v>1140</v>
      </c>
      <c r="E536" t="s">
        <v>20</v>
      </c>
      <c r="F536" t="b">
        <v>0</v>
      </c>
      <c r="G536">
        <v>10</v>
      </c>
      <c r="H536" t="b">
        <v>1</v>
      </c>
      <c r="I536">
        <v>0</v>
      </c>
      <c r="J536" t="s">
        <v>64</v>
      </c>
      <c r="K536">
        <v>56</v>
      </c>
      <c r="L536">
        <v>79</v>
      </c>
      <c r="M536">
        <v>74</v>
      </c>
      <c r="N536">
        <v>66</v>
      </c>
      <c r="O536">
        <v>92</v>
      </c>
      <c r="P536">
        <v>57</v>
      </c>
      <c r="Q536">
        <v>61</v>
      </c>
      <c r="R536">
        <f>SUM(student_scores[[#This Row],[math_score]:[geography_score]])</f>
        <v>485</v>
      </c>
      <c r="S536" s="3">
        <f>student_scores[[#This Row],[Total_Score]]/7</f>
        <v>69.285714285714292</v>
      </c>
      <c r="T536" s="3" t="str" cm="1">
        <f t="array" ref="T536">_xlfn.IFS(student_scores[[#This Row],[weekly_self_study_hours]]&lt;=5,   "0 - 5", student_scores[[#This Row],[weekly_self_study_hours]]&lt;=10,  "6 - 10", student_scores[[#This Row],[weekly_self_study_hours]]&lt;=20,  "11 - 20",student_scores[[#This Row],[weekly_self_study_hours]]&lt;=30, "21 - 30",TRUE, "31+")</f>
        <v>0 - 5</v>
      </c>
      <c r="U536" t="str" cm="1">
        <f t="array" ref="U536">_xlfn.IFS(student_scores[[#This Row],[absence_days]]=0,"0", student_scores[[#This Row],[absence_days]]&lt;=3,"1-3", student_scores[[#This Row],[absence_days]]&lt;=6,"4-6", TRUE,"7-10")</f>
        <v>7-10</v>
      </c>
      <c r="V536" t="str">
        <f>IF(student_scores[[#This Row],[Total_Score]] &gt;= _xlfn.PERCENTILE.INC(student_scores[Total_Score], 0.8), "Yes", "No")</f>
        <v>No</v>
      </c>
    </row>
    <row r="537" spans="1:22" x14ac:dyDescent="0.35">
      <c r="A537">
        <v>536</v>
      </c>
      <c r="B537" t="s">
        <v>1141</v>
      </c>
      <c r="C537" t="s">
        <v>332</v>
      </c>
      <c r="D537" t="s">
        <v>1142</v>
      </c>
      <c r="E537" t="s">
        <v>20</v>
      </c>
      <c r="F537" t="b">
        <v>0</v>
      </c>
      <c r="G537">
        <v>4</v>
      </c>
      <c r="H537" t="b">
        <v>0</v>
      </c>
      <c r="I537">
        <v>5</v>
      </c>
      <c r="J537" t="s">
        <v>159</v>
      </c>
      <c r="K537">
        <v>87</v>
      </c>
      <c r="L537">
        <v>70</v>
      </c>
      <c r="M537">
        <v>98</v>
      </c>
      <c r="N537">
        <v>64</v>
      </c>
      <c r="O537">
        <v>65</v>
      </c>
      <c r="P537">
        <v>78</v>
      </c>
      <c r="Q537">
        <v>83</v>
      </c>
      <c r="R537">
        <f>SUM(student_scores[[#This Row],[math_score]:[geography_score]])</f>
        <v>545</v>
      </c>
      <c r="S537" s="3">
        <f>student_scores[[#This Row],[Total_Score]]/7</f>
        <v>77.857142857142861</v>
      </c>
      <c r="T537" s="3" t="str" cm="1">
        <f t="array" ref="T537">_xlfn.IFS(student_scores[[#This Row],[weekly_self_study_hours]]&lt;=5,   "0 - 5", student_scores[[#This Row],[weekly_self_study_hours]]&lt;=10,  "6 - 10", student_scores[[#This Row],[weekly_self_study_hours]]&lt;=20,  "11 - 20",student_scores[[#This Row],[weekly_self_study_hours]]&lt;=30, "21 - 30",TRUE, "31+")</f>
        <v>0 - 5</v>
      </c>
      <c r="U537" t="str" cm="1">
        <f t="array" ref="U537">_xlfn.IFS(student_scores[[#This Row],[absence_days]]=0,"0", student_scores[[#This Row],[absence_days]]&lt;=3,"1-3", student_scores[[#This Row],[absence_days]]&lt;=6,"4-6", TRUE,"7-10")</f>
        <v>4-6</v>
      </c>
      <c r="V537" t="str">
        <f>IF(student_scores[[#This Row],[Total_Score]] &gt;= _xlfn.PERCENTILE.INC(student_scores[Total_Score], 0.8), "Yes", "No")</f>
        <v>No</v>
      </c>
    </row>
    <row r="538" spans="1:22" x14ac:dyDescent="0.35">
      <c r="A538">
        <v>537</v>
      </c>
      <c r="B538" t="s">
        <v>202</v>
      </c>
      <c r="C538" t="s">
        <v>696</v>
      </c>
      <c r="D538" t="s">
        <v>1143</v>
      </c>
      <c r="E538" t="s">
        <v>25</v>
      </c>
      <c r="F538" t="b">
        <v>0</v>
      </c>
      <c r="G538">
        <v>0</v>
      </c>
      <c r="H538" t="b">
        <v>0</v>
      </c>
      <c r="I538">
        <v>17</v>
      </c>
      <c r="J538" t="s">
        <v>44</v>
      </c>
      <c r="K538">
        <v>99</v>
      </c>
      <c r="L538">
        <v>69</v>
      </c>
      <c r="M538">
        <v>85</v>
      </c>
      <c r="N538">
        <v>91</v>
      </c>
      <c r="O538">
        <v>77</v>
      </c>
      <c r="P538">
        <v>88</v>
      </c>
      <c r="Q538">
        <v>75</v>
      </c>
      <c r="R538">
        <f>SUM(student_scores[[#This Row],[math_score]:[geography_score]])</f>
        <v>584</v>
      </c>
      <c r="S538" s="3">
        <f>student_scores[[#This Row],[Total_Score]]/7</f>
        <v>83.428571428571431</v>
      </c>
      <c r="T538" s="3" t="str" cm="1">
        <f t="array" ref="T538">_xlfn.IFS(student_scores[[#This Row],[weekly_self_study_hours]]&lt;=5,   "0 - 5", student_scores[[#This Row],[weekly_self_study_hours]]&lt;=10,  "6 - 10", student_scores[[#This Row],[weekly_self_study_hours]]&lt;=20,  "11 - 20",student_scores[[#This Row],[weekly_self_study_hours]]&lt;=30, "21 - 30",TRUE, "31+")</f>
        <v>11 - 20</v>
      </c>
      <c r="U538" t="str" cm="1">
        <f t="array" ref="U538">_xlfn.IFS(student_scores[[#This Row],[absence_days]]=0,"0", student_scores[[#This Row],[absence_days]]&lt;=3,"1-3", student_scores[[#This Row],[absence_days]]&lt;=6,"4-6", TRUE,"7-10")</f>
        <v>0</v>
      </c>
      <c r="V538" t="str">
        <f>IF(student_scores[[#This Row],[Total_Score]] &gt;= _xlfn.PERCENTILE.INC(student_scores[Total_Score], 0.8), "Yes", "No")</f>
        <v>No</v>
      </c>
    </row>
    <row r="539" spans="1:22" x14ac:dyDescent="0.35">
      <c r="A539">
        <v>538</v>
      </c>
      <c r="B539" t="s">
        <v>145</v>
      </c>
      <c r="C539" t="s">
        <v>191</v>
      </c>
      <c r="D539" t="s">
        <v>1144</v>
      </c>
      <c r="E539" t="s">
        <v>20</v>
      </c>
      <c r="F539" t="b">
        <v>0</v>
      </c>
      <c r="G539">
        <v>2</v>
      </c>
      <c r="H539" t="b">
        <v>0</v>
      </c>
      <c r="I539">
        <v>26</v>
      </c>
      <c r="J539" t="s">
        <v>21</v>
      </c>
      <c r="K539">
        <v>98</v>
      </c>
      <c r="L539">
        <v>88</v>
      </c>
      <c r="M539">
        <v>76</v>
      </c>
      <c r="N539">
        <v>72</v>
      </c>
      <c r="O539">
        <v>92</v>
      </c>
      <c r="P539">
        <v>81</v>
      </c>
      <c r="Q539">
        <v>89</v>
      </c>
      <c r="R539">
        <f>SUM(student_scores[[#This Row],[math_score]:[geography_score]])</f>
        <v>596</v>
      </c>
      <c r="S539" s="3">
        <f>student_scores[[#This Row],[Total_Score]]/7</f>
        <v>85.142857142857139</v>
      </c>
      <c r="T539" s="3" t="str" cm="1">
        <f t="array" ref="T539">_xlfn.IFS(student_scores[[#This Row],[weekly_self_study_hours]]&lt;=5,   "0 - 5", student_scores[[#This Row],[weekly_self_study_hours]]&lt;=10,  "6 - 10", student_scores[[#This Row],[weekly_self_study_hours]]&lt;=20,  "11 - 20",student_scores[[#This Row],[weekly_self_study_hours]]&lt;=30, "21 - 30",TRUE, "31+")</f>
        <v>21 - 30</v>
      </c>
      <c r="U539" t="str" cm="1">
        <f t="array" ref="U539">_xlfn.IFS(student_scores[[#This Row],[absence_days]]=0,"0", student_scores[[#This Row],[absence_days]]&lt;=3,"1-3", student_scores[[#This Row],[absence_days]]&lt;=6,"4-6", TRUE,"7-10")</f>
        <v>1-3</v>
      </c>
      <c r="V539" t="str">
        <f>IF(student_scores[[#This Row],[Total_Score]] &gt;= _xlfn.PERCENTILE.INC(student_scores[Total_Score], 0.8), "Yes", "No")</f>
        <v>No</v>
      </c>
    </row>
    <row r="540" spans="1:22" x14ac:dyDescent="0.35">
      <c r="A540">
        <v>539</v>
      </c>
      <c r="B540" t="s">
        <v>410</v>
      </c>
      <c r="C540" t="s">
        <v>164</v>
      </c>
      <c r="D540" t="s">
        <v>1145</v>
      </c>
      <c r="E540" t="s">
        <v>20</v>
      </c>
      <c r="F540" t="b">
        <v>0</v>
      </c>
      <c r="G540">
        <v>2</v>
      </c>
      <c r="H540" t="b">
        <v>0</v>
      </c>
      <c r="I540">
        <v>32</v>
      </c>
      <c r="J540" t="s">
        <v>38</v>
      </c>
      <c r="K540">
        <v>87</v>
      </c>
      <c r="L540">
        <v>83</v>
      </c>
      <c r="M540">
        <v>74</v>
      </c>
      <c r="N540">
        <v>61</v>
      </c>
      <c r="O540">
        <v>81</v>
      </c>
      <c r="P540">
        <v>72</v>
      </c>
      <c r="Q540">
        <v>98</v>
      </c>
      <c r="R540">
        <f>SUM(student_scores[[#This Row],[math_score]:[geography_score]])</f>
        <v>556</v>
      </c>
      <c r="S540" s="3">
        <f>student_scores[[#This Row],[Total_Score]]/7</f>
        <v>79.428571428571431</v>
      </c>
      <c r="T540" s="3" t="str" cm="1">
        <f t="array" ref="T540">_xlfn.IFS(student_scores[[#This Row],[weekly_self_study_hours]]&lt;=5,   "0 - 5", student_scores[[#This Row],[weekly_self_study_hours]]&lt;=10,  "6 - 10", student_scores[[#This Row],[weekly_self_study_hours]]&lt;=20,  "11 - 20",student_scores[[#This Row],[weekly_self_study_hours]]&lt;=30, "21 - 30",TRUE, "31+")</f>
        <v>31+</v>
      </c>
      <c r="U540" t="str" cm="1">
        <f t="array" ref="U540">_xlfn.IFS(student_scores[[#This Row],[absence_days]]=0,"0", student_scores[[#This Row],[absence_days]]&lt;=3,"1-3", student_scores[[#This Row],[absence_days]]&lt;=6,"4-6", TRUE,"7-10")</f>
        <v>1-3</v>
      </c>
      <c r="V540" t="str">
        <f>IF(student_scores[[#This Row],[Total_Score]] &gt;= _xlfn.PERCENTILE.INC(student_scores[Total_Score], 0.8), "Yes", "No")</f>
        <v>No</v>
      </c>
    </row>
    <row r="541" spans="1:22" x14ac:dyDescent="0.35">
      <c r="A541">
        <v>540</v>
      </c>
      <c r="B541" t="s">
        <v>154</v>
      </c>
      <c r="C541" t="s">
        <v>1146</v>
      </c>
      <c r="D541" t="s">
        <v>1147</v>
      </c>
      <c r="E541" t="s">
        <v>25</v>
      </c>
      <c r="F541" t="b">
        <v>0</v>
      </c>
      <c r="G541">
        <v>6</v>
      </c>
      <c r="H541" t="b">
        <v>1</v>
      </c>
      <c r="I541">
        <v>16</v>
      </c>
      <c r="J541" t="s">
        <v>44</v>
      </c>
      <c r="K541">
        <v>88</v>
      </c>
      <c r="L541">
        <v>96</v>
      </c>
      <c r="M541">
        <v>90</v>
      </c>
      <c r="N541">
        <v>92</v>
      </c>
      <c r="O541">
        <v>68</v>
      </c>
      <c r="P541">
        <v>97</v>
      </c>
      <c r="Q541">
        <v>73</v>
      </c>
      <c r="R541">
        <f>SUM(student_scores[[#This Row],[math_score]:[geography_score]])</f>
        <v>604</v>
      </c>
      <c r="S541" s="3">
        <f>student_scores[[#This Row],[Total_Score]]/7</f>
        <v>86.285714285714292</v>
      </c>
      <c r="T541" s="3" t="str" cm="1">
        <f t="array" ref="T541">_xlfn.IFS(student_scores[[#This Row],[weekly_self_study_hours]]&lt;=5,   "0 - 5", student_scores[[#This Row],[weekly_self_study_hours]]&lt;=10,  "6 - 10", student_scores[[#This Row],[weekly_self_study_hours]]&lt;=20,  "11 - 20",student_scores[[#This Row],[weekly_self_study_hours]]&lt;=30, "21 - 30",TRUE, "31+")</f>
        <v>11 - 20</v>
      </c>
      <c r="U541" t="str" cm="1">
        <f t="array" ref="U541">_xlfn.IFS(student_scores[[#This Row],[absence_days]]=0,"0", student_scores[[#This Row],[absence_days]]&lt;=3,"1-3", student_scores[[#This Row],[absence_days]]&lt;=6,"4-6", TRUE,"7-10")</f>
        <v>4-6</v>
      </c>
      <c r="V541" t="str">
        <f>IF(student_scores[[#This Row],[Total_Score]] &gt;= _xlfn.PERCENTILE.INC(student_scores[Total_Score], 0.8), "Yes", "No")</f>
        <v>Yes</v>
      </c>
    </row>
    <row r="542" spans="1:22" x14ac:dyDescent="0.35">
      <c r="A542">
        <v>541</v>
      </c>
      <c r="B542" t="s">
        <v>202</v>
      </c>
      <c r="C542" t="s">
        <v>594</v>
      </c>
      <c r="D542" t="s">
        <v>1148</v>
      </c>
      <c r="E542" t="s">
        <v>25</v>
      </c>
      <c r="F542" t="b">
        <v>1</v>
      </c>
      <c r="G542">
        <v>8</v>
      </c>
      <c r="H542" t="b">
        <v>0</v>
      </c>
      <c r="I542">
        <v>2</v>
      </c>
      <c r="J542" t="s">
        <v>64</v>
      </c>
      <c r="K542">
        <v>71</v>
      </c>
      <c r="L542">
        <v>52</v>
      </c>
      <c r="M542">
        <v>53</v>
      </c>
      <c r="N542">
        <v>64</v>
      </c>
      <c r="O542">
        <v>89</v>
      </c>
      <c r="P542">
        <v>76</v>
      </c>
      <c r="Q542">
        <v>70</v>
      </c>
      <c r="R542">
        <f>SUM(student_scores[[#This Row],[math_score]:[geography_score]])</f>
        <v>475</v>
      </c>
      <c r="S542" s="3">
        <f>student_scores[[#This Row],[Total_Score]]/7</f>
        <v>67.857142857142861</v>
      </c>
      <c r="T542" s="3" t="str" cm="1">
        <f t="array" ref="T542">_xlfn.IFS(student_scores[[#This Row],[weekly_self_study_hours]]&lt;=5,   "0 - 5", student_scores[[#This Row],[weekly_self_study_hours]]&lt;=10,  "6 - 10", student_scores[[#This Row],[weekly_self_study_hours]]&lt;=20,  "11 - 20",student_scores[[#This Row],[weekly_self_study_hours]]&lt;=30, "21 - 30",TRUE, "31+")</f>
        <v>0 - 5</v>
      </c>
      <c r="U542" t="str" cm="1">
        <f t="array" ref="U542">_xlfn.IFS(student_scores[[#This Row],[absence_days]]=0,"0", student_scores[[#This Row],[absence_days]]&lt;=3,"1-3", student_scores[[#This Row],[absence_days]]&lt;=6,"4-6", TRUE,"7-10")</f>
        <v>7-10</v>
      </c>
      <c r="V542" t="str">
        <f>IF(student_scores[[#This Row],[Total_Score]] &gt;= _xlfn.PERCENTILE.INC(student_scores[Total_Score], 0.8), "Yes", "No")</f>
        <v>No</v>
      </c>
    </row>
    <row r="543" spans="1:22" x14ac:dyDescent="0.35">
      <c r="A543">
        <v>542</v>
      </c>
      <c r="B543" t="s">
        <v>796</v>
      </c>
      <c r="C543" t="s">
        <v>1149</v>
      </c>
      <c r="D543" t="s">
        <v>1150</v>
      </c>
      <c r="E543" t="s">
        <v>20</v>
      </c>
      <c r="F543" t="b">
        <v>0</v>
      </c>
      <c r="G543">
        <v>2</v>
      </c>
      <c r="H543" t="b">
        <v>0</v>
      </c>
      <c r="I543">
        <v>35</v>
      </c>
      <c r="J543" t="s">
        <v>138</v>
      </c>
      <c r="K543">
        <v>96</v>
      </c>
      <c r="L543">
        <v>90</v>
      </c>
      <c r="M543">
        <v>91</v>
      </c>
      <c r="N543">
        <v>95</v>
      </c>
      <c r="O543">
        <v>99</v>
      </c>
      <c r="P543">
        <v>95</v>
      </c>
      <c r="Q543">
        <v>99</v>
      </c>
      <c r="R543">
        <f>SUM(student_scores[[#This Row],[math_score]:[geography_score]])</f>
        <v>665</v>
      </c>
      <c r="S543" s="3">
        <f>student_scores[[#This Row],[Total_Score]]/7</f>
        <v>95</v>
      </c>
      <c r="T543" s="3" t="str" cm="1">
        <f t="array" ref="T543">_xlfn.IFS(student_scores[[#This Row],[weekly_self_study_hours]]&lt;=5,   "0 - 5", student_scores[[#This Row],[weekly_self_study_hours]]&lt;=10,  "6 - 10", student_scores[[#This Row],[weekly_self_study_hours]]&lt;=20,  "11 - 20",student_scores[[#This Row],[weekly_self_study_hours]]&lt;=30, "21 - 30",TRUE, "31+")</f>
        <v>31+</v>
      </c>
      <c r="U543" t="str" cm="1">
        <f t="array" ref="U543">_xlfn.IFS(student_scores[[#This Row],[absence_days]]=0,"0", student_scores[[#This Row],[absence_days]]&lt;=3,"1-3", student_scores[[#This Row],[absence_days]]&lt;=6,"4-6", TRUE,"7-10")</f>
        <v>1-3</v>
      </c>
      <c r="V543" t="str">
        <f>IF(student_scores[[#This Row],[Total_Score]] &gt;= _xlfn.PERCENTILE.INC(student_scores[Total_Score], 0.8), "Yes", "No")</f>
        <v>Yes</v>
      </c>
    </row>
    <row r="544" spans="1:22" x14ac:dyDescent="0.35">
      <c r="A544">
        <v>543</v>
      </c>
      <c r="B544" t="s">
        <v>1151</v>
      </c>
      <c r="C544" t="s">
        <v>103</v>
      </c>
      <c r="D544" t="s">
        <v>1152</v>
      </c>
      <c r="E544" t="s">
        <v>25</v>
      </c>
      <c r="F544" t="b">
        <v>0</v>
      </c>
      <c r="G544">
        <v>0</v>
      </c>
      <c r="H544" t="b">
        <v>0</v>
      </c>
      <c r="I544">
        <v>17</v>
      </c>
      <c r="J544" t="s">
        <v>113</v>
      </c>
      <c r="K544">
        <v>81</v>
      </c>
      <c r="L544">
        <v>95</v>
      </c>
      <c r="M544">
        <v>99</v>
      </c>
      <c r="N544">
        <v>65</v>
      </c>
      <c r="O544">
        <v>56</v>
      </c>
      <c r="P544">
        <v>79</v>
      </c>
      <c r="Q544">
        <v>98</v>
      </c>
      <c r="R544">
        <f>SUM(student_scores[[#This Row],[math_score]:[geography_score]])</f>
        <v>573</v>
      </c>
      <c r="S544" s="3">
        <f>student_scores[[#This Row],[Total_Score]]/7</f>
        <v>81.857142857142861</v>
      </c>
      <c r="T544" s="3" t="str" cm="1">
        <f t="array" ref="T544">_xlfn.IFS(student_scores[[#This Row],[weekly_self_study_hours]]&lt;=5,   "0 - 5", student_scores[[#This Row],[weekly_self_study_hours]]&lt;=10,  "6 - 10", student_scores[[#This Row],[weekly_self_study_hours]]&lt;=20,  "11 - 20",student_scores[[#This Row],[weekly_self_study_hours]]&lt;=30, "21 - 30",TRUE, "31+")</f>
        <v>11 - 20</v>
      </c>
      <c r="U544" t="str" cm="1">
        <f t="array" ref="U544">_xlfn.IFS(student_scores[[#This Row],[absence_days]]=0,"0", student_scores[[#This Row],[absence_days]]&lt;=3,"1-3", student_scores[[#This Row],[absence_days]]&lt;=6,"4-6", TRUE,"7-10")</f>
        <v>0</v>
      </c>
      <c r="V544" t="str">
        <f>IF(student_scores[[#This Row],[Total_Score]] &gt;= _xlfn.PERCENTILE.INC(student_scores[Total_Score], 0.8), "Yes", "No")</f>
        <v>No</v>
      </c>
    </row>
    <row r="545" spans="1:22" x14ac:dyDescent="0.35">
      <c r="A545">
        <v>544</v>
      </c>
      <c r="B545" t="s">
        <v>527</v>
      </c>
      <c r="C545" t="s">
        <v>1153</v>
      </c>
      <c r="D545" t="s">
        <v>1154</v>
      </c>
      <c r="E545" t="s">
        <v>25</v>
      </c>
      <c r="F545" t="b">
        <v>0</v>
      </c>
      <c r="G545">
        <v>9</v>
      </c>
      <c r="H545" t="b">
        <v>0</v>
      </c>
      <c r="I545">
        <v>3</v>
      </c>
      <c r="J545" t="s">
        <v>64</v>
      </c>
      <c r="K545">
        <v>94</v>
      </c>
      <c r="L545">
        <v>92</v>
      </c>
      <c r="M545">
        <v>63</v>
      </c>
      <c r="N545">
        <v>84</v>
      </c>
      <c r="O545">
        <v>79</v>
      </c>
      <c r="P545">
        <v>66</v>
      </c>
      <c r="Q545">
        <v>96</v>
      </c>
      <c r="R545">
        <f>SUM(student_scores[[#This Row],[math_score]:[geography_score]])</f>
        <v>574</v>
      </c>
      <c r="S545" s="3">
        <f>student_scores[[#This Row],[Total_Score]]/7</f>
        <v>82</v>
      </c>
      <c r="T545" s="3" t="str" cm="1">
        <f t="array" ref="T545">_xlfn.IFS(student_scores[[#This Row],[weekly_self_study_hours]]&lt;=5,   "0 - 5", student_scores[[#This Row],[weekly_self_study_hours]]&lt;=10,  "6 - 10", student_scores[[#This Row],[weekly_self_study_hours]]&lt;=20,  "11 - 20",student_scores[[#This Row],[weekly_self_study_hours]]&lt;=30, "21 - 30",TRUE, "31+")</f>
        <v>0 - 5</v>
      </c>
      <c r="U545" t="str" cm="1">
        <f t="array" ref="U545">_xlfn.IFS(student_scores[[#This Row],[absence_days]]=0,"0", student_scores[[#This Row],[absence_days]]&lt;=3,"1-3", student_scores[[#This Row],[absence_days]]&lt;=6,"4-6", TRUE,"7-10")</f>
        <v>7-10</v>
      </c>
      <c r="V545" t="str">
        <f>IF(student_scores[[#This Row],[Total_Score]] &gt;= _xlfn.PERCENTILE.INC(student_scores[Total_Score], 0.8), "Yes", "No")</f>
        <v>No</v>
      </c>
    </row>
    <row r="546" spans="1:22" x14ac:dyDescent="0.35">
      <c r="A546">
        <v>545</v>
      </c>
      <c r="B546" t="s">
        <v>534</v>
      </c>
      <c r="C546" t="s">
        <v>712</v>
      </c>
      <c r="D546" t="s">
        <v>1155</v>
      </c>
      <c r="E546" t="s">
        <v>25</v>
      </c>
      <c r="F546" t="b">
        <v>1</v>
      </c>
      <c r="G546">
        <v>3</v>
      </c>
      <c r="H546" t="b">
        <v>0</v>
      </c>
      <c r="I546">
        <v>47</v>
      </c>
      <c r="J546" t="s">
        <v>26</v>
      </c>
      <c r="K546">
        <v>94</v>
      </c>
      <c r="L546">
        <v>87</v>
      </c>
      <c r="M546">
        <v>98</v>
      </c>
      <c r="N546">
        <v>90</v>
      </c>
      <c r="O546">
        <v>92</v>
      </c>
      <c r="P546">
        <v>88</v>
      </c>
      <c r="Q546">
        <v>100</v>
      </c>
      <c r="R546">
        <f>SUM(student_scores[[#This Row],[math_score]:[geography_score]])</f>
        <v>649</v>
      </c>
      <c r="S546" s="3">
        <f>student_scores[[#This Row],[Total_Score]]/7</f>
        <v>92.714285714285708</v>
      </c>
      <c r="T546" s="3" t="str" cm="1">
        <f t="array" ref="T546">_xlfn.IFS(student_scores[[#This Row],[weekly_self_study_hours]]&lt;=5,   "0 - 5", student_scores[[#This Row],[weekly_self_study_hours]]&lt;=10,  "6 - 10", student_scores[[#This Row],[weekly_self_study_hours]]&lt;=20,  "11 - 20",student_scores[[#This Row],[weekly_self_study_hours]]&lt;=30, "21 - 30",TRUE, "31+")</f>
        <v>31+</v>
      </c>
      <c r="U546" t="str" cm="1">
        <f t="array" ref="U546">_xlfn.IFS(student_scores[[#This Row],[absence_days]]=0,"0", student_scores[[#This Row],[absence_days]]&lt;=3,"1-3", student_scores[[#This Row],[absence_days]]&lt;=6,"4-6", TRUE,"7-10")</f>
        <v>1-3</v>
      </c>
      <c r="V546" t="str">
        <f>IF(student_scores[[#This Row],[Total_Score]] &gt;= _xlfn.PERCENTILE.INC(student_scores[Total_Score], 0.8), "Yes", "No")</f>
        <v>Yes</v>
      </c>
    </row>
    <row r="547" spans="1:22" x14ac:dyDescent="0.35">
      <c r="A547">
        <v>546</v>
      </c>
      <c r="B547" t="s">
        <v>348</v>
      </c>
      <c r="C547" t="s">
        <v>300</v>
      </c>
      <c r="D547" t="s">
        <v>1156</v>
      </c>
      <c r="E547" t="s">
        <v>20</v>
      </c>
      <c r="F547" t="b">
        <v>0</v>
      </c>
      <c r="G547">
        <v>0</v>
      </c>
      <c r="H547" t="b">
        <v>0</v>
      </c>
      <c r="I547">
        <v>29</v>
      </c>
      <c r="J547" t="s">
        <v>21</v>
      </c>
      <c r="K547">
        <v>98</v>
      </c>
      <c r="L547">
        <v>87</v>
      </c>
      <c r="M547">
        <v>75</v>
      </c>
      <c r="N547">
        <v>63</v>
      </c>
      <c r="O547">
        <v>85</v>
      </c>
      <c r="P547">
        <v>88</v>
      </c>
      <c r="Q547">
        <v>75</v>
      </c>
      <c r="R547">
        <f>SUM(student_scores[[#This Row],[math_score]:[geography_score]])</f>
        <v>571</v>
      </c>
      <c r="S547" s="3">
        <f>student_scores[[#This Row],[Total_Score]]/7</f>
        <v>81.571428571428569</v>
      </c>
      <c r="T547" s="3" t="str" cm="1">
        <f t="array" ref="T547">_xlfn.IFS(student_scores[[#This Row],[weekly_self_study_hours]]&lt;=5,   "0 - 5", student_scores[[#This Row],[weekly_self_study_hours]]&lt;=10,  "6 - 10", student_scores[[#This Row],[weekly_self_study_hours]]&lt;=20,  "11 - 20",student_scores[[#This Row],[weekly_self_study_hours]]&lt;=30, "21 - 30",TRUE, "31+")</f>
        <v>21 - 30</v>
      </c>
      <c r="U547" t="str" cm="1">
        <f t="array" ref="U547">_xlfn.IFS(student_scores[[#This Row],[absence_days]]=0,"0", student_scores[[#This Row],[absence_days]]&lt;=3,"1-3", student_scores[[#This Row],[absence_days]]&lt;=6,"4-6", TRUE,"7-10")</f>
        <v>0</v>
      </c>
      <c r="V547" t="str">
        <f>IF(student_scores[[#This Row],[Total_Score]] &gt;= _xlfn.PERCENTILE.INC(student_scores[Total_Score], 0.8), "Yes", "No")</f>
        <v>No</v>
      </c>
    </row>
    <row r="548" spans="1:22" x14ac:dyDescent="0.35">
      <c r="A548">
        <v>547</v>
      </c>
      <c r="B548" t="s">
        <v>631</v>
      </c>
      <c r="C548" t="s">
        <v>460</v>
      </c>
      <c r="D548" t="s">
        <v>1157</v>
      </c>
      <c r="E548" t="s">
        <v>25</v>
      </c>
      <c r="F548" t="b">
        <v>0</v>
      </c>
      <c r="G548">
        <v>10</v>
      </c>
      <c r="H548" t="b">
        <v>0</v>
      </c>
      <c r="I548">
        <v>5</v>
      </c>
      <c r="J548" t="s">
        <v>64</v>
      </c>
      <c r="K548">
        <v>100</v>
      </c>
      <c r="L548">
        <v>58</v>
      </c>
      <c r="M548">
        <v>54</v>
      </c>
      <c r="N548">
        <v>97</v>
      </c>
      <c r="O548">
        <v>58</v>
      </c>
      <c r="P548">
        <v>51</v>
      </c>
      <c r="Q548">
        <v>80</v>
      </c>
      <c r="R548">
        <f>SUM(student_scores[[#This Row],[math_score]:[geography_score]])</f>
        <v>498</v>
      </c>
      <c r="S548" s="3">
        <f>student_scores[[#This Row],[Total_Score]]/7</f>
        <v>71.142857142857139</v>
      </c>
      <c r="T548" s="3" t="str" cm="1">
        <f t="array" ref="T548">_xlfn.IFS(student_scores[[#This Row],[weekly_self_study_hours]]&lt;=5,   "0 - 5", student_scores[[#This Row],[weekly_self_study_hours]]&lt;=10,  "6 - 10", student_scores[[#This Row],[weekly_self_study_hours]]&lt;=20,  "11 - 20",student_scores[[#This Row],[weekly_self_study_hours]]&lt;=30, "21 - 30",TRUE, "31+")</f>
        <v>0 - 5</v>
      </c>
      <c r="U548" t="str" cm="1">
        <f t="array" ref="U548">_xlfn.IFS(student_scores[[#This Row],[absence_days]]=0,"0", student_scores[[#This Row],[absence_days]]&lt;=3,"1-3", student_scores[[#This Row],[absence_days]]&lt;=6,"4-6", TRUE,"7-10")</f>
        <v>7-10</v>
      </c>
      <c r="V548" t="str">
        <f>IF(student_scores[[#This Row],[Total_Score]] &gt;= _xlfn.PERCENTILE.INC(student_scores[Total_Score], 0.8), "Yes", "No")</f>
        <v>No</v>
      </c>
    </row>
    <row r="549" spans="1:22" x14ac:dyDescent="0.35">
      <c r="A549">
        <v>548</v>
      </c>
      <c r="B549" t="s">
        <v>145</v>
      </c>
      <c r="C549" t="s">
        <v>457</v>
      </c>
      <c r="D549" t="s">
        <v>1158</v>
      </c>
      <c r="E549" t="s">
        <v>20</v>
      </c>
      <c r="F549" t="b">
        <v>0</v>
      </c>
      <c r="G549">
        <v>3</v>
      </c>
      <c r="H549" t="b">
        <v>1</v>
      </c>
      <c r="I549">
        <v>12</v>
      </c>
      <c r="J549" t="s">
        <v>123</v>
      </c>
      <c r="K549">
        <v>66</v>
      </c>
      <c r="L549">
        <v>89</v>
      </c>
      <c r="M549">
        <v>65</v>
      </c>
      <c r="N549">
        <v>99</v>
      </c>
      <c r="O549">
        <v>84</v>
      </c>
      <c r="P549">
        <v>84</v>
      </c>
      <c r="Q549">
        <v>86</v>
      </c>
      <c r="R549">
        <f>SUM(student_scores[[#This Row],[math_score]:[geography_score]])</f>
        <v>573</v>
      </c>
      <c r="S549" s="3">
        <f>student_scores[[#This Row],[Total_Score]]/7</f>
        <v>81.857142857142861</v>
      </c>
      <c r="T549" s="3" t="str" cm="1">
        <f t="array" ref="T549">_xlfn.IFS(student_scores[[#This Row],[weekly_self_study_hours]]&lt;=5,   "0 - 5", student_scores[[#This Row],[weekly_self_study_hours]]&lt;=10,  "6 - 10", student_scores[[#This Row],[weekly_self_study_hours]]&lt;=20,  "11 - 20",student_scores[[#This Row],[weekly_self_study_hours]]&lt;=30, "21 - 30",TRUE, "31+")</f>
        <v>11 - 20</v>
      </c>
      <c r="U549" t="str" cm="1">
        <f t="array" ref="U549">_xlfn.IFS(student_scores[[#This Row],[absence_days]]=0,"0", student_scores[[#This Row],[absence_days]]&lt;=3,"1-3", student_scores[[#This Row],[absence_days]]&lt;=6,"4-6", TRUE,"7-10")</f>
        <v>1-3</v>
      </c>
      <c r="V549" t="str">
        <f>IF(student_scores[[#This Row],[Total_Score]] &gt;= _xlfn.PERCENTILE.INC(student_scores[Total_Score], 0.8), "Yes", "No")</f>
        <v>No</v>
      </c>
    </row>
    <row r="550" spans="1:22" x14ac:dyDescent="0.35">
      <c r="A550">
        <v>549</v>
      </c>
      <c r="B550" t="s">
        <v>214</v>
      </c>
      <c r="C550" t="s">
        <v>1159</v>
      </c>
      <c r="D550" t="s">
        <v>1160</v>
      </c>
      <c r="E550" t="s">
        <v>20</v>
      </c>
      <c r="F550" t="b">
        <v>0</v>
      </c>
      <c r="G550">
        <v>2</v>
      </c>
      <c r="H550" t="b">
        <v>0</v>
      </c>
      <c r="I550">
        <v>35</v>
      </c>
      <c r="J550" t="s">
        <v>26</v>
      </c>
      <c r="K550">
        <v>94</v>
      </c>
      <c r="L550">
        <v>99</v>
      </c>
      <c r="M550">
        <v>97</v>
      </c>
      <c r="N550">
        <v>94</v>
      </c>
      <c r="O550">
        <v>85</v>
      </c>
      <c r="P550">
        <v>97</v>
      </c>
      <c r="Q550">
        <v>97</v>
      </c>
      <c r="R550">
        <f>SUM(student_scores[[#This Row],[math_score]:[geography_score]])</f>
        <v>663</v>
      </c>
      <c r="S550" s="3">
        <f>student_scores[[#This Row],[Total_Score]]/7</f>
        <v>94.714285714285708</v>
      </c>
      <c r="T550" s="3" t="str" cm="1">
        <f t="array" ref="T550">_xlfn.IFS(student_scores[[#This Row],[weekly_self_study_hours]]&lt;=5,   "0 - 5", student_scores[[#This Row],[weekly_self_study_hours]]&lt;=10,  "6 - 10", student_scores[[#This Row],[weekly_self_study_hours]]&lt;=20,  "11 - 20",student_scores[[#This Row],[weekly_self_study_hours]]&lt;=30, "21 - 30",TRUE, "31+")</f>
        <v>31+</v>
      </c>
      <c r="U550" t="str" cm="1">
        <f t="array" ref="U550">_xlfn.IFS(student_scores[[#This Row],[absence_days]]=0,"0", student_scores[[#This Row],[absence_days]]&lt;=3,"1-3", student_scores[[#This Row],[absence_days]]&lt;=6,"4-6", TRUE,"7-10")</f>
        <v>1-3</v>
      </c>
      <c r="V550" t="str">
        <f>IF(student_scores[[#This Row],[Total_Score]] &gt;= _xlfn.PERCENTILE.INC(student_scores[Total_Score], 0.8), "Yes", "No")</f>
        <v>Yes</v>
      </c>
    </row>
    <row r="551" spans="1:22" x14ac:dyDescent="0.35">
      <c r="A551">
        <v>550</v>
      </c>
      <c r="B551" t="s">
        <v>1161</v>
      </c>
      <c r="C551" t="s">
        <v>525</v>
      </c>
      <c r="D551" t="s">
        <v>1162</v>
      </c>
      <c r="E551" t="s">
        <v>25</v>
      </c>
      <c r="F551" t="b">
        <v>1</v>
      </c>
      <c r="G551">
        <v>0</v>
      </c>
      <c r="H551" t="b">
        <v>0</v>
      </c>
      <c r="I551">
        <v>3</v>
      </c>
      <c r="J551" t="s">
        <v>159</v>
      </c>
      <c r="K551">
        <v>83</v>
      </c>
      <c r="L551">
        <v>90</v>
      </c>
      <c r="M551">
        <v>93</v>
      </c>
      <c r="N551">
        <v>89</v>
      </c>
      <c r="O551">
        <v>64</v>
      </c>
      <c r="P551">
        <v>63</v>
      </c>
      <c r="Q551">
        <v>82</v>
      </c>
      <c r="R551">
        <f>SUM(student_scores[[#This Row],[math_score]:[geography_score]])</f>
        <v>564</v>
      </c>
      <c r="S551" s="3">
        <f>student_scores[[#This Row],[Total_Score]]/7</f>
        <v>80.571428571428569</v>
      </c>
      <c r="T551" s="3" t="str" cm="1">
        <f t="array" ref="T551">_xlfn.IFS(student_scores[[#This Row],[weekly_self_study_hours]]&lt;=5,   "0 - 5", student_scores[[#This Row],[weekly_self_study_hours]]&lt;=10,  "6 - 10", student_scores[[#This Row],[weekly_self_study_hours]]&lt;=20,  "11 - 20",student_scores[[#This Row],[weekly_self_study_hours]]&lt;=30, "21 - 30",TRUE, "31+")</f>
        <v>0 - 5</v>
      </c>
      <c r="U551" t="str" cm="1">
        <f t="array" ref="U551">_xlfn.IFS(student_scores[[#This Row],[absence_days]]=0,"0", student_scores[[#This Row],[absence_days]]&lt;=3,"1-3", student_scores[[#This Row],[absence_days]]&lt;=6,"4-6", TRUE,"7-10")</f>
        <v>0</v>
      </c>
      <c r="V551" t="str">
        <f>IF(student_scores[[#This Row],[Total_Score]] &gt;= _xlfn.PERCENTILE.INC(student_scores[Total_Score], 0.8), "Yes", "No")</f>
        <v>No</v>
      </c>
    </row>
    <row r="552" spans="1:22" x14ac:dyDescent="0.35">
      <c r="A552">
        <v>551</v>
      </c>
      <c r="B552" t="s">
        <v>1163</v>
      </c>
      <c r="C552" t="s">
        <v>167</v>
      </c>
      <c r="D552" t="s">
        <v>1164</v>
      </c>
      <c r="E552" t="s">
        <v>20</v>
      </c>
      <c r="F552" t="b">
        <v>1</v>
      </c>
      <c r="G552">
        <v>8</v>
      </c>
      <c r="H552" t="b">
        <v>0</v>
      </c>
      <c r="I552">
        <v>2</v>
      </c>
      <c r="J552" t="s">
        <v>64</v>
      </c>
      <c r="K552">
        <v>92</v>
      </c>
      <c r="L552">
        <v>54</v>
      </c>
      <c r="M552">
        <v>50</v>
      </c>
      <c r="N552">
        <v>88</v>
      </c>
      <c r="O552">
        <v>90</v>
      </c>
      <c r="P552">
        <v>91</v>
      </c>
      <c r="Q552">
        <v>95</v>
      </c>
      <c r="R552">
        <f>SUM(student_scores[[#This Row],[math_score]:[geography_score]])</f>
        <v>560</v>
      </c>
      <c r="S552" s="3">
        <f>student_scores[[#This Row],[Total_Score]]/7</f>
        <v>80</v>
      </c>
      <c r="T552" s="3" t="str" cm="1">
        <f t="array" ref="T552">_xlfn.IFS(student_scores[[#This Row],[weekly_self_study_hours]]&lt;=5,   "0 - 5", student_scores[[#This Row],[weekly_self_study_hours]]&lt;=10,  "6 - 10", student_scores[[#This Row],[weekly_self_study_hours]]&lt;=20,  "11 - 20",student_scores[[#This Row],[weekly_self_study_hours]]&lt;=30, "21 - 30",TRUE, "31+")</f>
        <v>0 - 5</v>
      </c>
      <c r="U552" t="str" cm="1">
        <f t="array" ref="U552">_xlfn.IFS(student_scores[[#This Row],[absence_days]]=0,"0", student_scores[[#This Row],[absence_days]]&lt;=3,"1-3", student_scores[[#This Row],[absence_days]]&lt;=6,"4-6", TRUE,"7-10")</f>
        <v>7-10</v>
      </c>
      <c r="V552" t="str">
        <f>IF(student_scores[[#This Row],[Total_Score]] &gt;= _xlfn.PERCENTILE.INC(student_scores[Total_Score], 0.8), "Yes", "No")</f>
        <v>No</v>
      </c>
    </row>
    <row r="553" spans="1:22" x14ac:dyDescent="0.35">
      <c r="A553">
        <v>552</v>
      </c>
      <c r="B553" t="s">
        <v>17</v>
      </c>
      <c r="C553" t="s">
        <v>1165</v>
      </c>
      <c r="D553" t="s">
        <v>1166</v>
      </c>
      <c r="E553" t="s">
        <v>20</v>
      </c>
      <c r="F553" t="b">
        <v>0</v>
      </c>
      <c r="G553">
        <v>10</v>
      </c>
      <c r="H553" t="b">
        <v>0</v>
      </c>
      <c r="I553">
        <v>35</v>
      </c>
      <c r="J553" t="s">
        <v>44</v>
      </c>
      <c r="K553">
        <v>93</v>
      </c>
      <c r="L553">
        <v>100</v>
      </c>
      <c r="M553">
        <v>90</v>
      </c>
      <c r="N553">
        <v>94</v>
      </c>
      <c r="O553">
        <v>97</v>
      </c>
      <c r="P553">
        <v>98</v>
      </c>
      <c r="Q553">
        <v>98</v>
      </c>
      <c r="R553">
        <f>SUM(student_scores[[#This Row],[math_score]:[geography_score]])</f>
        <v>670</v>
      </c>
      <c r="S553" s="3">
        <f>student_scores[[#This Row],[Total_Score]]/7</f>
        <v>95.714285714285708</v>
      </c>
      <c r="T553" s="3" t="str" cm="1">
        <f t="array" ref="T553">_xlfn.IFS(student_scores[[#This Row],[weekly_self_study_hours]]&lt;=5,   "0 - 5", student_scores[[#This Row],[weekly_self_study_hours]]&lt;=10,  "6 - 10", student_scores[[#This Row],[weekly_self_study_hours]]&lt;=20,  "11 - 20",student_scores[[#This Row],[weekly_self_study_hours]]&lt;=30, "21 - 30",TRUE, "31+")</f>
        <v>31+</v>
      </c>
      <c r="U553" t="str" cm="1">
        <f t="array" ref="U553">_xlfn.IFS(student_scores[[#This Row],[absence_days]]=0,"0", student_scores[[#This Row],[absence_days]]&lt;=3,"1-3", student_scores[[#This Row],[absence_days]]&lt;=6,"4-6", TRUE,"7-10")</f>
        <v>7-10</v>
      </c>
      <c r="V553" t="str">
        <f>IF(student_scores[[#This Row],[Total_Score]] &gt;= _xlfn.PERCENTILE.INC(student_scores[Total_Score], 0.8), "Yes", "No")</f>
        <v>Yes</v>
      </c>
    </row>
    <row r="554" spans="1:22" x14ac:dyDescent="0.35">
      <c r="A554">
        <v>553</v>
      </c>
      <c r="B554" t="s">
        <v>1167</v>
      </c>
      <c r="C554" t="s">
        <v>1007</v>
      </c>
      <c r="D554" t="s">
        <v>1168</v>
      </c>
      <c r="E554" t="s">
        <v>20</v>
      </c>
      <c r="F554" t="b">
        <v>1</v>
      </c>
      <c r="G554">
        <v>1</v>
      </c>
      <c r="H554" t="b">
        <v>0</v>
      </c>
      <c r="I554">
        <v>7</v>
      </c>
      <c r="J554" t="s">
        <v>30</v>
      </c>
      <c r="K554">
        <v>69</v>
      </c>
      <c r="L554">
        <v>92</v>
      </c>
      <c r="M554">
        <v>84</v>
      </c>
      <c r="N554">
        <v>98</v>
      </c>
      <c r="O554">
        <v>98</v>
      </c>
      <c r="P554">
        <v>83</v>
      </c>
      <c r="Q554">
        <v>87</v>
      </c>
      <c r="R554">
        <f>SUM(student_scores[[#This Row],[math_score]:[geography_score]])</f>
        <v>611</v>
      </c>
      <c r="S554" s="3">
        <f>student_scores[[#This Row],[Total_Score]]/7</f>
        <v>87.285714285714292</v>
      </c>
      <c r="T554" s="3" t="str" cm="1">
        <f t="array" ref="T554">_xlfn.IFS(student_scores[[#This Row],[weekly_self_study_hours]]&lt;=5,   "0 - 5", student_scores[[#This Row],[weekly_self_study_hours]]&lt;=10,  "6 - 10", student_scores[[#This Row],[weekly_self_study_hours]]&lt;=20,  "11 - 20",student_scores[[#This Row],[weekly_self_study_hours]]&lt;=30, "21 - 30",TRUE, "31+")</f>
        <v>6 - 10</v>
      </c>
      <c r="U554" t="str" cm="1">
        <f t="array" ref="U554">_xlfn.IFS(student_scores[[#This Row],[absence_days]]=0,"0", student_scores[[#This Row],[absence_days]]&lt;=3,"1-3", student_scores[[#This Row],[absence_days]]&lt;=6,"4-6", TRUE,"7-10")</f>
        <v>1-3</v>
      </c>
      <c r="V554" t="str">
        <f>IF(student_scores[[#This Row],[Total_Score]] &gt;= _xlfn.PERCENTILE.INC(student_scores[Total_Score], 0.8), "Yes", "No")</f>
        <v>Yes</v>
      </c>
    </row>
    <row r="555" spans="1:22" x14ac:dyDescent="0.35">
      <c r="A555">
        <v>554</v>
      </c>
      <c r="B555" t="s">
        <v>787</v>
      </c>
      <c r="C555" t="s">
        <v>164</v>
      </c>
      <c r="D555" t="s">
        <v>1169</v>
      </c>
      <c r="E555" t="s">
        <v>25</v>
      </c>
      <c r="F555" t="b">
        <v>0</v>
      </c>
      <c r="G555">
        <v>4</v>
      </c>
      <c r="H555" t="b">
        <v>0</v>
      </c>
      <c r="I555">
        <v>15</v>
      </c>
      <c r="J555" t="s">
        <v>44</v>
      </c>
      <c r="K555">
        <v>94</v>
      </c>
      <c r="L555">
        <v>71</v>
      </c>
      <c r="M555">
        <v>63</v>
      </c>
      <c r="N555">
        <v>73</v>
      </c>
      <c r="O555">
        <v>66</v>
      </c>
      <c r="P555">
        <v>90</v>
      </c>
      <c r="Q555">
        <v>91</v>
      </c>
      <c r="R555">
        <f>SUM(student_scores[[#This Row],[math_score]:[geography_score]])</f>
        <v>548</v>
      </c>
      <c r="S555" s="3">
        <f>student_scores[[#This Row],[Total_Score]]/7</f>
        <v>78.285714285714292</v>
      </c>
      <c r="T555" s="3" t="str" cm="1">
        <f t="array" ref="T555">_xlfn.IFS(student_scores[[#This Row],[weekly_self_study_hours]]&lt;=5,   "0 - 5", student_scores[[#This Row],[weekly_self_study_hours]]&lt;=10,  "6 - 10", student_scores[[#This Row],[weekly_self_study_hours]]&lt;=20,  "11 - 20",student_scores[[#This Row],[weekly_self_study_hours]]&lt;=30, "21 - 30",TRUE, "31+")</f>
        <v>11 - 20</v>
      </c>
      <c r="U555" t="str" cm="1">
        <f t="array" ref="U555">_xlfn.IFS(student_scores[[#This Row],[absence_days]]=0,"0", student_scores[[#This Row],[absence_days]]&lt;=3,"1-3", student_scores[[#This Row],[absence_days]]&lt;=6,"4-6", TRUE,"7-10")</f>
        <v>4-6</v>
      </c>
      <c r="V555" t="str">
        <f>IF(student_scores[[#This Row],[Total_Score]] &gt;= _xlfn.PERCENTILE.INC(student_scores[Total_Score], 0.8), "Yes", "No")</f>
        <v>No</v>
      </c>
    </row>
    <row r="556" spans="1:22" x14ac:dyDescent="0.35">
      <c r="A556">
        <v>555</v>
      </c>
      <c r="B556" t="s">
        <v>251</v>
      </c>
      <c r="C556" t="s">
        <v>32</v>
      </c>
      <c r="D556" t="s">
        <v>1170</v>
      </c>
      <c r="E556" t="s">
        <v>25</v>
      </c>
      <c r="F556" t="b">
        <v>0</v>
      </c>
      <c r="G556">
        <v>1</v>
      </c>
      <c r="H556" t="b">
        <v>0</v>
      </c>
      <c r="I556">
        <v>3</v>
      </c>
      <c r="J556" t="s">
        <v>172</v>
      </c>
      <c r="K556">
        <v>100</v>
      </c>
      <c r="L556">
        <v>92</v>
      </c>
      <c r="M556">
        <v>95</v>
      </c>
      <c r="N556">
        <v>90</v>
      </c>
      <c r="O556">
        <v>67</v>
      </c>
      <c r="P556">
        <v>81</v>
      </c>
      <c r="Q556">
        <v>66</v>
      </c>
      <c r="R556">
        <f>SUM(student_scores[[#This Row],[math_score]:[geography_score]])</f>
        <v>591</v>
      </c>
      <c r="S556" s="3">
        <f>student_scores[[#This Row],[Total_Score]]/7</f>
        <v>84.428571428571431</v>
      </c>
      <c r="T556" s="3" t="str" cm="1">
        <f t="array" ref="T556">_xlfn.IFS(student_scores[[#This Row],[weekly_self_study_hours]]&lt;=5,   "0 - 5", student_scores[[#This Row],[weekly_self_study_hours]]&lt;=10,  "6 - 10", student_scores[[#This Row],[weekly_self_study_hours]]&lt;=20,  "11 - 20",student_scores[[#This Row],[weekly_self_study_hours]]&lt;=30, "21 - 30",TRUE, "31+")</f>
        <v>0 - 5</v>
      </c>
      <c r="U556" t="str" cm="1">
        <f t="array" ref="U556">_xlfn.IFS(student_scores[[#This Row],[absence_days]]=0,"0", student_scores[[#This Row],[absence_days]]&lt;=3,"1-3", student_scores[[#This Row],[absence_days]]&lt;=6,"4-6", TRUE,"7-10")</f>
        <v>1-3</v>
      </c>
      <c r="V556" t="str">
        <f>IF(student_scores[[#This Row],[Total_Score]] &gt;= _xlfn.PERCENTILE.INC(student_scores[Total_Score], 0.8), "Yes", "No")</f>
        <v>No</v>
      </c>
    </row>
    <row r="557" spans="1:22" x14ac:dyDescent="0.35">
      <c r="A557">
        <v>556</v>
      </c>
      <c r="B557" t="s">
        <v>1171</v>
      </c>
      <c r="C557" t="s">
        <v>612</v>
      </c>
      <c r="D557" t="s">
        <v>1172</v>
      </c>
      <c r="E557" t="s">
        <v>20</v>
      </c>
      <c r="F557" t="b">
        <v>0</v>
      </c>
      <c r="G557">
        <v>2</v>
      </c>
      <c r="H557" t="b">
        <v>0</v>
      </c>
      <c r="I557">
        <v>35</v>
      </c>
      <c r="J557" t="s">
        <v>38</v>
      </c>
      <c r="K557">
        <v>96</v>
      </c>
      <c r="L557">
        <v>92</v>
      </c>
      <c r="M557">
        <v>98</v>
      </c>
      <c r="N557">
        <v>100</v>
      </c>
      <c r="O557">
        <v>94</v>
      </c>
      <c r="P557">
        <v>93</v>
      </c>
      <c r="Q557">
        <v>86</v>
      </c>
      <c r="R557">
        <f>SUM(student_scores[[#This Row],[math_score]:[geography_score]])</f>
        <v>659</v>
      </c>
      <c r="S557" s="3">
        <f>student_scores[[#This Row],[Total_Score]]/7</f>
        <v>94.142857142857139</v>
      </c>
      <c r="T557" s="3" t="str" cm="1">
        <f t="array" ref="T557">_xlfn.IFS(student_scores[[#This Row],[weekly_self_study_hours]]&lt;=5,   "0 - 5", student_scores[[#This Row],[weekly_self_study_hours]]&lt;=10,  "6 - 10", student_scores[[#This Row],[weekly_self_study_hours]]&lt;=20,  "11 - 20",student_scores[[#This Row],[weekly_self_study_hours]]&lt;=30, "21 - 30",TRUE, "31+")</f>
        <v>31+</v>
      </c>
      <c r="U557" t="str" cm="1">
        <f t="array" ref="U557">_xlfn.IFS(student_scores[[#This Row],[absence_days]]=0,"0", student_scores[[#This Row],[absence_days]]&lt;=3,"1-3", student_scores[[#This Row],[absence_days]]&lt;=6,"4-6", TRUE,"7-10")</f>
        <v>1-3</v>
      </c>
      <c r="V557" t="str">
        <f>IF(student_scores[[#This Row],[Total_Score]] &gt;= _xlfn.PERCENTILE.INC(student_scores[Total_Score], 0.8), "Yes", "No")</f>
        <v>Yes</v>
      </c>
    </row>
    <row r="558" spans="1:22" x14ac:dyDescent="0.35">
      <c r="A558">
        <v>557</v>
      </c>
      <c r="B558" t="s">
        <v>263</v>
      </c>
      <c r="C558" t="s">
        <v>1173</v>
      </c>
      <c r="D558" t="s">
        <v>1174</v>
      </c>
      <c r="E558" t="s">
        <v>20</v>
      </c>
      <c r="F558" t="b">
        <v>0</v>
      </c>
      <c r="G558">
        <v>3</v>
      </c>
      <c r="H558" t="b">
        <v>1</v>
      </c>
      <c r="I558">
        <v>28</v>
      </c>
      <c r="J558" t="s">
        <v>21</v>
      </c>
      <c r="K558">
        <v>76</v>
      </c>
      <c r="L558">
        <v>87</v>
      </c>
      <c r="M558">
        <v>99</v>
      </c>
      <c r="N558">
        <v>69</v>
      </c>
      <c r="O558">
        <v>89</v>
      </c>
      <c r="P558">
        <v>93</v>
      </c>
      <c r="Q558">
        <v>85</v>
      </c>
      <c r="R558">
        <f>SUM(student_scores[[#This Row],[math_score]:[geography_score]])</f>
        <v>598</v>
      </c>
      <c r="S558" s="3">
        <f>student_scores[[#This Row],[Total_Score]]/7</f>
        <v>85.428571428571431</v>
      </c>
      <c r="T558" s="3" t="str" cm="1">
        <f t="array" ref="T558">_xlfn.IFS(student_scores[[#This Row],[weekly_self_study_hours]]&lt;=5,   "0 - 5", student_scores[[#This Row],[weekly_self_study_hours]]&lt;=10,  "6 - 10", student_scores[[#This Row],[weekly_self_study_hours]]&lt;=20,  "11 - 20",student_scores[[#This Row],[weekly_self_study_hours]]&lt;=30, "21 - 30",TRUE, "31+")</f>
        <v>21 - 30</v>
      </c>
      <c r="U558" t="str" cm="1">
        <f t="array" ref="U558">_xlfn.IFS(student_scores[[#This Row],[absence_days]]=0,"0", student_scores[[#This Row],[absence_days]]&lt;=3,"1-3", student_scores[[#This Row],[absence_days]]&lt;=6,"4-6", TRUE,"7-10")</f>
        <v>1-3</v>
      </c>
      <c r="V558" t="str">
        <f>IF(student_scores[[#This Row],[Total_Score]] &gt;= _xlfn.PERCENTILE.INC(student_scores[Total_Score], 0.8), "Yes", "No")</f>
        <v>No</v>
      </c>
    </row>
    <row r="559" spans="1:22" x14ac:dyDescent="0.35">
      <c r="A559">
        <v>558</v>
      </c>
      <c r="B559" t="s">
        <v>420</v>
      </c>
      <c r="C559" t="s">
        <v>1175</v>
      </c>
      <c r="D559" t="s">
        <v>1176</v>
      </c>
      <c r="E559" t="s">
        <v>25</v>
      </c>
      <c r="F559" t="b">
        <v>0</v>
      </c>
      <c r="G559">
        <v>9</v>
      </c>
      <c r="H559" t="b">
        <v>0</v>
      </c>
      <c r="I559">
        <v>4</v>
      </c>
      <c r="J559" t="s">
        <v>64</v>
      </c>
      <c r="K559">
        <v>77</v>
      </c>
      <c r="L559">
        <v>62</v>
      </c>
      <c r="M559">
        <v>94</v>
      </c>
      <c r="N559">
        <v>65</v>
      </c>
      <c r="O559">
        <v>77</v>
      </c>
      <c r="P559">
        <v>77</v>
      </c>
      <c r="Q559">
        <v>95</v>
      </c>
      <c r="R559">
        <f>SUM(student_scores[[#This Row],[math_score]:[geography_score]])</f>
        <v>547</v>
      </c>
      <c r="S559" s="3">
        <f>student_scores[[#This Row],[Total_Score]]/7</f>
        <v>78.142857142857139</v>
      </c>
      <c r="T559" s="3" t="str" cm="1">
        <f t="array" ref="T559">_xlfn.IFS(student_scores[[#This Row],[weekly_self_study_hours]]&lt;=5,   "0 - 5", student_scores[[#This Row],[weekly_self_study_hours]]&lt;=10,  "6 - 10", student_scores[[#This Row],[weekly_self_study_hours]]&lt;=20,  "11 - 20",student_scores[[#This Row],[weekly_self_study_hours]]&lt;=30, "21 - 30",TRUE, "31+")</f>
        <v>0 - 5</v>
      </c>
      <c r="U559" t="str" cm="1">
        <f t="array" ref="U559">_xlfn.IFS(student_scores[[#This Row],[absence_days]]=0,"0", student_scores[[#This Row],[absence_days]]&lt;=3,"1-3", student_scores[[#This Row],[absence_days]]&lt;=6,"4-6", TRUE,"7-10")</f>
        <v>7-10</v>
      </c>
      <c r="V559" t="str">
        <f>IF(student_scores[[#This Row],[Total_Score]] &gt;= _xlfn.PERCENTILE.INC(student_scores[Total_Score], 0.8), "Yes", "No")</f>
        <v>No</v>
      </c>
    </row>
    <row r="560" spans="1:22" x14ac:dyDescent="0.35">
      <c r="A560">
        <v>559</v>
      </c>
      <c r="B560" t="s">
        <v>1171</v>
      </c>
      <c r="C560" t="s">
        <v>403</v>
      </c>
      <c r="D560" t="s">
        <v>1177</v>
      </c>
      <c r="E560" t="s">
        <v>20</v>
      </c>
      <c r="F560" t="b">
        <v>0</v>
      </c>
      <c r="G560">
        <v>1</v>
      </c>
      <c r="H560" t="b">
        <v>1</v>
      </c>
      <c r="I560">
        <v>4</v>
      </c>
      <c r="J560" t="s">
        <v>34</v>
      </c>
      <c r="K560">
        <v>84</v>
      </c>
      <c r="L560">
        <v>67</v>
      </c>
      <c r="M560">
        <v>79</v>
      </c>
      <c r="N560">
        <v>60</v>
      </c>
      <c r="O560">
        <v>69</v>
      </c>
      <c r="P560">
        <v>80</v>
      </c>
      <c r="Q560">
        <v>98</v>
      </c>
      <c r="R560">
        <f>SUM(student_scores[[#This Row],[math_score]:[geography_score]])</f>
        <v>537</v>
      </c>
      <c r="S560" s="3">
        <f>student_scores[[#This Row],[Total_Score]]/7</f>
        <v>76.714285714285708</v>
      </c>
      <c r="T560" s="3" t="str" cm="1">
        <f t="array" ref="T560">_xlfn.IFS(student_scores[[#This Row],[weekly_self_study_hours]]&lt;=5,   "0 - 5", student_scores[[#This Row],[weekly_self_study_hours]]&lt;=10,  "6 - 10", student_scores[[#This Row],[weekly_self_study_hours]]&lt;=20,  "11 - 20",student_scores[[#This Row],[weekly_self_study_hours]]&lt;=30, "21 - 30",TRUE, "31+")</f>
        <v>0 - 5</v>
      </c>
      <c r="U560" t="str" cm="1">
        <f t="array" ref="U560">_xlfn.IFS(student_scores[[#This Row],[absence_days]]=0,"0", student_scores[[#This Row],[absence_days]]&lt;=3,"1-3", student_scores[[#This Row],[absence_days]]&lt;=6,"4-6", TRUE,"7-10")</f>
        <v>1-3</v>
      </c>
      <c r="V560" t="str">
        <f>IF(student_scores[[#This Row],[Total_Score]] &gt;= _xlfn.PERCENTILE.INC(student_scores[Total_Score], 0.8), "Yes", "No")</f>
        <v>No</v>
      </c>
    </row>
    <row r="561" spans="1:22" x14ac:dyDescent="0.35">
      <c r="A561">
        <v>560</v>
      </c>
      <c r="B561" t="s">
        <v>1178</v>
      </c>
      <c r="C561" t="s">
        <v>1179</v>
      </c>
      <c r="D561" t="s">
        <v>1180</v>
      </c>
      <c r="E561" t="s">
        <v>20</v>
      </c>
      <c r="F561" t="b">
        <v>0</v>
      </c>
      <c r="G561">
        <v>3</v>
      </c>
      <c r="H561" t="b">
        <v>1</v>
      </c>
      <c r="I561">
        <v>16</v>
      </c>
      <c r="J561" t="s">
        <v>44</v>
      </c>
      <c r="K561">
        <v>95</v>
      </c>
      <c r="L561">
        <v>61</v>
      </c>
      <c r="M561">
        <v>68</v>
      </c>
      <c r="N561">
        <v>75</v>
      </c>
      <c r="O561">
        <v>64</v>
      </c>
      <c r="P561">
        <v>76</v>
      </c>
      <c r="Q561">
        <v>66</v>
      </c>
      <c r="R561">
        <f>SUM(student_scores[[#This Row],[math_score]:[geography_score]])</f>
        <v>505</v>
      </c>
      <c r="S561" s="3">
        <f>student_scores[[#This Row],[Total_Score]]/7</f>
        <v>72.142857142857139</v>
      </c>
      <c r="T561" s="3" t="str" cm="1">
        <f t="array" ref="T561">_xlfn.IFS(student_scores[[#This Row],[weekly_self_study_hours]]&lt;=5,   "0 - 5", student_scores[[#This Row],[weekly_self_study_hours]]&lt;=10,  "6 - 10", student_scores[[#This Row],[weekly_self_study_hours]]&lt;=20,  "11 - 20",student_scores[[#This Row],[weekly_self_study_hours]]&lt;=30, "21 - 30",TRUE, "31+")</f>
        <v>11 - 20</v>
      </c>
      <c r="U561" t="str" cm="1">
        <f t="array" ref="U561">_xlfn.IFS(student_scores[[#This Row],[absence_days]]=0,"0", student_scores[[#This Row],[absence_days]]&lt;=3,"1-3", student_scores[[#This Row],[absence_days]]&lt;=6,"4-6", TRUE,"7-10")</f>
        <v>1-3</v>
      </c>
      <c r="V561" t="str">
        <f>IF(student_scores[[#This Row],[Total_Score]] &gt;= _xlfn.PERCENTILE.INC(student_scores[Total_Score], 0.8), "Yes", "No")</f>
        <v>No</v>
      </c>
    </row>
    <row r="562" spans="1:22" x14ac:dyDescent="0.35">
      <c r="A562">
        <v>561</v>
      </c>
      <c r="B562" t="s">
        <v>145</v>
      </c>
      <c r="C562" t="s">
        <v>1181</v>
      </c>
      <c r="D562" t="s">
        <v>1182</v>
      </c>
      <c r="E562" t="s">
        <v>20</v>
      </c>
      <c r="F562" t="b">
        <v>0</v>
      </c>
      <c r="G562">
        <v>1</v>
      </c>
      <c r="H562" t="b">
        <v>0</v>
      </c>
      <c r="I562">
        <v>26</v>
      </c>
      <c r="J562" t="s">
        <v>113</v>
      </c>
      <c r="K562">
        <v>90</v>
      </c>
      <c r="L562">
        <v>64</v>
      </c>
      <c r="M562">
        <v>94</v>
      </c>
      <c r="N562">
        <v>84</v>
      </c>
      <c r="O562">
        <v>66</v>
      </c>
      <c r="P562">
        <v>61</v>
      </c>
      <c r="Q562">
        <v>72</v>
      </c>
      <c r="R562">
        <f>SUM(student_scores[[#This Row],[math_score]:[geography_score]])</f>
        <v>531</v>
      </c>
      <c r="S562" s="3">
        <f>student_scores[[#This Row],[Total_Score]]/7</f>
        <v>75.857142857142861</v>
      </c>
      <c r="T562" s="3" t="str" cm="1">
        <f t="array" ref="T562">_xlfn.IFS(student_scores[[#This Row],[weekly_self_study_hours]]&lt;=5,   "0 - 5", student_scores[[#This Row],[weekly_self_study_hours]]&lt;=10,  "6 - 10", student_scores[[#This Row],[weekly_self_study_hours]]&lt;=20,  "11 - 20",student_scores[[#This Row],[weekly_self_study_hours]]&lt;=30, "21 - 30",TRUE, "31+")</f>
        <v>21 - 30</v>
      </c>
      <c r="U562" t="str" cm="1">
        <f t="array" ref="U562">_xlfn.IFS(student_scores[[#This Row],[absence_days]]=0,"0", student_scores[[#This Row],[absence_days]]&lt;=3,"1-3", student_scores[[#This Row],[absence_days]]&lt;=6,"4-6", TRUE,"7-10")</f>
        <v>1-3</v>
      </c>
      <c r="V562" t="str">
        <f>IF(student_scores[[#This Row],[Total_Score]] &gt;= _xlfn.PERCENTILE.INC(student_scores[Total_Score], 0.8), "Yes", "No")</f>
        <v>No</v>
      </c>
    </row>
    <row r="563" spans="1:22" x14ac:dyDescent="0.35">
      <c r="A563">
        <v>562</v>
      </c>
      <c r="B563" t="s">
        <v>1183</v>
      </c>
      <c r="C563" t="s">
        <v>103</v>
      </c>
      <c r="D563" t="s">
        <v>1184</v>
      </c>
      <c r="E563" t="s">
        <v>20</v>
      </c>
      <c r="F563" t="b">
        <v>0</v>
      </c>
      <c r="G563">
        <v>3</v>
      </c>
      <c r="H563" t="b">
        <v>0</v>
      </c>
      <c r="I563">
        <v>30</v>
      </c>
      <c r="J563" t="s">
        <v>38</v>
      </c>
      <c r="K563">
        <v>96</v>
      </c>
      <c r="L563">
        <v>89</v>
      </c>
      <c r="M563">
        <v>73</v>
      </c>
      <c r="N563">
        <v>75</v>
      </c>
      <c r="O563">
        <v>99</v>
      </c>
      <c r="P563">
        <v>89</v>
      </c>
      <c r="Q563">
        <v>71</v>
      </c>
      <c r="R563">
        <f>SUM(student_scores[[#This Row],[math_score]:[geography_score]])</f>
        <v>592</v>
      </c>
      <c r="S563" s="3">
        <f>student_scores[[#This Row],[Total_Score]]/7</f>
        <v>84.571428571428569</v>
      </c>
      <c r="T563" s="3" t="str" cm="1">
        <f t="array" ref="T563">_xlfn.IFS(student_scores[[#This Row],[weekly_self_study_hours]]&lt;=5,   "0 - 5", student_scores[[#This Row],[weekly_self_study_hours]]&lt;=10,  "6 - 10", student_scores[[#This Row],[weekly_self_study_hours]]&lt;=20,  "11 - 20",student_scores[[#This Row],[weekly_self_study_hours]]&lt;=30, "21 - 30",TRUE, "31+")</f>
        <v>21 - 30</v>
      </c>
      <c r="U563" t="str" cm="1">
        <f t="array" ref="U563">_xlfn.IFS(student_scores[[#This Row],[absence_days]]=0,"0", student_scores[[#This Row],[absence_days]]&lt;=3,"1-3", student_scores[[#This Row],[absence_days]]&lt;=6,"4-6", TRUE,"7-10")</f>
        <v>1-3</v>
      </c>
      <c r="V563" t="str">
        <f>IF(student_scores[[#This Row],[Total_Score]] &gt;= _xlfn.PERCENTILE.INC(student_scores[Total_Score], 0.8), "Yes", "No")</f>
        <v>No</v>
      </c>
    </row>
    <row r="564" spans="1:22" x14ac:dyDescent="0.35">
      <c r="A564">
        <v>563</v>
      </c>
      <c r="B564" t="s">
        <v>190</v>
      </c>
      <c r="C564" t="s">
        <v>635</v>
      </c>
      <c r="D564" t="s">
        <v>1185</v>
      </c>
      <c r="E564" t="s">
        <v>25</v>
      </c>
      <c r="F564" t="b">
        <v>1</v>
      </c>
      <c r="G564">
        <v>6</v>
      </c>
      <c r="H564" t="b">
        <v>0</v>
      </c>
      <c r="I564">
        <v>2</v>
      </c>
      <c r="J564" t="s">
        <v>64</v>
      </c>
      <c r="K564">
        <v>80</v>
      </c>
      <c r="L564">
        <v>81</v>
      </c>
      <c r="M564">
        <v>92</v>
      </c>
      <c r="N564">
        <v>73</v>
      </c>
      <c r="O564">
        <v>71</v>
      </c>
      <c r="P564">
        <v>71</v>
      </c>
      <c r="Q564">
        <v>84</v>
      </c>
      <c r="R564">
        <f>SUM(student_scores[[#This Row],[math_score]:[geography_score]])</f>
        <v>552</v>
      </c>
      <c r="S564" s="3">
        <f>student_scores[[#This Row],[Total_Score]]/7</f>
        <v>78.857142857142861</v>
      </c>
      <c r="T564" s="3" t="str" cm="1">
        <f t="array" ref="T564">_xlfn.IFS(student_scores[[#This Row],[weekly_self_study_hours]]&lt;=5,   "0 - 5", student_scores[[#This Row],[weekly_self_study_hours]]&lt;=10,  "6 - 10", student_scores[[#This Row],[weekly_self_study_hours]]&lt;=20,  "11 - 20",student_scores[[#This Row],[weekly_self_study_hours]]&lt;=30, "21 - 30",TRUE, "31+")</f>
        <v>0 - 5</v>
      </c>
      <c r="U564" t="str" cm="1">
        <f t="array" ref="U564">_xlfn.IFS(student_scores[[#This Row],[absence_days]]=0,"0", student_scores[[#This Row],[absence_days]]&lt;=3,"1-3", student_scores[[#This Row],[absence_days]]&lt;=6,"4-6", TRUE,"7-10")</f>
        <v>4-6</v>
      </c>
      <c r="V564" t="str">
        <f>IF(student_scores[[#This Row],[Total_Score]] &gt;= _xlfn.PERCENTILE.INC(student_scores[Total_Score], 0.8), "Yes", "No")</f>
        <v>No</v>
      </c>
    </row>
    <row r="565" spans="1:22" x14ac:dyDescent="0.35">
      <c r="A565">
        <v>564</v>
      </c>
      <c r="B565" t="s">
        <v>325</v>
      </c>
      <c r="C565" t="s">
        <v>1186</v>
      </c>
      <c r="D565" t="s">
        <v>1187</v>
      </c>
      <c r="E565" t="s">
        <v>25</v>
      </c>
      <c r="F565" t="b">
        <v>0</v>
      </c>
      <c r="G565">
        <v>2</v>
      </c>
      <c r="H565" t="b">
        <v>0</v>
      </c>
      <c r="I565">
        <v>34</v>
      </c>
      <c r="J565" t="s">
        <v>44</v>
      </c>
      <c r="K565">
        <v>87</v>
      </c>
      <c r="L565">
        <v>83</v>
      </c>
      <c r="M565">
        <v>75</v>
      </c>
      <c r="N565">
        <v>73</v>
      </c>
      <c r="O565">
        <v>92</v>
      </c>
      <c r="P565">
        <v>91</v>
      </c>
      <c r="Q565">
        <v>71</v>
      </c>
      <c r="R565">
        <f>SUM(student_scores[[#This Row],[math_score]:[geography_score]])</f>
        <v>572</v>
      </c>
      <c r="S565" s="3">
        <f>student_scores[[#This Row],[Total_Score]]/7</f>
        <v>81.714285714285708</v>
      </c>
      <c r="T565" s="3" t="str" cm="1">
        <f t="array" ref="T565">_xlfn.IFS(student_scores[[#This Row],[weekly_self_study_hours]]&lt;=5,   "0 - 5", student_scores[[#This Row],[weekly_self_study_hours]]&lt;=10,  "6 - 10", student_scores[[#This Row],[weekly_self_study_hours]]&lt;=20,  "11 - 20",student_scores[[#This Row],[weekly_self_study_hours]]&lt;=30, "21 - 30",TRUE, "31+")</f>
        <v>31+</v>
      </c>
      <c r="U565" t="str" cm="1">
        <f t="array" ref="U565">_xlfn.IFS(student_scores[[#This Row],[absence_days]]=0,"0", student_scores[[#This Row],[absence_days]]&lt;=3,"1-3", student_scores[[#This Row],[absence_days]]&lt;=6,"4-6", TRUE,"7-10")</f>
        <v>1-3</v>
      </c>
      <c r="V565" t="str">
        <f>IF(student_scores[[#This Row],[Total_Score]] &gt;= _xlfn.PERCENTILE.INC(student_scores[Total_Score], 0.8), "Yes", "No")</f>
        <v>No</v>
      </c>
    </row>
    <row r="566" spans="1:22" x14ac:dyDescent="0.35">
      <c r="A566">
        <v>565</v>
      </c>
      <c r="B566" t="s">
        <v>473</v>
      </c>
      <c r="C566" t="s">
        <v>1188</v>
      </c>
      <c r="D566" t="s">
        <v>1189</v>
      </c>
      <c r="E566" t="s">
        <v>20</v>
      </c>
      <c r="F566" t="b">
        <v>0</v>
      </c>
      <c r="G566">
        <v>10</v>
      </c>
      <c r="H566" t="b">
        <v>0</v>
      </c>
      <c r="I566">
        <v>0</v>
      </c>
      <c r="J566" t="s">
        <v>64</v>
      </c>
      <c r="K566">
        <v>94</v>
      </c>
      <c r="L566">
        <v>75</v>
      </c>
      <c r="M566">
        <v>91</v>
      </c>
      <c r="N566">
        <v>64</v>
      </c>
      <c r="O566">
        <v>67</v>
      </c>
      <c r="P566">
        <v>93</v>
      </c>
      <c r="Q566">
        <v>65</v>
      </c>
      <c r="R566">
        <f>SUM(student_scores[[#This Row],[math_score]:[geography_score]])</f>
        <v>549</v>
      </c>
      <c r="S566" s="3">
        <f>student_scores[[#This Row],[Total_Score]]/7</f>
        <v>78.428571428571431</v>
      </c>
      <c r="T566" s="3" t="str" cm="1">
        <f t="array" ref="T566">_xlfn.IFS(student_scores[[#This Row],[weekly_self_study_hours]]&lt;=5,   "0 - 5", student_scores[[#This Row],[weekly_self_study_hours]]&lt;=10,  "6 - 10", student_scores[[#This Row],[weekly_self_study_hours]]&lt;=20,  "11 - 20",student_scores[[#This Row],[weekly_self_study_hours]]&lt;=30, "21 - 30",TRUE, "31+")</f>
        <v>0 - 5</v>
      </c>
      <c r="U566" t="str" cm="1">
        <f t="array" ref="U566">_xlfn.IFS(student_scores[[#This Row],[absence_days]]=0,"0", student_scores[[#This Row],[absence_days]]&lt;=3,"1-3", student_scores[[#This Row],[absence_days]]&lt;=6,"4-6", TRUE,"7-10")</f>
        <v>7-10</v>
      </c>
      <c r="V566" t="str">
        <f>IF(student_scores[[#This Row],[Total_Score]] &gt;= _xlfn.PERCENTILE.INC(student_scores[Total_Score], 0.8), "Yes", "No")</f>
        <v>No</v>
      </c>
    </row>
    <row r="567" spans="1:22" x14ac:dyDescent="0.35">
      <c r="A567">
        <v>566</v>
      </c>
      <c r="B567" t="s">
        <v>405</v>
      </c>
      <c r="C567" t="s">
        <v>281</v>
      </c>
      <c r="D567" t="s">
        <v>1190</v>
      </c>
      <c r="E567" t="s">
        <v>25</v>
      </c>
      <c r="F567" t="b">
        <v>0</v>
      </c>
      <c r="G567">
        <v>10</v>
      </c>
      <c r="H567" t="b">
        <v>1</v>
      </c>
      <c r="I567">
        <v>3</v>
      </c>
      <c r="J567" t="s">
        <v>34</v>
      </c>
      <c r="K567">
        <v>87</v>
      </c>
      <c r="L567">
        <v>82</v>
      </c>
      <c r="M567">
        <v>88</v>
      </c>
      <c r="N567">
        <v>100</v>
      </c>
      <c r="O567">
        <v>73</v>
      </c>
      <c r="P567">
        <v>96</v>
      </c>
      <c r="Q567">
        <v>75</v>
      </c>
      <c r="R567">
        <f>SUM(student_scores[[#This Row],[math_score]:[geography_score]])</f>
        <v>601</v>
      </c>
      <c r="S567" s="3">
        <f>student_scores[[#This Row],[Total_Score]]/7</f>
        <v>85.857142857142861</v>
      </c>
      <c r="T567" s="3" t="str" cm="1">
        <f t="array" ref="T567">_xlfn.IFS(student_scores[[#This Row],[weekly_self_study_hours]]&lt;=5,   "0 - 5", student_scores[[#This Row],[weekly_self_study_hours]]&lt;=10,  "6 - 10", student_scores[[#This Row],[weekly_self_study_hours]]&lt;=20,  "11 - 20",student_scores[[#This Row],[weekly_self_study_hours]]&lt;=30, "21 - 30",TRUE, "31+")</f>
        <v>0 - 5</v>
      </c>
      <c r="U567" t="str" cm="1">
        <f t="array" ref="U567">_xlfn.IFS(student_scores[[#This Row],[absence_days]]=0,"0", student_scores[[#This Row],[absence_days]]&lt;=3,"1-3", student_scores[[#This Row],[absence_days]]&lt;=6,"4-6", TRUE,"7-10")</f>
        <v>7-10</v>
      </c>
      <c r="V567" t="str">
        <f>IF(student_scores[[#This Row],[Total_Score]] &gt;= _xlfn.PERCENTILE.INC(student_scores[Total_Score], 0.8), "Yes", "No")</f>
        <v>Yes</v>
      </c>
    </row>
    <row r="568" spans="1:22" x14ac:dyDescent="0.35">
      <c r="A568">
        <v>567</v>
      </c>
      <c r="B568" t="s">
        <v>612</v>
      </c>
      <c r="C568" t="s">
        <v>32</v>
      </c>
      <c r="D568" t="s">
        <v>1191</v>
      </c>
      <c r="E568" t="s">
        <v>20</v>
      </c>
      <c r="F568" t="b">
        <v>0</v>
      </c>
      <c r="G568">
        <v>2</v>
      </c>
      <c r="H568" t="b">
        <v>0</v>
      </c>
      <c r="I568">
        <v>30</v>
      </c>
      <c r="J568" t="s">
        <v>44</v>
      </c>
      <c r="K568">
        <v>95</v>
      </c>
      <c r="L568">
        <v>97</v>
      </c>
      <c r="M568">
        <v>88</v>
      </c>
      <c r="N568">
        <v>77</v>
      </c>
      <c r="O568">
        <v>96</v>
      </c>
      <c r="P568">
        <v>96</v>
      </c>
      <c r="Q568">
        <v>74</v>
      </c>
      <c r="R568">
        <f>SUM(student_scores[[#This Row],[math_score]:[geography_score]])</f>
        <v>623</v>
      </c>
      <c r="S568" s="3">
        <f>student_scores[[#This Row],[Total_Score]]/7</f>
        <v>89</v>
      </c>
      <c r="T568" s="3" t="str" cm="1">
        <f t="array" ref="T568">_xlfn.IFS(student_scores[[#This Row],[weekly_self_study_hours]]&lt;=5,   "0 - 5", student_scores[[#This Row],[weekly_self_study_hours]]&lt;=10,  "6 - 10", student_scores[[#This Row],[weekly_self_study_hours]]&lt;=20,  "11 - 20",student_scores[[#This Row],[weekly_self_study_hours]]&lt;=30, "21 - 30",TRUE, "31+")</f>
        <v>21 - 30</v>
      </c>
      <c r="U568" t="str" cm="1">
        <f t="array" ref="U568">_xlfn.IFS(student_scores[[#This Row],[absence_days]]=0,"0", student_scores[[#This Row],[absence_days]]&lt;=3,"1-3", student_scores[[#This Row],[absence_days]]&lt;=6,"4-6", TRUE,"7-10")</f>
        <v>1-3</v>
      </c>
      <c r="V568" t="str">
        <f>IF(student_scores[[#This Row],[Total_Score]] &gt;= _xlfn.PERCENTILE.INC(student_scores[Total_Score], 0.8), "Yes", "No")</f>
        <v>Yes</v>
      </c>
    </row>
    <row r="569" spans="1:22" x14ac:dyDescent="0.35">
      <c r="A569">
        <v>568</v>
      </c>
      <c r="B569" t="s">
        <v>483</v>
      </c>
      <c r="C569" t="s">
        <v>155</v>
      </c>
      <c r="D569" t="s">
        <v>1192</v>
      </c>
      <c r="E569" t="s">
        <v>20</v>
      </c>
      <c r="F569" t="b">
        <v>1</v>
      </c>
      <c r="G569">
        <v>3</v>
      </c>
      <c r="H569" t="b">
        <v>1</v>
      </c>
      <c r="I569">
        <v>15</v>
      </c>
      <c r="J569" t="s">
        <v>138</v>
      </c>
      <c r="K569">
        <v>85</v>
      </c>
      <c r="L569">
        <v>96</v>
      </c>
      <c r="M569">
        <v>82</v>
      </c>
      <c r="N569">
        <v>64</v>
      </c>
      <c r="O569">
        <v>82</v>
      </c>
      <c r="P569">
        <v>94</v>
      </c>
      <c r="Q569">
        <v>81</v>
      </c>
      <c r="R569">
        <f>SUM(student_scores[[#This Row],[math_score]:[geography_score]])</f>
        <v>584</v>
      </c>
      <c r="S569" s="3">
        <f>student_scores[[#This Row],[Total_Score]]/7</f>
        <v>83.428571428571431</v>
      </c>
      <c r="T569" s="3" t="str" cm="1">
        <f t="array" ref="T569">_xlfn.IFS(student_scores[[#This Row],[weekly_self_study_hours]]&lt;=5,   "0 - 5", student_scores[[#This Row],[weekly_self_study_hours]]&lt;=10,  "6 - 10", student_scores[[#This Row],[weekly_self_study_hours]]&lt;=20,  "11 - 20",student_scores[[#This Row],[weekly_self_study_hours]]&lt;=30, "21 - 30",TRUE, "31+")</f>
        <v>11 - 20</v>
      </c>
      <c r="U569" t="str" cm="1">
        <f t="array" ref="U569">_xlfn.IFS(student_scores[[#This Row],[absence_days]]=0,"0", student_scores[[#This Row],[absence_days]]&lt;=3,"1-3", student_scores[[#This Row],[absence_days]]&lt;=6,"4-6", TRUE,"7-10")</f>
        <v>1-3</v>
      </c>
      <c r="V569" t="str">
        <f>IF(student_scores[[#This Row],[Total_Score]] &gt;= _xlfn.PERCENTILE.INC(student_scores[Total_Score], 0.8), "Yes", "No")</f>
        <v>No</v>
      </c>
    </row>
    <row r="570" spans="1:22" x14ac:dyDescent="0.35">
      <c r="A570">
        <v>569</v>
      </c>
      <c r="B570" t="s">
        <v>792</v>
      </c>
      <c r="C570" t="s">
        <v>1193</v>
      </c>
      <c r="D570" t="s">
        <v>1194</v>
      </c>
      <c r="E570" t="s">
        <v>20</v>
      </c>
      <c r="F570" t="b">
        <v>0</v>
      </c>
      <c r="G570">
        <v>8</v>
      </c>
      <c r="H570" t="b">
        <v>1</v>
      </c>
      <c r="I570">
        <v>1</v>
      </c>
      <c r="J570" t="s">
        <v>64</v>
      </c>
      <c r="K570">
        <v>67</v>
      </c>
      <c r="L570">
        <v>65</v>
      </c>
      <c r="M570">
        <v>77</v>
      </c>
      <c r="N570">
        <v>72</v>
      </c>
      <c r="O570">
        <v>94</v>
      </c>
      <c r="P570">
        <v>88</v>
      </c>
      <c r="Q570">
        <v>77</v>
      </c>
      <c r="R570">
        <f>SUM(student_scores[[#This Row],[math_score]:[geography_score]])</f>
        <v>540</v>
      </c>
      <c r="S570" s="3">
        <f>student_scores[[#This Row],[Total_Score]]/7</f>
        <v>77.142857142857139</v>
      </c>
      <c r="T570" s="3" t="str" cm="1">
        <f t="array" ref="T570">_xlfn.IFS(student_scores[[#This Row],[weekly_self_study_hours]]&lt;=5,   "0 - 5", student_scores[[#This Row],[weekly_self_study_hours]]&lt;=10,  "6 - 10", student_scores[[#This Row],[weekly_self_study_hours]]&lt;=20,  "11 - 20",student_scores[[#This Row],[weekly_self_study_hours]]&lt;=30, "21 - 30",TRUE, "31+")</f>
        <v>0 - 5</v>
      </c>
      <c r="U570" t="str" cm="1">
        <f t="array" ref="U570">_xlfn.IFS(student_scores[[#This Row],[absence_days]]=0,"0", student_scores[[#This Row],[absence_days]]&lt;=3,"1-3", student_scores[[#This Row],[absence_days]]&lt;=6,"4-6", TRUE,"7-10")</f>
        <v>7-10</v>
      </c>
      <c r="V570" t="str">
        <f>IF(student_scores[[#This Row],[Total_Score]] &gt;= _xlfn.PERCENTILE.INC(student_scores[Total_Score], 0.8), "Yes", "No")</f>
        <v>No</v>
      </c>
    </row>
    <row r="571" spans="1:22" x14ac:dyDescent="0.35">
      <c r="A571">
        <v>570</v>
      </c>
      <c r="B571" t="s">
        <v>808</v>
      </c>
      <c r="C571" t="s">
        <v>1195</v>
      </c>
      <c r="D571" t="s">
        <v>1196</v>
      </c>
      <c r="E571" t="s">
        <v>20</v>
      </c>
      <c r="F571" t="b">
        <v>0</v>
      </c>
      <c r="G571">
        <v>3</v>
      </c>
      <c r="H571" t="b">
        <v>1</v>
      </c>
      <c r="I571">
        <v>6</v>
      </c>
      <c r="J571" t="s">
        <v>30</v>
      </c>
      <c r="K571">
        <v>84</v>
      </c>
      <c r="L571">
        <v>100</v>
      </c>
      <c r="M571">
        <v>92</v>
      </c>
      <c r="N571">
        <v>82</v>
      </c>
      <c r="O571">
        <v>85</v>
      </c>
      <c r="P571">
        <v>70</v>
      </c>
      <c r="Q571">
        <v>69</v>
      </c>
      <c r="R571">
        <f>SUM(student_scores[[#This Row],[math_score]:[geography_score]])</f>
        <v>582</v>
      </c>
      <c r="S571" s="3">
        <f>student_scores[[#This Row],[Total_Score]]/7</f>
        <v>83.142857142857139</v>
      </c>
      <c r="T571" s="3" t="str" cm="1">
        <f t="array" ref="T571">_xlfn.IFS(student_scores[[#This Row],[weekly_self_study_hours]]&lt;=5,   "0 - 5", student_scores[[#This Row],[weekly_self_study_hours]]&lt;=10,  "6 - 10", student_scores[[#This Row],[weekly_self_study_hours]]&lt;=20,  "11 - 20",student_scores[[#This Row],[weekly_self_study_hours]]&lt;=30, "21 - 30",TRUE, "31+")</f>
        <v>6 - 10</v>
      </c>
      <c r="U571" t="str" cm="1">
        <f t="array" ref="U571">_xlfn.IFS(student_scores[[#This Row],[absence_days]]=0,"0", student_scores[[#This Row],[absence_days]]&lt;=3,"1-3", student_scores[[#This Row],[absence_days]]&lt;=6,"4-6", TRUE,"7-10")</f>
        <v>1-3</v>
      </c>
      <c r="V571" t="str">
        <f>IF(student_scores[[#This Row],[Total_Score]] &gt;= _xlfn.PERCENTILE.INC(student_scores[Total_Score], 0.8), "Yes", "No")</f>
        <v>No</v>
      </c>
    </row>
    <row r="572" spans="1:22" x14ac:dyDescent="0.35">
      <c r="A572">
        <v>571</v>
      </c>
      <c r="B572" t="s">
        <v>65</v>
      </c>
      <c r="C572" t="s">
        <v>1197</v>
      </c>
      <c r="D572" t="s">
        <v>1198</v>
      </c>
      <c r="E572" t="s">
        <v>25</v>
      </c>
      <c r="F572" t="b">
        <v>0</v>
      </c>
      <c r="G572">
        <v>7</v>
      </c>
      <c r="H572" t="b">
        <v>1</v>
      </c>
      <c r="I572">
        <v>1</v>
      </c>
      <c r="J572" t="s">
        <v>159</v>
      </c>
      <c r="K572">
        <v>83</v>
      </c>
      <c r="L572">
        <v>88</v>
      </c>
      <c r="M572">
        <v>90</v>
      </c>
      <c r="N572">
        <v>100</v>
      </c>
      <c r="O572">
        <v>71</v>
      </c>
      <c r="P572">
        <v>98</v>
      </c>
      <c r="Q572">
        <v>96</v>
      </c>
      <c r="R572">
        <f>SUM(student_scores[[#This Row],[math_score]:[geography_score]])</f>
        <v>626</v>
      </c>
      <c r="S572" s="3">
        <f>student_scores[[#This Row],[Total_Score]]/7</f>
        <v>89.428571428571431</v>
      </c>
      <c r="T572" s="3" t="str" cm="1">
        <f t="array" ref="T572">_xlfn.IFS(student_scores[[#This Row],[weekly_self_study_hours]]&lt;=5,   "0 - 5", student_scores[[#This Row],[weekly_self_study_hours]]&lt;=10,  "6 - 10", student_scores[[#This Row],[weekly_self_study_hours]]&lt;=20,  "11 - 20",student_scores[[#This Row],[weekly_self_study_hours]]&lt;=30, "21 - 30",TRUE, "31+")</f>
        <v>0 - 5</v>
      </c>
      <c r="U572" t="str" cm="1">
        <f t="array" ref="U572">_xlfn.IFS(student_scores[[#This Row],[absence_days]]=0,"0", student_scores[[#This Row],[absence_days]]&lt;=3,"1-3", student_scores[[#This Row],[absence_days]]&lt;=6,"4-6", TRUE,"7-10")</f>
        <v>7-10</v>
      </c>
      <c r="V572" t="str">
        <f>IF(student_scores[[#This Row],[Total_Score]] &gt;= _xlfn.PERCENTILE.INC(student_scores[Total_Score], 0.8), "Yes", "No")</f>
        <v>Yes</v>
      </c>
    </row>
    <row r="573" spans="1:22" x14ac:dyDescent="0.35">
      <c r="A573">
        <v>572</v>
      </c>
      <c r="B573" t="s">
        <v>139</v>
      </c>
      <c r="C573" t="s">
        <v>1199</v>
      </c>
      <c r="D573" t="s">
        <v>1200</v>
      </c>
      <c r="E573" t="s">
        <v>20</v>
      </c>
      <c r="F573" t="b">
        <v>1</v>
      </c>
      <c r="G573">
        <v>9</v>
      </c>
      <c r="H573" t="b">
        <v>1</v>
      </c>
      <c r="I573">
        <v>5</v>
      </c>
      <c r="J573" t="s">
        <v>64</v>
      </c>
      <c r="K573">
        <v>67</v>
      </c>
      <c r="L573">
        <v>78</v>
      </c>
      <c r="M573">
        <v>68</v>
      </c>
      <c r="N573">
        <v>51</v>
      </c>
      <c r="O573">
        <v>77</v>
      </c>
      <c r="P573">
        <v>72</v>
      </c>
      <c r="Q573">
        <v>78</v>
      </c>
      <c r="R573">
        <f>SUM(student_scores[[#This Row],[math_score]:[geography_score]])</f>
        <v>491</v>
      </c>
      <c r="S573" s="3">
        <f>student_scores[[#This Row],[Total_Score]]/7</f>
        <v>70.142857142857139</v>
      </c>
      <c r="T573" s="3" t="str" cm="1">
        <f t="array" ref="T573">_xlfn.IFS(student_scores[[#This Row],[weekly_self_study_hours]]&lt;=5,   "0 - 5", student_scores[[#This Row],[weekly_self_study_hours]]&lt;=10,  "6 - 10", student_scores[[#This Row],[weekly_self_study_hours]]&lt;=20,  "11 - 20",student_scores[[#This Row],[weekly_self_study_hours]]&lt;=30, "21 - 30",TRUE, "31+")</f>
        <v>0 - 5</v>
      </c>
      <c r="U573" t="str" cm="1">
        <f t="array" ref="U573">_xlfn.IFS(student_scores[[#This Row],[absence_days]]=0,"0", student_scores[[#This Row],[absence_days]]&lt;=3,"1-3", student_scores[[#This Row],[absence_days]]&lt;=6,"4-6", TRUE,"7-10")</f>
        <v>7-10</v>
      </c>
      <c r="V573" t="str">
        <f>IF(student_scores[[#This Row],[Total_Score]] &gt;= _xlfn.PERCENTILE.INC(student_scores[Total_Score], 0.8), "Yes", "No")</f>
        <v>No</v>
      </c>
    </row>
    <row r="574" spans="1:22" x14ac:dyDescent="0.35">
      <c r="A574">
        <v>573</v>
      </c>
      <c r="B574" t="s">
        <v>1201</v>
      </c>
      <c r="C574" t="s">
        <v>1202</v>
      </c>
      <c r="D574" t="s">
        <v>1203</v>
      </c>
      <c r="E574" t="s">
        <v>20</v>
      </c>
      <c r="F574" t="b">
        <v>0</v>
      </c>
      <c r="G574">
        <v>1</v>
      </c>
      <c r="H574" t="b">
        <v>0</v>
      </c>
      <c r="I574">
        <v>30</v>
      </c>
      <c r="J574" t="s">
        <v>105</v>
      </c>
      <c r="K574">
        <v>75</v>
      </c>
      <c r="L574">
        <v>92</v>
      </c>
      <c r="M574">
        <v>72</v>
      </c>
      <c r="N574">
        <v>88</v>
      </c>
      <c r="O574">
        <v>92</v>
      </c>
      <c r="P574">
        <v>77</v>
      </c>
      <c r="Q574">
        <v>84</v>
      </c>
      <c r="R574">
        <f>SUM(student_scores[[#This Row],[math_score]:[geography_score]])</f>
        <v>580</v>
      </c>
      <c r="S574" s="3">
        <f>student_scores[[#This Row],[Total_Score]]/7</f>
        <v>82.857142857142861</v>
      </c>
      <c r="T574" s="3" t="str" cm="1">
        <f t="array" ref="T574">_xlfn.IFS(student_scores[[#This Row],[weekly_self_study_hours]]&lt;=5,   "0 - 5", student_scores[[#This Row],[weekly_self_study_hours]]&lt;=10,  "6 - 10", student_scores[[#This Row],[weekly_self_study_hours]]&lt;=20,  "11 - 20",student_scores[[#This Row],[weekly_self_study_hours]]&lt;=30, "21 - 30",TRUE, "31+")</f>
        <v>21 - 30</v>
      </c>
      <c r="U574" t="str" cm="1">
        <f t="array" ref="U574">_xlfn.IFS(student_scores[[#This Row],[absence_days]]=0,"0", student_scores[[#This Row],[absence_days]]&lt;=3,"1-3", student_scores[[#This Row],[absence_days]]&lt;=6,"4-6", TRUE,"7-10")</f>
        <v>1-3</v>
      </c>
      <c r="V574" t="str">
        <f>IF(student_scores[[#This Row],[Total_Score]] &gt;= _xlfn.PERCENTILE.INC(student_scores[Total_Score], 0.8), "Yes", "No")</f>
        <v>No</v>
      </c>
    </row>
    <row r="575" spans="1:22" x14ac:dyDescent="0.35">
      <c r="A575">
        <v>574</v>
      </c>
      <c r="B575" t="s">
        <v>357</v>
      </c>
      <c r="C575" t="s">
        <v>1204</v>
      </c>
      <c r="D575" t="s">
        <v>1205</v>
      </c>
      <c r="E575" t="s">
        <v>20</v>
      </c>
      <c r="F575" t="b">
        <v>0</v>
      </c>
      <c r="G575">
        <v>3</v>
      </c>
      <c r="H575" t="b">
        <v>1</v>
      </c>
      <c r="I575">
        <v>8</v>
      </c>
      <c r="J575" t="s">
        <v>30</v>
      </c>
      <c r="K575">
        <v>67</v>
      </c>
      <c r="L575">
        <v>76</v>
      </c>
      <c r="M575">
        <v>70</v>
      </c>
      <c r="N575">
        <v>73</v>
      </c>
      <c r="O575">
        <v>81</v>
      </c>
      <c r="P575">
        <v>85</v>
      </c>
      <c r="Q575">
        <v>80</v>
      </c>
      <c r="R575">
        <f>SUM(student_scores[[#This Row],[math_score]:[geography_score]])</f>
        <v>532</v>
      </c>
      <c r="S575" s="3">
        <f>student_scores[[#This Row],[Total_Score]]/7</f>
        <v>76</v>
      </c>
      <c r="T575" s="3" t="str" cm="1">
        <f t="array" ref="T575">_xlfn.IFS(student_scores[[#This Row],[weekly_self_study_hours]]&lt;=5,   "0 - 5", student_scores[[#This Row],[weekly_self_study_hours]]&lt;=10,  "6 - 10", student_scores[[#This Row],[weekly_self_study_hours]]&lt;=20,  "11 - 20",student_scores[[#This Row],[weekly_self_study_hours]]&lt;=30, "21 - 30",TRUE, "31+")</f>
        <v>6 - 10</v>
      </c>
      <c r="U575" t="str" cm="1">
        <f t="array" ref="U575">_xlfn.IFS(student_scores[[#This Row],[absence_days]]=0,"0", student_scores[[#This Row],[absence_days]]&lt;=3,"1-3", student_scores[[#This Row],[absence_days]]&lt;=6,"4-6", TRUE,"7-10")</f>
        <v>1-3</v>
      </c>
      <c r="V575" t="str">
        <f>IF(student_scores[[#This Row],[Total_Score]] &gt;= _xlfn.PERCENTILE.INC(student_scores[Total_Score], 0.8), "Yes", "No")</f>
        <v>No</v>
      </c>
    </row>
    <row r="576" spans="1:22" x14ac:dyDescent="0.35">
      <c r="A576">
        <v>575</v>
      </c>
      <c r="B576" t="s">
        <v>728</v>
      </c>
      <c r="C576" t="s">
        <v>746</v>
      </c>
      <c r="D576" t="s">
        <v>1206</v>
      </c>
      <c r="E576" t="s">
        <v>20</v>
      </c>
      <c r="F576" t="b">
        <v>1</v>
      </c>
      <c r="G576">
        <v>9</v>
      </c>
      <c r="H576" t="b">
        <v>0</v>
      </c>
      <c r="I576">
        <v>5</v>
      </c>
      <c r="J576" t="s">
        <v>64</v>
      </c>
      <c r="K576">
        <v>67</v>
      </c>
      <c r="L576">
        <v>54</v>
      </c>
      <c r="M576">
        <v>51</v>
      </c>
      <c r="N576">
        <v>72</v>
      </c>
      <c r="O576">
        <v>75</v>
      </c>
      <c r="P576">
        <v>60</v>
      </c>
      <c r="Q576">
        <v>88</v>
      </c>
      <c r="R576">
        <f>SUM(student_scores[[#This Row],[math_score]:[geography_score]])</f>
        <v>467</v>
      </c>
      <c r="S576" s="3">
        <f>student_scores[[#This Row],[Total_Score]]/7</f>
        <v>66.714285714285708</v>
      </c>
      <c r="T576" s="3" t="str" cm="1">
        <f t="array" ref="T576">_xlfn.IFS(student_scores[[#This Row],[weekly_self_study_hours]]&lt;=5,   "0 - 5", student_scores[[#This Row],[weekly_self_study_hours]]&lt;=10,  "6 - 10", student_scores[[#This Row],[weekly_self_study_hours]]&lt;=20,  "11 - 20",student_scores[[#This Row],[weekly_self_study_hours]]&lt;=30, "21 - 30",TRUE, "31+")</f>
        <v>0 - 5</v>
      </c>
      <c r="U576" t="str" cm="1">
        <f t="array" ref="U576">_xlfn.IFS(student_scores[[#This Row],[absence_days]]=0,"0", student_scores[[#This Row],[absence_days]]&lt;=3,"1-3", student_scores[[#This Row],[absence_days]]&lt;=6,"4-6", TRUE,"7-10")</f>
        <v>7-10</v>
      </c>
      <c r="V576" t="str">
        <f>IF(student_scores[[#This Row],[Total_Score]] &gt;= _xlfn.PERCENTILE.INC(student_scores[Total_Score], 0.8), "Yes", "No")</f>
        <v>No</v>
      </c>
    </row>
    <row r="577" spans="1:22" x14ac:dyDescent="0.35">
      <c r="A577">
        <v>576</v>
      </c>
      <c r="B577" t="s">
        <v>1207</v>
      </c>
      <c r="C577" t="s">
        <v>522</v>
      </c>
      <c r="D577" t="s">
        <v>1208</v>
      </c>
      <c r="E577" t="s">
        <v>25</v>
      </c>
      <c r="F577" t="b">
        <v>0</v>
      </c>
      <c r="G577">
        <v>1</v>
      </c>
      <c r="H577" t="b">
        <v>0</v>
      </c>
      <c r="I577">
        <v>5</v>
      </c>
      <c r="J577" t="s">
        <v>34</v>
      </c>
      <c r="K577">
        <v>72</v>
      </c>
      <c r="L577">
        <v>91</v>
      </c>
      <c r="M577">
        <v>78</v>
      </c>
      <c r="N577">
        <v>97</v>
      </c>
      <c r="O577">
        <v>86</v>
      </c>
      <c r="P577">
        <v>93</v>
      </c>
      <c r="Q577">
        <v>77</v>
      </c>
      <c r="R577">
        <f>SUM(student_scores[[#This Row],[math_score]:[geography_score]])</f>
        <v>594</v>
      </c>
      <c r="S577" s="3">
        <f>student_scores[[#This Row],[Total_Score]]/7</f>
        <v>84.857142857142861</v>
      </c>
      <c r="T577" s="3" t="str" cm="1">
        <f t="array" ref="T577">_xlfn.IFS(student_scores[[#This Row],[weekly_self_study_hours]]&lt;=5,   "0 - 5", student_scores[[#This Row],[weekly_self_study_hours]]&lt;=10,  "6 - 10", student_scores[[#This Row],[weekly_self_study_hours]]&lt;=20,  "11 - 20",student_scores[[#This Row],[weekly_self_study_hours]]&lt;=30, "21 - 30",TRUE, "31+")</f>
        <v>0 - 5</v>
      </c>
      <c r="U577" t="str" cm="1">
        <f t="array" ref="U577">_xlfn.IFS(student_scores[[#This Row],[absence_days]]=0,"0", student_scores[[#This Row],[absence_days]]&lt;=3,"1-3", student_scores[[#This Row],[absence_days]]&lt;=6,"4-6", TRUE,"7-10")</f>
        <v>1-3</v>
      </c>
      <c r="V577" t="str">
        <f>IF(student_scores[[#This Row],[Total_Score]] &gt;= _xlfn.PERCENTILE.INC(student_scores[Total_Score], 0.8), "Yes", "No")</f>
        <v>No</v>
      </c>
    </row>
    <row r="578" spans="1:22" x14ac:dyDescent="0.35">
      <c r="A578">
        <v>577</v>
      </c>
      <c r="B578" t="s">
        <v>568</v>
      </c>
      <c r="C578" t="s">
        <v>1141</v>
      </c>
      <c r="D578" t="s">
        <v>1209</v>
      </c>
      <c r="E578" t="s">
        <v>20</v>
      </c>
      <c r="F578" t="b">
        <v>0</v>
      </c>
      <c r="G578">
        <v>4</v>
      </c>
      <c r="H578" t="b">
        <v>0</v>
      </c>
      <c r="I578">
        <v>4</v>
      </c>
      <c r="J578" t="s">
        <v>30</v>
      </c>
      <c r="K578">
        <v>78</v>
      </c>
      <c r="L578">
        <v>98</v>
      </c>
      <c r="M578">
        <v>76</v>
      </c>
      <c r="N578">
        <v>68</v>
      </c>
      <c r="O578">
        <v>86</v>
      </c>
      <c r="P578">
        <v>91</v>
      </c>
      <c r="Q578">
        <v>82</v>
      </c>
      <c r="R578">
        <f>SUM(student_scores[[#This Row],[math_score]:[geography_score]])</f>
        <v>579</v>
      </c>
      <c r="S578" s="3">
        <f>student_scores[[#This Row],[Total_Score]]/7</f>
        <v>82.714285714285708</v>
      </c>
      <c r="T578" s="3" t="str" cm="1">
        <f t="array" ref="T578">_xlfn.IFS(student_scores[[#This Row],[weekly_self_study_hours]]&lt;=5,   "0 - 5", student_scores[[#This Row],[weekly_self_study_hours]]&lt;=10,  "6 - 10", student_scores[[#This Row],[weekly_self_study_hours]]&lt;=20,  "11 - 20",student_scores[[#This Row],[weekly_self_study_hours]]&lt;=30, "21 - 30",TRUE, "31+")</f>
        <v>0 - 5</v>
      </c>
      <c r="U578" t="str" cm="1">
        <f t="array" ref="U578">_xlfn.IFS(student_scores[[#This Row],[absence_days]]=0,"0", student_scores[[#This Row],[absence_days]]&lt;=3,"1-3", student_scores[[#This Row],[absence_days]]&lt;=6,"4-6", TRUE,"7-10")</f>
        <v>4-6</v>
      </c>
      <c r="V578" t="str">
        <f>IF(student_scores[[#This Row],[Total_Score]] &gt;= _xlfn.PERCENTILE.INC(student_scores[Total_Score], 0.8), "Yes", "No")</f>
        <v>No</v>
      </c>
    </row>
    <row r="579" spans="1:22" x14ac:dyDescent="0.35">
      <c r="A579">
        <v>578</v>
      </c>
      <c r="B579" t="s">
        <v>325</v>
      </c>
      <c r="C579" t="s">
        <v>292</v>
      </c>
      <c r="D579" t="s">
        <v>1210</v>
      </c>
      <c r="E579" t="s">
        <v>25</v>
      </c>
      <c r="F579" t="b">
        <v>0</v>
      </c>
      <c r="G579">
        <v>1</v>
      </c>
      <c r="H579" t="b">
        <v>0</v>
      </c>
      <c r="I579">
        <v>47</v>
      </c>
      <c r="J579" t="s">
        <v>26</v>
      </c>
      <c r="K579">
        <v>85</v>
      </c>
      <c r="L579">
        <v>87</v>
      </c>
      <c r="M579">
        <v>92</v>
      </c>
      <c r="N579">
        <v>96</v>
      </c>
      <c r="O579">
        <v>92</v>
      </c>
      <c r="P579">
        <v>90</v>
      </c>
      <c r="Q579">
        <v>88</v>
      </c>
      <c r="R579">
        <f>SUM(student_scores[[#This Row],[math_score]:[geography_score]])</f>
        <v>630</v>
      </c>
      <c r="S579" s="3">
        <f>student_scores[[#This Row],[Total_Score]]/7</f>
        <v>90</v>
      </c>
      <c r="T579" s="3" t="str" cm="1">
        <f t="array" ref="T579">_xlfn.IFS(student_scores[[#This Row],[weekly_self_study_hours]]&lt;=5,   "0 - 5", student_scores[[#This Row],[weekly_self_study_hours]]&lt;=10,  "6 - 10", student_scores[[#This Row],[weekly_self_study_hours]]&lt;=20,  "11 - 20",student_scores[[#This Row],[weekly_self_study_hours]]&lt;=30, "21 - 30",TRUE, "31+")</f>
        <v>31+</v>
      </c>
      <c r="U579" t="str" cm="1">
        <f t="array" ref="U579">_xlfn.IFS(student_scores[[#This Row],[absence_days]]=0,"0", student_scores[[#This Row],[absence_days]]&lt;=3,"1-3", student_scores[[#This Row],[absence_days]]&lt;=6,"4-6", TRUE,"7-10")</f>
        <v>1-3</v>
      </c>
      <c r="V579" t="str">
        <f>IF(student_scores[[#This Row],[Total_Score]] &gt;= _xlfn.PERCENTILE.INC(student_scores[Total_Score], 0.8), "Yes", "No")</f>
        <v>Yes</v>
      </c>
    </row>
    <row r="580" spans="1:22" x14ac:dyDescent="0.35">
      <c r="A580">
        <v>579</v>
      </c>
      <c r="B580" t="s">
        <v>27</v>
      </c>
      <c r="C580" t="s">
        <v>1211</v>
      </c>
      <c r="D580" t="s">
        <v>1212</v>
      </c>
      <c r="E580" t="s">
        <v>25</v>
      </c>
      <c r="F580" t="b">
        <v>0</v>
      </c>
      <c r="G580">
        <v>3</v>
      </c>
      <c r="H580" t="b">
        <v>1</v>
      </c>
      <c r="I580">
        <v>16</v>
      </c>
      <c r="J580" t="s">
        <v>172</v>
      </c>
      <c r="K580">
        <v>100</v>
      </c>
      <c r="L580">
        <v>70</v>
      </c>
      <c r="M580">
        <v>69</v>
      </c>
      <c r="N580">
        <v>61</v>
      </c>
      <c r="O580">
        <v>100</v>
      </c>
      <c r="P580">
        <v>65</v>
      </c>
      <c r="Q580">
        <v>81</v>
      </c>
      <c r="R580">
        <f>SUM(student_scores[[#This Row],[math_score]:[geography_score]])</f>
        <v>546</v>
      </c>
      <c r="S580" s="3">
        <f>student_scores[[#This Row],[Total_Score]]/7</f>
        <v>78</v>
      </c>
      <c r="T580" s="3" t="str" cm="1">
        <f t="array" ref="T580">_xlfn.IFS(student_scores[[#This Row],[weekly_self_study_hours]]&lt;=5,   "0 - 5", student_scores[[#This Row],[weekly_self_study_hours]]&lt;=10,  "6 - 10", student_scores[[#This Row],[weekly_self_study_hours]]&lt;=20,  "11 - 20",student_scores[[#This Row],[weekly_self_study_hours]]&lt;=30, "21 - 30",TRUE, "31+")</f>
        <v>11 - 20</v>
      </c>
      <c r="U580" t="str" cm="1">
        <f t="array" ref="U580">_xlfn.IFS(student_scores[[#This Row],[absence_days]]=0,"0", student_scores[[#This Row],[absence_days]]&lt;=3,"1-3", student_scores[[#This Row],[absence_days]]&lt;=6,"4-6", TRUE,"7-10")</f>
        <v>1-3</v>
      </c>
      <c r="V580" t="str">
        <f>IF(student_scores[[#This Row],[Total_Score]] &gt;= _xlfn.PERCENTILE.INC(student_scores[Total_Score], 0.8), "Yes", "No")</f>
        <v>No</v>
      </c>
    </row>
    <row r="581" spans="1:22" x14ac:dyDescent="0.35">
      <c r="A581">
        <v>580</v>
      </c>
      <c r="B581" t="s">
        <v>145</v>
      </c>
      <c r="C581" t="s">
        <v>846</v>
      </c>
      <c r="D581" t="s">
        <v>1213</v>
      </c>
      <c r="E581" t="s">
        <v>20</v>
      </c>
      <c r="F581" t="b">
        <v>1</v>
      </c>
      <c r="G581">
        <v>5</v>
      </c>
      <c r="H581" t="b">
        <v>0</v>
      </c>
      <c r="I581">
        <v>3</v>
      </c>
      <c r="J581" t="s">
        <v>64</v>
      </c>
      <c r="K581">
        <v>56</v>
      </c>
      <c r="L581">
        <v>59</v>
      </c>
      <c r="M581">
        <v>89</v>
      </c>
      <c r="N581">
        <v>68</v>
      </c>
      <c r="O581">
        <v>79</v>
      </c>
      <c r="P581">
        <v>83</v>
      </c>
      <c r="Q581">
        <v>68</v>
      </c>
      <c r="R581">
        <f>SUM(student_scores[[#This Row],[math_score]:[geography_score]])</f>
        <v>502</v>
      </c>
      <c r="S581" s="3">
        <f>student_scores[[#This Row],[Total_Score]]/7</f>
        <v>71.714285714285708</v>
      </c>
      <c r="T581" s="3" t="str" cm="1">
        <f t="array" ref="T581">_xlfn.IFS(student_scores[[#This Row],[weekly_self_study_hours]]&lt;=5,   "0 - 5", student_scores[[#This Row],[weekly_self_study_hours]]&lt;=10,  "6 - 10", student_scores[[#This Row],[weekly_self_study_hours]]&lt;=20,  "11 - 20",student_scores[[#This Row],[weekly_self_study_hours]]&lt;=30, "21 - 30",TRUE, "31+")</f>
        <v>0 - 5</v>
      </c>
      <c r="U581" t="str" cm="1">
        <f t="array" ref="U581">_xlfn.IFS(student_scores[[#This Row],[absence_days]]=0,"0", student_scores[[#This Row],[absence_days]]&lt;=3,"1-3", student_scores[[#This Row],[absence_days]]&lt;=6,"4-6", TRUE,"7-10")</f>
        <v>4-6</v>
      </c>
      <c r="V581" t="str">
        <f>IF(student_scores[[#This Row],[Total_Score]] &gt;= _xlfn.PERCENTILE.INC(student_scores[Total_Score], 0.8), "Yes", "No")</f>
        <v>No</v>
      </c>
    </row>
    <row r="582" spans="1:22" x14ac:dyDescent="0.35">
      <c r="A582">
        <v>581</v>
      </c>
      <c r="B582" t="s">
        <v>534</v>
      </c>
      <c r="C582" t="s">
        <v>1214</v>
      </c>
      <c r="D582" t="s">
        <v>1215</v>
      </c>
      <c r="E582" t="s">
        <v>25</v>
      </c>
      <c r="F582" t="b">
        <v>0</v>
      </c>
      <c r="G582">
        <v>5</v>
      </c>
      <c r="H582" t="b">
        <v>1</v>
      </c>
      <c r="I582">
        <v>32</v>
      </c>
      <c r="J582" t="s">
        <v>76</v>
      </c>
      <c r="K582">
        <v>93</v>
      </c>
      <c r="L582">
        <v>75</v>
      </c>
      <c r="M582">
        <v>83</v>
      </c>
      <c r="N582">
        <v>99</v>
      </c>
      <c r="O582">
        <v>100</v>
      </c>
      <c r="P582">
        <v>91</v>
      </c>
      <c r="Q582">
        <v>74</v>
      </c>
      <c r="R582">
        <f>SUM(student_scores[[#This Row],[math_score]:[geography_score]])</f>
        <v>615</v>
      </c>
      <c r="S582" s="3">
        <f>student_scores[[#This Row],[Total_Score]]/7</f>
        <v>87.857142857142861</v>
      </c>
      <c r="T582" s="3" t="str" cm="1">
        <f t="array" ref="T582">_xlfn.IFS(student_scores[[#This Row],[weekly_self_study_hours]]&lt;=5,   "0 - 5", student_scores[[#This Row],[weekly_self_study_hours]]&lt;=10,  "6 - 10", student_scores[[#This Row],[weekly_self_study_hours]]&lt;=20,  "11 - 20",student_scores[[#This Row],[weekly_self_study_hours]]&lt;=30, "21 - 30",TRUE, "31+")</f>
        <v>31+</v>
      </c>
      <c r="U582" t="str" cm="1">
        <f t="array" ref="U582">_xlfn.IFS(student_scores[[#This Row],[absence_days]]=0,"0", student_scores[[#This Row],[absence_days]]&lt;=3,"1-3", student_scores[[#This Row],[absence_days]]&lt;=6,"4-6", TRUE,"7-10")</f>
        <v>4-6</v>
      </c>
      <c r="V582" t="str">
        <f>IF(student_scores[[#This Row],[Total_Score]] &gt;= _xlfn.PERCENTILE.INC(student_scores[Total_Score], 0.8), "Yes", "No")</f>
        <v>Yes</v>
      </c>
    </row>
    <row r="583" spans="1:22" x14ac:dyDescent="0.35">
      <c r="A583">
        <v>582</v>
      </c>
      <c r="B583" t="s">
        <v>388</v>
      </c>
      <c r="C583" t="s">
        <v>1216</v>
      </c>
      <c r="D583" t="s">
        <v>1217</v>
      </c>
      <c r="E583" t="s">
        <v>25</v>
      </c>
      <c r="F583" t="b">
        <v>0</v>
      </c>
      <c r="G583">
        <v>2</v>
      </c>
      <c r="H583" t="b">
        <v>0</v>
      </c>
      <c r="I583">
        <v>31</v>
      </c>
      <c r="J583" t="s">
        <v>105</v>
      </c>
      <c r="K583">
        <v>89</v>
      </c>
      <c r="L583">
        <v>91</v>
      </c>
      <c r="M583">
        <v>85</v>
      </c>
      <c r="N583">
        <v>69</v>
      </c>
      <c r="O583">
        <v>76</v>
      </c>
      <c r="P583">
        <v>92</v>
      </c>
      <c r="Q583">
        <v>94</v>
      </c>
      <c r="R583">
        <f>SUM(student_scores[[#This Row],[math_score]:[geography_score]])</f>
        <v>596</v>
      </c>
      <c r="S583" s="3">
        <f>student_scores[[#This Row],[Total_Score]]/7</f>
        <v>85.142857142857139</v>
      </c>
      <c r="T583" s="3" t="str" cm="1">
        <f t="array" ref="T583">_xlfn.IFS(student_scores[[#This Row],[weekly_self_study_hours]]&lt;=5,   "0 - 5", student_scores[[#This Row],[weekly_self_study_hours]]&lt;=10,  "6 - 10", student_scores[[#This Row],[weekly_self_study_hours]]&lt;=20,  "11 - 20",student_scores[[#This Row],[weekly_self_study_hours]]&lt;=30, "21 - 30",TRUE, "31+")</f>
        <v>31+</v>
      </c>
      <c r="U583" t="str" cm="1">
        <f t="array" ref="U583">_xlfn.IFS(student_scores[[#This Row],[absence_days]]=0,"0", student_scores[[#This Row],[absence_days]]&lt;=3,"1-3", student_scores[[#This Row],[absence_days]]&lt;=6,"4-6", TRUE,"7-10")</f>
        <v>1-3</v>
      </c>
      <c r="V583" t="str">
        <f>IF(student_scores[[#This Row],[Total_Score]] &gt;= _xlfn.PERCENTILE.INC(student_scores[Total_Score], 0.8), "Yes", "No")</f>
        <v>No</v>
      </c>
    </row>
    <row r="584" spans="1:22" x14ac:dyDescent="0.35">
      <c r="A584">
        <v>583</v>
      </c>
      <c r="B584" t="s">
        <v>1218</v>
      </c>
      <c r="C584" t="s">
        <v>1219</v>
      </c>
      <c r="D584" t="s">
        <v>1220</v>
      </c>
      <c r="E584" t="s">
        <v>20</v>
      </c>
      <c r="F584" t="b">
        <v>0</v>
      </c>
      <c r="G584">
        <v>3</v>
      </c>
      <c r="H584" t="b">
        <v>0</v>
      </c>
      <c r="I584">
        <v>6</v>
      </c>
      <c r="J584" t="s">
        <v>224</v>
      </c>
      <c r="K584">
        <v>59</v>
      </c>
      <c r="L584">
        <v>88</v>
      </c>
      <c r="M584">
        <v>74</v>
      </c>
      <c r="N584">
        <v>92</v>
      </c>
      <c r="O584">
        <v>72</v>
      </c>
      <c r="P584">
        <v>97</v>
      </c>
      <c r="Q584">
        <v>64</v>
      </c>
      <c r="R584">
        <f>SUM(student_scores[[#This Row],[math_score]:[geography_score]])</f>
        <v>546</v>
      </c>
      <c r="S584" s="3">
        <f>student_scores[[#This Row],[Total_Score]]/7</f>
        <v>78</v>
      </c>
      <c r="T584" s="3" t="str" cm="1">
        <f t="array" ref="T584">_xlfn.IFS(student_scores[[#This Row],[weekly_self_study_hours]]&lt;=5,   "0 - 5", student_scores[[#This Row],[weekly_self_study_hours]]&lt;=10,  "6 - 10", student_scores[[#This Row],[weekly_self_study_hours]]&lt;=20,  "11 - 20",student_scores[[#This Row],[weekly_self_study_hours]]&lt;=30, "21 - 30",TRUE, "31+")</f>
        <v>6 - 10</v>
      </c>
      <c r="U584" t="str" cm="1">
        <f t="array" ref="U584">_xlfn.IFS(student_scores[[#This Row],[absence_days]]=0,"0", student_scores[[#This Row],[absence_days]]&lt;=3,"1-3", student_scores[[#This Row],[absence_days]]&lt;=6,"4-6", TRUE,"7-10")</f>
        <v>1-3</v>
      </c>
      <c r="V584" t="str">
        <f>IF(student_scores[[#This Row],[Total_Score]] &gt;= _xlfn.PERCENTILE.INC(student_scores[Total_Score], 0.8), "Yes", "No")</f>
        <v>No</v>
      </c>
    </row>
    <row r="585" spans="1:22" x14ac:dyDescent="0.35">
      <c r="A585">
        <v>584</v>
      </c>
      <c r="B585" t="s">
        <v>185</v>
      </c>
      <c r="C585" t="s">
        <v>1221</v>
      </c>
      <c r="D585" t="s">
        <v>1222</v>
      </c>
      <c r="E585" t="s">
        <v>25</v>
      </c>
      <c r="F585" t="b">
        <v>0</v>
      </c>
      <c r="G585">
        <v>3</v>
      </c>
      <c r="H585" t="b">
        <v>0</v>
      </c>
      <c r="I585">
        <v>16</v>
      </c>
      <c r="J585" t="s">
        <v>38</v>
      </c>
      <c r="K585">
        <v>99</v>
      </c>
      <c r="L585">
        <v>70</v>
      </c>
      <c r="M585">
        <v>74</v>
      </c>
      <c r="N585">
        <v>65</v>
      </c>
      <c r="O585">
        <v>99</v>
      </c>
      <c r="P585">
        <v>74</v>
      </c>
      <c r="Q585">
        <v>62</v>
      </c>
      <c r="R585">
        <f>SUM(student_scores[[#This Row],[math_score]:[geography_score]])</f>
        <v>543</v>
      </c>
      <c r="S585" s="3">
        <f>student_scores[[#This Row],[Total_Score]]/7</f>
        <v>77.571428571428569</v>
      </c>
      <c r="T585" s="3" t="str" cm="1">
        <f t="array" ref="T585">_xlfn.IFS(student_scores[[#This Row],[weekly_self_study_hours]]&lt;=5,   "0 - 5", student_scores[[#This Row],[weekly_self_study_hours]]&lt;=10,  "6 - 10", student_scores[[#This Row],[weekly_self_study_hours]]&lt;=20,  "11 - 20",student_scores[[#This Row],[weekly_self_study_hours]]&lt;=30, "21 - 30",TRUE, "31+")</f>
        <v>11 - 20</v>
      </c>
      <c r="U585" t="str" cm="1">
        <f t="array" ref="U585">_xlfn.IFS(student_scores[[#This Row],[absence_days]]=0,"0", student_scores[[#This Row],[absence_days]]&lt;=3,"1-3", student_scores[[#This Row],[absence_days]]&lt;=6,"4-6", TRUE,"7-10")</f>
        <v>1-3</v>
      </c>
      <c r="V585" t="str">
        <f>IF(student_scores[[#This Row],[Total_Score]] &gt;= _xlfn.PERCENTILE.INC(student_scores[Total_Score], 0.8), "Yes", "No")</f>
        <v>No</v>
      </c>
    </row>
    <row r="586" spans="1:22" x14ac:dyDescent="0.35">
      <c r="A586">
        <v>585</v>
      </c>
      <c r="B586" t="s">
        <v>840</v>
      </c>
      <c r="C586" t="s">
        <v>1223</v>
      </c>
      <c r="D586" t="s">
        <v>1224</v>
      </c>
      <c r="E586" t="s">
        <v>20</v>
      </c>
      <c r="F586" t="b">
        <v>0</v>
      </c>
      <c r="G586">
        <v>6</v>
      </c>
      <c r="H586" t="b">
        <v>0</v>
      </c>
      <c r="I586">
        <v>34</v>
      </c>
      <c r="J586" t="s">
        <v>21</v>
      </c>
      <c r="K586">
        <v>89</v>
      </c>
      <c r="L586">
        <v>89</v>
      </c>
      <c r="M586">
        <v>85</v>
      </c>
      <c r="N586">
        <v>74</v>
      </c>
      <c r="O586">
        <v>78</v>
      </c>
      <c r="P586">
        <v>87</v>
      </c>
      <c r="Q586">
        <v>82</v>
      </c>
      <c r="R586">
        <f>SUM(student_scores[[#This Row],[math_score]:[geography_score]])</f>
        <v>584</v>
      </c>
      <c r="S586" s="3">
        <f>student_scores[[#This Row],[Total_Score]]/7</f>
        <v>83.428571428571431</v>
      </c>
      <c r="T586" s="3" t="str" cm="1">
        <f t="array" ref="T586">_xlfn.IFS(student_scores[[#This Row],[weekly_self_study_hours]]&lt;=5,   "0 - 5", student_scores[[#This Row],[weekly_self_study_hours]]&lt;=10,  "6 - 10", student_scores[[#This Row],[weekly_self_study_hours]]&lt;=20,  "11 - 20",student_scores[[#This Row],[weekly_self_study_hours]]&lt;=30, "21 - 30",TRUE, "31+")</f>
        <v>31+</v>
      </c>
      <c r="U586" t="str" cm="1">
        <f t="array" ref="U586">_xlfn.IFS(student_scores[[#This Row],[absence_days]]=0,"0", student_scores[[#This Row],[absence_days]]&lt;=3,"1-3", student_scores[[#This Row],[absence_days]]&lt;=6,"4-6", TRUE,"7-10")</f>
        <v>4-6</v>
      </c>
      <c r="V586" t="str">
        <f>IF(student_scores[[#This Row],[Total_Score]] &gt;= _xlfn.PERCENTILE.INC(student_scores[Total_Score], 0.8), "Yes", "No")</f>
        <v>No</v>
      </c>
    </row>
    <row r="587" spans="1:22" x14ac:dyDescent="0.35">
      <c r="A587">
        <v>586</v>
      </c>
      <c r="B587" t="s">
        <v>183</v>
      </c>
      <c r="C587" t="s">
        <v>429</v>
      </c>
      <c r="D587" t="s">
        <v>1225</v>
      </c>
      <c r="E587" t="s">
        <v>20</v>
      </c>
      <c r="F587" t="b">
        <v>0</v>
      </c>
      <c r="G587">
        <v>3</v>
      </c>
      <c r="H587" t="b">
        <v>0</v>
      </c>
      <c r="I587">
        <v>26</v>
      </c>
      <c r="J587" t="s">
        <v>44</v>
      </c>
      <c r="K587">
        <v>86</v>
      </c>
      <c r="L587">
        <v>63</v>
      </c>
      <c r="M587">
        <v>78</v>
      </c>
      <c r="N587">
        <v>78</v>
      </c>
      <c r="O587">
        <v>80</v>
      </c>
      <c r="P587">
        <v>67</v>
      </c>
      <c r="Q587">
        <v>97</v>
      </c>
      <c r="R587">
        <f>SUM(student_scores[[#This Row],[math_score]:[geography_score]])</f>
        <v>549</v>
      </c>
      <c r="S587" s="3">
        <f>student_scores[[#This Row],[Total_Score]]/7</f>
        <v>78.428571428571431</v>
      </c>
      <c r="T587" s="3" t="str" cm="1">
        <f t="array" ref="T587">_xlfn.IFS(student_scores[[#This Row],[weekly_self_study_hours]]&lt;=5,   "0 - 5", student_scores[[#This Row],[weekly_self_study_hours]]&lt;=10,  "6 - 10", student_scores[[#This Row],[weekly_self_study_hours]]&lt;=20,  "11 - 20",student_scores[[#This Row],[weekly_self_study_hours]]&lt;=30, "21 - 30",TRUE, "31+")</f>
        <v>21 - 30</v>
      </c>
      <c r="U587" t="str" cm="1">
        <f t="array" ref="U587">_xlfn.IFS(student_scores[[#This Row],[absence_days]]=0,"0", student_scores[[#This Row],[absence_days]]&lt;=3,"1-3", student_scores[[#This Row],[absence_days]]&lt;=6,"4-6", TRUE,"7-10")</f>
        <v>1-3</v>
      </c>
      <c r="V587" t="str">
        <f>IF(student_scores[[#This Row],[Total_Score]] &gt;= _xlfn.PERCENTILE.INC(student_scores[Total_Score], 0.8), "Yes", "No")</f>
        <v>No</v>
      </c>
    </row>
    <row r="588" spans="1:22" x14ac:dyDescent="0.35">
      <c r="A588">
        <v>587</v>
      </c>
      <c r="B588" t="s">
        <v>415</v>
      </c>
      <c r="C588" t="s">
        <v>977</v>
      </c>
      <c r="D588" t="s">
        <v>1226</v>
      </c>
      <c r="E588" t="s">
        <v>25</v>
      </c>
      <c r="F588" t="b">
        <v>0</v>
      </c>
      <c r="G588">
        <v>6</v>
      </c>
      <c r="H588" t="b">
        <v>0</v>
      </c>
      <c r="I588">
        <v>21</v>
      </c>
      <c r="J588" t="s">
        <v>105</v>
      </c>
      <c r="K588">
        <v>79</v>
      </c>
      <c r="L588">
        <v>65</v>
      </c>
      <c r="M588">
        <v>91</v>
      </c>
      <c r="N588">
        <v>65</v>
      </c>
      <c r="O588">
        <v>61</v>
      </c>
      <c r="P588">
        <v>88</v>
      </c>
      <c r="Q588">
        <v>95</v>
      </c>
      <c r="R588">
        <f>SUM(student_scores[[#This Row],[math_score]:[geography_score]])</f>
        <v>544</v>
      </c>
      <c r="S588" s="3">
        <f>student_scores[[#This Row],[Total_Score]]/7</f>
        <v>77.714285714285708</v>
      </c>
      <c r="T588" s="3" t="str" cm="1">
        <f t="array" ref="T588">_xlfn.IFS(student_scores[[#This Row],[weekly_self_study_hours]]&lt;=5,   "0 - 5", student_scores[[#This Row],[weekly_self_study_hours]]&lt;=10,  "6 - 10", student_scores[[#This Row],[weekly_self_study_hours]]&lt;=20,  "11 - 20",student_scores[[#This Row],[weekly_self_study_hours]]&lt;=30, "21 - 30",TRUE, "31+")</f>
        <v>21 - 30</v>
      </c>
      <c r="U588" t="str" cm="1">
        <f t="array" ref="U588">_xlfn.IFS(student_scores[[#This Row],[absence_days]]=0,"0", student_scores[[#This Row],[absence_days]]&lt;=3,"1-3", student_scores[[#This Row],[absence_days]]&lt;=6,"4-6", TRUE,"7-10")</f>
        <v>4-6</v>
      </c>
      <c r="V588" t="str">
        <f>IF(student_scores[[#This Row],[Total_Score]] &gt;= _xlfn.PERCENTILE.INC(student_scores[Total_Score], 0.8), "Yes", "No")</f>
        <v>No</v>
      </c>
    </row>
    <row r="589" spans="1:22" x14ac:dyDescent="0.35">
      <c r="A589">
        <v>588</v>
      </c>
      <c r="B589" t="s">
        <v>1227</v>
      </c>
      <c r="C589" t="s">
        <v>136</v>
      </c>
      <c r="D589" t="s">
        <v>1228</v>
      </c>
      <c r="E589" t="s">
        <v>20</v>
      </c>
      <c r="F589" t="b">
        <v>0</v>
      </c>
      <c r="G589">
        <v>3</v>
      </c>
      <c r="H589" t="b">
        <v>0</v>
      </c>
      <c r="I589">
        <v>46</v>
      </c>
      <c r="J589" t="s">
        <v>26</v>
      </c>
      <c r="K589">
        <v>96</v>
      </c>
      <c r="L589">
        <v>89</v>
      </c>
      <c r="M589">
        <v>91</v>
      </c>
      <c r="N589">
        <v>90</v>
      </c>
      <c r="O589">
        <v>90</v>
      </c>
      <c r="P589">
        <v>91</v>
      </c>
      <c r="Q589">
        <v>99</v>
      </c>
      <c r="R589">
        <f>SUM(student_scores[[#This Row],[math_score]:[geography_score]])</f>
        <v>646</v>
      </c>
      <c r="S589" s="3">
        <f>student_scores[[#This Row],[Total_Score]]/7</f>
        <v>92.285714285714292</v>
      </c>
      <c r="T589" s="3" t="str" cm="1">
        <f t="array" ref="T589">_xlfn.IFS(student_scores[[#This Row],[weekly_self_study_hours]]&lt;=5,   "0 - 5", student_scores[[#This Row],[weekly_self_study_hours]]&lt;=10,  "6 - 10", student_scores[[#This Row],[weekly_self_study_hours]]&lt;=20,  "11 - 20",student_scores[[#This Row],[weekly_self_study_hours]]&lt;=30, "21 - 30",TRUE, "31+")</f>
        <v>31+</v>
      </c>
      <c r="U589" t="str" cm="1">
        <f t="array" ref="U589">_xlfn.IFS(student_scores[[#This Row],[absence_days]]=0,"0", student_scores[[#This Row],[absence_days]]&lt;=3,"1-3", student_scores[[#This Row],[absence_days]]&lt;=6,"4-6", TRUE,"7-10")</f>
        <v>1-3</v>
      </c>
      <c r="V589" t="str">
        <f>IF(student_scores[[#This Row],[Total_Score]] &gt;= _xlfn.PERCENTILE.INC(student_scores[Total_Score], 0.8), "Yes", "No")</f>
        <v>Yes</v>
      </c>
    </row>
    <row r="590" spans="1:22" x14ac:dyDescent="0.35">
      <c r="A590">
        <v>589</v>
      </c>
      <c r="B590" t="s">
        <v>1229</v>
      </c>
      <c r="C590" t="s">
        <v>275</v>
      </c>
      <c r="D590" t="s">
        <v>1230</v>
      </c>
      <c r="E590" t="s">
        <v>25</v>
      </c>
      <c r="F590" t="b">
        <v>0</v>
      </c>
      <c r="G590">
        <v>6</v>
      </c>
      <c r="H590" t="b">
        <v>0</v>
      </c>
      <c r="I590">
        <v>48</v>
      </c>
      <c r="J590" t="s">
        <v>26</v>
      </c>
      <c r="K590">
        <v>95</v>
      </c>
      <c r="L590">
        <v>90</v>
      </c>
      <c r="M590">
        <v>85</v>
      </c>
      <c r="N590">
        <v>90</v>
      </c>
      <c r="O590">
        <v>96</v>
      </c>
      <c r="P590">
        <v>89</v>
      </c>
      <c r="Q590">
        <v>96</v>
      </c>
      <c r="R590">
        <f>SUM(student_scores[[#This Row],[math_score]:[geography_score]])</f>
        <v>641</v>
      </c>
      <c r="S590" s="3">
        <f>student_scores[[#This Row],[Total_Score]]/7</f>
        <v>91.571428571428569</v>
      </c>
      <c r="T590" s="3" t="str" cm="1">
        <f t="array" ref="T590">_xlfn.IFS(student_scores[[#This Row],[weekly_self_study_hours]]&lt;=5,   "0 - 5", student_scores[[#This Row],[weekly_self_study_hours]]&lt;=10,  "6 - 10", student_scores[[#This Row],[weekly_self_study_hours]]&lt;=20,  "11 - 20",student_scores[[#This Row],[weekly_self_study_hours]]&lt;=30, "21 - 30",TRUE, "31+")</f>
        <v>31+</v>
      </c>
      <c r="U590" t="str" cm="1">
        <f t="array" ref="U590">_xlfn.IFS(student_scores[[#This Row],[absence_days]]=0,"0", student_scores[[#This Row],[absence_days]]&lt;=3,"1-3", student_scores[[#This Row],[absence_days]]&lt;=6,"4-6", TRUE,"7-10")</f>
        <v>4-6</v>
      </c>
      <c r="V590" t="str">
        <f>IF(student_scores[[#This Row],[Total_Score]] &gt;= _xlfn.PERCENTILE.INC(student_scores[Total_Score], 0.8), "Yes", "No")</f>
        <v>Yes</v>
      </c>
    </row>
    <row r="591" spans="1:22" x14ac:dyDescent="0.35">
      <c r="A591">
        <v>590</v>
      </c>
      <c r="B591" t="s">
        <v>214</v>
      </c>
      <c r="C591" t="s">
        <v>504</v>
      </c>
      <c r="D591" t="s">
        <v>1231</v>
      </c>
      <c r="E591" t="s">
        <v>20</v>
      </c>
      <c r="F591" t="b">
        <v>1</v>
      </c>
      <c r="G591">
        <v>1</v>
      </c>
      <c r="H591" t="b">
        <v>0</v>
      </c>
      <c r="I591">
        <v>46</v>
      </c>
      <c r="J591" t="s">
        <v>26</v>
      </c>
      <c r="K591">
        <v>96</v>
      </c>
      <c r="L591">
        <v>85</v>
      </c>
      <c r="M591">
        <v>90</v>
      </c>
      <c r="N591">
        <v>95</v>
      </c>
      <c r="O591">
        <v>100</v>
      </c>
      <c r="P591">
        <v>96</v>
      </c>
      <c r="Q591">
        <v>88</v>
      </c>
      <c r="R591">
        <f>SUM(student_scores[[#This Row],[math_score]:[geography_score]])</f>
        <v>650</v>
      </c>
      <c r="S591" s="3">
        <f>student_scores[[#This Row],[Total_Score]]/7</f>
        <v>92.857142857142861</v>
      </c>
      <c r="T591" s="3" t="str" cm="1">
        <f t="array" ref="T591">_xlfn.IFS(student_scores[[#This Row],[weekly_self_study_hours]]&lt;=5,   "0 - 5", student_scores[[#This Row],[weekly_self_study_hours]]&lt;=10,  "6 - 10", student_scores[[#This Row],[weekly_self_study_hours]]&lt;=20,  "11 - 20",student_scores[[#This Row],[weekly_self_study_hours]]&lt;=30, "21 - 30",TRUE, "31+")</f>
        <v>31+</v>
      </c>
      <c r="U591" t="str" cm="1">
        <f t="array" ref="U591">_xlfn.IFS(student_scores[[#This Row],[absence_days]]=0,"0", student_scores[[#This Row],[absence_days]]&lt;=3,"1-3", student_scores[[#This Row],[absence_days]]&lt;=6,"4-6", TRUE,"7-10")</f>
        <v>1-3</v>
      </c>
      <c r="V591" t="str">
        <f>IF(student_scores[[#This Row],[Total_Score]] &gt;= _xlfn.PERCENTILE.INC(student_scores[Total_Score], 0.8), "Yes", "No")</f>
        <v>Yes</v>
      </c>
    </row>
    <row r="592" spans="1:22" x14ac:dyDescent="0.35">
      <c r="A592">
        <v>591</v>
      </c>
      <c r="B592" t="s">
        <v>1133</v>
      </c>
      <c r="C592" t="s">
        <v>1232</v>
      </c>
      <c r="D592" t="s">
        <v>1233</v>
      </c>
      <c r="E592" t="s">
        <v>25</v>
      </c>
      <c r="F592" t="b">
        <v>1</v>
      </c>
      <c r="G592">
        <v>3</v>
      </c>
      <c r="H592" t="b">
        <v>0</v>
      </c>
      <c r="I592">
        <v>28</v>
      </c>
      <c r="J592" t="s">
        <v>38</v>
      </c>
      <c r="K592">
        <v>95</v>
      </c>
      <c r="L592">
        <v>80</v>
      </c>
      <c r="M592">
        <v>64</v>
      </c>
      <c r="N592">
        <v>97</v>
      </c>
      <c r="O592">
        <v>85</v>
      </c>
      <c r="P592">
        <v>94</v>
      </c>
      <c r="Q592">
        <v>60</v>
      </c>
      <c r="R592">
        <f>SUM(student_scores[[#This Row],[math_score]:[geography_score]])</f>
        <v>575</v>
      </c>
      <c r="S592" s="3">
        <f>student_scores[[#This Row],[Total_Score]]/7</f>
        <v>82.142857142857139</v>
      </c>
      <c r="T592" s="3" t="str" cm="1">
        <f t="array" ref="T592">_xlfn.IFS(student_scores[[#This Row],[weekly_self_study_hours]]&lt;=5,   "0 - 5", student_scores[[#This Row],[weekly_self_study_hours]]&lt;=10,  "6 - 10", student_scores[[#This Row],[weekly_self_study_hours]]&lt;=20,  "11 - 20",student_scores[[#This Row],[weekly_self_study_hours]]&lt;=30, "21 - 30",TRUE, "31+")</f>
        <v>21 - 30</v>
      </c>
      <c r="U592" t="str" cm="1">
        <f t="array" ref="U592">_xlfn.IFS(student_scores[[#This Row],[absence_days]]=0,"0", student_scores[[#This Row],[absence_days]]&lt;=3,"1-3", student_scores[[#This Row],[absence_days]]&lt;=6,"4-6", TRUE,"7-10")</f>
        <v>1-3</v>
      </c>
      <c r="V592" t="str">
        <f>IF(student_scores[[#This Row],[Total_Score]] &gt;= _xlfn.PERCENTILE.INC(student_scores[Total_Score], 0.8), "Yes", "No")</f>
        <v>No</v>
      </c>
    </row>
    <row r="593" spans="1:22" x14ac:dyDescent="0.35">
      <c r="A593">
        <v>592</v>
      </c>
      <c r="B593" t="s">
        <v>160</v>
      </c>
      <c r="C593" t="s">
        <v>281</v>
      </c>
      <c r="D593" t="s">
        <v>1234</v>
      </c>
      <c r="E593" t="s">
        <v>20</v>
      </c>
      <c r="F593" t="b">
        <v>1</v>
      </c>
      <c r="G593">
        <v>4</v>
      </c>
      <c r="H593" t="b">
        <v>0</v>
      </c>
      <c r="I593">
        <v>2</v>
      </c>
      <c r="J593" t="s">
        <v>38</v>
      </c>
      <c r="K593">
        <v>80</v>
      </c>
      <c r="L593">
        <v>62</v>
      </c>
      <c r="M593">
        <v>84</v>
      </c>
      <c r="N593">
        <v>95</v>
      </c>
      <c r="O593">
        <v>71</v>
      </c>
      <c r="P593">
        <v>85</v>
      </c>
      <c r="Q593">
        <v>87</v>
      </c>
      <c r="R593">
        <f>SUM(student_scores[[#This Row],[math_score]:[geography_score]])</f>
        <v>564</v>
      </c>
      <c r="S593" s="3">
        <f>student_scores[[#This Row],[Total_Score]]/7</f>
        <v>80.571428571428569</v>
      </c>
      <c r="T593" s="3" t="str" cm="1">
        <f t="array" ref="T593">_xlfn.IFS(student_scores[[#This Row],[weekly_self_study_hours]]&lt;=5,   "0 - 5", student_scores[[#This Row],[weekly_self_study_hours]]&lt;=10,  "6 - 10", student_scores[[#This Row],[weekly_self_study_hours]]&lt;=20,  "11 - 20",student_scores[[#This Row],[weekly_self_study_hours]]&lt;=30, "21 - 30",TRUE, "31+")</f>
        <v>0 - 5</v>
      </c>
      <c r="U593" t="str" cm="1">
        <f t="array" ref="U593">_xlfn.IFS(student_scores[[#This Row],[absence_days]]=0,"0", student_scores[[#This Row],[absence_days]]&lt;=3,"1-3", student_scores[[#This Row],[absence_days]]&lt;=6,"4-6", TRUE,"7-10")</f>
        <v>4-6</v>
      </c>
      <c r="V593" t="str">
        <f>IF(student_scores[[#This Row],[Total_Score]] &gt;= _xlfn.PERCENTILE.INC(student_scores[Total_Score], 0.8), "Yes", "No")</f>
        <v>No</v>
      </c>
    </row>
    <row r="594" spans="1:22" x14ac:dyDescent="0.35">
      <c r="A594">
        <v>593</v>
      </c>
      <c r="B594" t="s">
        <v>280</v>
      </c>
      <c r="C594" t="s">
        <v>1235</v>
      </c>
      <c r="D594" t="s">
        <v>1236</v>
      </c>
      <c r="E594" t="s">
        <v>20</v>
      </c>
      <c r="F594" t="b">
        <v>1</v>
      </c>
      <c r="G594">
        <v>0</v>
      </c>
      <c r="H594" t="b">
        <v>0</v>
      </c>
      <c r="I594">
        <v>32</v>
      </c>
      <c r="J594" t="s">
        <v>172</v>
      </c>
      <c r="K594">
        <v>86</v>
      </c>
      <c r="L594">
        <v>70</v>
      </c>
      <c r="M594">
        <v>73</v>
      </c>
      <c r="N594">
        <v>85</v>
      </c>
      <c r="O594">
        <v>67</v>
      </c>
      <c r="P594">
        <v>91</v>
      </c>
      <c r="Q594">
        <v>98</v>
      </c>
      <c r="R594">
        <f>SUM(student_scores[[#This Row],[math_score]:[geography_score]])</f>
        <v>570</v>
      </c>
      <c r="S594" s="3">
        <f>student_scores[[#This Row],[Total_Score]]/7</f>
        <v>81.428571428571431</v>
      </c>
      <c r="T594" s="3" t="str" cm="1">
        <f t="array" ref="T594">_xlfn.IFS(student_scores[[#This Row],[weekly_self_study_hours]]&lt;=5,   "0 - 5", student_scores[[#This Row],[weekly_self_study_hours]]&lt;=10,  "6 - 10", student_scores[[#This Row],[weekly_self_study_hours]]&lt;=20,  "11 - 20",student_scores[[#This Row],[weekly_self_study_hours]]&lt;=30, "21 - 30",TRUE, "31+")</f>
        <v>31+</v>
      </c>
      <c r="U594" t="str" cm="1">
        <f t="array" ref="U594">_xlfn.IFS(student_scores[[#This Row],[absence_days]]=0,"0", student_scores[[#This Row],[absence_days]]&lt;=3,"1-3", student_scores[[#This Row],[absence_days]]&lt;=6,"4-6", TRUE,"7-10")</f>
        <v>0</v>
      </c>
      <c r="V594" t="str">
        <f>IF(student_scores[[#This Row],[Total_Score]] &gt;= _xlfn.PERCENTILE.INC(student_scores[Total_Score], 0.8), "Yes", "No")</f>
        <v>No</v>
      </c>
    </row>
    <row r="595" spans="1:22" x14ac:dyDescent="0.35">
      <c r="A595">
        <v>594</v>
      </c>
      <c r="B595" t="s">
        <v>214</v>
      </c>
      <c r="C595" t="s">
        <v>313</v>
      </c>
      <c r="D595" t="s">
        <v>1237</v>
      </c>
      <c r="E595" t="s">
        <v>20</v>
      </c>
      <c r="F595" t="b">
        <v>1</v>
      </c>
      <c r="G595">
        <v>10</v>
      </c>
      <c r="H595" t="b">
        <v>0</v>
      </c>
      <c r="I595">
        <v>5</v>
      </c>
      <c r="J595" t="s">
        <v>64</v>
      </c>
      <c r="K595">
        <v>42</v>
      </c>
      <c r="L595">
        <v>95</v>
      </c>
      <c r="M595">
        <v>99</v>
      </c>
      <c r="N595">
        <v>61</v>
      </c>
      <c r="O595">
        <v>62</v>
      </c>
      <c r="P595">
        <v>77</v>
      </c>
      <c r="Q595">
        <v>99</v>
      </c>
      <c r="R595">
        <f>SUM(student_scores[[#This Row],[math_score]:[geography_score]])</f>
        <v>535</v>
      </c>
      <c r="S595" s="3">
        <f>student_scores[[#This Row],[Total_Score]]/7</f>
        <v>76.428571428571431</v>
      </c>
      <c r="T595" s="3" t="str" cm="1">
        <f t="array" ref="T595">_xlfn.IFS(student_scores[[#This Row],[weekly_self_study_hours]]&lt;=5,   "0 - 5", student_scores[[#This Row],[weekly_self_study_hours]]&lt;=10,  "6 - 10", student_scores[[#This Row],[weekly_self_study_hours]]&lt;=20,  "11 - 20",student_scores[[#This Row],[weekly_self_study_hours]]&lt;=30, "21 - 30",TRUE, "31+")</f>
        <v>0 - 5</v>
      </c>
      <c r="U595" t="str" cm="1">
        <f t="array" ref="U595">_xlfn.IFS(student_scores[[#This Row],[absence_days]]=0,"0", student_scores[[#This Row],[absence_days]]&lt;=3,"1-3", student_scores[[#This Row],[absence_days]]&lt;=6,"4-6", TRUE,"7-10")</f>
        <v>7-10</v>
      </c>
      <c r="V595" t="str">
        <f>IF(student_scores[[#This Row],[Total_Score]] &gt;= _xlfn.PERCENTILE.INC(student_scores[Total_Score], 0.8), "Yes", "No")</f>
        <v>No</v>
      </c>
    </row>
    <row r="596" spans="1:22" x14ac:dyDescent="0.35">
      <c r="A596">
        <v>595</v>
      </c>
      <c r="B596" t="s">
        <v>361</v>
      </c>
      <c r="C596" t="s">
        <v>1238</v>
      </c>
      <c r="D596" t="s">
        <v>1239</v>
      </c>
      <c r="E596" t="s">
        <v>25</v>
      </c>
      <c r="F596" t="b">
        <v>0</v>
      </c>
      <c r="G596">
        <v>4</v>
      </c>
      <c r="H596" t="b">
        <v>0</v>
      </c>
      <c r="I596">
        <v>31</v>
      </c>
      <c r="J596" t="s">
        <v>21</v>
      </c>
      <c r="K596">
        <v>80</v>
      </c>
      <c r="L596">
        <v>93</v>
      </c>
      <c r="M596">
        <v>93</v>
      </c>
      <c r="N596">
        <v>94</v>
      </c>
      <c r="O596">
        <v>81</v>
      </c>
      <c r="P596">
        <v>81</v>
      </c>
      <c r="Q596">
        <v>78</v>
      </c>
      <c r="R596">
        <f>SUM(student_scores[[#This Row],[math_score]:[geography_score]])</f>
        <v>600</v>
      </c>
      <c r="S596" s="3">
        <f>student_scores[[#This Row],[Total_Score]]/7</f>
        <v>85.714285714285708</v>
      </c>
      <c r="T596" s="3" t="str" cm="1">
        <f t="array" ref="T596">_xlfn.IFS(student_scores[[#This Row],[weekly_self_study_hours]]&lt;=5,   "0 - 5", student_scores[[#This Row],[weekly_self_study_hours]]&lt;=10,  "6 - 10", student_scores[[#This Row],[weekly_self_study_hours]]&lt;=20,  "11 - 20",student_scores[[#This Row],[weekly_self_study_hours]]&lt;=30, "21 - 30",TRUE, "31+")</f>
        <v>31+</v>
      </c>
      <c r="U596" t="str" cm="1">
        <f t="array" ref="U596">_xlfn.IFS(student_scores[[#This Row],[absence_days]]=0,"0", student_scores[[#This Row],[absence_days]]&lt;=3,"1-3", student_scores[[#This Row],[absence_days]]&lt;=6,"4-6", TRUE,"7-10")</f>
        <v>4-6</v>
      </c>
      <c r="V596" t="str">
        <f>IF(student_scores[[#This Row],[Total_Score]] &gt;= _xlfn.PERCENTILE.INC(student_scores[Total_Score], 0.8), "Yes", "No")</f>
        <v>No</v>
      </c>
    </row>
    <row r="597" spans="1:22" x14ac:dyDescent="0.35">
      <c r="A597">
        <v>596</v>
      </c>
      <c r="B597" t="s">
        <v>124</v>
      </c>
      <c r="C597" t="s">
        <v>739</v>
      </c>
      <c r="D597" t="s">
        <v>1240</v>
      </c>
      <c r="E597" t="s">
        <v>20</v>
      </c>
      <c r="F597" t="b">
        <v>0</v>
      </c>
      <c r="G597">
        <v>4</v>
      </c>
      <c r="H597" t="b">
        <v>1</v>
      </c>
      <c r="I597">
        <v>1</v>
      </c>
      <c r="J597" t="s">
        <v>34</v>
      </c>
      <c r="K597">
        <v>79</v>
      </c>
      <c r="L597">
        <v>97</v>
      </c>
      <c r="M597">
        <v>100</v>
      </c>
      <c r="N597">
        <v>94</v>
      </c>
      <c r="O597">
        <v>65</v>
      </c>
      <c r="P597">
        <v>62</v>
      </c>
      <c r="Q597">
        <v>76</v>
      </c>
      <c r="R597">
        <f>SUM(student_scores[[#This Row],[math_score]:[geography_score]])</f>
        <v>573</v>
      </c>
      <c r="S597" s="3">
        <f>student_scores[[#This Row],[Total_Score]]/7</f>
        <v>81.857142857142861</v>
      </c>
      <c r="T597" s="3" t="str" cm="1">
        <f t="array" ref="T597">_xlfn.IFS(student_scores[[#This Row],[weekly_self_study_hours]]&lt;=5,   "0 - 5", student_scores[[#This Row],[weekly_self_study_hours]]&lt;=10,  "6 - 10", student_scores[[#This Row],[weekly_self_study_hours]]&lt;=20,  "11 - 20",student_scores[[#This Row],[weekly_self_study_hours]]&lt;=30, "21 - 30",TRUE, "31+")</f>
        <v>0 - 5</v>
      </c>
      <c r="U597" t="str" cm="1">
        <f t="array" ref="U597">_xlfn.IFS(student_scores[[#This Row],[absence_days]]=0,"0", student_scores[[#This Row],[absence_days]]&lt;=3,"1-3", student_scores[[#This Row],[absence_days]]&lt;=6,"4-6", TRUE,"7-10")</f>
        <v>4-6</v>
      </c>
      <c r="V597" t="str">
        <f>IF(student_scores[[#This Row],[Total_Score]] &gt;= _xlfn.PERCENTILE.INC(student_scores[Total_Score], 0.8), "Yes", "No")</f>
        <v>No</v>
      </c>
    </row>
    <row r="598" spans="1:22" x14ac:dyDescent="0.35">
      <c r="A598">
        <v>597</v>
      </c>
      <c r="B598" t="s">
        <v>294</v>
      </c>
      <c r="C598" t="s">
        <v>74</v>
      </c>
      <c r="D598" t="s">
        <v>1241</v>
      </c>
      <c r="E598" t="s">
        <v>25</v>
      </c>
      <c r="F598" t="b">
        <v>1</v>
      </c>
      <c r="G598">
        <v>9</v>
      </c>
      <c r="H598" t="b">
        <v>1</v>
      </c>
      <c r="I598">
        <v>4</v>
      </c>
      <c r="J598" t="s">
        <v>64</v>
      </c>
      <c r="K598">
        <v>43</v>
      </c>
      <c r="L598">
        <v>63</v>
      </c>
      <c r="M598">
        <v>91</v>
      </c>
      <c r="N598">
        <v>67</v>
      </c>
      <c r="O598">
        <v>74</v>
      </c>
      <c r="P598">
        <v>71</v>
      </c>
      <c r="Q598">
        <v>88</v>
      </c>
      <c r="R598">
        <f>SUM(student_scores[[#This Row],[math_score]:[geography_score]])</f>
        <v>497</v>
      </c>
      <c r="S598" s="3">
        <f>student_scores[[#This Row],[Total_Score]]/7</f>
        <v>71</v>
      </c>
      <c r="T598" s="3" t="str" cm="1">
        <f t="array" ref="T598">_xlfn.IFS(student_scores[[#This Row],[weekly_self_study_hours]]&lt;=5,   "0 - 5", student_scores[[#This Row],[weekly_self_study_hours]]&lt;=10,  "6 - 10", student_scores[[#This Row],[weekly_self_study_hours]]&lt;=20,  "11 - 20",student_scores[[#This Row],[weekly_self_study_hours]]&lt;=30, "21 - 30",TRUE, "31+")</f>
        <v>0 - 5</v>
      </c>
      <c r="U598" t="str" cm="1">
        <f t="array" ref="U598">_xlfn.IFS(student_scores[[#This Row],[absence_days]]=0,"0", student_scores[[#This Row],[absence_days]]&lt;=3,"1-3", student_scores[[#This Row],[absence_days]]&lt;=6,"4-6", TRUE,"7-10")</f>
        <v>7-10</v>
      </c>
      <c r="V598" t="str">
        <f>IF(student_scores[[#This Row],[Total_Score]] &gt;= _xlfn.PERCENTILE.INC(student_scores[Total_Score], 0.8), "Yes", "No")</f>
        <v>No</v>
      </c>
    </row>
    <row r="599" spans="1:22" x14ac:dyDescent="0.35">
      <c r="A599">
        <v>598</v>
      </c>
      <c r="B599" t="s">
        <v>476</v>
      </c>
      <c r="C599" t="s">
        <v>281</v>
      </c>
      <c r="D599" t="s">
        <v>1242</v>
      </c>
      <c r="E599" t="s">
        <v>20</v>
      </c>
      <c r="F599" t="b">
        <v>0</v>
      </c>
      <c r="G599">
        <v>2</v>
      </c>
      <c r="H599" t="b">
        <v>1</v>
      </c>
      <c r="I599">
        <v>8</v>
      </c>
      <c r="J599" t="s">
        <v>224</v>
      </c>
      <c r="K599">
        <v>58</v>
      </c>
      <c r="L599">
        <v>84</v>
      </c>
      <c r="M599">
        <v>95</v>
      </c>
      <c r="N599">
        <v>66</v>
      </c>
      <c r="O599">
        <v>99</v>
      </c>
      <c r="P599">
        <v>91</v>
      </c>
      <c r="Q599">
        <v>70</v>
      </c>
      <c r="R599">
        <f>SUM(student_scores[[#This Row],[math_score]:[geography_score]])</f>
        <v>563</v>
      </c>
      <c r="S599" s="3">
        <f>student_scores[[#This Row],[Total_Score]]/7</f>
        <v>80.428571428571431</v>
      </c>
      <c r="T599" s="3" t="str" cm="1">
        <f t="array" ref="T599">_xlfn.IFS(student_scores[[#This Row],[weekly_self_study_hours]]&lt;=5,   "0 - 5", student_scores[[#This Row],[weekly_self_study_hours]]&lt;=10,  "6 - 10", student_scores[[#This Row],[weekly_self_study_hours]]&lt;=20,  "11 - 20",student_scores[[#This Row],[weekly_self_study_hours]]&lt;=30, "21 - 30",TRUE, "31+")</f>
        <v>6 - 10</v>
      </c>
      <c r="U599" t="str" cm="1">
        <f t="array" ref="U599">_xlfn.IFS(student_scores[[#This Row],[absence_days]]=0,"0", student_scores[[#This Row],[absence_days]]&lt;=3,"1-3", student_scores[[#This Row],[absence_days]]&lt;=6,"4-6", TRUE,"7-10")</f>
        <v>1-3</v>
      </c>
      <c r="V599" t="str">
        <f>IF(student_scores[[#This Row],[Total_Score]] &gt;= _xlfn.PERCENTILE.INC(student_scores[Total_Score], 0.8), "Yes", "No")</f>
        <v>No</v>
      </c>
    </row>
    <row r="600" spans="1:22" x14ac:dyDescent="0.35">
      <c r="A600">
        <v>599</v>
      </c>
      <c r="B600" t="s">
        <v>720</v>
      </c>
      <c r="C600" t="s">
        <v>450</v>
      </c>
      <c r="D600" t="s">
        <v>1243</v>
      </c>
      <c r="E600" t="s">
        <v>25</v>
      </c>
      <c r="F600" t="b">
        <v>0</v>
      </c>
      <c r="G600">
        <v>3</v>
      </c>
      <c r="H600" t="b">
        <v>1</v>
      </c>
      <c r="I600">
        <v>23</v>
      </c>
      <c r="J600" t="s">
        <v>113</v>
      </c>
      <c r="K600">
        <v>86</v>
      </c>
      <c r="L600">
        <v>73</v>
      </c>
      <c r="M600">
        <v>83</v>
      </c>
      <c r="N600">
        <v>93</v>
      </c>
      <c r="O600">
        <v>46</v>
      </c>
      <c r="P600">
        <v>91</v>
      </c>
      <c r="Q600">
        <v>70</v>
      </c>
      <c r="R600">
        <f>SUM(student_scores[[#This Row],[math_score]:[geography_score]])</f>
        <v>542</v>
      </c>
      <c r="S600" s="3">
        <f>student_scores[[#This Row],[Total_Score]]/7</f>
        <v>77.428571428571431</v>
      </c>
      <c r="T600" s="3" t="str" cm="1">
        <f t="array" ref="T600">_xlfn.IFS(student_scores[[#This Row],[weekly_self_study_hours]]&lt;=5,   "0 - 5", student_scores[[#This Row],[weekly_self_study_hours]]&lt;=10,  "6 - 10", student_scores[[#This Row],[weekly_self_study_hours]]&lt;=20,  "11 - 20",student_scores[[#This Row],[weekly_self_study_hours]]&lt;=30, "21 - 30",TRUE, "31+")</f>
        <v>21 - 30</v>
      </c>
      <c r="U600" t="str" cm="1">
        <f t="array" ref="U600">_xlfn.IFS(student_scores[[#This Row],[absence_days]]=0,"0", student_scores[[#This Row],[absence_days]]&lt;=3,"1-3", student_scores[[#This Row],[absence_days]]&lt;=6,"4-6", TRUE,"7-10")</f>
        <v>1-3</v>
      </c>
      <c r="V600" t="str">
        <f>IF(student_scores[[#This Row],[Total_Score]] &gt;= _xlfn.PERCENTILE.INC(student_scores[Total_Score], 0.8), "Yes", "No")</f>
        <v>No</v>
      </c>
    </row>
    <row r="601" spans="1:22" x14ac:dyDescent="0.35">
      <c r="A601">
        <v>600</v>
      </c>
      <c r="B601" t="s">
        <v>185</v>
      </c>
      <c r="C601" t="s">
        <v>1244</v>
      </c>
      <c r="D601" t="s">
        <v>1245</v>
      </c>
      <c r="E601" t="s">
        <v>25</v>
      </c>
      <c r="F601" t="b">
        <v>0</v>
      </c>
      <c r="G601">
        <v>1</v>
      </c>
      <c r="H601" t="b">
        <v>0</v>
      </c>
      <c r="I601">
        <v>23</v>
      </c>
      <c r="J601" t="s">
        <v>26</v>
      </c>
      <c r="K601">
        <v>96</v>
      </c>
      <c r="L601">
        <v>91</v>
      </c>
      <c r="M601">
        <v>97</v>
      </c>
      <c r="N601">
        <v>84</v>
      </c>
      <c r="O601">
        <v>89</v>
      </c>
      <c r="P601">
        <v>82</v>
      </c>
      <c r="Q601">
        <v>75</v>
      </c>
      <c r="R601">
        <f>SUM(student_scores[[#This Row],[math_score]:[geography_score]])</f>
        <v>614</v>
      </c>
      <c r="S601" s="3">
        <f>student_scores[[#This Row],[Total_Score]]/7</f>
        <v>87.714285714285708</v>
      </c>
      <c r="T601" s="3" t="str" cm="1">
        <f t="array" ref="T601">_xlfn.IFS(student_scores[[#This Row],[weekly_self_study_hours]]&lt;=5,   "0 - 5", student_scores[[#This Row],[weekly_self_study_hours]]&lt;=10,  "6 - 10", student_scores[[#This Row],[weekly_self_study_hours]]&lt;=20,  "11 - 20",student_scores[[#This Row],[weekly_self_study_hours]]&lt;=30, "21 - 30",TRUE, "31+")</f>
        <v>21 - 30</v>
      </c>
      <c r="U601" t="str" cm="1">
        <f t="array" ref="U601">_xlfn.IFS(student_scores[[#This Row],[absence_days]]=0,"0", student_scores[[#This Row],[absence_days]]&lt;=3,"1-3", student_scores[[#This Row],[absence_days]]&lt;=6,"4-6", TRUE,"7-10")</f>
        <v>1-3</v>
      </c>
      <c r="V601" t="str">
        <f>IF(student_scores[[#This Row],[Total_Score]] &gt;= _xlfn.PERCENTILE.INC(student_scores[Total_Score], 0.8), "Yes", "No")</f>
        <v>Yes</v>
      </c>
    </row>
    <row r="602" spans="1:22" x14ac:dyDescent="0.35">
      <c r="A602">
        <v>601</v>
      </c>
      <c r="B602" t="s">
        <v>840</v>
      </c>
      <c r="C602" t="s">
        <v>385</v>
      </c>
      <c r="D602" t="s">
        <v>1246</v>
      </c>
      <c r="E602" t="s">
        <v>20</v>
      </c>
      <c r="F602" t="b">
        <v>0</v>
      </c>
      <c r="G602">
        <v>1</v>
      </c>
      <c r="H602" t="b">
        <v>0</v>
      </c>
      <c r="I602">
        <v>28</v>
      </c>
      <c r="J602" t="s">
        <v>21</v>
      </c>
      <c r="K602">
        <v>91</v>
      </c>
      <c r="L602">
        <v>88</v>
      </c>
      <c r="M602">
        <v>98</v>
      </c>
      <c r="N602">
        <v>89</v>
      </c>
      <c r="O602">
        <v>75</v>
      </c>
      <c r="P602">
        <v>91</v>
      </c>
      <c r="Q602">
        <v>92</v>
      </c>
      <c r="R602">
        <f>SUM(student_scores[[#This Row],[math_score]:[geography_score]])</f>
        <v>624</v>
      </c>
      <c r="S602" s="3">
        <f>student_scores[[#This Row],[Total_Score]]/7</f>
        <v>89.142857142857139</v>
      </c>
      <c r="T602" s="3" t="str" cm="1">
        <f t="array" ref="T602">_xlfn.IFS(student_scores[[#This Row],[weekly_self_study_hours]]&lt;=5,   "0 - 5", student_scores[[#This Row],[weekly_self_study_hours]]&lt;=10,  "6 - 10", student_scores[[#This Row],[weekly_self_study_hours]]&lt;=20,  "11 - 20",student_scores[[#This Row],[weekly_self_study_hours]]&lt;=30, "21 - 30",TRUE, "31+")</f>
        <v>21 - 30</v>
      </c>
      <c r="U602" t="str" cm="1">
        <f t="array" ref="U602">_xlfn.IFS(student_scores[[#This Row],[absence_days]]=0,"0", student_scores[[#This Row],[absence_days]]&lt;=3,"1-3", student_scores[[#This Row],[absence_days]]&lt;=6,"4-6", TRUE,"7-10")</f>
        <v>1-3</v>
      </c>
      <c r="V602" t="str">
        <f>IF(student_scores[[#This Row],[Total_Score]] &gt;= _xlfn.PERCENTILE.INC(student_scores[Total_Score], 0.8), "Yes", "No")</f>
        <v>Yes</v>
      </c>
    </row>
    <row r="603" spans="1:22" x14ac:dyDescent="0.35">
      <c r="A603">
        <v>602</v>
      </c>
      <c r="B603" t="s">
        <v>202</v>
      </c>
      <c r="C603" t="s">
        <v>1247</v>
      </c>
      <c r="D603" t="s">
        <v>1248</v>
      </c>
      <c r="E603" t="s">
        <v>25</v>
      </c>
      <c r="F603" t="b">
        <v>0</v>
      </c>
      <c r="G603">
        <v>1</v>
      </c>
      <c r="H603" t="b">
        <v>0</v>
      </c>
      <c r="I603">
        <v>7</v>
      </c>
      <c r="J603" t="s">
        <v>38</v>
      </c>
      <c r="K603">
        <v>85</v>
      </c>
      <c r="L603">
        <v>62</v>
      </c>
      <c r="M603">
        <v>77</v>
      </c>
      <c r="N603">
        <v>62</v>
      </c>
      <c r="O603">
        <v>80</v>
      </c>
      <c r="P603">
        <v>88</v>
      </c>
      <c r="Q603">
        <v>83</v>
      </c>
      <c r="R603">
        <f>SUM(student_scores[[#This Row],[math_score]:[geography_score]])</f>
        <v>537</v>
      </c>
      <c r="S603" s="3">
        <f>student_scores[[#This Row],[Total_Score]]/7</f>
        <v>76.714285714285708</v>
      </c>
      <c r="T603" s="3" t="str" cm="1">
        <f t="array" ref="T603">_xlfn.IFS(student_scores[[#This Row],[weekly_self_study_hours]]&lt;=5,   "0 - 5", student_scores[[#This Row],[weekly_self_study_hours]]&lt;=10,  "6 - 10", student_scores[[#This Row],[weekly_self_study_hours]]&lt;=20,  "11 - 20",student_scores[[#This Row],[weekly_self_study_hours]]&lt;=30, "21 - 30",TRUE, "31+")</f>
        <v>6 - 10</v>
      </c>
      <c r="U603" t="str" cm="1">
        <f t="array" ref="U603">_xlfn.IFS(student_scores[[#This Row],[absence_days]]=0,"0", student_scores[[#This Row],[absence_days]]&lt;=3,"1-3", student_scores[[#This Row],[absence_days]]&lt;=6,"4-6", TRUE,"7-10")</f>
        <v>1-3</v>
      </c>
      <c r="V603" t="str">
        <f>IF(student_scores[[#This Row],[Total_Score]] &gt;= _xlfn.PERCENTILE.INC(student_scores[Total_Score], 0.8), "Yes", "No")</f>
        <v>No</v>
      </c>
    </row>
    <row r="604" spans="1:22" x14ac:dyDescent="0.35">
      <c r="A604">
        <v>603</v>
      </c>
      <c r="B604" t="s">
        <v>999</v>
      </c>
      <c r="C604" t="s">
        <v>1249</v>
      </c>
      <c r="D604" t="s">
        <v>1250</v>
      </c>
      <c r="E604" t="s">
        <v>25</v>
      </c>
      <c r="F604" t="b">
        <v>0</v>
      </c>
      <c r="G604">
        <v>0</v>
      </c>
      <c r="H604" t="b">
        <v>0</v>
      </c>
      <c r="I604">
        <v>5</v>
      </c>
      <c r="J604" t="s">
        <v>34</v>
      </c>
      <c r="K604">
        <v>87</v>
      </c>
      <c r="L604">
        <v>91</v>
      </c>
      <c r="M604">
        <v>93</v>
      </c>
      <c r="N604">
        <v>92</v>
      </c>
      <c r="O604">
        <v>97</v>
      </c>
      <c r="P604">
        <v>95</v>
      </c>
      <c r="Q604">
        <v>99</v>
      </c>
      <c r="R604">
        <f>SUM(student_scores[[#This Row],[math_score]:[geography_score]])</f>
        <v>654</v>
      </c>
      <c r="S604" s="3">
        <f>student_scores[[#This Row],[Total_Score]]/7</f>
        <v>93.428571428571431</v>
      </c>
      <c r="T604" s="3" t="str" cm="1">
        <f t="array" ref="T604">_xlfn.IFS(student_scores[[#This Row],[weekly_self_study_hours]]&lt;=5,   "0 - 5", student_scores[[#This Row],[weekly_self_study_hours]]&lt;=10,  "6 - 10", student_scores[[#This Row],[weekly_self_study_hours]]&lt;=20,  "11 - 20",student_scores[[#This Row],[weekly_self_study_hours]]&lt;=30, "21 - 30",TRUE, "31+")</f>
        <v>0 - 5</v>
      </c>
      <c r="U604" t="str" cm="1">
        <f t="array" ref="U604">_xlfn.IFS(student_scores[[#This Row],[absence_days]]=0,"0", student_scores[[#This Row],[absence_days]]&lt;=3,"1-3", student_scores[[#This Row],[absence_days]]&lt;=6,"4-6", TRUE,"7-10")</f>
        <v>0</v>
      </c>
      <c r="V604" t="str">
        <f>IF(student_scores[[#This Row],[Total_Score]] &gt;= _xlfn.PERCENTILE.INC(student_scores[Total_Score], 0.8), "Yes", "No")</f>
        <v>Yes</v>
      </c>
    </row>
    <row r="605" spans="1:22" x14ac:dyDescent="0.35">
      <c r="A605">
        <v>604</v>
      </c>
      <c r="B605" t="s">
        <v>555</v>
      </c>
      <c r="C605" t="s">
        <v>518</v>
      </c>
      <c r="D605" t="s">
        <v>1251</v>
      </c>
      <c r="E605" t="s">
        <v>25</v>
      </c>
      <c r="F605" t="b">
        <v>0</v>
      </c>
      <c r="G605">
        <v>2</v>
      </c>
      <c r="H605" t="b">
        <v>0</v>
      </c>
      <c r="I605">
        <v>4</v>
      </c>
      <c r="J605" t="s">
        <v>38</v>
      </c>
      <c r="K605">
        <v>60</v>
      </c>
      <c r="L605">
        <v>91</v>
      </c>
      <c r="M605">
        <v>85</v>
      </c>
      <c r="N605">
        <v>67</v>
      </c>
      <c r="O605">
        <v>98</v>
      </c>
      <c r="P605">
        <v>61</v>
      </c>
      <c r="Q605">
        <v>64</v>
      </c>
      <c r="R605">
        <f>SUM(student_scores[[#This Row],[math_score]:[geography_score]])</f>
        <v>526</v>
      </c>
      <c r="S605" s="3">
        <f>student_scores[[#This Row],[Total_Score]]/7</f>
        <v>75.142857142857139</v>
      </c>
      <c r="T605" s="3" t="str" cm="1">
        <f t="array" ref="T605">_xlfn.IFS(student_scores[[#This Row],[weekly_self_study_hours]]&lt;=5,   "0 - 5", student_scores[[#This Row],[weekly_self_study_hours]]&lt;=10,  "6 - 10", student_scores[[#This Row],[weekly_self_study_hours]]&lt;=20,  "11 - 20",student_scores[[#This Row],[weekly_self_study_hours]]&lt;=30, "21 - 30",TRUE, "31+")</f>
        <v>0 - 5</v>
      </c>
      <c r="U605" t="str" cm="1">
        <f t="array" ref="U605">_xlfn.IFS(student_scores[[#This Row],[absence_days]]=0,"0", student_scores[[#This Row],[absence_days]]&lt;=3,"1-3", student_scores[[#This Row],[absence_days]]&lt;=6,"4-6", TRUE,"7-10")</f>
        <v>1-3</v>
      </c>
      <c r="V605" t="str">
        <f>IF(student_scores[[#This Row],[Total_Score]] &gt;= _xlfn.PERCENTILE.INC(student_scores[Total_Score], 0.8), "Yes", "No")</f>
        <v>No</v>
      </c>
    </row>
    <row r="606" spans="1:22" x14ac:dyDescent="0.35">
      <c r="A606">
        <v>605</v>
      </c>
      <c r="B606" t="s">
        <v>190</v>
      </c>
      <c r="C606" t="s">
        <v>1252</v>
      </c>
      <c r="D606" t="s">
        <v>1253</v>
      </c>
      <c r="E606" t="s">
        <v>25</v>
      </c>
      <c r="F606" t="b">
        <v>0</v>
      </c>
      <c r="G606">
        <v>2</v>
      </c>
      <c r="H606" t="b">
        <v>0</v>
      </c>
      <c r="I606">
        <v>26</v>
      </c>
      <c r="J606" t="s">
        <v>38</v>
      </c>
      <c r="K606">
        <v>76</v>
      </c>
      <c r="L606">
        <v>85</v>
      </c>
      <c r="M606">
        <v>67</v>
      </c>
      <c r="N606">
        <v>60</v>
      </c>
      <c r="O606">
        <v>100</v>
      </c>
      <c r="P606">
        <v>63</v>
      </c>
      <c r="Q606">
        <v>64</v>
      </c>
      <c r="R606">
        <f>SUM(student_scores[[#This Row],[math_score]:[geography_score]])</f>
        <v>515</v>
      </c>
      <c r="S606" s="3">
        <f>student_scores[[#This Row],[Total_Score]]/7</f>
        <v>73.571428571428569</v>
      </c>
      <c r="T606" s="3" t="str" cm="1">
        <f t="array" ref="T606">_xlfn.IFS(student_scores[[#This Row],[weekly_self_study_hours]]&lt;=5,   "0 - 5", student_scores[[#This Row],[weekly_self_study_hours]]&lt;=10,  "6 - 10", student_scores[[#This Row],[weekly_self_study_hours]]&lt;=20,  "11 - 20",student_scores[[#This Row],[weekly_self_study_hours]]&lt;=30, "21 - 30",TRUE, "31+")</f>
        <v>21 - 30</v>
      </c>
      <c r="U606" t="str" cm="1">
        <f t="array" ref="U606">_xlfn.IFS(student_scores[[#This Row],[absence_days]]=0,"0", student_scores[[#This Row],[absence_days]]&lt;=3,"1-3", student_scores[[#This Row],[absence_days]]&lt;=6,"4-6", TRUE,"7-10")</f>
        <v>1-3</v>
      </c>
      <c r="V606" t="str">
        <f>IF(student_scores[[#This Row],[Total_Score]] &gt;= _xlfn.PERCENTILE.INC(student_scores[Total_Score], 0.8), "Yes", "No")</f>
        <v>No</v>
      </c>
    </row>
    <row r="607" spans="1:22" x14ac:dyDescent="0.35">
      <c r="A607">
        <v>606</v>
      </c>
      <c r="B607" t="s">
        <v>39</v>
      </c>
      <c r="C607" t="s">
        <v>1254</v>
      </c>
      <c r="D607" t="s">
        <v>1255</v>
      </c>
      <c r="E607" t="s">
        <v>25</v>
      </c>
      <c r="F607" t="b">
        <v>0</v>
      </c>
      <c r="G607">
        <v>4</v>
      </c>
      <c r="H607" t="b">
        <v>1</v>
      </c>
      <c r="I607">
        <v>33</v>
      </c>
      <c r="J607" t="s">
        <v>21</v>
      </c>
      <c r="K607">
        <v>84</v>
      </c>
      <c r="L607">
        <v>89</v>
      </c>
      <c r="M607">
        <v>74</v>
      </c>
      <c r="N607">
        <v>79</v>
      </c>
      <c r="O607">
        <v>86</v>
      </c>
      <c r="P607">
        <v>93</v>
      </c>
      <c r="Q607">
        <v>95</v>
      </c>
      <c r="R607">
        <f>SUM(student_scores[[#This Row],[math_score]:[geography_score]])</f>
        <v>600</v>
      </c>
      <c r="S607" s="3">
        <f>student_scores[[#This Row],[Total_Score]]/7</f>
        <v>85.714285714285708</v>
      </c>
      <c r="T607" s="3" t="str" cm="1">
        <f t="array" ref="T607">_xlfn.IFS(student_scores[[#This Row],[weekly_self_study_hours]]&lt;=5,   "0 - 5", student_scores[[#This Row],[weekly_self_study_hours]]&lt;=10,  "6 - 10", student_scores[[#This Row],[weekly_self_study_hours]]&lt;=20,  "11 - 20",student_scores[[#This Row],[weekly_self_study_hours]]&lt;=30, "21 - 30",TRUE, "31+")</f>
        <v>31+</v>
      </c>
      <c r="U607" t="str" cm="1">
        <f t="array" ref="U607">_xlfn.IFS(student_scores[[#This Row],[absence_days]]=0,"0", student_scores[[#This Row],[absence_days]]&lt;=3,"1-3", student_scores[[#This Row],[absence_days]]&lt;=6,"4-6", TRUE,"7-10")</f>
        <v>4-6</v>
      </c>
      <c r="V607" t="str">
        <f>IF(student_scores[[#This Row],[Total_Score]] &gt;= _xlfn.PERCENTILE.INC(student_scores[Total_Score], 0.8), "Yes", "No")</f>
        <v>No</v>
      </c>
    </row>
    <row r="608" spans="1:22" x14ac:dyDescent="0.35">
      <c r="A608">
        <v>607</v>
      </c>
      <c r="B608" t="s">
        <v>205</v>
      </c>
      <c r="C608" t="s">
        <v>1256</v>
      </c>
      <c r="D608" t="s">
        <v>1257</v>
      </c>
      <c r="E608" t="s">
        <v>25</v>
      </c>
      <c r="F608" t="b">
        <v>0</v>
      </c>
      <c r="G608">
        <v>4</v>
      </c>
      <c r="H608" t="b">
        <v>1</v>
      </c>
      <c r="I608">
        <v>34</v>
      </c>
      <c r="J608" t="s">
        <v>21</v>
      </c>
      <c r="K608">
        <v>87</v>
      </c>
      <c r="L608">
        <v>94</v>
      </c>
      <c r="M608">
        <v>74</v>
      </c>
      <c r="N608">
        <v>84</v>
      </c>
      <c r="O608">
        <v>77</v>
      </c>
      <c r="P608">
        <v>82</v>
      </c>
      <c r="Q608">
        <v>85</v>
      </c>
      <c r="R608">
        <f>SUM(student_scores[[#This Row],[math_score]:[geography_score]])</f>
        <v>583</v>
      </c>
      <c r="S608" s="3">
        <f>student_scores[[#This Row],[Total_Score]]/7</f>
        <v>83.285714285714292</v>
      </c>
      <c r="T608" s="3" t="str" cm="1">
        <f t="array" ref="T608">_xlfn.IFS(student_scores[[#This Row],[weekly_self_study_hours]]&lt;=5,   "0 - 5", student_scores[[#This Row],[weekly_self_study_hours]]&lt;=10,  "6 - 10", student_scores[[#This Row],[weekly_self_study_hours]]&lt;=20,  "11 - 20",student_scores[[#This Row],[weekly_self_study_hours]]&lt;=30, "21 - 30",TRUE, "31+")</f>
        <v>31+</v>
      </c>
      <c r="U608" t="str" cm="1">
        <f t="array" ref="U608">_xlfn.IFS(student_scores[[#This Row],[absence_days]]=0,"0", student_scores[[#This Row],[absence_days]]&lt;=3,"1-3", student_scores[[#This Row],[absence_days]]&lt;=6,"4-6", TRUE,"7-10")</f>
        <v>4-6</v>
      </c>
      <c r="V608" t="str">
        <f>IF(student_scores[[#This Row],[Total_Score]] &gt;= _xlfn.PERCENTILE.INC(student_scores[Total_Score], 0.8), "Yes", "No")</f>
        <v>No</v>
      </c>
    </row>
    <row r="609" spans="1:22" x14ac:dyDescent="0.35">
      <c r="A609">
        <v>608</v>
      </c>
      <c r="B609" t="s">
        <v>560</v>
      </c>
      <c r="C609" t="s">
        <v>1123</v>
      </c>
      <c r="D609" t="s">
        <v>1258</v>
      </c>
      <c r="E609" t="s">
        <v>25</v>
      </c>
      <c r="F609" t="b">
        <v>1</v>
      </c>
      <c r="G609">
        <v>4</v>
      </c>
      <c r="H609" t="b">
        <v>0</v>
      </c>
      <c r="I609">
        <v>16</v>
      </c>
      <c r="J609" t="s">
        <v>113</v>
      </c>
      <c r="K609">
        <v>82</v>
      </c>
      <c r="L609">
        <v>79</v>
      </c>
      <c r="M609">
        <v>64</v>
      </c>
      <c r="N609">
        <v>75</v>
      </c>
      <c r="O609">
        <v>93</v>
      </c>
      <c r="P609">
        <v>82</v>
      </c>
      <c r="Q609">
        <v>60</v>
      </c>
      <c r="R609">
        <f>SUM(student_scores[[#This Row],[math_score]:[geography_score]])</f>
        <v>535</v>
      </c>
      <c r="S609" s="3">
        <f>student_scores[[#This Row],[Total_Score]]/7</f>
        <v>76.428571428571431</v>
      </c>
      <c r="T609" s="3" t="str" cm="1">
        <f t="array" ref="T609">_xlfn.IFS(student_scores[[#This Row],[weekly_self_study_hours]]&lt;=5,   "0 - 5", student_scores[[#This Row],[weekly_self_study_hours]]&lt;=10,  "6 - 10", student_scores[[#This Row],[weekly_self_study_hours]]&lt;=20,  "11 - 20",student_scores[[#This Row],[weekly_self_study_hours]]&lt;=30, "21 - 30",TRUE, "31+")</f>
        <v>11 - 20</v>
      </c>
      <c r="U609" t="str" cm="1">
        <f t="array" ref="U609">_xlfn.IFS(student_scores[[#This Row],[absence_days]]=0,"0", student_scores[[#This Row],[absence_days]]&lt;=3,"1-3", student_scores[[#This Row],[absence_days]]&lt;=6,"4-6", TRUE,"7-10")</f>
        <v>4-6</v>
      </c>
      <c r="V609" t="str">
        <f>IF(student_scores[[#This Row],[Total_Score]] &gt;= _xlfn.PERCENTILE.INC(student_scores[Total_Score], 0.8), "Yes", "No")</f>
        <v>No</v>
      </c>
    </row>
    <row r="610" spans="1:22" x14ac:dyDescent="0.35">
      <c r="A610">
        <v>609</v>
      </c>
      <c r="B610" t="s">
        <v>145</v>
      </c>
      <c r="C610" t="s">
        <v>782</v>
      </c>
      <c r="D610" t="s">
        <v>1259</v>
      </c>
      <c r="E610" t="s">
        <v>20</v>
      </c>
      <c r="F610" t="b">
        <v>0</v>
      </c>
      <c r="G610">
        <v>4</v>
      </c>
      <c r="H610" t="b">
        <v>0</v>
      </c>
      <c r="I610">
        <v>3</v>
      </c>
      <c r="J610" t="s">
        <v>64</v>
      </c>
      <c r="K610">
        <v>64</v>
      </c>
      <c r="L610">
        <v>61</v>
      </c>
      <c r="M610">
        <v>73</v>
      </c>
      <c r="N610">
        <v>70</v>
      </c>
      <c r="O610">
        <v>87</v>
      </c>
      <c r="P610">
        <v>75</v>
      </c>
      <c r="Q610">
        <v>100</v>
      </c>
      <c r="R610">
        <f>SUM(student_scores[[#This Row],[math_score]:[geography_score]])</f>
        <v>530</v>
      </c>
      <c r="S610" s="3">
        <f>student_scores[[#This Row],[Total_Score]]/7</f>
        <v>75.714285714285708</v>
      </c>
      <c r="T610" s="3" t="str" cm="1">
        <f t="array" ref="T610">_xlfn.IFS(student_scores[[#This Row],[weekly_self_study_hours]]&lt;=5,   "0 - 5", student_scores[[#This Row],[weekly_self_study_hours]]&lt;=10,  "6 - 10", student_scores[[#This Row],[weekly_self_study_hours]]&lt;=20,  "11 - 20",student_scores[[#This Row],[weekly_self_study_hours]]&lt;=30, "21 - 30",TRUE, "31+")</f>
        <v>0 - 5</v>
      </c>
      <c r="U610" t="str" cm="1">
        <f t="array" ref="U610">_xlfn.IFS(student_scores[[#This Row],[absence_days]]=0,"0", student_scores[[#This Row],[absence_days]]&lt;=3,"1-3", student_scores[[#This Row],[absence_days]]&lt;=6,"4-6", TRUE,"7-10")</f>
        <v>4-6</v>
      </c>
      <c r="V610" t="str">
        <f>IF(student_scores[[#This Row],[Total_Score]] &gt;= _xlfn.PERCENTILE.INC(student_scores[Total_Score], 0.8), "Yes", "No")</f>
        <v>No</v>
      </c>
    </row>
    <row r="611" spans="1:22" x14ac:dyDescent="0.35">
      <c r="A611">
        <v>610</v>
      </c>
      <c r="B611" t="s">
        <v>280</v>
      </c>
      <c r="C611" t="s">
        <v>42</v>
      </c>
      <c r="D611" t="s">
        <v>1260</v>
      </c>
      <c r="E611" t="s">
        <v>20</v>
      </c>
      <c r="F611" t="b">
        <v>0</v>
      </c>
      <c r="G611">
        <v>3</v>
      </c>
      <c r="H611" t="b">
        <v>0</v>
      </c>
      <c r="I611">
        <v>25</v>
      </c>
      <c r="J611" t="s">
        <v>21</v>
      </c>
      <c r="K611">
        <v>77</v>
      </c>
      <c r="L611">
        <v>80</v>
      </c>
      <c r="M611">
        <v>88</v>
      </c>
      <c r="N611">
        <v>84</v>
      </c>
      <c r="O611">
        <v>84</v>
      </c>
      <c r="P611">
        <v>92</v>
      </c>
      <c r="Q611">
        <v>82</v>
      </c>
      <c r="R611">
        <f>SUM(student_scores[[#This Row],[math_score]:[geography_score]])</f>
        <v>587</v>
      </c>
      <c r="S611" s="3">
        <f>student_scores[[#This Row],[Total_Score]]/7</f>
        <v>83.857142857142861</v>
      </c>
      <c r="T611" s="3" t="str" cm="1">
        <f t="array" ref="T611">_xlfn.IFS(student_scores[[#This Row],[weekly_self_study_hours]]&lt;=5,   "0 - 5", student_scores[[#This Row],[weekly_self_study_hours]]&lt;=10,  "6 - 10", student_scores[[#This Row],[weekly_self_study_hours]]&lt;=20,  "11 - 20",student_scores[[#This Row],[weekly_self_study_hours]]&lt;=30, "21 - 30",TRUE, "31+")</f>
        <v>21 - 30</v>
      </c>
      <c r="U611" t="str" cm="1">
        <f t="array" ref="U611">_xlfn.IFS(student_scores[[#This Row],[absence_days]]=0,"0", student_scores[[#This Row],[absence_days]]&lt;=3,"1-3", student_scores[[#This Row],[absence_days]]&lt;=6,"4-6", TRUE,"7-10")</f>
        <v>1-3</v>
      </c>
      <c r="V611" t="str">
        <f>IF(student_scores[[#This Row],[Total_Score]] &gt;= _xlfn.PERCENTILE.INC(student_scores[Total_Score], 0.8), "Yes", "No")</f>
        <v>No</v>
      </c>
    </row>
    <row r="612" spans="1:22" x14ac:dyDescent="0.35">
      <c r="A612">
        <v>611</v>
      </c>
      <c r="B612" t="s">
        <v>420</v>
      </c>
      <c r="C612" t="s">
        <v>1041</v>
      </c>
      <c r="D612" t="s">
        <v>1261</v>
      </c>
      <c r="E612" t="s">
        <v>25</v>
      </c>
      <c r="F612" t="b">
        <v>0</v>
      </c>
      <c r="G612">
        <v>0</v>
      </c>
      <c r="H612" t="b">
        <v>0</v>
      </c>
      <c r="I612">
        <v>4</v>
      </c>
      <c r="J612" t="s">
        <v>172</v>
      </c>
      <c r="K612">
        <v>86</v>
      </c>
      <c r="L612">
        <v>82</v>
      </c>
      <c r="M612">
        <v>90</v>
      </c>
      <c r="N612">
        <v>69</v>
      </c>
      <c r="O612">
        <v>66</v>
      </c>
      <c r="P612">
        <v>93</v>
      </c>
      <c r="Q612">
        <v>94</v>
      </c>
      <c r="R612">
        <f>SUM(student_scores[[#This Row],[math_score]:[geography_score]])</f>
        <v>580</v>
      </c>
      <c r="S612" s="3">
        <f>student_scores[[#This Row],[Total_Score]]/7</f>
        <v>82.857142857142861</v>
      </c>
      <c r="T612" s="3" t="str" cm="1">
        <f t="array" ref="T612">_xlfn.IFS(student_scores[[#This Row],[weekly_self_study_hours]]&lt;=5,   "0 - 5", student_scores[[#This Row],[weekly_self_study_hours]]&lt;=10,  "6 - 10", student_scores[[#This Row],[weekly_self_study_hours]]&lt;=20,  "11 - 20",student_scores[[#This Row],[weekly_self_study_hours]]&lt;=30, "21 - 30",TRUE, "31+")</f>
        <v>0 - 5</v>
      </c>
      <c r="U612" t="str" cm="1">
        <f t="array" ref="U612">_xlfn.IFS(student_scores[[#This Row],[absence_days]]=0,"0", student_scores[[#This Row],[absence_days]]&lt;=3,"1-3", student_scores[[#This Row],[absence_days]]&lt;=6,"4-6", TRUE,"7-10")</f>
        <v>0</v>
      </c>
      <c r="V612" t="str">
        <f>IF(student_scores[[#This Row],[Total_Score]] &gt;= _xlfn.PERCENTILE.INC(student_scores[Total_Score], 0.8), "Yes", "No")</f>
        <v>No</v>
      </c>
    </row>
    <row r="613" spans="1:22" x14ac:dyDescent="0.35">
      <c r="A613">
        <v>612</v>
      </c>
      <c r="B613" t="s">
        <v>676</v>
      </c>
      <c r="C613" t="s">
        <v>1262</v>
      </c>
      <c r="D613" t="s">
        <v>1263</v>
      </c>
      <c r="E613" t="s">
        <v>20</v>
      </c>
      <c r="F613" t="b">
        <v>0</v>
      </c>
      <c r="G613">
        <v>0</v>
      </c>
      <c r="H613" t="b">
        <v>0</v>
      </c>
      <c r="I613">
        <v>4</v>
      </c>
      <c r="J613" t="s">
        <v>224</v>
      </c>
      <c r="K613">
        <v>81</v>
      </c>
      <c r="L613">
        <v>84</v>
      </c>
      <c r="M613">
        <v>76</v>
      </c>
      <c r="N613">
        <v>88</v>
      </c>
      <c r="O613">
        <v>84</v>
      </c>
      <c r="P613">
        <v>89</v>
      </c>
      <c r="Q613">
        <v>87</v>
      </c>
      <c r="R613">
        <f>SUM(student_scores[[#This Row],[math_score]:[geography_score]])</f>
        <v>589</v>
      </c>
      <c r="S613" s="3">
        <f>student_scores[[#This Row],[Total_Score]]/7</f>
        <v>84.142857142857139</v>
      </c>
      <c r="T613" s="3" t="str" cm="1">
        <f t="array" ref="T613">_xlfn.IFS(student_scores[[#This Row],[weekly_self_study_hours]]&lt;=5,   "0 - 5", student_scores[[#This Row],[weekly_self_study_hours]]&lt;=10,  "6 - 10", student_scores[[#This Row],[weekly_self_study_hours]]&lt;=20,  "11 - 20",student_scores[[#This Row],[weekly_self_study_hours]]&lt;=30, "21 - 30",TRUE, "31+")</f>
        <v>0 - 5</v>
      </c>
      <c r="U613" t="str" cm="1">
        <f t="array" ref="U613">_xlfn.IFS(student_scores[[#This Row],[absence_days]]=0,"0", student_scores[[#This Row],[absence_days]]&lt;=3,"1-3", student_scores[[#This Row],[absence_days]]&lt;=6,"4-6", TRUE,"7-10")</f>
        <v>0</v>
      </c>
      <c r="V613" t="str">
        <f>IF(student_scores[[#This Row],[Total_Score]] &gt;= _xlfn.PERCENTILE.INC(student_scores[Total_Score], 0.8), "Yes", "No")</f>
        <v>No</v>
      </c>
    </row>
    <row r="614" spans="1:22" x14ac:dyDescent="0.35">
      <c r="A614">
        <v>613</v>
      </c>
      <c r="B614" t="s">
        <v>193</v>
      </c>
      <c r="C614" t="s">
        <v>1264</v>
      </c>
      <c r="D614" t="s">
        <v>1265</v>
      </c>
      <c r="E614" t="s">
        <v>25</v>
      </c>
      <c r="F614" t="b">
        <v>0</v>
      </c>
      <c r="G614">
        <v>3</v>
      </c>
      <c r="H614" t="b">
        <v>0</v>
      </c>
      <c r="I614">
        <v>21</v>
      </c>
      <c r="J614" t="s">
        <v>44</v>
      </c>
      <c r="K614">
        <v>91</v>
      </c>
      <c r="L614">
        <v>90</v>
      </c>
      <c r="M614">
        <v>92</v>
      </c>
      <c r="N614">
        <v>78</v>
      </c>
      <c r="O614">
        <v>67</v>
      </c>
      <c r="P614">
        <v>86</v>
      </c>
      <c r="Q614">
        <v>71</v>
      </c>
      <c r="R614">
        <f>SUM(student_scores[[#This Row],[math_score]:[geography_score]])</f>
        <v>575</v>
      </c>
      <c r="S614" s="3">
        <f>student_scores[[#This Row],[Total_Score]]/7</f>
        <v>82.142857142857139</v>
      </c>
      <c r="T614" s="3" t="str" cm="1">
        <f t="array" ref="T614">_xlfn.IFS(student_scores[[#This Row],[weekly_self_study_hours]]&lt;=5,   "0 - 5", student_scores[[#This Row],[weekly_self_study_hours]]&lt;=10,  "6 - 10", student_scores[[#This Row],[weekly_self_study_hours]]&lt;=20,  "11 - 20",student_scores[[#This Row],[weekly_self_study_hours]]&lt;=30, "21 - 30",TRUE, "31+")</f>
        <v>21 - 30</v>
      </c>
      <c r="U614" t="str" cm="1">
        <f t="array" ref="U614">_xlfn.IFS(student_scores[[#This Row],[absence_days]]=0,"0", student_scores[[#This Row],[absence_days]]&lt;=3,"1-3", student_scores[[#This Row],[absence_days]]&lt;=6,"4-6", TRUE,"7-10")</f>
        <v>1-3</v>
      </c>
      <c r="V614" t="str">
        <f>IF(student_scores[[#This Row],[Total_Score]] &gt;= _xlfn.PERCENTILE.INC(student_scores[Total_Score], 0.8), "Yes", "No")</f>
        <v>No</v>
      </c>
    </row>
    <row r="615" spans="1:22" x14ac:dyDescent="0.35">
      <c r="A615">
        <v>614</v>
      </c>
      <c r="B615" t="s">
        <v>166</v>
      </c>
      <c r="C615" t="s">
        <v>100</v>
      </c>
      <c r="D615" t="s">
        <v>1266</v>
      </c>
      <c r="E615" t="s">
        <v>25</v>
      </c>
      <c r="F615" t="b">
        <v>0</v>
      </c>
      <c r="G615">
        <v>7</v>
      </c>
      <c r="H615" t="b">
        <v>0</v>
      </c>
      <c r="I615">
        <v>4</v>
      </c>
      <c r="J615" t="s">
        <v>64</v>
      </c>
      <c r="K615">
        <v>72</v>
      </c>
      <c r="L615">
        <v>99</v>
      </c>
      <c r="M615">
        <v>61</v>
      </c>
      <c r="N615">
        <v>67</v>
      </c>
      <c r="O615">
        <v>95</v>
      </c>
      <c r="P615">
        <v>98</v>
      </c>
      <c r="Q615">
        <v>89</v>
      </c>
      <c r="R615">
        <f>SUM(student_scores[[#This Row],[math_score]:[geography_score]])</f>
        <v>581</v>
      </c>
      <c r="S615" s="3">
        <f>student_scores[[#This Row],[Total_Score]]/7</f>
        <v>83</v>
      </c>
      <c r="T615" s="3" t="str" cm="1">
        <f t="array" ref="T615">_xlfn.IFS(student_scores[[#This Row],[weekly_self_study_hours]]&lt;=5,   "0 - 5", student_scores[[#This Row],[weekly_self_study_hours]]&lt;=10,  "6 - 10", student_scores[[#This Row],[weekly_self_study_hours]]&lt;=20,  "11 - 20",student_scores[[#This Row],[weekly_self_study_hours]]&lt;=30, "21 - 30",TRUE, "31+")</f>
        <v>0 - 5</v>
      </c>
      <c r="U615" t="str" cm="1">
        <f t="array" ref="U615">_xlfn.IFS(student_scores[[#This Row],[absence_days]]=0,"0", student_scores[[#This Row],[absence_days]]&lt;=3,"1-3", student_scores[[#This Row],[absence_days]]&lt;=6,"4-6", TRUE,"7-10")</f>
        <v>7-10</v>
      </c>
      <c r="V615" t="str">
        <f>IF(student_scores[[#This Row],[Total_Score]] &gt;= _xlfn.PERCENTILE.INC(student_scores[Total_Score], 0.8), "Yes", "No")</f>
        <v>No</v>
      </c>
    </row>
    <row r="616" spans="1:22" x14ac:dyDescent="0.35">
      <c r="A616">
        <v>615</v>
      </c>
      <c r="B616" t="s">
        <v>1267</v>
      </c>
      <c r="C616" t="s">
        <v>146</v>
      </c>
      <c r="D616" t="s">
        <v>1268</v>
      </c>
      <c r="E616" t="s">
        <v>25</v>
      </c>
      <c r="F616" t="b">
        <v>0</v>
      </c>
      <c r="G616">
        <v>3</v>
      </c>
      <c r="H616" t="b">
        <v>0</v>
      </c>
      <c r="I616">
        <v>24</v>
      </c>
      <c r="J616" t="s">
        <v>109</v>
      </c>
      <c r="K616">
        <v>80</v>
      </c>
      <c r="L616">
        <v>70</v>
      </c>
      <c r="M616">
        <v>80</v>
      </c>
      <c r="N616">
        <v>96</v>
      </c>
      <c r="O616">
        <v>72</v>
      </c>
      <c r="P616">
        <v>99</v>
      </c>
      <c r="Q616">
        <v>65</v>
      </c>
      <c r="R616">
        <f>SUM(student_scores[[#This Row],[math_score]:[geography_score]])</f>
        <v>562</v>
      </c>
      <c r="S616" s="3">
        <f>student_scores[[#This Row],[Total_Score]]/7</f>
        <v>80.285714285714292</v>
      </c>
      <c r="T616" s="3" t="str" cm="1">
        <f t="array" ref="T616">_xlfn.IFS(student_scores[[#This Row],[weekly_self_study_hours]]&lt;=5,   "0 - 5", student_scores[[#This Row],[weekly_self_study_hours]]&lt;=10,  "6 - 10", student_scores[[#This Row],[weekly_self_study_hours]]&lt;=20,  "11 - 20",student_scores[[#This Row],[weekly_self_study_hours]]&lt;=30, "21 - 30",TRUE, "31+")</f>
        <v>21 - 30</v>
      </c>
      <c r="U616" t="str" cm="1">
        <f t="array" ref="U616">_xlfn.IFS(student_scores[[#This Row],[absence_days]]=0,"0", student_scores[[#This Row],[absence_days]]&lt;=3,"1-3", student_scores[[#This Row],[absence_days]]&lt;=6,"4-6", TRUE,"7-10")</f>
        <v>1-3</v>
      </c>
      <c r="V616" t="str">
        <f>IF(student_scores[[#This Row],[Total_Score]] &gt;= _xlfn.PERCENTILE.INC(student_scores[Total_Score], 0.8), "Yes", "No")</f>
        <v>No</v>
      </c>
    </row>
    <row r="617" spans="1:22" x14ac:dyDescent="0.35">
      <c r="A617">
        <v>616</v>
      </c>
      <c r="B617" t="s">
        <v>331</v>
      </c>
      <c r="C617" t="s">
        <v>284</v>
      </c>
      <c r="D617" t="s">
        <v>1269</v>
      </c>
      <c r="E617" t="s">
        <v>20</v>
      </c>
      <c r="F617" t="b">
        <v>0</v>
      </c>
      <c r="G617">
        <v>2</v>
      </c>
      <c r="H617" t="b">
        <v>0</v>
      </c>
      <c r="I617">
        <v>16</v>
      </c>
      <c r="J617" t="s">
        <v>38</v>
      </c>
      <c r="K617">
        <v>90</v>
      </c>
      <c r="L617">
        <v>89</v>
      </c>
      <c r="M617">
        <v>98</v>
      </c>
      <c r="N617">
        <v>70</v>
      </c>
      <c r="O617">
        <v>79</v>
      </c>
      <c r="P617">
        <v>60</v>
      </c>
      <c r="Q617">
        <v>92</v>
      </c>
      <c r="R617">
        <f>SUM(student_scores[[#This Row],[math_score]:[geography_score]])</f>
        <v>578</v>
      </c>
      <c r="S617" s="3">
        <f>student_scores[[#This Row],[Total_Score]]/7</f>
        <v>82.571428571428569</v>
      </c>
      <c r="T617" s="3" t="str" cm="1">
        <f t="array" ref="T617">_xlfn.IFS(student_scores[[#This Row],[weekly_self_study_hours]]&lt;=5,   "0 - 5", student_scores[[#This Row],[weekly_self_study_hours]]&lt;=10,  "6 - 10", student_scores[[#This Row],[weekly_self_study_hours]]&lt;=20,  "11 - 20",student_scores[[#This Row],[weekly_self_study_hours]]&lt;=30, "21 - 30",TRUE, "31+")</f>
        <v>11 - 20</v>
      </c>
      <c r="U617" t="str" cm="1">
        <f t="array" ref="U617">_xlfn.IFS(student_scores[[#This Row],[absence_days]]=0,"0", student_scores[[#This Row],[absence_days]]&lt;=3,"1-3", student_scores[[#This Row],[absence_days]]&lt;=6,"4-6", TRUE,"7-10")</f>
        <v>1-3</v>
      </c>
      <c r="V617" t="str">
        <f>IF(student_scores[[#This Row],[Total_Score]] &gt;= _xlfn.PERCENTILE.INC(student_scores[Total_Score], 0.8), "Yes", "No")</f>
        <v>No</v>
      </c>
    </row>
    <row r="618" spans="1:22" x14ac:dyDescent="0.35">
      <c r="A618">
        <v>617</v>
      </c>
      <c r="B618" t="s">
        <v>331</v>
      </c>
      <c r="C618" t="s">
        <v>39</v>
      </c>
      <c r="D618" t="s">
        <v>1270</v>
      </c>
      <c r="E618" t="s">
        <v>20</v>
      </c>
      <c r="F618" t="b">
        <v>0</v>
      </c>
      <c r="G618">
        <v>10</v>
      </c>
      <c r="H618" t="b">
        <v>0</v>
      </c>
      <c r="I618">
        <v>2</v>
      </c>
      <c r="J618" t="s">
        <v>64</v>
      </c>
      <c r="K618">
        <v>72</v>
      </c>
      <c r="L618">
        <v>51</v>
      </c>
      <c r="M618">
        <v>52</v>
      </c>
      <c r="N618">
        <v>98</v>
      </c>
      <c r="O618">
        <v>50</v>
      </c>
      <c r="P618">
        <v>90</v>
      </c>
      <c r="Q618">
        <v>63</v>
      </c>
      <c r="R618">
        <f>SUM(student_scores[[#This Row],[math_score]:[geography_score]])</f>
        <v>476</v>
      </c>
      <c r="S618" s="3">
        <f>student_scores[[#This Row],[Total_Score]]/7</f>
        <v>68</v>
      </c>
      <c r="T618" s="3" t="str" cm="1">
        <f t="array" ref="T618">_xlfn.IFS(student_scores[[#This Row],[weekly_self_study_hours]]&lt;=5,   "0 - 5", student_scores[[#This Row],[weekly_self_study_hours]]&lt;=10,  "6 - 10", student_scores[[#This Row],[weekly_self_study_hours]]&lt;=20,  "11 - 20",student_scores[[#This Row],[weekly_self_study_hours]]&lt;=30, "21 - 30",TRUE, "31+")</f>
        <v>0 - 5</v>
      </c>
      <c r="U618" t="str" cm="1">
        <f t="array" ref="U618">_xlfn.IFS(student_scores[[#This Row],[absence_days]]=0,"0", student_scores[[#This Row],[absence_days]]&lt;=3,"1-3", student_scores[[#This Row],[absence_days]]&lt;=6,"4-6", TRUE,"7-10")</f>
        <v>7-10</v>
      </c>
      <c r="V618" t="str">
        <f>IF(student_scores[[#This Row],[Total_Score]] &gt;= _xlfn.PERCENTILE.INC(student_scores[Total_Score], 0.8), "Yes", "No")</f>
        <v>No</v>
      </c>
    </row>
    <row r="619" spans="1:22" x14ac:dyDescent="0.35">
      <c r="A619">
        <v>618</v>
      </c>
      <c r="B619" t="s">
        <v>1271</v>
      </c>
      <c r="C619" t="s">
        <v>1272</v>
      </c>
      <c r="D619" t="s">
        <v>1273</v>
      </c>
      <c r="E619" t="s">
        <v>20</v>
      </c>
      <c r="F619" t="b">
        <v>0</v>
      </c>
      <c r="G619">
        <v>3</v>
      </c>
      <c r="H619" t="b">
        <v>0</v>
      </c>
      <c r="I619">
        <v>35</v>
      </c>
      <c r="J619" t="s">
        <v>44</v>
      </c>
      <c r="K619">
        <v>93</v>
      </c>
      <c r="L619">
        <v>85</v>
      </c>
      <c r="M619">
        <v>89</v>
      </c>
      <c r="N619">
        <v>93</v>
      </c>
      <c r="O619">
        <v>90</v>
      </c>
      <c r="P619">
        <v>91</v>
      </c>
      <c r="Q619">
        <v>88</v>
      </c>
      <c r="R619">
        <f>SUM(student_scores[[#This Row],[math_score]:[geography_score]])</f>
        <v>629</v>
      </c>
      <c r="S619" s="3">
        <f>student_scores[[#This Row],[Total_Score]]/7</f>
        <v>89.857142857142861</v>
      </c>
      <c r="T619" s="3" t="str" cm="1">
        <f t="array" ref="T619">_xlfn.IFS(student_scores[[#This Row],[weekly_self_study_hours]]&lt;=5,   "0 - 5", student_scores[[#This Row],[weekly_self_study_hours]]&lt;=10,  "6 - 10", student_scores[[#This Row],[weekly_self_study_hours]]&lt;=20,  "11 - 20",student_scores[[#This Row],[weekly_self_study_hours]]&lt;=30, "21 - 30",TRUE, "31+")</f>
        <v>31+</v>
      </c>
      <c r="U619" t="str" cm="1">
        <f t="array" ref="U619">_xlfn.IFS(student_scores[[#This Row],[absence_days]]=0,"0", student_scores[[#This Row],[absence_days]]&lt;=3,"1-3", student_scores[[#This Row],[absence_days]]&lt;=6,"4-6", TRUE,"7-10")</f>
        <v>1-3</v>
      </c>
      <c r="V619" t="str">
        <f>IF(student_scores[[#This Row],[Total_Score]] &gt;= _xlfn.PERCENTILE.INC(student_scores[Total_Score], 0.8), "Yes", "No")</f>
        <v>Yes</v>
      </c>
    </row>
    <row r="620" spans="1:22" x14ac:dyDescent="0.35">
      <c r="A620">
        <v>619</v>
      </c>
      <c r="B620" t="s">
        <v>163</v>
      </c>
      <c r="C620" t="s">
        <v>846</v>
      </c>
      <c r="D620" t="s">
        <v>1274</v>
      </c>
      <c r="E620" t="s">
        <v>20</v>
      </c>
      <c r="F620" t="b">
        <v>0</v>
      </c>
      <c r="G620">
        <v>2</v>
      </c>
      <c r="H620" t="b">
        <v>0</v>
      </c>
      <c r="I620">
        <v>24</v>
      </c>
      <c r="J620" t="s">
        <v>26</v>
      </c>
      <c r="K620">
        <v>95</v>
      </c>
      <c r="L620">
        <v>85</v>
      </c>
      <c r="M620">
        <v>90</v>
      </c>
      <c r="N620">
        <v>94</v>
      </c>
      <c r="O620">
        <v>91</v>
      </c>
      <c r="P620">
        <v>84</v>
      </c>
      <c r="Q620">
        <v>85</v>
      </c>
      <c r="R620">
        <f>SUM(student_scores[[#This Row],[math_score]:[geography_score]])</f>
        <v>624</v>
      </c>
      <c r="S620" s="3">
        <f>student_scores[[#This Row],[Total_Score]]/7</f>
        <v>89.142857142857139</v>
      </c>
      <c r="T620" s="3" t="str" cm="1">
        <f t="array" ref="T620">_xlfn.IFS(student_scores[[#This Row],[weekly_self_study_hours]]&lt;=5,   "0 - 5", student_scores[[#This Row],[weekly_self_study_hours]]&lt;=10,  "6 - 10", student_scores[[#This Row],[weekly_self_study_hours]]&lt;=20,  "11 - 20",student_scores[[#This Row],[weekly_self_study_hours]]&lt;=30, "21 - 30",TRUE, "31+")</f>
        <v>21 - 30</v>
      </c>
      <c r="U620" t="str" cm="1">
        <f t="array" ref="U620">_xlfn.IFS(student_scores[[#This Row],[absence_days]]=0,"0", student_scores[[#This Row],[absence_days]]&lt;=3,"1-3", student_scores[[#This Row],[absence_days]]&lt;=6,"4-6", TRUE,"7-10")</f>
        <v>1-3</v>
      </c>
      <c r="V620" t="str">
        <f>IF(student_scores[[#This Row],[Total_Score]] &gt;= _xlfn.PERCENTILE.INC(student_scores[Total_Score], 0.8), "Yes", "No")</f>
        <v>Yes</v>
      </c>
    </row>
    <row r="621" spans="1:22" x14ac:dyDescent="0.35">
      <c r="A621">
        <v>620</v>
      </c>
      <c r="B621" t="s">
        <v>135</v>
      </c>
      <c r="C621" t="s">
        <v>1275</v>
      </c>
      <c r="D621" t="s">
        <v>1276</v>
      </c>
      <c r="E621" t="s">
        <v>20</v>
      </c>
      <c r="F621" t="b">
        <v>0</v>
      </c>
      <c r="G621">
        <v>2</v>
      </c>
      <c r="H621" t="b">
        <v>1</v>
      </c>
      <c r="I621">
        <v>46</v>
      </c>
      <c r="J621" t="s">
        <v>26</v>
      </c>
      <c r="K621">
        <v>86</v>
      </c>
      <c r="L621">
        <v>93</v>
      </c>
      <c r="M621">
        <v>89</v>
      </c>
      <c r="N621">
        <v>90</v>
      </c>
      <c r="O621">
        <v>100</v>
      </c>
      <c r="P621">
        <v>86</v>
      </c>
      <c r="Q621">
        <v>93</v>
      </c>
      <c r="R621">
        <f>SUM(student_scores[[#This Row],[math_score]:[geography_score]])</f>
        <v>637</v>
      </c>
      <c r="S621" s="3">
        <f>student_scores[[#This Row],[Total_Score]]/7</f>
        <v>91</v>
      </c>
      <c r="T621" s="3" t="str" cm="1">
        <f t="array" ref="T621">_xlfn.IFS(student_scores[[#This Row],[weekly_self_study_hours]]&lt;=5,   "0 - 5", student_scores[[#This Row],[weekly_self_study_hours]]&lt;=10,  "6 - 10", student_scores[[#This Row],[weekly_self_study_hours]]&lt;=20,  "11 - 20",student_scores[[#This Row],[weekly_self_study_hours]]&lt;=30, "21 - 30",TRUE, "31+")</f>
        <v>31+</v>
      </c>
      <c r="U621" t="str" cm="1">
        <f t="array" ref="U621">_xlfn.IFS(student_scores[[#This Row],[absence_days]]=0,"0", student_scores[[#This Row],[absence_days]]&lt;=3,"1-3", student_scores[[#This Row],[absence_days]]&lt;=6,"4-6", TRUE,"7-10")</f>
        <v>1-3</v>
      </c>
      <c r="V621" t="str">
        <f>IF(student_scores[[#This Row],[Total_Score]] &gt;= _xlfn.PERCENTILE.INC(student_scores[Total_Score], 0.8), "Yes", "No")</f>
        <v>Yes</v>
      </c>
    </row>
    <row r="622" spans="1:22" x14ac:dyDescent="0.35">
      <c r="A622">
        <v>621</v>
      </c>
      <c r="B622" t="s">
        <v>738</v>
      </c>
      <c r="C622" t="s">
        <v>1277</v>
      </c>
      <c r="D622" t="s">
        <v>1278</v>
      </c>
      <c r="E622" t="s">
        <v>25</v>
      </c>
      <c r="F622" t="b">
        <v>0</v>
      </c>
      <c r="G622">
        <v>6</v>
      </c>
      <c r="H622" t="b">
        <v>0</v>
      </c>
      <c r="I622">
        <v>1</v>
      </c>
      <c r="J622" t="s">
        <v>64</v>
      </c>
      <c r="K622">
        <v>89</v>
      </c>
      <c r="L622">
        <v>55</v>
      </c>
      <c r="M622">
        <v>89</v>
      </c>
      <c r="N622">
        <v>67</v>
      </c>
      <c r="O622">
        <v>55</v>
      </c>
      <c r="P622">
        <v>64</v>
      </c>
      <c r="Q622">
        <v>70</v>
      </c>
      <c r="R622">
        <f>SUM(student_scores[[#This Row],[math_score]:[geography_score]])</f>
        <v>489</v>
      </c>
      <c r="S622" s="3">
        <f>student_scores[[#This Row],[Total_Score]]/7</f>
        <v>69.857142857142861</v>
      </c>
      <c r="T622" s="3" t="str" cm="1">
        <f t="array" ref="T622">_xlfn.IFS(student_scores[[#This Row],[weekly_self_study_hours]]&lt;=5,   "0 - 5", student_scores[[#This Row],[weekly_self_study_hours]]&lt;=10,  "6 - 10", student_scores[[#This Row],[weekly_self_study_hours]]&lt;=20,  "11 - 20",student_scores[[#This Row],[weekly_self_study_hours]]&lt;=30, "21 - 30",TRUE, "31+")</f>
        <v>0 - 5</v>
      </c>
      <c r="U622" t="str" cm="1">
        <f t="array" ref="U622">_xlfn.IFS(student_scores[[#This Row],[absence_days]]=0,"0", student_scores[[#This Row],[absence_days]]&lt;=3,"1-3", student_scores[[#This Row],[absence_days]]&lt;=6,"4-6", TRUE,"7-10")</f>
        <v>4-6</v>
      </c>
      <c r="V622" t="str">
        <f>IF(student_scores[[#This Row],[Total_Score]] &gt;= _xlfn.PERCENTILE.INC(student_scores[Total_Score], 0.8), "Yes", "No")</f>
        <v>No</v>
      </c>
    </row>
    <row r="623" spans="1:22" x14ac:dyDescent="0.35">
      <c r="A623">
        <v>622</v>
      </c>
      <c r="B623" t="s">
        <v>160</v>
      </c>
      <c r="C623" t="s">
        <v>1279</v>
      </c>
      <c r="D623" t="s">
        <v>1280</v>
      </c>
      <c r="E623" t="s">
        <v>20</v>
      </c>
      <c r="F623" t="b">
        <v>0</v>
      </c>
      <c r="G623">
        <v>5</v>
      </c>
      <c r="H623" t="b">
        <v>0</v>
      </c>
      <c r="I623">
        <v>26</v>
      </c>
      <c r="J623" t="s">
        <v>38</v>
      </c>
      <c r="K623">
        <v>90</v>
      </c>
      <c r="L623">
        <v>75</v>
      </c>
      <c r="M623">
        <v>67</v>
      </c>
      <c r="N623">
        <v>85</v>
      </c>
      <c r="O623">
        <v>64</v>
      </c>
      <c r="P623">
        <v>95</v>
      </c>
      <c r="Q623">
        <v>96</v>
      </c>
      <c r="R623">
        <f>SUM(student_scores[[#This Row],[math_score]:[geography_score]])</f>
        <v>572</v>
      </c>
      <c r="S623" s="3">
        <f>student_scores[[#This Row],[Total_Score]]/7</f>
        <v>81.714285714285708</v>
      </c>
      <c r="T623" s="3" t="str" cm="1">
        <f t="array" ref="T623">_xlfn.IFS(student_scores[[#This Row],[weekly_self_study_hours]]&lt;=5,   "0 - 5", student_scores[[#This Row],[weekly_self_study_hours]]&lt;=10,  "6 - 10", student_scores[[#This Row],[weekly_self_study_hours]]&lt;=20,  "11 - 20",student_scores[[#This Row],[weekly_self_study_hours]]&lt;=30, "21 - 30",TRUE, "31+")</f>
        <v>21 - 30</v>
      </c>
      <c r="U623" t="str" cm="1">
        <f t="array" ref="U623">_xlfn.IFS(student_scores[[#This Row],[absence_days]]=0,"0", student_scores[[#This Row],[absence_days]]&lt;=3,"1-3", student_scores[[#This Row],[absence_days]]&lt;=6,"4-6", TRUE,"7-10")</f>
        <v>4-6</v>
      </c>
      <c r="V623" t="str">
        <f>IF(student_scores[[#This Row],[Total_Score]] &gt;= _xlfn.PERCENTILE.INC(student_scores[Total_Score], 0.8), "Yes", "No")</f>
        <v>No</v>
      </c>
    </row>
    <row r="624" spans="1:22" x14ac:dyDescent="0.35">
      <c r="A624">
        <v>623</v>
      </c>
      <c r="B624" t="s">
        <v>280</v>
      </c>
      <c r="C624" t="s">
        <v>1281</v>
      </c>
      <c r="D624" t="s">
        <v>1282</v>
      </c>
      <c r="E624" t="s">
        <v>20</v>
      </c>
      <c r="F624" t="b">
        <v>0</v>
      </c>
      <c r="G624">
        <v>1</v>
      </c>
      <c r="H624" t="b">
        <v>0</v>
      </c>
      <c r="I624">
        <v>5</v>
      </c>
      <c r="J624" t="s">
        <v>38</v>
      </c>
      <c r="K624">
        <v>79</v>
      </c>
      <c r="L624">
        <v>95</v>
      </c>
      <c r="M624">
        <v>81</v>
      </c>
      <c r="N624">
        <v>67</v>
      </c>
      <c r="O624">
        <v>66</v>
      </c>
      <c r="P624">
        <v>71</v>
      </c>
      <c r="Q624">
        <v>66</v>
      </c>
      <c r="R624">
        <f>SUM(student_scores[[#This Row],[math_score]:[geography_score]])</f>
        <v>525</v>
      </c>
      <c r="S624" s="3">
        <f>student_scores[[#This Row],[Total_Score]]/7</f>
        <v>75</v>
      </c>
      <c r="T624" s="3" t="str" cm="1">
        <f t="array" ref="T624">_xlfn.IFS(student_scores[[#This Row],[weekly_self_study_hours]]&lt;=5,   "0 - 5", student_scores[[#This Row],[weekly_self_study_hours]]&lt;=10,  "6 - 10", student_scores[[#This Row],[weekly_self_study_hours]]&lt;=20,  "11 - 20",student_scores[[#This Row],[weekly_self_study_hours]]&lt;=30, "21 - 30",TRUE, "31+")</f>
        <v>0 - 5</v>
      </c>
      <c r="U624" t="str" cm="1">
        <f t="array" ref="U624">_xlfn.IFS(student_scores[[#This Row],[absence_days]]=0,"0", student_scores[[#This Row],[absence_days]]&lt;=3,"1-3", student_scores[[#This Row],[absence_days]]&lt;=6,"4-6", TRUE,"7-10")</f>
        <v>1-3</v>
      </c>
      <c r="V624" t="str">
        <f>IF(student_scores[[#This Row],[Total_Score]] &gt;= _xlfn.PERCENTILE.INC(student_scores[Total_Score], 0.8), "Yes", "No")</f>
        <v>No</v>
      </c>
    </row>
    <row r="625" spans="1:22" x14ac:dyDescent="0.35">
      <c r="A625">
        <v>624</v>
      </c>
      <c r="B625" t="s">
        <v>1283</v>
      </c>
      <c r="C625" t="s">
        <v>1284</v>
      </c>
      <c r="D625" t="s">
        <v>1285</v>
      </c>
      <c r="E625" t="s">
        <v>25</v>
      </c>
      <c r="F625" t="b">
        <v>1</v>
      </c>
      <c r="G625">
        <v>5</v>
      </c>
      <c r="H625" t="b">
        <v>0</v>
      </c>
      <c r="I625">
        <v>17</v>
      </c>
      <c r="J625" t="s">
        <v>54</v>
      </c>
      <c r="K625">
        <v>86</v>
      </c>
      <c r="L625">
        <v>88</v>
      </c>
      <c r="M625">
        <v>98</v>
      </c>
      <c r="N625">
        <v>66</v>
      </c>
      <c r="O625">
        <v>62</v>
      </c>
      <c r="P625">
        <v>95</v>
      </c>
      <c r="Q625">
        <v>90</v>
      </c>
      <c r="R625">
        <f>SUM(student_scores[[#This Row],[math_score]:[geography_score]])</f>
        <v>585</v>
      </c>
      <c r="S625" s="3">
        <f>student_scores[[#This Row],[Total_Score]]/7</f>
        <v>83.571428571428569</v>
      </c>
      <c r="T625" s="3" t="str" cm="1">
        <f t="array" ref="T625">_xlfn.IFS(student_scores[[#This Row],[weekly_self_study_hours]]&lt;=5,   "0 - 5", student_scores[[#This Row],[weekly_self_study_hours]]&lt;=10,  "6 - 10", student_scores[[#This Row],[weekly_self_study_hours]]&lt;=20,  "11 - 20",student_scores[[#This Row],[weekly_self_study_hours]]&lt;=30, "21 - 30",TRUE, "31+")</f>
        <v>11 - 20</v>
      </c>
      <c r="U625" t="str" cm="1">
        <f t="array" ref="U625">_xlfn.IFS(student_scores[[#This Row],[absence_days]]=0,"0", student_scores[[#This Row],[absence_days]]&lt;=3,"1-3", student_scores[[#This Row],[absence_days]]&lt;=6,"4-6", TRUE,"7-10")</f>
        <v>4-6</v>
      </c>
      <c r="V625" t="str">
        <f>IF(student_scores[[#This Row],[Total_Score]] &gt;= _xlfn.PERCENTILE.INC(student_scores[Total_Score], 0.8), "Yes", "No")</f>
        <v>No</v>
      </c>
    </row>
    <row r="626" spans="1:22" x14ac:dyDescent="0.35">
      <c r="A626">
        <v>625</v>
      </c>
      <c r="B626" t="s">
        <v>490</v>
      </c>
      <c r="C626" t="s">
        <v>1286</v>
      </c>
      <c r="D626" t="s">
        <v>1287</v>
      </c>
      <c r="E626" t="s">
        <v>20</v>
      </c>
      <c r="F626" t="b">
        <v>0</v>
      </c>
      <c r="G626">
        <v>3</v>
      </c>
      <c r="H626" t="b">
        <v>0</v>
      </c>
      <c r="I626">
        <v>4</v>
      </c>
      <c r="J626" t="s">
        <v>34</v>
      </c>
      <c r="K626">
        <v>83</v>
      </c>
      <c r="L626">
        <v>78</v>
      </c>
      <c r="M626">
        <v>68</v>
      </c>
      <c r="N626">
        <v>72</v>
      </c>
      <c r="O626">
        <v>77</v>
      </c>
      <c r="P626">
        <v>89</v>
      </c>
      <c r="Q626">
        <v>70</v>
      </c>
      <c r="R626">
        <f>SUM(student_scores[[#This Row],[math_score]:[geography_score]])</f>
        <v>537</v>
      </c>
      <c r="S626" s="3">
        <f>student_scores[[#This Row],[Total_Score]]/7</f>
        <v>76.714285714285708</v>
      </c>
      <c r="T626" s="3" t="str" cm="1">
        <f t="array" ref="T626">_xlfn.IFS(student_scores[[#This Row],[weekly_self_study_hours]]&lt;=5,   "0 - 5", student_scores[[#This Row],[weekly_self_study_hours]]&lt;=10,  "6 - 10", student_scores[[#This Row],[weekly_self_study_hours]]&lt;=20,  "11 - 20",student_scores[[#This Row],[weekly_self_study_hours]]&lt;=30, "21 - 30",TRUE, "31+")</f>
        <v>0 - 5</v>
      </c>
      <c r="U626" t="str" cm="1">
        <f t="array" ref="U626">_xlfn.IFS(student_scores[[#This Row],[absence_days]]=0,"0", student_scores[[#This Row],[absence_days]]&lt;=3,"1-3", student_scores[[#This Row],[absence_days]]&lt;=6,"4-6", TRUE,"7-10")</f>
        <v>1-3</v>
      </c>
      <c r="V626" t="str">
        <f>IF(student_scores[[#This Row],[Total_Score]] &gt;= _xlfn.PERCENTILE.INC(student_scores[Total_Score], 0.8), "Yes", "No")</f>
        <v>No</v>
      </c>
    </row>
    <row r="627" spans="1:22" x14ac:dyDescent="0.35">
      <c r="A627">
        <v>626</v>
      </c>
      <c r="B627" t="s">
        <v>89</v>
      </c>
      <c r="C627" t="s">
        <v>103</v>
      </c>
      <c r="D627" t="s">
        <v>1288</v>
      </c>
      <c r="E627" t="s">
        <v>20</v>
      </c>
      <c r="F627" t="b">
        <v>0</v>
      </c>
      <c r="G627">
        <v>6</v>
      </c>
      <c r="H627" t="b">
        <v>0</v>
      </c>
      <c r="I627">
        <v>27</v>
      </c>
      <c r="J627" t="s">
        <v>21</v>
      </c>
      <c r="K627">
        <v>85</v>
      </c>
      <c r="L627">
        <v>92</v>
      </c>
      <c r="M627">
        <v>62</v>
      </c>
      <c r="N627">
        <v>95</v>
      </c>
      <c r="O627">
        <v>65</v>
      </c>
      <c r="P627">
        <v>89</v>
      </c>
      <c r="Q627">
        <v>95</v>
      </c>
      <c r="R627">
        <f>SUM(student_scores[[#This Row],[math_score]:[geography_score]])</f>
        <v>583</v>
      </c>
      <c r="S627" s="3">
        <f>student_scores[[#This Row],[Total_Score]]/7</f>
        <v>83.285714285714292</v>
      </c>
      <c r="T627" s="3" t="str" cm="1">
        <f t="array" ref="T627">_xlfn.IFS(student_scores[[#This Row],[weekly_self_study_hours]]&lt;=5,   "0 - 5", student_scores[[#This Row],[weekly_self_study_hours]]&lt;=10,  "6 - 10", student_scores[[#This Row],[weekly_self_study_hours]]&lt;=20,  "11 - 20",student_scores[[#This Row],[weekly_self_study_hours]]&lt;=30, "21 - 30",TRUE, "31+")</f>
        <v>21 - 30</v>
      </c>
      <c r="U627" t="str" cm="1">
        <f t="array" ref="U627">_xlfn.IFS(student_scores[[#This Row],[absence_days]]=0,"0", student_scores[[#This Row],[absence_days]]&lt;=3,"1-3", student_scores[[#This Row],[absence_days]]&lt;=6,"4-6", TRUE,"7-10")</f>
        <v>4-6</v>
      </c>
      <c r="V627" t="str">
        <f>IF(student_scores[[#This Row],[Total_Score]] &gt;= _xlfn.PERCENTILE.INC(student_scores[Total_Score], 0.8), "Yes", "No")</f>
        <v>No</v>
      </c>
    </row>
    <row r="628" spans="1:22" x14ac:dyDescent="0.35">
      <c r="A628">
        <v>627</v>
      </c>
      <c r="B628" t="s">
        <v>410</v>
      </c>
      <c r="C628" t="s">
        <v>653</v>
      </c>
      <c r="D628" t="s">
        <v>1289</v>
      </c>
      <c r="E628" t="s">
        <v>20</v>
      </c>
      <c r="F628" t="b">
        <v>0</v>
      </c>
      <c r="G628">
        <v>3</v>
      </c>
      <c r="H628" t="b">
        <v>0</v>
      </c>
      <c r="I628">
        <v>0</v>
      </c>
      <c r="J628" t="s">
        <v>34</v>
      </c>
      <c r="K628">
        <v>66</v>
      </c>
      <c r="L628">
        <v>78</v>
      </c>
      <c r="M628">
        <v>86</v>
      </c>
      <c r="N628">
        <v>87</v>
      </c>
      <c r="O628">
        <v>64</v>
      </c>
      <c r="P628">
        <v>65</v>
      </c>
      <c r="Q628">
        <v>64</v>
      </c>
      <c r="R628">
        <f>SUM(student_scores[[#This Row],[math_score]:[geography_score]])</f>
        <v>510</v>
      </c>
      <c r="S628" s="3">
        <f>student_scores[[#This Row],[Total_Score]]/7</f>
        <v>72.857142857142861</v>
      </c>
      <c r="T628" s="3" t="str" cm="1">
        <f t="array" ref="T628">_xlfn.IFS(student_scores[[#This Row],[weekly_self_study_hours]]&lt;=5,   "0 - 5", student_scores[[#This Row],[weekly_self_study_hours]]&lt;=10,  "6 - 10", student_scores[[#This Row],[weekly_self_study_hours]]&lt;=20,  "11 - 20",student_scores[[#This Row],[weekly_self_study_hours]]&lt;=30, "21 - 30",TRUE, "31+")</f>
        <v>0 - 5</v>
      </c>
      <c r="U628" t="str" cm="1">
        <f t="array" ref="U628">_xlfn.IFS(student_scores[[#This Row],[absence_days]]=0,"0", student_scores[[#This Row],[absence_days]]&lt;=3,"1-3", student_scores[[#This Row],[absence_days]]&lt;=6,"4-6", TRUE,"7-10")</f>
        <v>1-3</v>
      </c>
      <c r="V628" t="str">
        <f>IF(student_scores[[#This Row],[Total_Score]] &gt;= _xlfn.PERCENTILE.INC(student_scores[Total_Score], 0.8), "Yes", "No")</f>
        <v>No</v>
      </c>
    </row>
    <row r="629" spans="1:22" x14ac:dyDescent="0.35">
      <c r="A629">
        <v>628</v>
      </c>
      <c r="B629" t="s">
        <v>1290</v>
      </c>
      <c r="C629" t="s">
        <v>32</v>
      </c>
      <c r="D629" t="s">
        <v>1291</v>
      </c>
      <c r="E629" t="s">
        <v>20</v>
      </c>
      <c r="F629" t="b">
        <v>0</v>
      </c>
      <c r="G629">
        <v>6</v>
      </c>
      <c r="H629" t="b">
        <v>1</v>
      </c>
      <c r="I629">
        <v>16</v>
      </c>
      <c r="J629" t="s">
        <v>113</v>
      </c>
      <c r="K629">
        <v>93</v>
      </c>
      <c r="L629">
        <v>80</v>
      </c>
      <c r="M629">
        <v>60</v>
      </c>
      <c r="N629">
        <v>62</v>
      </c>
      <c r="O629">
        <v>43</v>
      </c>
      <c r="P629">
        <v>68</v>
      </c>
      <c r="Q629">
        <v>67</v>
      </c>
      <c r="R629">
        <f>SUM(student_scores[[#This Row],[math_score]:[geography_score]])</f>
        <v>473</v>
      </c>
      <c r="S629" s="3">
        <f>student_scores[[#This Row],[Total_Score]]/7</f>
        <v>67.571428571428569</v>
      </c>
      <c r="T629" s="3" t="str" cm="1">
        <f t="array" ref="T629">_xlfn.IFS(student_scores[[#This Row],[weekly_self_study_hours]]&lt;=5,   "0 - 5", student_scores[[#This Row],[weekly_self_study_hours]]&lt;=10,  "6 - 10", student_scores[[#This Row],[weekly_self_study_hours]]&lt;=20,  "11 - 20",student_scores[[#This Row],[weekly_self_study_hours]]&lt;=30, "21 - 30",TRUE, "31+")</f>
        <v>11 - 20</v>
      </c>
      <c r="U629" t="str" cm="1">
        <f t="array" ref="U629">_xlfn.IFS(student_scores[[#This Row],[absence_days]]=0,"0", student_scores[[#This Row],[absence_days]]&lt;=3,"1-3", student_scores[[#This Row],[absence_days]]&lt;=6,"4-6", TRUE,"7-10")</f>
        <v>4-6</v>
      </c>
      <c r="V629" t="str">
        <f>IF(student_scores[[#This Row],[Total_Score]] &gt;= _xlfn.PERCENTILE.INC(student_scores[Total_Score], 0.8), "Yes", "No")</f>
        <v>No</v>
      </c>
    </row>
    <row r="630" spans="1:22" x14ac:dyDescent="0.35">
      <c r="A630">
        <v>629</v>
      </c>
      <c r="B630" t="s">
        <v>94</v>
      </c>
      <c r="C630" t="s">
        <v>1292</v>
      </c>
      <c r="D630" t="s">
        <v>1293</v>
      </c>
      <c r="E630" t="s">
        <v>20</v>
      </c>
      <c r="F630" t="b">
        <v>0</v>
      </c>
      <c r="G630">
        <v>6</v>
      </c>
      <c r="H630" t="b">
        <v>1</v>
      </c>
      <c r="I630">
        <v>14</v>
      </c>
      <c r="J630" t="s">
        <v>38</v>
      </c>
      <c r="K630">
        <v>65</v>
      </c>
      <c r="L630">
        <v>89</v>
      </c>
      <c r="M630">
        <v>79</v>
      </c>
      <c r="N630">
        <v>95</v>
      </c>
      <c r="O630">
        <v>71</v>
      </c>
      <c r="P630">
        <v>61</v>
      </c>
      <c r="Q630">
        <v>62</v>
      </c>
      <c r="R630">
        <f>SUM(student_scores[[#This Row],[math_score]:[geography_score]])</f>
        <v>522</v>
      </c>
      <c r="S630" s="3">
        <f>student_scores[[#This Row],[Total_Score]]/7</f>
        <v>74.571428571428569</v>
      </c>
      <c r="T630" s="3" t="str" cm="1">
        <f t="array" ref="T630">_xlfn.IFS(student_scores[[#This Row],[weekly_self_study_hours]]&lt;=5,   "0 - 5", student_scores[[#This Row],[weekly_self_study_hours]]&lt;=10,  "6 - 10", student_scores[[#This Row],[weekly_self_study_hours]]&lt;=20,  "11 - 20",student_scores[[#This Row],[weekly_self_study_hours]]&lt;=30, "21 - 30",TRUE, "31+")</f>
        <v>11 - 20</v>
      </c>
      <c r="U630" t="str" cm="1">
        <f t="array" ref="U630">_xlfn.IFS(student_scores[[#This Row],[absence_days]]=0,"0", student_scores[[#This Row],[absence_days]]&lt;=3,"1-3", student_scores[[#This Row],[absence_days]]&lt;=6,"4-6", TRUE,"7-10")</f>
        <v>4-6</v>
      </c>
      <c r="V630" t="str">
        <f>IF(student_scores[[#This Row],[Total_Score]] &gt;= _xlfn.PERCENTILE.INC(student_scores[Total_Score], 0.8), "Yes", "No")</f>
        <v>No</v>
      </c>
    </row>
    <row r="631" spans="1:22" x14ac:dyDescent="0.35">
      <c r="A631">
        <v>630</v>
      </c>
      <c r="B631" t="s">
        <v>861</v>
      </c>
      <c r="C631" t="s">
        <v>1294</v>
      </c>
      <c r="D631" t="s">
        <v>1295</v>
      </c>
      <c r="E631" t="s">
        <v>25</v>
      </c>
      <c r="F631" t="b">
        <v>1</v>
      </c>
      <c r="G631">
        <v>2</v>
      </c>
      <c r="H631" t="b">
        <v>0</v>
      </c>
      <c r="I631">
        <v>5</v>
      </c>
      <c r="J631" t="s">
        <v>224</v>
      </c>
      <c r="K631">
        <v>52</v>
      </c>
      <c r="L631">
        <v>66</v>
      </c>
      <c r="M631">
        <v>98</v>
      </c>
      <c r="N631">
        <v>83</v>
      </c>
      <c r="O631">
        <v>92</v>
      </c>
      <c r="P631">
        <v>82</v>
      </c>
      <c r="Q631">
        <v>91</v>
      </c>
      <c r="R631">
        <f>SUM(student_scores[[#This Row],[math_score]:[geography_score]])</f>
        <v>564</v>
      </c>
      <c r="S631" s="3">
        <f>student_scores[[#This Row],[Total_Score]]/7</f>
        <v>80.571428571428569</v>
      </c>
      <c r="T631" s="3" t="str" cm="1">
        <f t="array" ref="T631">_xlfn.IFS(student_scores[[#This Row],[weekly_self_study_hours]]&lt;=5,   "0 - 5", student_scores[[#This Row],[weekly_self_study_hours]]&lt;=10,  "6 - 10", student_scores[[#This Row],[weekly_self_study_hours]]&lt;=20,  "11 - 20",student_scores[[#This Row],[weekly_self_study_hours]]&lt;=30, "21 - 30",TRUE, "31+")</f>
        <v>0 - 5</v>
      </c>
      <c r="U631" t="str" cm="1">
        <f t="array" ref="U631">_xlfn.IFS(student_scores[[#This Row],[absence_days]]=0,"0", student_scores[[#This Row],[absence_days]]&lt;=3,"1-3", student_scores[[#This Row],[absence_days]]&lt;=6,"4-6", TRUE,"7-10")</f>
        <v>1-3</v>
      </c>
      <c r="V631" t="str">
        <f>IF(student_scores[[#This Row],[Total_Score]] &gt;= _xlfn.PERCENTILE.INC(student_scores[Total_Score], 0.8), "Yes", "No")</f>
        <v>No</v>
      </c>
    </row>
    <row r="632" spans="1:22" x14ac:dyDescent="0.35">
      <c r="A632">
        <v>631</v>
      </c>
      <c r="B632" t="s">
        <v>1115</v>
      </c>
      <c r="C632" t="s">
        <v>1296</v>
      </c>
      <c r="D632" t="s">
        <v>1297</v>
      </c>
      <c r="E632" t="s">
        <v>25</v>
      </c>
      <c r="F632" t="b">
        <v>0</v>
      </c>
      <c r="G632">
        <v>3</v>
      </c>
      <c r="H632" t="b">
        <v>1</v>
      </c>
      <c r="I632">
        <v>31</v>
      </c>
      <c r="J632" t="s">
        <v>105</v>
      </c>
      <c r="K632">
        <v>90</v>
      </c>
      <c r="L632">
        <v>80</v>
      </c>
      <c r="M632">
        <v>84</v>
      </c>
      <c r="N632">
        <v>70</v>
      </c>
      <c r="O632">
        <v>65</v>
      </c>
      <c r="P632">
        <v>89</v>
      </c>
      <c r="Q632">
        <v>64</v>
      </c>
      <c r="R632">
        <f>SUM(student_scores[[#This Row],[math_score]:[geography_score]])</f>
        <v>542</v>
      </c>
      <c r="S632" s="3">
        <f>student_scores[[#This Row],[Total_Score]]/7</f>
        <v>77.428571428571431</v>
      </c>
      <c r="T632" s="3" t="str" cm="1">
        <f t="array" ref="T632">_xlfn.IFS(student_scores[[#This Row],[weekly_self_study_hours]]&lt;=5,   "0 - 5", student_scores[[#This Row],[weekly_self_study_hours]]&lt;=10,  "6 - 10", student_scores[[#This Row],[weekly_self_study_hours]]&lt;=20,  "11 - 20",student_scores[[#This Row],[weekly_self_study_hours]]&lt;=30, "21 - 30",TRUE, "31+")</f>
        <v>31+</v>
      </c>
      <c r="U632" t="str" cm="1">
        <f t="array" ref="U632">_xlfn.IFS(student_scores[[#This Row],[absence_days]]=0,"0", student_scores[[#This Row],[absence_days]]&lt;=3,"1-3", student_scores[[#This Row],[absence_days]]&lt;=6,"4-6", TRUE,"7-10")</f>
        <v>1-3</v>
      </c>
      <c r="V632" t="str">
        <f>IF(student_scores[[#This Row],[Total_Score]] &gt;= _xlfn.PERCENTILE.INC(student_scores[Total_Score], 0.8), "Yes", "No")</f>
        <v>No</v>
      </c>
    </row>
    <row r="633" spans="1:22" x14ac:dyDescent="0.35">
      <c r="A633">
        <v>632</v>
      </c>
      <c r="B633" t="s">
        <v>166</v>
      </c>
      <c r="C633" t="s">
        <v>42</v>
      </c>
      <c r="D633" t="s">
        <v>1298</v>
      </c>
      <c r="E633" t="s">
        <v>25</v>
      </c>
      <c r="F633" t="b">
        <v>0</v>
      </c>
      <c r="G633">
        <v>2</v>
      </c>
      <c r="H633" t="b">
        <v>1</v>
      </c>
      <c r="I633">
        <v>4</v>
      </c>
      <c r="J633" t="s">
        <v>34</v>
      </c>
      <c r="K633">
        <v>83</v>
      </c>
      <c r="L633">
        <v>89</v>
      </c>
      <c r="M633">
        <v>99</v>
      </c>
      <c r="N633">
        <v>100</v>
      </c>
      <c r="O633">
        <v>73</v>
      </c>
      <c r="P633">
        <v>86</v>
      </c>
      <c r="Q633">
        <v>88</v>
      </c>
      <c r="R633">
        <f>SUM(student_scores[[#This Row],[math_score]:[geography_score]])</f>
        <v>618</v>
      </c>
      <c r="S633" s="3">
        <f>student_scores[[#This Row],[Total_Score]]/7</f>
        <v>88.285714285714292</v>
      </c>
      <c r="T633" s="3" t="str" cm="1">
        <f t="array" ref="T633">_xlfn.IFS(student_scores[[#This Row],[weekly_self_study_hours]]&lt;=5,   "0 - 5", student_scores[[#This Row],[weekly_self_study_hours]]&lt;=10,  "6 - 10", student_scores[[#This Row],[weekly_self_study_hours]]&lt;=20,  "11 - 20",student_scores[[#This Row],[weekly_self_study_hours]]&lt;=30, "21 - 30",TRUE, "31+")</f>
        <v>0 - 5</v>
      </c>
      <c r="U633" t="str" cm="1">
        <f t="array" ref="U633">_xlfn.IFS(student_scores[[#This Row],[absence_days]]=0,"0", student_scores[[#This Row],[absence_days]]&lt;=3,"1-3", student_scores[[#This Row],[absence_days]]&lt;=6,"4-6", TRUE,"7-10")</f>
        <v>1-3</v>
      </c>
      <c r="V633" t="str">
        <f>IF(student_scores[[#This Row],[Total_Score]] &gt;= _xlfn.PERCENTILE.INC(student_scores[Total_Score], 0.8), "Yes", "No")</f>
        <v>Yes</v>
      </c>
    </row>
    <row r="634" spans="1:22" x14ac:dyDescent="0.35">
      <c r="A634">
        <v>633</v>
      </c>
      <c r="B634" t="s">
        <v>1299</v>
      </c>
      <c r="C634" t="s">
        <v>1300</v>
      </c>
      <c r="D634" t="s">
        <v>1301</v>
      </c>
      <c r="E634" t="s">
        <v>20</v>
      </c>
      <c r="F634" t="b">
        <v>0</v>
      </c>
      <c r="G634">
        <v>1</v>
      </c>
      <c r="H634" t="b">
        <v>0</v>
      </c>
      <c r="I634">
        <v>5</v>
      </c>
      <c r="J634" t="s">
        <v>34</v>
      </c>
      <c r="K634">
        <v>62</v>
      </c>
      <c r="L634">
        <v>89</v>
      </c>
      <c r="M634">
        <v>72</v>
      </c>
      <c r="N634">
        <v>68</v>
      </c>
      <c r="O634">
        <v>85</v>
      </c>
      <c r="P634">
        <v>80</v>
      </c>
      <c r="Q634">
        <v>75</v>
      </c>
      <c r="R634">
        <f>SUM(student_scores[[#This Row],[math_score]:[geography_score]])</f>
        <v>531</v>
      </c>
      <c r="S634" s="3">
        <f>student_scores[[#This Row],[Total_Score]]/7</f>
        <v>75.857142857142861</v>
      </c>
      <c r="T634" s="3" t="str" cm="1">
        <f t="array" ref="T634">_xlfn.IFS(student_scores[[#This Row],[weekly_self_study_hours]]&lt;=5,   "0 - 5", student_scores[[#This Row],[weekly_self_study_hours]]&lt;=10,  "6 - 10", student_scores[[#This Row],[weekly_self_study_hours]]&lt;=20,  "11 - 20",student_scores[[#This Row],[weekly_self_study_hours]]&lt;=30, "21 - 30",TRUE, "31+")</f>
        <v>0 - 5</v>
      </c>
      <c r="U634" t="str" cm="1">
        <f t="array" ref="U634">_xlfn.IFS(student_scores[[#This Row],[absence_days]]=0,"0", student_scores[[#This Row],[absence_days]]&lt;=3,"1-3", student_scores[[#This Row],[absence_days]]&lt;=6,"4-6", TRUE,"7-10")</f>
        <v>1-3</v>
      </c>
      <c r="V634" t="str">
        <f>IF(student_scores[[#This Row],[Total_Score]] &gt;= _xlfn.PERCENTILE.INC(student_scores[Total_Score], 0.8), "Yes", "No")</f>
        <v>No</v>
      </c>
    </row>
    <row r="635" spans="1:22" x14ac:dyDescent="0.35">
      <c r="A635">
        <v>634</v>
      </c>
      <c r="B635" t="s">
        <v>130</v>
      </c>
      <c r="C635" t="s">
        <v>1302</v>
      </c>
      <c r="D635" t="s">
        <v>1303</v>
      </c>
      <c r="E635" t="s">
        <v>25</v>
      </c>
      <c r="F635" t="b">
        <v>0</v>
      </c>
      <c r="G635">
        <v>1</v>
      </c>
      <c r="H635" t="b">
        <v>0</v>
      </c>
      <c r="I635">
        <v>11</v>
      </c>
      <c r="J635" t="s">
        <v>109</v>
      </c>
      <c r="K635">
        <v>98</v>
      </c>
      <c r="L635">
        <v>72</v>
      </c>
      <c r="M635">
        <v>99</v>
      </c>
      <c r="N635">
        <v>84</v>
      </c>
      <c r="O635">
        <v>60</v>
      </c>
      <c r="P635">
        <v>95</v>
      </c>
      <c r="Q635">
        <v>93</v>
      </c>
      <c r="R635">
        <f>SUM(student_scores[[#This Row],[math_score]:[geography_score]])</f>
        <v>601</v>
      </c>
      <c r="S635" s="3">
        <f>student_scores[[#This Row],[Total_Score]]/7</f>
        <v>85.857142857142861</v>
      </c>
      <c r="T635" s="3" t="str" cm="1">
        <f t="array" ref="T635">_xlfn.IFS(student_scores[[#This Row],[weekly_self_study_hours]]&lt;=5,   "0 - 5", student_scores[[#This Row],[weekly_self_study_hours]]&lt;=10,  "6 - 10", student_scores[[#This Row],[weekly_self_study_hours]]&lt;=20,  "11 - 20",student_scores[[#This Row],[weekly_self_study_hours]]&lt;=30, "21 - 30",TRUE, "31+")</f>
        <v>11 - 20</v>
      </c>
      <c r="U635" t="str" cm="1">
        <f t="array" ref="U635">_xlfn.IFS(student_scores[[#This Row],[absence_days]]=0,"0", student_scores[[#This Row],[absence_days]]&lt;=3,"1-3", student_scores[[#This Row],[absence_days]]&lt;=6,"4-6", TRUE,"7-10")</f>
        <v>1-3</v>
      </c>
      <c r="V635" t="str">
        <f>IF(student_scores[[#This Row],[Total_Score]] &gt;= _xlfn.PERCENTILE.INC(student_scores[Total_Score], 0.8), "Yes", "No")</f>
        <v>Yes</v>
      </c>
    </row>
    <row r="636" spans="1:22" x14ac:dyDescent="0.35">
      <c r="A636">
        <v>635</v>
      </c>
      <c r="B636" t="s">
        <v>612</v>
      </c>
      <c r="C636" t="s">
        <v>335</v>
      </c>
      <c r="D636" t="s">
        <v>1304</v>
      </c>
      <c r="E636" t="s">
        <v>20</v>
      </c>
      <c r="F636" t="b">
        <v>0</v>
      </c>
      <c r="G636">
        <v>8</v>
      </c>
      <c r="H636" t="b">
        <v>1</v>
      </c>
      <c r="I636">
        <v>12</v>
      </c>
      <c r="J636" t="s">
        <v>38</v>
      </c>
      <c r="K636">
        <v>76</v>
      </c>
      <c r="L636">
        <v>75</v>
      </c>
      <c r="M636">
        <v>74</v>
      </c>
      <c r="N636">
        <v>67</v>
      </c>
      <c r="O636">
        <v>76</v>
      </c>
      <c r="P636">
        <v>82</v>
      </c>
      <c r="Q636">
        <v>79</v>
      </c>
      <c r="R636">
        <f>SUM(student_scores[[#This Row],[math_score]:[geography_score]])</f>
        <v>529</v>
      </c>
      <c r="S636" s="3">
        <f>student_scores[[#This Row],[Total_Score]]/7</f>
        <v>75.571428571428569</v>
      </c>
      <c r="T636" s="3" t="str" cm="1">
        <f t="array" ref="T636">_xlfn.IFS(student_scores[[#This Row],[weekly_self_study_hours]]&lt;=5,   "0 - 5", student_scores[[#This Row],[weekly_self_study_hours]]&lt;=10,  "6 - 10", student_scores[[#This Row],[weekly_self_study_hours]]&lt;=20,  "11 - 20",student_scores[[#This Row],[weekly_self_study_hours]]&lt;=30, "21 - 30",TRUE, "31+")</f>
        <v>11 - 20</v>
      </c>
      <c r="U636" t="str" cm="1">
        <f t="array" ref="U636">_xlfn.IFS(student_scores[[#This Row],[absence_days]]=0,"0", student_scores[[#This Row],[absence_days]]&lt;=3,"1-3", student_scores[[#This Row],[absence_days]]&lt;=6,"4-6", TRUE,"7-10")</f>
        <v>7-10</v>
      </c>
      <c r="V636" t="str">
        <f>IF(student_scores[[#This Row],[Total_Score]] &gt;= _xlfn.PERCENTILE.INC(student_scores[Total_Score], 0.8), "Yes", "No")</f>
        <v>No</v>
      </c>
    </row>
    <row r="637" spans="1:22" x14ac:dyDescent="0.35">
      <c r="A637">
        <v>636</v>
      </c>
      <c r="B637" t="s">
        <v>731</v>
      </c>
      <c r="C637" t="s">
        <v>1305</v>
      </c>
      <c r="D637" t="s">
        <v>1306</v>
      </c>
      <c r="E637" t="s">
        <v>25</v>
      </c>
      <c r="F637" t="b">
        <v>0</v>
      </c>
      <c r="G637">
        <v>0</v>
      </c>
      <c r="H637" t="b">
        <v>0</v>
      </c>
      <c r="I637">
        <v>5</v>
      </c>
      <c r="J637" t="s">
        <v>159</v>
      </c>
      <c r="K637">
        <v>97</v>
      </c>
      <c r="L637">
        <v>62</v>
      </c>
      <c r="M637">
        <v>98</v>
      </c>
      <c r="N637">
        <v>70</v>
      </c>
      <c r="O637">
        <v>67</v>
      </c>
      <c r="P637">
        <v>71</v>
      </c>
      <c r="Q637">
        <v>70</v>
      </c>
      <c r="R637">
        <f>SUM(student_scores[[#This Row],[math_score]:[geography_score]])</f>
        <v>535</v>
      </c>
      <c r="S637" s="3">
        <f>student_scores[[#This Row],[Total_Score]]/7</f>
        <v>76.428571428571431</v>
      </c>
      <c r="T637" s="3" t="str" cm="1">
        <f t="array" ref="T637">_xlfn.IFS(student_scores[[#This Row],[weekly_self_study_hours]]&lt;=5,   "0 - 5", student_scores[[#This Row],[weekly_self_study_hours]]&lt;=10,  "6 - 10", student_scores[[#This Row],[weekly_self_study_hours]]&lt;=20,  "11 - 20",student_scores[[#This Row],[weekly_self_study_hours]]&lt;=30, "21 - 30",TRUE, "31+")</f>
        <v>0 - 5</v>
      </c>
      <c r="U637" t="str" cm="1">
        <f t="array" ref="U637">_xlfn.IFS(student_scores[[#This Row],[absence_days]]=0,"0", student_scores[[#This Row],[absence_days]]&lt;=3,"1-3", student_scores[[#This Row],[absence_days]]&lt;=6,"4-6", TRUE,"7-10")</f>
        <v>0</v>
      </c>
      <c r="V637" t="str">
        <f>IF(student_scores[[#This Row],[Total_Score]] &gt;= _xlfn.PERCENTILE.INC(student_scores[Total_Score], 0.8), "Yes", "No")</f>
        <v>No</v>
      </c>
    </row>
    <row r="638" spans="1:22" x14ac:dyDescent="0.35">
      <c r="A638">
        <v>637</v>
      </c>
      <c r="B638" t="s">
        <v>1115</v>
      </c>
      <c r="C638" t="s">
        <v>1307</v>
      </c>
      <c r="D638" t="s">
        <v>1308</v>
      </c>
      <c r="E638" t="s">
        <v>25</v>
      </c>
      <c r="F638" t="b">
        <v>1</v>
      </c>
      <c r="G638">
        <v>6</v>
      </c>
      <c r="H638" t="b">
        <v>0</v>
      </c>
      <c r="I638">
        <v>1</v>
      </c>
      <c r="J638" t="s">
        <v>64</v>
      </c>
      <c r="K638">
        <v>63</v>
      </c>
      <c r="L638">
        <v>60</v>
      </c>
      <c r="M638">
        <v>95</v>
      </c>
      <c r="N638">
        <v>99</v>
      </c>
      <c r="O638">
        <v>87</v>
      </c>
      <c r="P638">
        <v>58</v>
      </c>
      <c r="Q638">
        <v>66</v>
      </c>
      <c r="R638">
        <f>SUM(student_scores[[#This Row],[math_score]:[geography_score]])</f>
        <v>528</v>
      </c>
      <c r="S638" s="3">
        <f>student_scores[[#This Row],[Total_Score]]/7</f>
        <v>75.428571428571431</v>
      </c>
      <c r="T638" s="3" t="str" cm="1">
        <f t="array" ref="T638">_xlfn.IFS(student_scores[[#This Row],[weekly_self_study_hours]]&lt;=5,   "0 - 5", student_scores[[#This Row],[weekly_self_study_hours]]&lt;=10,  "6 - 10", student_scores[[#This Row],[weekly_self_study_hours]]&lt;=20,  "11 - 20",student_scores[[#This Row],[weekly_self_study_hours]]&lt;=30, "21 - 30",TRUE, "31+")</f>
        <v>0 - 5</v>
      </c>
      <c r="U638" t="str" cm="1">
        <f t="array" ref="U638">_xlfn.IFS(student_scores[[#This Row],[absence_days]]=0,"0", student_scores[[#This Row],[absence_days]]&lt;=3,"1-3", student_scores[[#This Row],[absence_days]]&lt;=6,"4-6", TRUE,"7-10")</f>
        <v>4-6</v>
      </c>
      <c r="V638" t="str">
        <f>IF(student_scores[[#This Row],[Total_Score]] &gt;= _xlfn.PERCENTILE.INC(student_scores[Total_Score], 0.8), "Yes", "No")</f>
        <v>No</v>
      </c>
    </row>
    <row r="639" spans="1:22" x14ac:dyDescent="0.35">
      <c r="A639">
        <v>638</v>
      </c>
      <c r="B639" t="s">
        <v>1167</v>
      </c>
      <c r="C639" t="s">
        <v>1309</v>
      </c>
      <c r="D639" t="s">
        <v>1310</v>
      </c>
      <c r="E639" t="s">
        <v>20</v>
      </c>
      <c r="F639" t="b">
        <v>0</v>
      </c>
      <c r="G639">
        <v>5</v>
      </c>
      <c r="H639" t="b">
        <v>0</v>
      </c>
      <c r="I639">
        <v>2</v>
      </c>
      <c r="J639" t="s">
        <v>34</v>
      </c>
      <c r="K639">
        <v>98</v>
      </c>
      <c r="L639">
        <v>99</v>
      </c>
      <c r="M639">
        <v>64</v>
      </c>
      <c r="N639">
        <v>88</v>
      </c>
      <c r="O639">
        <v>72</v>
      </c>
      <c r="P639">
        <v>87</v>
      </c>
      <c r="Q639">
        <v>99</v>
      </c>
      <c r="R639">
        <f>SUM(student_scores[[#This Row],[math_score]:[geography_score]])</f>
        <v>607</v>
      </c>
      <c r="S639" s="3">
        <f>student_scores[[#This Row],[Total_Score]]/7</f>
        <v>86.714285714285708</v>
      </c>
      <c r="T639" s="3" t="str" cm="1">
        <f t="array" ref="T639">_xlfn.IFS(student_scores[[#This Row],[weekly_self_study_hours]]&lt;=5,   "0 - 5", student_scores[[#This Row],[weekly_self_study_hours]]&lt;=10,  "6 - 10", student_scores[[#This Row],[weekly_self_study_hours]]&lt;=20,  "11 - 20",student_scores[[#This Row],[weekly_self_study_hours]]&lt;=30, "21 - 30",TRUE, "31+")</f>
        <v>0 - 5</v>
      </c>
      <c r="U639" t="str" cm="1">
        <f t="array" ref="U639">_xlfn.IFS(student_scores[[#This Row],[absence_days]]=0,"0", student_scores[[#This Row],[absence_days]]&lt;=3,"1-3", student_scores[[#This Row],[absence_days]]&lt;=6,"4-6", TRUE,"7-10")</f>
        <v>4-6</v>
      </c>
      <c r="V639" t="str">
        <f>IF(student_scores[[#This Row],[Total_Score]] &gt;= _xlfn.PERCENTILE.INC(student_scores[Total_Score], 0.8), "Yes", "No")</f>
        <v>Yes</v>
      </c>
    </row>
    <row r="640" spans="1:22" x14ac:dyDescent="0.35">
      <c r="A640">
        <v>639</v>
      </c>
      <c r="B640" t="s">
        <v>1057</v>
      </c>
      <c r="C640" t="s">
        <v>36</v>
      </c>
      <c r="D640" t="s">
        <v>1311</v>
      </c>
      <c r="E640" t="s">
        <v>25</v>
      </c>
      <c r="F640" t="b">
        <v>1</v>
      </c>
      <c r="G640">
        <v>10</v>
      </c>
      <c r="H640" t="b">
        <v>0</v>
      </c>
      <c r="I640">
        <v>1</v>
      </c>
      <c r="J640" t="s">
        <v>64</v>
      </c>
      <c r="K640">
        <v>78</v>
      </c>
      <c r="L640">
        <v>84</v>
      </c>
      <c r="M640">
        <v>84</v>
      </c>
      <c r="N640">
        <v>61</v>
      </c>
      <c r="O640">
        <v>88</v>
      </c>
      <c r="P640">
        <v>67</v>
      </c>
      <c r="Q640">
        <v>92</v>
      </c>
      <c r="R640">
        <f>SUM(student_scores[[#This Row],[math_score]:[geography_score]])</f>
        <v>554</v>
      </c>
      <c r="S640" s="3">
        <f>student_scores[[#This Row],[Total_Score]]/7</f>
        <v>79.142857142857139</v>
      </c>
      <c r="T640" s="3" t="str" cm="1">
        <f t="array" ref="T640">_xlfn.IFS(student_scores[[#This Row],[weekly_self_study_hours]]&lt;=5,   "0 - 5", student_scores[[#This Row],[weekly_self_study_hours]]&lt;=10,  "6 - 10", student_scores[[#This Row],[weekly_self_study_hours]]&lt;=20,  "11 - 20",student_scores[[#This Row],[weekly_self_study_hours]]&lt;=30, "21 - 30",TRUE, "31+")</f>
        <v>0 - 5</v>
      </c>
      <c r="U640" t="str" cm="1">
        <f t="array" ref="U640">_xlfn.IFS(student_scores[[#This Row],[absence_days]]=0,"0", student_scores[[#This Row],[absence_days]]&lt;=3,"1-3", student_scores[[#This Row],[absence_days]]&lt;=6,"4-6", TRUE,"7-10")</f>
        <v>7-10</v>
      </c>
      <c r="V640" t="str">
        <f>IF(student_scores[[#This Row],[Total_Score]] &gt;= _xlfn.PERCENTILE.INC(student_scores[Total_Score], 0.8), "Yes", "No")</f>
        <v>No</v>
      </c>
    </row>
    <row r="641" spans="1:22" x14ac:dyDescent="0.35">
      <c r="A641">
        <v>640</v>
      </c>
      <c r="B641" t="s">
        <v>1286</v>
      </c>
      <c r="C641" t="s">
        <v>35</v>
      </c>
      <c r="D641" t="s">
        <v>1312</v>
      </c>
      <c r="E641" t="s">
        <v>25</v>
      </c>
      <c r="F641" t="b">
        <v>0</v>
      </c>
      <c r="G641">
        <v>2</v>
      </c>
      <c r="H641" t="b">
        <v>1</v>
      </c>
      <c r="I641">
        <v>30</v>
      </c>
      <c r="J641" t="s">
        <v>172</v>
      </c>
      <c r="K641">
        <v>85</v>
      </c>
      <c r="L641">
        <v>77</v>
      </c>
      <c r="M641">
        <v>89</v>
      </c>
      <c r="N641">
        <v>77</v>
      </c>
      <c r="O641">
        <v>84</v>
      </c>
      <c r="P641">
        <v>71</v>
      </c>
      <c r="Q641">
        <v>71</v>
      </c>
      <c r="R641">
        <f>SUM(student_scores[[#This Row],[math_score]:[geography_score]])</f>
        <v>554</v>
      </c>
      <c r="S641" s="3">
        <f>student_scores[[#This Row],[Total_Score]]/7</f>
        <v>79.142857142857139</v>
      </c>
      <c r="T641" s="3" t="str" cm="1">
        <f t="array" ref="T641">_xlfn.IFS(student_scores[[#This Row],[weekly_self_study_hours]]&lt;=5,   "0 - 5", student_scores[[#This Row],[weekly_self_study_hours]]&lt;=10,  "6 - 10", student_scores[[#This Row],[weekly_self_study_hours]]&lt;=20,  "11 - 20",student_scores[[#This Row],[weekly_self_study_hours]]&lt;=30, "21 - 30",TRUE, "31+")</f>
        <v>21 - 30</v>
      </c>
      <c r="U641" t="str" cm="1">
        <f t="array" ref="U641">_xlfn.IFS(student_scores[[#This Row],[absence_days]]=0,"0", student_scores[[#This Row],[absence_days]]&lt;=3,"1-3", student_scores[[#This Row],[absence_days]]&lt;=6,"4-6", TRUE,"7-10")</f>
        <v>1-3</v>
      </c>
      <c r="V641" t="str">
        <f>IF(student_scores[[#This Row],[Total_Score]] &gt;= _xlfn.PERCENTILE.INC(student_scores[Total_Score], 0.8), "Yes", "No")</f>
        <v>No</v>
      </c>
    </row>
    <row r="642" spans="1:22" x14ac:dyDescent="0.35">
      <c r="A642">
        <v>641</v>
      </c>
      <c r="B642" t="s">
        <v>1313</v>
      </c>
      <c r="C642" t="s">
        <v>1314</v>
      </c>
      <c r="D642" t="s">
        <v>1315</v>
      </c>
      <c r="E642" t="s">
        <v>20</v>
      </c>
      <c r="F642" t="b">
        <v>0</v>
      </c>
      <c r="G642">
        <v>6</v>
      </c>
      <c r="H642" t="b">
        <v>0</v>
      </c>
      <c r="I642">
        <v>0</v>
      </c>
      <c r="J642" t="s">
        <v>64</v>
      </c>
      <c r="K642">
        <v>59</v>
      </c>
      <c r="L642">
        <v>100</v>
      </c>
      <c r="M642">
        <v>84</v>
      </c>
      <c r="N642">
        <v>93</v>
      </c>
      <c r="O642">
        <v>70</v>
      </c>
      <c r="P642">
        <v>56</v>
      </c>
      <c r="Q642">
        <v>74</v>
      </c>
      <c r="R642">
        <f>SUM(student_scores[[#This Row],[math_score]:[geography_score]])</f>
        <v>536</v>
      </c>
      <c r="S642" s="3">
        <f>student_scores[[#This Row],[Total_Score]]/7</f>
        <v>76.571428571428569</v>
      </c>
      <c r="T642" s="3" t="str" cm="1">
        <f t="array" ref="T642">_xlfn.IFS(student_scores[[#This Row],[weekly_self_study_hours]]&lt;=5,   "0 - 5", student_scores[[#This Row],[weekly_self_study_hours]]&lt;=10,  "6 - 10", student_scores[[#This Row],[weekly_self_study_hours]]&lt;=20,  "11 - 20",student_scores[[#This Row],[weekly_self_study_hours]]&lt;=30, "21 - 30",TRUE, "31+")</f>
        <v>0 - 5</v>
      </c>
      <c r="U642" t="str" cm="1">
        <f t="array" ref="U642">_xlfn.IFS(student_scores[[#This Row],[absence_days]]=0,"0", student_scores[[#This Row],[absence_days]]&lt;=3,"1-3", student_scores[[#This Row],[absence_days]]&lt;=6,"4-6", TRUE,"7-10")</f>
        <v>4-6</v>
      </c>
      <c r="V642" t="str">
        <f>IF(student_scores[[#This Row],[Total_Score]] &gt;= _xlfn.PERCENTILE.INC(student_scores[Total_Score], 0.8), "Yes", "No")</f>
        <v>No</v>
      </c>
    </row>
    <row r="643" spans="1:22" x14ac:dyDescent="0.35">
      <c r="A643">
        <v>642</v>
      </c>
      <c r="B643" t="s">
        <v>1316</v>
      </c>
      <c r="C643" t="s">
        <v>1317</v>
      </c>
      <c r="D643" t="s">
        <v>1318</v>
      </c>
      <c r="E643" t="s">
        <v>25</v>
      </c>
      <c r="F643" t="b">
        <v>0</v>
      </c>
      <c r="G643">
        <v>2</v>
      </c>
      <c r="H643" t="b">
        <v>1</v>
      </c>
      <c r="I643">
        <v>6</v>
      </c>
      <c r="J643" t="s">
        <v>38</v>
      </c>
      <c r="K643">
        <v>99</v>
      </c>
      <c r="L643">
        <v>77</v>
      </c>
      <c r="M643">
        <v>88</v>
      </c>
      <c r="N643">
        <v>60</v>
      </c>
      <c r="O643">
        <v>93</v>
      </c>
      <c r="P643">
        <v>61</v>
      </c>
      <c r="Q643">
        <v>96</v>
      </c>
      <c r="R643">
        <f>SUM(student_scores[[#This Row],[math_score]:[geography_score]])</f>
        <v>574</v>
      </c>
      <c r="S643" s="3">
        <f>student_scores[[#This Row],[Total_Score]]/7</f>
        <v>82</v>
      </c>
      <c r="T643" s="3" t="str" cm="1">
        <f t="array" ref="T643">_xlfn.IFS(student_scores[[#This Row],[weekly_self_study_hours]]&lt;=5,   "0 - 5", student_scores[[#This Row],[weekly_self_study_hours]]&lt;=10,  "6 - 10", student_scores[[#This Row],[weekly_self_study_hours]]&lt;=20,  "11 - 20",student_scores[[#This Row],[weekly_self_study_hours]]&lt;=30, "21 - 30",TRUE, "31+")</f>
        <v>6 - 10</v>
      </c>
      <c r="U643" t="str" cm="1">
        <f t="array" ref="U643">_xlfn.IFS(student_scores[[#This Row],[absence_days]]=0,"0", student_scores[[#This Row],[absence_days]]&lt;=3,"1-3", student_scores[[#This Row],[absence_days]]&lt;=6,"4-6", TRUE,"7-10")</f>
        <v>1-3</v>
      </c>
      <c r="V643" t="str">
        <f>IF(student_scores[[#This Row],[Total_Score]] &gt;= _xlfn.PERCENTILE.INC(student_scores[Total_Score], 0.8), "Yes", "No")</f>
        <v>No</v>
      </c>
    </row>
    <row r="644" spans="1:22" x14ac:dyDescent="0.35">
      <c r="A644">
        <v>643</v>
      </c>
      <c r="B644" t="s">
        <v>1218</v>
      </c>
      <c r="C644" t="s">
        <v>796</v>
      </c>
      <c r="D644" t="s">
        <v>1319</v>
      </c>
      <c r="E644" t="s">
        <v>20</v>
      </c>
      <c r="F644" t="b">
        <v>0</v>
      </c>
      <c r="G644">
        <v>6</v>
      </c>
      <c r="H644" t="b">
        <v>1</v>
      </c>
      <c r="I644">
        <v>24</v>
      </c>
      <c r="J644" t="s">
        <v>113</v>
      </c>
      <c r="K644">
        <v>76</v>
      </c>
      <c r="L644">
        <v>62</v>
      </c>
      <c r="M644">
        <v>86</v>
      </c>
      <c r="N644">
        <v>80</v>
      </c>
      <c r="O644">
        <v>47</v>
      </c>
      <c r="P644">
        <v>85</v>
      </c>
      <c r="Q644">
        <v>71</v>
      </c>
      <c r="R644">
        <f>SUM(student_scores[[#This Row],[math_score]:[geography_score]])</f>
        <v>507</v>
      </c>
      <c r="S644" s="3">
        <f>student_scores[[#This Row],[Total_Score]]/7</f>
        <v>72.428571428571431</v>
      </c>
      <c r="T644" s="3" t="str" cm="1">
        <f t="array" ref="T644">_xlfn.IFS(student_scores[[#This Row],[weekly_self_study_hours]]&lt;=5,   "0 - 5", student_scores[[#This Row],[weekly_self_study_hours]]&lt;=10,  "6 - 10", student_scores[[#This Row],[weekly_self_study_hours]]&lt;=20,  "11 - 20",student_scores[[#This Row],[weekly_self_study_hours]]&lt;=30, "21 - 30",TRUE, "31+")</f>
        <v>21 - 30</v>
      </c>
      <c r="U644" t="str" cm="1">
        <f t="array" ref="U644">_xlfn.IFS(student_scores[[#This Row],[absence_days]]=0,"0", student_scores[[#This Row],[absence_days]]&lt;=3,"1-3", student_scores[[#This Row],[absence_days]]&lt;=6,"4-6", TRUE,"7-10")</f>
        <v>4-6</v>
      </c>
      <c r="V644" t="str">
        <f>IF(student_scores[[#This Row],[Total_Score]] &gt;= _xlfn.PERCENTILE.INC(student_scores[Total_Score], 0.8), "Yes", "No")</f>
        <v>No</v>
      </c>
    </row>
    <row r="645" spans="1:22" x14ac:dyDescent="0.35">
      <c r="A645">
        <v>644</v>
      </c>
      <c r="B645" t="s">
        <v>61</v>
      </c>
      <c r="C645" t="s">
        <v>742</v>
      </c>
      <c r="D645" t="s">
        <v>1320</v>
      </c>
      <c r="E645" t="s">
        <v>25</v>
      </c>
      <c r="F645" t="b">
        <v>0</v>
      </c>
      <c r="G645">
        <v>7</v>
      </c>
      <c r="H645" t="b">
        <v>0</v>
      </c>
      <c r="I645">
        <v>26</v>
      </c>
      <c r="J645" t="s">
        <v>21</v>
      </c>
      <c r="K645">
        <v>80</v>
      </c>
      <c r="L645">
        <v>90</v>
      </c>
      <c r="M645">
        <v>85</v>
      </c>
      <c r="N645">
        <v>89</v>
      </c>
      <c r="O645">
        <v>85</v>
      </c>
      <c r="P645">
        <v>80</v>
      </c>
      <c r="Q645">
        <v>68</v>
      </c>
      <c r="R645">
        <f>SUM(student_scores[[#This Row],[math_score]:[geography_score]])</f>
        <v>577</v>
      </c>
      <c r="S645" s="3">
        <f>student_scores[[#This Row],[Total_Score]]/7</f>
        <v>82.428571428571431</v>
      </c>
      <c r="T645" s="3" t="str" cm="1">
        <f t="array" ref="T645">_xlfn.IFS(student_scores[[#This Row],[weekly_self_study_hours]]&lt;=5,   "0 - 5", student_scores[[#This Row],[weekly_self_study_hours]]&lt;=10,  "6 - 10", student_scores[[#This Row],[weekly_self_study_hours]]&lt;=20,  "11 - 20",student_scores[[#This Row],[weekly_self_study_hours]]&lt;=30, "21 - 30",TRUE, "31+")</f>
        <v>21 - 30</v>
      </c>
      <c r="U645" t="str" cm="1">
        <f t="array" ref="U645">_xlfn.IFS(student_scores[[#This Row],[absence_days]]=0,"0", student_scores[[#This Row],[absence_days]]&lt;=3,"1-3", student_scores[[#This Row],[absence_days]]&lt;=6,"4-6", TRUE,"7-10")</f>
        <v>7-10</v>
      </c>
      <c r="V645" t="str">
        <f>IF(student_scores[[#This Row],[Total_Score]] &gt;= _xlfn.PERCENTILE.INC(student_scores[Total_Score], 0.8), "Yes", "No")</f>
        <v>No</v>
      </c>
    </row>
    <row r="646" spans="1:22" x14ac:dyDescent="0.35">
      <c r="A646">
        <v>645</v>
      </c>
      <c r="B646" t="s">
        <v>135</v>
      </c>
      <c r="C646" t="s">
        <v>103</v>
      </c>
      <c r="D646" t="s">
        <v>1321</v>
      </c>
      <c r="E646" t="s">
        <v>20</v>
      </c>
      <c r="F646" t="b">
        <v>0</v>
      </c>
      <c r="G646">
        <v>7</v>
      </c>
      <c r="H646" t="b">
        <v>0</v>
      </c>
      <c r="I646">
        <v>0</v>
      </c>
      <c r="J646" t="s">
        <v>64</v>
      </c>
      <c r="K646">
        <v>82</v>
      </c>
      <c r="L646">
        <v>74</v>
      </c>
      <c r="M646">
        <v>92</v>
      </c>
      <c r="N646">
        <v>50</v>
      </c>
      <c r="O646">
        <v>77</v>
      </c>
      <c r="P646">
        <v>98</v>
      </c>
      <c r="Q646">
        <v>100</v>
      </c>
      <c r="R646">
        <f>SUM(student_scores[[#This Row],[math_score]:[geography_score]])</f>
        <v>573</v>
      </c>
      <c r="S646" s="3">
        <f>student_scores[[#This Row],[Total_Score]]/7</f>
        <v>81.857142857142861</v>
      </c>
      <c r="T646" s="3" t="str" cm="1">
        <f t="array" ref="T646">_xlfn.IFS(student_scores[[#This Row],[weekly_self_study_hours]]&lt;=5,   "0 - 5", student_scores[[#This Row],[weekly_self_study_hours]]&lt;=10,  "6 - 10", student_scores[[#This Row],[weekly_self_study_hours]]&lt;=20,  "11 - 20",student_scores[[#This Row],[weekly_self_study_hours]]&lt;=30, "21 - 30",TRUE, "31+")</f>
        <v>0 - 5</v>
      </c>
      <c r="U646" t="str" cm="1">
        <f t="array" ref="U646">_xlfn.IFS(student_scores[[#This Row],[absence_days]]=0,"0", student_scores[[#This Row],[absence_days]]&lt;=3,"1-3", student_scores[[#This Row],[absence_days]]&lt;=6,"4-6", TRUE,"7-10")</f>
        <v>7-10</v>
      </c>
      <c r="V646" t="str">
        <f>IF(student_scores[[#This Row],[Total_Score]] &gt;= _xlfn.PERCENTILE.INC(student_scores[Total_Score], 0.8), "Yes", "No")</f>
        <v>No</v>
      </c>
    </row>
    <row r="647" spans="1:22" x14ac:dyDescent="0.35">
      <c r="A647">
        <v>646</v>
      </c>
      <c r="B647" t="s">
        <v>1322</v>
      </c>
      <c r="C647" t="s">
        <v>1323</v>
      </c>
      <c r="D647" t="s">
        <v>1324</v>
      </c>
      <c r="E647" t="s">
        <v>20</v>
      </c>
      <c r="F647" t="b">
        <v>0</v>
      </c>
      <c r="G647">
        <v>1</v>
      </c>
      <c r="H647" t="b">
        <v>0</v>
      </c>
      <c r="I647">
        <v>18</v>
      </c>
      <c r="J647" t="s">
        <v>44</v>
      </c>
      <c r="K647">
        <v>89</v>
      </c>
      <c r="L647">
        <v>64</v>
      </c>
      <c r="M647">
        <v>72</v>
      </c>
      <c r="N647">
        <v>61</v>
      </c>
      <c r="O647">
        <v>75</v>
      </c>
      <c r="P647">
        <v>68</v>
      </c>
      <c r="Q647">
        <v>83</v>
      </c>
      <c r="R647">
        <f>SUM(student_scores[[#This Row],[math_score]:[geography_score]])</f>
        <v>512</v>
      </c>
      <c r="S647" s="3">
        <f>student_scores[[#This Row],[Total_Score]]/7</f>
        <v>73.142857142857139</v>
      </c>
      <c r="T647" s="3" t="str" cm="1">
        <f t="array" ref="T647">_xlfn.IFS(student_scores[[#This Row],[weekly_self_study_hours]]&lt;=5,   "0 - 5", student_scores[[#This Row],[weekly_self_study_hours]]&lt;=10,  "6 - 10", student_scores[[#This Row],[weekly_self_study_hours]]&lt;=20,  "11 - 20",student_scores[[#This Row],[weekly_self_study_hours]]&lt;=30, "21 - 30",TRUE, "31+")</f>
        <v>11 - 20</v>
      </c>
      <c r="U647" t="str" cm="1">
        <f t="array" ref="U647">_xlfn.IFS(student_scores[[#This Row],[absence_days]]=0,"0", student_scores[[#This Row],[absence_days]]&lt;=3,"1-3", student_scores[[#This Row],[absence_days]]&lt;=6,"4-6", TRUE,"7-10")</f>
        <v>1-3</v>
      </c>
      <c r="V647" t="str">
        <f>IF(student_scores[[#This Row],[Total_Score]] &gt;= _xlfn.PERCENTILE.INC(student_scores[Total_Score], 0.8), "Yes", "No")</f>
        <v>No</v>
      </c>
    </row>
    <row r="648" spans="1:22" x14ac:dyDescent="0.35">
      <c r="A648">
        <v>647</v>
      </c>
      <c r="B648" t="s">
        <v>139</v>
      </c>
      <c r="C648" t="s">
        <v>1325</v>
      </c>
      <c r="D648" t="s">
        <v>1326</v>
      </c>
      <c r="E648" t="s">
        <v>20</v>
      </c>
      <c r="F648" t="b">
        <v>0</v>
      </c>
      <c r="G648">
        <v>4</v>
      </c>
      <c r="H648" t="b">
        <v>0</v>
      </c>
      <c r="I648">
        <v>20</v>
      </c>
      <c r="J648" t="s">
        <v>44</v>
      </c>
      <c r="K648">
        <v>89</v>
      </c>
      <c r="L648">
        <v>79</v>
      </c>
      <c r="M648">
        <v>75</v>
      </c>
      <c r="N648">
        <v>80</v>
      </c>
      <c r="O648">
        <v>97</v>
      </c>
      <c r="P648">
        <v>94</v>
      </c>
      <c r="Q648">
        <v>68</v>
      </c>
      <c r="R648">
        <f>SUM(student_scores[[#This Row],[math_score]:[geography_score]])</f>
        <v>582</v>
      </c>
      <c r="S648" s="3">
        <f>student_scores[[#This Row],[Total_Score]]/7</f>
        <v>83.142857142857139</v>
      </c>
      <c r="T648" s="3" t="str" cm="1">
        <f t="array" ref="T648">_xlfn.IFS(student_scores[[#This Row],[weekly_self_study_hours]]&lt;=5,   "0 - 5", student_scores[[#This Row],[weekly_self_study_hours]]&lt;=10,  "6 - 10", student_scores[[#This Row],[weekly_self_study_hours]]&lt;=20,  "11 - 20",student_scores[[#This Row],[weekly_self_study_hours]]&lt;=30, "21 - 30",TRUE, "31+")</f>
        <v>11 - 20</v>
      </c>
      <c r="U648" t="str" cm="1">
        <f t="array" ref="U648">_xlfn.IFS(student_scores[[#This Row],[absence_days]]=0,"0", student_scores[[#This Row],[absence_days]]&lt;=3,"1-3", student_scores[[#This Row],[absence_days]]&lt;=6,"4-6", TRUE,"7-10")</f>
        <v>4-6</v>
      </c>
      <c r="V648" t="str">
        <f>IF(student_scores[[#This Row],[Total_Score]] &gt;= _xlfn.PERCENTILE.INC(student_scores[Total_Score], 0.8), "Yes", "No")</f>
        <v>No</v>
      </c>
    </row>
    <row r="649" spans="1:22" x14ac:dyDescent="0.35">
      <c r="A649">
        <v>648</v>
      </c>
      <c r="B649" t="s">
        <v>536</v>
      </c>
      <c r="C649" t="s">
        <v>1327</v>
      </c>
      <c r="D649" t="s">
        <v>1328</v>
      </c>
      <c r="E649" t="s">
        <v>25</v>
      </c>
      <c r="F649" t="b">
        <v>0</v>
      </c>
      <c r="G649">
        <v>0</v>
      </c>
      <c r="H649" t="b">
        <v>0</v>
      </c>
      <c r="I649">
        <v>23</v>
      </c>
      <c r="J649" t="s">
        <v>44</v>
      </c>
      <c r="K649">
        <v>86</v>
      </c>
      <c r="L649">
        <v>89</v>
      </c>
      <c r="M649">
        <v>94</v>
      </c>
      <c r="N649">
        <v>95</v>
      </c>
      <c r="O649">
        <v>60</v>
      </c>
      <c r="P649">
        <v>90</v>
      </c>
      <c r="Q649">
        <v>90</v>
      </c>
      <c r="R649">
        <f>SUM(student_scores[[#This Row],[math_score]:[geography_score]])</f>
        <v>604</v>
      </c>
      <c r="S649" s="3">
        <f>student_scores[[#This Row],[Total_Score]]/7</f>
        <v>86.285714285714292</v>
      </c>
      <c r="T649" s="3" t="str" cm="1">
        <f t="array" ref="T649">_xlfn.IFS(student_scores[[#This Row],[weekly_self_study_hours]]&lt;=5,   "0 - 5", student_scores[[#This Row],[weekly_self_study_hours]]&lt;=10,  "6 - 10", student_scores[[#This Row],[weekly_self_study_hours]]&lt;=20,  "11 - 20",student_scores[[#This Row],[weekly_self_study_hours]]&lt;=30, "21 - 30",TRUE, "31+")</f>
        <v>21 - 30</v>
      </c>
      <c r="U649" t="str" cm="1">
        <f t="array" ref="U649">_xlfn.IFS(student_scores[[#This Row],[absence_days]]=0,"0", student_scores[[#This Row],[absence_days]]&lt;=3,"1-3", student_scores[[#This Row],[absence_days]]&lt;=6,"4-6", TRUE,"7-10")</f>
        <v>0</v>
      </c>
      <c r="V649" t="str">
        <f>IF(student_scores[[#This Row],[Total_Score]] &gt;= _xlfn.PERCENTILE.INC(student_scores[Total_Score], 0.8), "Yes", "No")</f>
        <v>Yes</v>
      </c>
    </row>
    <row r="650" spans="1:22" x14ac:dyDescent="0.35">
      <c r="A650">
        <v>649</v>
      </c>
      <c r="B650" t="s">
        <v>221</v>
      </c>
      <c r="C650" t="s">
        <v>1329</v>
      </c>
      <c r="D650" t="s">
        <v>1330</v>
      </c>
      <c r="E650" t="s">
        <v>20</v>
      </c>
      <c r="F650" t="b">
        <v>1</v>
      </c>
      <c r="G650">
        <v>4</v>
      </c>
      <c r="H650" t="b">
        <v>0</v>
      </c>
      <c r="I650">
        <v>4</v>
      </c>
      <c r="J650" t="s">
        <v>64</v>
      </c>
      <c r="K650">
        <v>65</v>
      </c>
      <c r="L650">
        <v>76</v>
      </c>
      <c r="M650">
        <v>92</v>
      </c>
      <c r="N650">
        <v>86</v>
      </c>
      <c r="O650">
        <v>93</v>
      </c>
      <c r="P650">
        <v>61</v>
      </c>
      <c r="Q650">
        <v>97</v>
      </c>
      <c r="R650">
        <f>SUM(student_scores[[#This Row],[math_score]:[geography_score]])</f>
        <v>570</v>
      </c>
      <c r="S650" s="3">
        <f>student_scores[[#This Row],[Total_Score]]/7</f>
        <v>81.428571428571431</v>
      </c>
      <c r="T650" s="3" t="str" cm="1">
        <f t="array" ref="T650">_xlfn.IFS(student_scores[[#This Row],[weekly_self_study_hours]]&lt;=5,   "0 - 5", student_scores[[#This Row],[weekly_self_study_hours]]&lt;=10,  "6 - 10", student_scores[[#This Row],[weekly_self_study_hours]]&lt;=20,  "11 - 20",student_scores[[#This Row],[weekly_self_study_hours]]&lt;=30, "21 - 30",TRUE, "31+")</f>
        <v>0 - 5</v>
      </c>
      <c r="U650" t="str" cm="1">
        <f t="array" ref="U650">_xlfn.IFS(student_scores[[#This Row],[absence_days]]=0,"0", student_scores[[#This Row],[absence_days]]&lt;=3,"1-3", student_scores[[#This Row],[absence_days]]&lt;=6,"4-6", TRUE,"7-10")</f>
        <v>4-6</v>
      </c>
      <c r="V650" t="str">
        <f>IF(student_scores[[#This Row],[Total_Score]] &gt;= _xlfn.PERCENTILE.INC(student_scores[Total_Score], 0.8), "Yes", "No")</f>
        <v>No</v>
      </c>
    </row>
    <row r="651" spans="1:22" x14ac:dyDescent="0.35">
      <c r="A651">
        <v>650</v>
      </c>
      <c r="B651" t="s">
        <v>251</v>
      </c>
      <c r="C651" t="s">
        <v>1089</v>
      </c>
      <c r="D651" t="s">
        <v>1331</v>
      </c>
      <c r="E651" t="s">
        <v>25</v>
      </c>
      <c r="F651" t="b">
        <v>0</v>
      </c>
      <c r="G651">
        <v>4</v>
      </c>
      <c r="H651" t="b">
        <v>0</v>
      </c>
      <c r="I651">
        <v>30</v>
      </c>
      <c r="J651" t="s">
        <v>105</v>
      </c>
      <c r="K651">
        <v>77</v>
      </c>
      <c r="L651">
        <v>95</v>
      </c>
      <c r="M651">
        <v>77</v>
      </c>
      <c r="N651">
        <v>84</v>
      </c>
      <c r="O651">
        <v>60</v>
      </c>
      <c r="P651">
        <v>90</v>
      </c>
      <c r="Q651">
        <v>89</v>
      </c>
      <c r="R651">
        <f>SUM(student_scores[[#This Row],[math_score]:[geography_score]])</f>
        <v>572</v>
      </c>
      <c r="S651" s="3">
        <f>student_scores[[#This Row],[Total_Score]]/7</f>
        <v>81.714285714285708</v>
      </c>
      <c r="T651" s="3" t="str" cm="1">
        <f t="array" ref="T651">_xlfn.IFS(student_scores[[#This Row],[weekly_self_study_hours]]&lt;=5,   "0 - 5", student_scores[[#This Row],[weekly_self_study_hours]]&lt;=10,  "6 - 10", student_scores[[#This Row],[weekly_self_study_hours]]&lt;=20,  "11 - 20",student_scores[[#This Row],[weekly_self_study_hours]]&lt;=30, "21 - 30",TRUE, "31+")</f>
        <v>21 - 30</v>
      </c>
      <c r="U651" t="str" cm="1">
        <f t="array" ref="U651">_xlfn.IFS(student_scores[[#This Row],[absence_days]]=0,"0", student_scores[[#This Row],[absence_days]]&lt;=3,"1-3", student_scores[[#This Row],[absence_days]]&lt;=6,"4-6", TRUE,"7-10")</f>
        <v>4-6</v>
      </c>
      <c r="V651" t="str">
        <f>IF(student_scores[[#This Row],[Total_Score]] &gt;= _xlfn.PERCENTILE.INC(student_scores[Total_Score], 0.8), "Yes", "No")</f>
        <v>No</v>
      </c>
    </row>
    <row r="652" spans="1:22" x14ac:dyDescent="0.35">
      <c r="A652">
        <v>651</v>
      </c>
      <c r="B652" t="s">
        <v>148</v>
      </c>
      <c r="C652" t="s">
        <v>1332</v>
      </c>
      <c r="D652" t="s">
        <v>1333</v>
      </c>
      <c r="E652" t="s">
        <v>25</v>
      </c>
      <c r="F652" t="b">
        <v>0</v>
      </c>
      <c r="G652">
        <v>4</v>
      </c>
      <c r="H652" t="b">
        <v>0</v>
      </c>
      <c r="I652">
        <v>34</v>
      </c>
      <c r="J652" t="s">
        <v>105</v>
      </c>
      <c r="K652">
        <v>88</v>
      </c>
      <c r="L652">
        <v>85</v>
      </c>
      <c r="M652">
        <v>68</v>
      </c>
      <c r="N652">
        <v>62</v>
      </c>
      <c r="O652">
        <v>64</v>
      </c>
      <c r="P652">
        <v>99</v>
      </c>
      <c r="Q652">
        <v>66</v>
      </c>
      <c r="R652">
        <f>SUM(student_scores[[#This Row],[math_score]:[geography_score]])</f>
        <v>532</v>
      </c>
      <c r="S652" s="3">
        <f>student_scores[[#This Row],[Total_Score]]/7</f>
        <v>76</v>
      </c>
      <c r="T652" s="3" t="str" cm="1">
        <f t="array" ref="T652">_xlfn.IFS(student_scores[[#This Row],[weekly_self_study_hours]]&lt;=5,   "0 - 5", student_scores[[#This Row],[weekly_self_study_hours]]&lt;=10,  "6 - 10", student_scores[[#This Row],[weekly_self_study_hours]]&lt;=20,  "11 - 20",student_scores[[#This Row],[weekly_self_study_hours]]&lt;=30, "21 - 30",TRUE, "31+")</f>
        <v>31+</v>
      </c>
      <c r="U652" t="str" cm="1">
        <f t="array" ref="U652">_xlfn.IFS(student_scores[[#This Row],[absence_days]]=0,"0", student_scores[[#This Row],[absence_days]]&lt;=3,"1-3", student_scores[[#This Row],[absence_days]]&lt;=6,"4-6", TRUE,"7-10")</f>
        <v>4-6</v>
      </c>
      <c r="V652" t="str">
        <f>IF(student_scores[[#This Row],[Total_Score]] &gt;= _xlfn.PERCENTILE.INC(student_scores[Total_Score], 0.8), "Yes", "No")</f>
        <v>No</v>
      </c>
    </row>
    <row r="653" spans="1:22" x14ac:dyDescent="0.35">
      <c r="A653">
        <v>652</v>
      </c>
      <c r="B653" t="s">
        <v>493</v>
      </c>
      <c r="C653" t="s">
        <v>295</v>
      </c>
      <c r="D653" t="s">
        <v>1334</v>
      </c>
      <c r="E653" t="s">
        <v>25</v>
      </c>
      <c r="F653" t="b">
        <v>0</v>
      </c>
      <c r="G653">
        <v>1</v>
      </c>
      <c r="H653" t="b">
        <v>0</v>
      </c>
      <c r="I653">
        <v>26</v>
      </c>
      <c r="J653" t="s">
        <v>113</v>
      </c>
      <c r="K653">
        <v>98</v>
      </c>
      <c r="L653">
        <v>77</v>
      </c>
      <c r="M653">
        <v>94</v>
      </c>
      <c r="N653">
        <v>87</v>
      </c>
      <c r="O653">
        <v>44</v>
      </c>
      <c r="P653">
        <v>85</v>
      </c>
      <c r="Q653">
        <v>61</v>
      </c>
      <c r="R653">
        <f>SUM(student_scores[[#This Row],[math_score]:[geography_score]])</f>
        <v>546</v>
      </c>
      <c r="S653" s="3">
        <f>student_scores[[#This Row],[Total_Score]]/7</f>
        <v>78</v>
      </c>
      <c r="T653" s="3" t="str" cm="1">
        <f t="array" ref="T653">_xlfn.IFS(student_scores[[#This Row],[weekly_self_study_hours]]&lt;=5,   "0 - 5", student_scores[[#This Row],[weekly_self_study_hours]]&lt;=10,  "6 - 10", student_scores[[#This Row],[weekly_self_study_hours]]&lt;=20,  "11 - 20",student_scores[[#This Row],[weekly_self_study_hours]]&lt;=30, "21 - 30",TRUE, "31+")</f>
        <v>21 - 30</v>
      </c>
      <c r="U653" t="str" cm="1">
        <f t="array" ref="U653">_xlfn.IFS(student_scores[[#This Row],[absence_days]]=0,"0", student_scores[[#This Row],[absence_days]]&lt;=3,"1-3", student_scores[[#This Row],[absence_days]]&lt;=6,"4-6", TRUE,"7-10")</f>
        <v>1-3</v>
      </c>
      <c r="V653" t="str">
        <f>IF(student_scores[[#This Row],[Total_Score]] &gt;= _xlfn.PERCENTILE.INC(student_scores[Total_Score], 0.8), "Yes", "No")</f>
        <v>No</v>
      </c>
    </row>
    <row r="654" spans="1:22" x14ac:dyDescent="0.35">
      <c r="A654">
        <v>653</v>
      </c>
      <c r="B654" t="s">
        <v>1335</v>
      </c>
      <c r="C654" t="s">
        <v>352</v>
      </c>
      <c r="D654" t="s">
        <v>1336</v>
      </c>
      <c r="E654" t="s">
        <v>20</v>
      </c>
      <c r="F654" t="b">
        <v>0</v>
      </c>
      <c r="G654">
        <v>5</v>
      </c>
      <c r="H654" t="b">
        <v>0</v>
      </c>
      <c r="I654">
        <v>27</v>
      </c>
      <c r="J654" t="s">
        <v>21</v>
      </c>
      <c r="K654">
        <v>84</v>
      </c>
      <c r="L654">
        <v>86</v>
      </c>
      <c r="M654">
        <v>90</v>
      </c>
      <c r="N654">
        <v>80</v>
      </c>
      <c r="O654">
        <v>72</v>
      </c>
      <c r="P654">
        <v>99</v>
      </c>
      <c r="Q654">
        <v>85</v>
      </c>
      <c r="R654">
        <f>SUM(student_scores[[#This Row],[math_score]:[geography_score]])</f>
        <v>596</v>
      </c>
      <c r="S654" s="3">
        <f>student_scores[[#This Row],[Total_Score]]/7</f>
        <v>85.142857142857139</v>
      </c>
      <c r="T654" s="3" t="str" cm="1">
        <f t="array" ref="T654">_xlfn.IFS(student_scores[[#This Row],[weekly_self_study_hours]]&lt;=5,   "0 - 5", student_scores[[#This Row],[weekly_self_study_hours]]&lt;=10,  "6 - 10", student_scores[[#This Row],[weekly_self_study_hours]]&lt;=20,  "11 - 20",student_scores[[#This Row],[weekly_self_study_hours]]&lt;=30, "21 - 30",TRUE, "31+")</f>
        <v>21 - 30</v>
      </c>
      <c r="U654" t="str" cm="1">
        <f t="array" ref="U654">_xlfn.IFS(student_scores[[#This Row],[absence_days]]=0,"0", student_scores[[#This Row],[absence_days]]&lt;=3,"1-3", student_scores[[#This Row],[absence_days]]&lt;=6,"4-6", TRUE,"7-10")</f>
        <v>4-6</v>
      </c>
      <c r="V654" t="str">
        <f>IF(student_scores[[#This Row],[Total_Score]] &gt;= _xlfn.PERCENTILE.INC(student_scores[Total_Score], 0.8), "Yes", "No")</f>
        <v>No</v>
      </c>
    </row>
    <row r="655" spans="1:22" x14ac:dyDescent="0.35">
      <c r="A655">
        <v>654</v>
      </c>
      <c r="B655" t="s">
        <v>68</v>
      </c>
      <c r="C655" t="s">
        <v>1223</v>
      </c>
      <c r="D655" t="s">
        <v>1337</v>
      </c>
      <c r="E655" t="s">
        <v>25</v>
      </c>
      <c r="F655" t="b">
        <v>0</v>
      </c>
      <c r="G655">
        <v>1</v>
      </c>
      <c r="H655" t="b">
        <v>1</v>
      </c>
      <c r="I655">
        <v>18</v>
      </c>
      <c r="J655" t="s">
        <v>44</v>
      </c>
      <c r="K655">
        <v>91</v>
      </c>
      <c r="L655">
        <v>85</v>
      </c>
      <c r="M655">
        <v>66</v>
      </c>
      <c r="N655">
        <v>83</v>
      </c>
      <c r="O655">
        <v>70</v>
      </c>
      <c r="P655">
        <v>71</v>
      </c>
      <c r="Q655">
        <v>80</v>
      </c>
      <c r="R655">
        <f>SUM(student_scores[[#This Row],[math_score]:[geography_score]])</f>
        <v>546</v>
      </c>
      <c r="S655" s="3">
        <f>student_scores[[#This Row],[Total_Score]]/7</f>
        <v>78</v>
      </c>
      <c r="T655" s="3" t="str" cm="1">
        <f t="array" ref="T655">_xlfn.IFS(student_scores[[#This Row],[weekly_self_study_hours]]&lt;=5,   "0 - 5", student_scores[[#This Row],[weekly_self_study_hours]]&lt;=10,  "6 - 10", student_scores[[#This Row],[weekly_self_study_hours]]&lt;=20,  "11 - 20",student_scores[[#This Row],[weekly_self_study_hours]]&lt;=30, "21 - 30",TRUE, "31+")</f>
        <v>11 - 20</v>
      </c>
      <c r="U655" t="str" cm="1">
        <f t="array" ref="U655">_xlfn.IFS(student_scores[[#This Row],[absence_days]]=0,"0", student_scores[[#This Row],[absence_days]]&lt;=3,"1-3", student_scores[[#This Row],[absence_days]]&lt;=6,"4-6", TRUE,"7-10")</f>
        <v>1-3</v>
      </c>
      <c r="V655" t="str">
        <f>IF(student_scores[[#This Row],[Total_Score]] &gt;= _xlfn.PERCENTILE.INC(student_scores[Total_Score], 0.8), "Yes", "No")</f>
        <v>No</v>
      </c>
    </row>
    <row r="656" spans="1:22" x14ac:dyDescent="0.35">
      <c r="A656">
        <v>655</v>
      </c>
      <c r="B656" t="s">
        <v>65</v>
      </c>
      <c r="C656" t="s">
        <v>225</v>
      </c>
      <c r="D656" t="s">
        <v>1338</v>
      </c>
      <c r="E656" t="s">
        <v>25</v>
      </c>
      <c r="F656" t="b">
        <v>0</v>
      </c>
      <c r="G656">
        <v>4</v>
      </c>
      <c r="H656" t="b">
        <v>0</v>
      </c>
      <c r="I656">
        <v>39</v>
      </c>
      <c r="J656" t="s">
        <v>26</v>
      </c>
      <c r="K656">
        <v>97</v>
      </c>
      <c r="L656">
        <v>95</v>
      </c>
      <c r="M656">
        <v>94</v>
      </c>
      <c r="N656">
        <v>90</v>
      </c>
      <c r="O656">
        <v>86</v>
      </c>
      <c r="P656">
        <v>85</v>
      </c>
      <c r="Q656">
        <v>95</v>
      </c>
      <c r="R656">
        <f>SUM(student_scores[[#This Row],[math_score]:[geography_score]])</f>
        <v>642</v>
      </c>
      <c r="S656" s="3">
        <f>student_scores[[#This Row],[Total_Score]]/7</f>
        <v>91.714285714285708</v>
      </c>
      <c r="T656" s="3" t="str" cm="1">
        <f t="array" ref="T656">_xlfn.IFS(student_scores[[#This Row],[weekly_self_study_hours]]&lt;=5,   "0 - 5", student_scores[[#This Row],[weekly_self_study_hours]]&lt;=10,  "6 - 10", student_scores[[#This Row],[weekly_self_study_hours]]&lt;=20,  "11 - 20",student_scores[[#This Row],[weekly_self_study_hours]]&lt;=30, "21 - 30",TRUE, "31+")</f>
        <v>31+</v>
      </c>
      <c r="U656" t="str" cm="1">
        <f t="array" ref="U656">_xlfn.IFS(student_scores[[#This Row],[absence_days]]=0,"0", student_scores[[#This Row],[absence_days]]&lt;=3,"1-3", student_scores[[#This Row],[absence_days]]&lt;=6,"4-6", TRUE,"7-10")</f>
        <v>4-6</v>
      </c>
      <c r="V656" t="str">
        <f>IF(student_scores[[#This Row],[Total_Score]] &gt;= _xlfn.PERCENTILE.INC(student_scores[Total_Score], 0.8), "Yes", "No")</f>
        <v>Yes</v>
      </c>
    </row>
    <row r="657" spans="1:22" x14ac:dyDescent="0.35">
      <c r="A657">
        <v>656</v>
      </c>
      <c r="B657" t="s">
        <v>845</v>
      </c>
      <c r="C657" t="s">
        <v>78</v>
      </c>
      <c r="D657" t="s">
        <v>1339</v>
      </c>
      <c r="E657" t="s">
        <v>25</v>
      </c>
      <c r="F657" t="b">
        <v>0</v>
      </c>
      <c r="G657">
        <v>7</v>
      </c>
      <c r="H657" t="b">
        <v>1</v>
      </c>
      <c r="I657">
        <v>29</v>
      </c>
      <c r="J657" t="s">
        <v>105</v>
      </c>
      <c r="K657">
        <v>77</v>
      </c>
      <c r="L657">
        <v>88</v>
      </c>
      <c r="M657">
        <v>63</v>
      </c>
      <c r="N657">
        <v>87</v>
      </c>
      <c r="O657">
        <v>71</v>
      </c>
      <c r="P657">
        <v>93</v>
      </c>
      <c r="Q657">
        <v>84</v>
      </c>
      <c r="R657">
        <f>SUM(student_scores[[#This Row],[math_score]:[geography_score]])</f>
        <v>563</v>
      </c>
      <c r="S657" s="3">
        <f>student_scores[[#This Row],[Total_Score]]/7</f>
        <v>80.428571428571431</v>
      </c>
      <c r="T657" s="3" t="str" cm="1">
        <f t="array" ref="T657">_xlfn.IFS(student_scores[[#This Row],[weekly_self_study_hours]]&lt;=5,   "0 - 5", student_scores[[#This Row],[weekly_self_study_hours]]&lt;=10,  "6 - 10", student_scores[[#This Row],[weekly_self_study_hours]]&lt;=20,  "11 - 20",student_scores[[#This Row],[weekly_self_study_hours]]&lt;=30, "21 - 30",TRUE, "31+")</f>
        <v>21 - 30</v>
      </c>
      <c r="U657" t="str" cm="1">
        <f t="array" ref="U657">_xlfn.IFS(student_scores[[#This Row],[absence_days]]=0,"0", student_scores[[#This Row],[absence_days]]&lt;=3,"1-3", student_scores[[#This Row],[absence_days]]&lt;=6,"4-6", TRUE,"7-10")</f>
        <v>7-10</v>
      </c>
      <c r="V657" t="str">
        <f>IF(student_scores[[#This Row],[Total_Score]] &gt;= _xlfn.PERCENTILE.INC(student_scores[Total_Score], 0.8), "Yes", "No")</f>
        <v>No</v>
      </c>
    </row>
    <row r="658" spans="1:22" x14ac:dyDescent="0.35">
      <c r="A658">
        <v>657</v>
      </c>
      <c r="B658" t="s">
        <v>1340</v>
      </c>
      <c r="C658" t="s">
        <v>284</v>
      </c>
      <c r="D658" t="s">
        <v>1341</v>
      </c>
      <c r="E658" t="s">
        <v>20</v>
      </c>
      <c r="F658" t="b">
        <v>0</v>
      </c>
      <c r="G658">
        <v>0</v>
      </c>
      <c r="H658" t="b">
        <v>1</v>
      </c>
      <c r="I658">
        <v>27</v>
      </c>
      <c r="J658" t="s">
        <v>26</v>
      </c>
      <c r="K658">
        <v>100</v>
      </c>
      <c r="L658">
        <v>84</v>
      </c>
      <c r="M658">
        <v>93</v>
      </c>
      <c r="N658">
        <v>96</v>
      </c>
      <c r="O658">
        <v>97</v>
      </c>
      <c r="P658">
        <v>70</v>
      </c>
      <c r="Q658">
        <v>95</v>
      </c>
      <c r="R658">
        <f>SUM(student_scores[[#This Row],[math_score]:[geography_score]])</f>
        <v>635</v>
      </c>
      <c r="S658" s="3">
        <f>student_scores[[#This Row],[Total_Score]]/7</f>
        <v>90.714285714285708</v>
      </c>
      <c r="T658" s="3" t="str" cm="1">
        <f t="array" ref="T658">_xlfn.IFS(student_scores[[#This Row],[weekly_self_study_hours]]&lt;=5,   "0 - 5", student_scores[[#This Row],[weekly_self_study_hours]]&lt;=10,  "6 - 10", student_scores[[#This Row],[weekly_self_study_hours]]&lt;=20,  "11 - 20",student_scores[[#This Row],[weekly_self_study_hours]]&lt;=30, "21 - 30",TRUE, "31+")</f>
        <v>21 - 30</v>
      </c>
      <c r="U658" t="str" cm="1">
        <f t="array" ref="U658">_xlfn.IFS(student_scores[[#This Row],[absence_days]]=0,"0", student_scores[[#This Row],[absence_days]]&lt;=3,"1-3", student_scores[[#This Row],[absence_days]]&lt;=6,"4-6", TRUE,"7-10")</f>
        <v>0</v>
      </c>
      <c r="V658" t="str">
        <f>IF(student_scores[[#This Row],[Total_Score]] &gt;= _xlfn.PERCENTILE.INC(student_scores[Total_Score], 0.8), "Yes", "No")</f>
        <v>Yes</v>
      </c>
    </row>
    <row r="659" spans="1:22" x14ac:dyDescent="0.35">
      <c r="A659">
        <v>658</v>
      </c>
      <c r="B659" t="s">
        <v>145</v>
      </c>
      <c r="C659" t="s">
        <v>1342</v>
      </c>
      <c r="D659" t="s">
        <v>1343</v>
      </c>
      <c r="E659" t="s">
        <v>20</v>
      </c>
      <c r="F659" t="b">
        <v>1</v>
      </c>
      <c r="G659">
        <v>3</v>
      </c>
      <c r="H659" t="b">
        <v>1</v>
      </c>
      <c r="I659">
        <v>17</v>
      </c>
      <c r="J659" t="s">
        <v>44</v>
      </c>
      <c r="K659">
        <v>93</v>
      </c>
      <c r="L659">
        <v>70</v>
      </c>
      <c r="M659">
        <v>62</v>
      </c>
      <c r="N659">
        <v>99</v>
      </c>
      <c r="O659">
        <v>63</v>
      </c>
      <c r="P659">
        <v>83</v>
      </c>
      <c r="Q659">
        <v>60</v>
      </c>
      <c r="R659">
        <f>SUM(student_scores[[#This Row],[math_score]:[geography_score]])</f>
        <v>530</v>
      </c>
      <c r="S659" s="3">
        <f>student_scores[[#This Row],[Total_Score]]/7</f>
        <v>75.714285714285708</v>
      </c>
      <c r="T659" s="3" t="str" cm="1">
        <f t="array" ref="T659">_xlfn.IFS(student_scores[[#This Row],[weekly_self_study_hours]]&lt;=5,   "0 - 5", student_scores[[#This Row],[weekly_self_study_hours]]&lt;=10,  "6 - 10", student_scores[[#This Row],[weekly_self_study_hours]]&lt;=20,  "11 - 20",student_scores[[#This Row],[weekly_self_study_hours]]&lt;=30, "21 - 30",TRUE, "31+")</f>
        <v>11 - 20</v>
      </c>
      <c r="U659" t="str" cm="1">
        <f t="array" ref="U659">_xlfn.IFS(student_scores[[#This Row],[absence_days]]=0,"0", student_scores[[#This Row],[absence_days]]&lt;=3,"1-3", student_scores[[#This Row],[absence_days]]&lt;=6,"4-6", TRUE,"7-10")</f>
        <v>1-3</v>
      </c>
      <c r="V659" t="str">
        <f>IF(student_scores[[#This Row],[Total_Score]] &gt;= _xlfn.PERCENTILE.INC(student_scores[Total_Score], 0.8), "Yes", "No")</f>
        <v>No</v>
      </c>
    </row>
    <row r="660" spans="1:22" x14ac:dyDescent="0.35">
      <c r="A660">
        <v>659</v>
      </c>
      <c r="B660" t="s">
        <v>31</v>
      </c>
      <c r="C660" t="s">
        <v>95</v>
      </c>
      <c r="D660" t="s">
        <v>1344</v>
      </c>
      <c r="E660" t="s">
        <v>25</v>
      </c>
      <c r="F660" t="b">
        <v>1</v>
      </c>
      <c r="G660">
        <v>5</v>
      </c>
      <c r="H660" t="b">
        <v>1</v>
      </c>
      <c r="I660">
        <v>31</v>
      </c>
      <c r="J660" t="s">
        <v>105</v>
      </c>
      <c r="K660">
        <v>93</v>
      </c>
      <c r="L660">
        <v>99</v>
      </c>
      <c r="M660">
        <v>79</v>
      </c>
      <c r="N660">
        <v>78</v>
      </c>
      <c r="O660">
        <v>64</v>
      </c>
      <c r="P660">
        <v>87</v>
      </c>
      <c r="Q660">
        <v>76</v>
      </c>
      <c r="R660">
        <f>SUM(student_scores[[#This Row],[math_score]:[geography_score]])</f>
        <v>576</v>
      </c>
      <c r="S660" s="3">
        <f>student_scores[[#This Row],[Total_Score]]/7</f>
        <v>82.285714285714292</v>
      </c>
      <c r="T660" s="3" t="str" cm="1">
        <f t="array" ref="T660">_xlfn.IFS(student_scores[[#This Row],[weekly_self_study_hours]]&lt;=5,   "0 - 5", student_scores[[#This Row],[weekly_self_study_hours]]&lt;=10,  "6 - 10", student_scores[[#This Row],[weekly_self_study_hours]]&lt;=20,  "11 - 20",student_scores[[#This Row],[weekly_self_study_hours]]&lt;=30, "21 - 30",TRUE, "31+")</f>
        <v>31+</v>
      </c>
      <c r="U660" t="str" cm="1">
        <f t="array" ref="U660">_xlfn.IFS(student_scores[[#This Row],[absence_days]]=0,"0", student_scores[[#This Row],[absence_days]]&lt;=3,"1-3", student_scores[[#This Row],[absence_days]]&lt;=6,"4-6", TRUE,"7-10")</f>
        <v>4-6</v>
      </c>
      <c r="V660" t="str">
        <f>IF(student_scores[[#This Row],[Total_Score]] &gt;= _xlfn.PERCENTILE.INC(student_scores[Total_Score], 0.8), "Yes", "No")</f>
        <v>No</v>
      </c>
    </row>
    <row r="661" spans="1:22" x14ac:dyDescent="0.35">
      <c r="A661">
        <v>660</v>
      </c>
      <c r="B661" t="s">
        <v>130</v>
      </c>
      <c r="C661" t="s">
        <v>496</v>
      </c>
      <c r="D661" t="s">
        <v>1345</v>
      </c>
      <c r="E661" t="s">
        <v>25</v>
      </c>
      <c r="F661" t="b">
        <v>1</v>
      </c>
      <c r="G661">
        <v>4</v>
      </c>
      <c r="H661" t="b">
        <v>0</v>
      </c>
      <c r="I661">
        <v>13</v>
      </c>
      <c r="J661" t="s">
        <v>105</v>
      </c>
      <c r="K661">
        <v>94</v>
      </c>
      <c r="L661">
        <v>89</v>
      </c>
      <c r="M661">
        <v>74</v>
      </c>
      <c r="N661">
        <v>75</v>
      </c>
      <c r="O661">
        <v>73</v>
      </c>
      <c r="P661">
        <v>78</v>
      </c>
      <c r="Q661">
        <v>61</v>
      </c>
      <c r="R661">
        <f>SUM(student_scores[[#This Row],[math_score]:[geography_score]])</f>
        <v>544</v>
      </c>
      <c r="S661" s="3">
        <f>student_scores[[#This Row],[Total_Score]]/7</f>
        <v>77.714285714285708</v>
      </c>
      <c r="T661" s="3" t="str" cm="1">
        <f t="array" ref="T661">_xlfn.IFS(student_scores[[#This Row],[weekly_self_study_hours]]&lt;=5,   "0 - 5", student_scores[[#This Row],[weekly_self_study_hours]]&lt;=10,  "6 - 10", student_scores[[#This Row],[weekly_self_study_hours]]&lt;=20,  "11 - 20",student_scores[[#This Row],[weekly_self_study_hours]]&lt;=30, "21 - 30",TRUE, "31+")</f>
        <v>11 - 20</v>
      </c>
      <c r="U661" t="str" cm="1">
        <f t="array" ref="U661">_xlfn.IFS(student_scores[[#This Row],[absence_days]]=0,"0", student_scores[[#This Row],[absence_days]]&lt;=3,"1-3", student_scores[[#This Row],[absence_days]]&lt;=6,"4-6", TRUE,"7-10")</f>
        <v>4-6</v>
      </c>
      <c r="V661" t="str">
        <f>IF(student_scores[[#This Row],[Total_Score]] &gt;= _xlfn.PERCENTILE.INC(student_scores[Total_Score], 0.8), "Yes", "No")</f>
        <v>No</v>
      </c>
    </row>
    <row r="662" spans="1:22" x14ac:dyDescent="0.35">
      <c r="A662">
        <v>661</v>
      </c>
      <c r="B662" t="s">
        <v>166</v>
      </c>
      <c r="C662" t="s">
        <v>561</v>
      </c>
      <c r="D662" t="s">
        <v>1346</v>
      </c>
      <c r="E662" t="s">
        <v>25</v>
      </c>
      <c r="F662" t="b">
        <v>0</v>
      </c>
      <c r="G662">
        <v>4</v>
      </c>
      <c r="H662" t="b">
        <v>1</v>
      </c>
      <c r="I662">
        <v>12</v>
      </c>
      <c r="J662" t="s">
        <v>105</v>
      </c>
      <c r="K662">
        <v>88</v>
      </c>
      <c r="L662">
        <v>86</v>
      </c>
      <c r="M662">
        <v>79</v>
      </c>
      <c r="N662">
        <v>93</v>
      </c>
      <c r="O662">
        <v>68</v>
      </c>
      <c r="P662">
        <v>92</v>
      </c>
      <c r="Q662">
        <v>99</v>
      </c>
      <c r="R662">
        <f>SUM(student_scores[[#This Row],[math_score]:[geography_score]])</f>
        <v>605</v>
      </c>
      <c r="S662" s="3">
        <f>student_scores[[#This Row],[Total_Score]]/7</f>
        <v>86.428571428571431</v>
      </c>
      <c r="T662" s="3" t="str" cm="1">
        <f t="array" ref="T662">_xlfn.IFS(student_scores[[#This Row],[weekly_self_study_hours]]&lt;=5,   "0 - 5", student_scores[[#This Row],[weekly_self_study_hours]]&lt;=10,  "6 - 10", student_scores[[#This Row],[weekly_self_study_hours]]&lt;=20,  "11 - 20",student_scores[[#This Row],[weekly_self_study_hours]]&lt;=30, "21 - 30",TRUE, "31+")</f>
        <v>11 - 20</v>
      </c>
      <c r="U662" t="str" cm="1">
        <f t="array" ref="U662">_xlfn.IFS(student_scores[[#This Row],[absence_days]]=0,"0", student_scores[[#This Row],[absence_days]]&lt;=3,"1-3", student_scores[[#This Row],[absence_days]]&lt;=6,"4-6", TRUE,"7-10")</f>
        <v>4-6</v>
      </c>
      <c r="V662" t="str">
        <f>IF(student_scores[[#This Row],[Total_Score]] &gt;= _xlfn.PERCENTILE.INC(student_scores[Total_Score], 0.8), "Yes", "No")</f>
        <v>Yes</v>
      </c>
    </row>
    <row r="663" spans="1:22" x14ac:dyDescent="0.35">
      <c r="A663">
        <v>662</v>
      </c>
      <c r="B663" t="s">
        <v>830</v>
      </c>
      <c r="C663" t="s">
        <v>782</v>
      </c>
      <c r="D663" t="s">
        <v>1347</v>
      </c>
      <c r="E663" t="s">
        <v>20</v>
      </c>
      <c r="F663" t="b">
        <v>1</v>
      </c>
      <c r="G663">
        <v>10</v>
      </c>
      <c r="H663" t="b">
        <v>0</v>
      </c>
      <c r="I663">
        <v>0</v>
      </c>
      <c r="J663" t="s">
        <v>64</v>
      </c>
      <c r="K663">
        <v>93</v>
      </c>
      <c r="L663">
        <v>95</v>
      </c>
      <c r="M663">
        <v>94</v>
      </c>
      <c r="N663">
        <v>70</v>
      </c>
      <c r="O663">
        <v>83</v>
      </c>
      <c r="P663">
        <v>86</v>
      </c>
      <c r="Q663">
        <v>94</v>
      </c>
      <c r="R663">
        <f>SUM(student_scores[[#This Row],[math_score]:[geography_score]])</f>
        <v>615</v>
      </c>
      <c r="S663" s="3">
        <f>student_scores[[#This Row],[Total_Score]]/7</f>
        <v>87.857142857142861</v>
      </c>
      <c r="T663" s="3" t="str" cm="1">
        <f t="array" ref="T663">_xlfn.IFS(student_scores[[#This Row],[weekly_self_study_hours]]&lt;=5,   "0 - 5", student_scores[[#This Row],[weekly_self_study_hours]]&lt;=10,  "6 - 10", student_scores[[#This Row],[weekly_self_study_hours]]&lt;=20,  "11 - 20",student_scores[[#This Row],[weekly_self_study_hours]]&lt;=30, "21 - 30",TRUE, "31+")</f>
        <v>0 - 5</v>
      </c>
      <c r="U663" t="str" cm="1">
        <f t="array" ref="U663">_xlfn.IFS(student_scores[[#This Row],[absence_days]]=0,"0", student_scores[[#This Row],[absence_days]]&lt;=3,"1-3", student_scores[[#This Row],[absence_days]]&lt;=6,"4-6", TRUE,"7-10")</f>
        <v>7-10</v>
      </c>
      <c r="V663" t="str">
        <f>IF(student_scores[[#This Row],[Total_Score]] &gt;= _xlfn.PERCENTILE.INC(student_scores[Total_Score], 0.8), "Yes", "No")</f>
        <v>Yes</v>
      </c>
    </row>
    <row r="664" spans="1:22" x14ac:dyDescent="0.35">
      <c r="A664">
        <v>663</v>
      </c>
      <c r="B664" t="s">
        <v>1348</v>
      </c>
      <c r="C664" t="s">
        <v>515</v>
      </c>
      <c r="D664" t="s">
        <v>1349</v>
      </c>
      <c r="E664" t="s">
        <v>20</v>
      </c>
      <c r="F664" t="b">
        <v>0</v>
      </c>
      <c r="G664">
        <v>2</v>
      </c>
      <c r="H664" t="b">
        <v>1</v>
      </c>
      <c r="I664">
        <v>21</v>
      </c>
      <c r="J664" t="s">
        <v>138</v>
      </c>
      <c r="K664">
        <v>83</v>
      </c>
      <c r="L664">
        <v>75</v>
      </c>
      <c r="M664">
        <v>84</v>
      </c>
      <c r="N664">
        <v>68</v>
      </c>
      <c r="O664">
        <v>95</v>
      </c>
      <c r="P664">
        <v>80</v>
      </c>
      <c r="Q664">
        <v>88</v>
      </c>
      <c r="R664">
        <f>SUM(student_scores[[#This Row],[math_score]:[geography_score]])</f>
        <v>573</v>
      </c>
      <c r="S664" s="3">
        <f>student_scores[[#This Row],[Total_Score]]/7</f>
        <v>81.857142857142861</v>
      </c>
      <c r="T664" s="3" t="str" cm="1">
        <f t="array" ref="T664">_xlfn.IFS(student_scores[[#This Row],[weekly_self_study_hours]]&lt;=5,   "0 - 5", student_scores[[#This Row],[weekly_self_study_hours]]&lt;=10,  "6 - 10", student_scores[[#This Row],[weekly_self_study_hours]]&lt;=20,  "11 - 20",student_scores[[#This Row],[weekly_self_study_hours]]&lt;=30, "21 - 30",TRUE, "31+")</f>
        <v>21 - 30</v>
      </c>
      <c r="U664" t="str" cm="1">
        <f t="array" ref="U664">_xlfn.IFS(student_scores[[#This Row],[absence_days]]=0,"0", student_scores[[#This Row],[absence_days]]&lt;=3,"1-3", student_scores[[#This Row],[absence_days]]&lt;=6,"4-6", TRUE,"7-10")</f>
        <v>1-3</v>
      </c>
      <c r="V664" t="str">
        <f>IF(student_scores[[#This Row],[Total_Score]] &gt;= _xlfn.PERCENTILE.INC(student_scores[Total_Score], 0.8), "Yes", "No")</f>
        <v>No</v>
      </c>
    </row>
    <row r="665" spans="1:22" x14ac:dyDescent="0.35">
      <c r="A665">
        <v>664</v>
      </c>
      <c r="B665" t="s">
        <v>154</v>
      </c>
      <c r="C665" t="s">
        <v>1350</v>
      </c>
      <c r="D665" t="s">
        <v>1351</v>
      </c>
      <c r="E665" t="s">
        <v>25</v>
      </c>
      <c r="F665" t="b">
        <v>1</v>
      </c>
      <c r="G665">
        <v>3</v>
      </c>
      <c r="H665" t="b">
        <v>0</v>
      </c>
      <c r="I665">
        <v>28</v>
      </c>
      <c r="J665" t="s">
        <v>21</v>
      </c>
      <c r="K665">
        <v>96</v>
      </c>
      <c r="L665">
        <v>93</v>
      </c>
      <c r="M665">
        <v>100</v>
      </c>
      <c r="N665">
        <v>96</v>
      </c>
      <c r="O665">
        <v>97</v>
      </c>
      <c r="P665">
        <v>81</v>
      </c>
      <c r="Q665">
        <v>72</v>
      </c>
      <c r="R665">
        <f>SUM(student_scores[[#This Row],[math_score]:[geography_score]])</f>
        <v>635</v>
      </c>
      <c r="S665" s="3">
        <f>student_scores[[#This Row],[Total_Score]]/7</f>
        <v>90.714285714285708</v>
      </c>
      <c r="T665" s="3" t="str" cm="1">
        <f t="array" ref="T665">_xlfn.IFS(student_scores[[#This Row],[weekly_self_study_hours]]&lt;=5,   "0 - 5", student_scores[[#This Row],[weekly_self_study_hours]]&lt;=10,  "6 - 10", student_scores[[#This Row],[weekly_self_study_hours]]&lt;=20,  "11 - 20",student_scores[[#This Row],[weekly_self_study_hours]]&lt;=30, "21 - 30",TRUE, "31+")</f>
        <v>21 - 30</v>
      </c>
      <c r="U665" t="str" cm="1">
        <f t="array" ref="U665">_xlfn.IFS(student_scores[[#This Row],[absence_days]]=0,"0", student_scores[[#This Row],[absence_days]]&lt;=3,"1-3", student_scores[[#This Row],[absence_days]]&lt;=6,"4-6", TRUE,"7-10")</f>
        <v>1-3</v>
      </c>
      <c r="V665" t="str">
        <f>IF(student_scores[[#This Row],[Total_Score]] &gt;= _xlfn.PERCENTILE.INC(student_scores[Total_Score], 0.8), "Yes", "No")</f>
        <v>Yes</v>
      </c>
    </row>
    <row r="666" spans="1:22" x14ac:dyDescent="0.35">
      <c r="A666">
        <v>665</v>
      </c>
      <c r="B666" t="s">
        <v>369</v>
      </c>
      <c r="C666" t="s">
        <v>625</v>
      </c>
      <c r="D666" t="s">
        <v>1352</v>
      </c>
      <c r="E666" t="s">
        <v>25</v>
      </c>
      <c r="F666" t="b">
        <v>1</v>
      </c>
      <c r="G666">
        <v>8</v>
      </c>
      <c r="H666" t="b">
        <v>0</v>
      </c>
      <c r="I666">
        <v>35</v>
      </c>
      <c r="J666" t="s">
        <v>113</v>
      </c>
      <c r="K666">
        <v>87</v>
      </c>
      <c r="L666">
        <v>88</v>
      </c>
      <c r="M666">
        <v>93</v>
      </c>
      <c r="N666">
        <v>88</v>
      </c>
      <c r="O666">
        <v>96</v>
      </c>
      <c r="P666">
        <v>85</v>
      </c>
      <c r="Q666">
        <v>94</v>
      </c>
      <c r="R666">
        <f>SUM(student_scores[[#This Row],[math_score]:[geography_score]])</f>
        <v>631</v>
      </c>
      <c r="S666" s="3">
        <f>student_scores[[#This Row],[Total_Score]]/7</f>
        <v>90.142857142857139</v>
      </c>
      <c r="T666" s="3" t="str" cm="1">
        <f t="array" ref="T666">_xlfn.IFS(student_scores[[#This Row],[weekly_self_study_hours]]&lt;=5,   "0 - 5", student_scores[[#This Row],[weekly_self_study_hours]]&lt;=10,  "6 - 10", student_scores[[#This Row],[weekly_self_study_hours]]&lt;=20,  "11 - 20",student_scores[[#This Row],[weekly_self_study_hours]]&lt;=30, "21 - 30",TRUE, "31+")</f>
        <v>31+</v>
      </c>
      <c r="U666" t="str" cm="1">
        <f t="array" ref="U666">_xlfn.IFS(student_scores[[#This Row],[absence_days]]=0,"0", student_scores[[#This Row],[absence_days]]&lt;=3,"1-3", student_scores[[#This Row],[absence_days]]&lt;=6,"4-6", TRUE,"7-10")</f>
        <v>7-10</v>
      </c>
      <c r="V666" t="str">
        <f>IF(student_scores[[#This Row],[Total_Score]] &gt;= _xlfn.PERCENTILE.INC(student_scores[Total_Score], 0.8), "Yes", "No")</f>
        <v>Yes</v>
      </c>
    </row>
    <row r="667" spans="1:22" x14ac:dyDescent="0.35">
      <c r="A667">
        <v>666</v>
      </c>
      <c r="B667" t="s">
        <v>805</v>
      </c>
      <c r="C667" t="s">
        <v>1353</v>
      </c>
      <c r="D667" t="s">
        <v>1354</v>
      </c>
      <c r="E667" t="s">
        <v>20</v>
      </c>
      <c r="F667" t="b">
        <v>0</v>
      </c>
      <c r="G667">
        <v>9</v>
      </c>
      <c r="H667" t="b">
        <v>1</v>
      </c>
      <c r="I667">
        <v>24</v>
      </c>
      <c r="J667" t="s">
        <v>21</v>
      </c>
      <c r="K667">
        <v>95</v>
      </c>
      <c r="L667">
        <v>82</v>
      </c>
      <c r="M667">
        <v>84</v>
      </c>
      <c r="N667">
        <v>69</v>
      </c>
      <c r="O667">
        <v>63</v>
      </c>
      <c r="P667">
        <v>85</v>
      </c>
      <c r="Q667">
        <v>69</v>
      </c>
      <c r="R667">
        <f>SUM(student_scores[[#This Row],[math_score]:[geography_score]])</f>
        <v>547</v>
      </c>
      <c r="S667" s="3">
        <f>student_scores[[#This Row],[Total_Score]]/7</f>
        <v>78.142857142857139</v>
      </c>
      <c r="T667" s="3" t="str" cm="1">
        <f t="array" ref="T667">_xlfn.IFS(student_scores[[#This Row],[weekly_self_study_hours]]&lt;=5,   "0 - 5", student_scores[[#This Row],[weekly_self_study_hours]]&lt;=10,  "6 - 10", student_scores[[#This Row],[weekly_self_study_hours]]&lt;=20,  "11 - 20",student_scores[[#This Row],[weekly_self_study_hours]]&lt;=30, "21 - 30",TRUE, "31+")</f>
        <v>21 - 30</v>
      </c>
      <c r="U667" t="str" cm="1">
        <f t="array" ref="U667">_xlfn.IFS(student_scores[[#This Row],[absence_days]]=0,"0", student_scores[[#This Row],[absence_days]]&lt;=3,"1-3", student_scores[[#This Row],[absence_days]]&lt;=6,"4-6", TRUE,"7-10")</f>
        <v>7-10</v>
      </c>
      <c r="V667" t="str">
        <f>IF(student_scores[[#This Row],[Total_Score]] &gt;= _xlfn.PERCENTILE.INC(student_scores[Total_Score], 0.8), "Yes", "No")</f>
        <v>No</v>
      </c>
    </row>
    <row r="668" spans="1:22" x14ac:dyDescent="0.35">
      <c r="A668">
        <v>667</v>
      </c>
      <c r="B668" t="s">
        <v>328</v>
      </c>
      <c r="C668" t="s">
        <v>355</v>
      </c>
      <c r="D668" t="s">
        <v>1355</v>
      </c>
      <c r="E668" t="s">
        <v>20</v>
      </c>
      <c r="F668" t="b">
        <v>0</v>
      </c>
      <c r="G668">
        <v>1</v>
      </c>
      <c r="H668" t="b">
        <v>0</v>
      </c>
      <c r="I668">
        <v>28</v>
      </c>
      <c r="J668" t="s">
        <v>113</v>
      </c>
      <c r="K668">
        <v>87</v>
      </c>
      <c r="L668">
        <v>87</v>
      </c>
      <c r="M668">
        <v>86</v>
      </c>
      <c r="N668">
        <v>84</v>
      </c>
      <c r="O668">
        <v>66</v>
      </c>
      <c r="P668">
        <v>83</v>
      </c>
      <c r="Q668">
        <v>81</v>
      </c>
      <c r="R668">
        <f>SUM(student_scores[[#This Row],[math_score]:[geography_score]])</f>
        <v>574</v>
      </c>
      <c r="S668" s="3">
        <f>student_scores[[#This Row],[Total_Score]]/7</f>
        <v>82</v>
      </c>
      <c r="T668" s="3" t="str" cm="1">
        <f t="array" ref="T668">_xlfn.IFS(student_scores[[#This Row],[weekly_self_study_hours]]&lt;=5,   "0 - 5", student_scores[[#This Row],[weekly_self_study_hours]]&lt;=10,  "6 - 10", student_scores[[#This Row],[weekly_self_study_hours]]&lt;=20,  "11 - 20",student_scores[[#This Row],[weekly_self_study_hours]]&lt;=30, "21 - 30",TRUE, "31+")</f>
        <v>21 - 30</v>
      </c>
      <c r="U668" t="str" cm="1">
        <f t="array" ref="U668">_xlfn.IFS(student_scores[[#This Row],[absence_days]]=0,"0", student_scores[[#This Row],[absence_days]]&lt;=3,"1-3", student_scores[[#This Row],[absence_days]]&lt;=6,"4-6", TRUE,"7-10")</f>
        <v>1-3</v>
      </c>
      <c r="V668" t="str">
        <f>IF(student_scores[[#This Row],[Total_Score]] &gt;= _xlfn.PERCENTILE.INC(student_scores[Total_Score], 0.8), "Yes", "No")</f>
        <v>No</v>
      </c>
    </row>
    <row r="669" spans="1:22" x14ac:dyDescent="0.35">
      <c r="A669">
        <v>668</v>
      </c>
      <c r="B669" t="s">
        <v>473</v>
      </c>
      <c r="C669" t="s">
        <v>45</v>
      </c>
      <c r="D669" t="s">
        <v>1356</v>
      </c>
      <c r="E669" t="s">
        <v>20</v>
      </c>
      <c r="F669" t="b">
        <v>0</v>
      </c>
      <c r="G669">
        <v>9</v>
      </c>
      <c r="H669" t="b">
        <v>0</v>
      </c>
      <c r="I669">
        <v>0</v>
      </c>
      <c r="J669" t="s">
        <v>64</v>
      </c>
      <c r="K669">
        <v>43</v>
      </c>
      <c r="L669">
        <v>95</v>
      </c>
      <c r="M669">
        <v>64</v>
      </c>
      <c r="N669">
        <v>95</v>
      </c>
      <c r="O669">
        <v>66</v>
      </c>
      <c r="P669">
        <v>67</v>
      </c>
      <c r="Q669">
        <v>74</v>
      </c>
      <c r="R669">
        <f>SUM(student_scores[[#This Row],[math_score]:[geography_score]])</f>
        <v>504</v>
      </c>
      <c r="S669" s="3">
        <f>student_scores[[#This Row],[Total_Score]]/7</f>
        <v>72</v>
      </c>
      <c r="T669" s="3" t="str" cm="1">
        <f t="array" ref="T669">_xlfn.IFS(student_scores[[#This Row],[weekly_self_study_hours]]&lt;=5,   "0 - 5", student_scores[[#This Row],[weekly_self_study_hours]]&lt;=10,  "6 - 10", student_scores[[#This Row],[weekly_self_study_hours]]&lt;=20,  "11 - 20",student_scores[[#This Row],[weekly_self_study_hours]]&lt;=30, "21 - 30",TRUE, "31+")</f>
        <v>0 - 5</v>
      </c>
      <c r="U669" t="str" cm="1">
        <f t="array" ref="U669">_xlfn.IFS(student_scores[[#This Row],[absence_days]]=0,"0", student_scores[[#This Row],[absence_days]]&lt;=3,"1-3", student_scores[[#This Row],[absence_days]]&lt;=6,"4-6", TRUE,"7-10")</f>
        <v>7-10</v>
      </c>
      <c r="V669" t="str">
        <f>IF(student_scores[[#This Row],[Total_Score]] &gt;= _xlfn.PERCENTILE.INC(student_scores[Total_Score], 0.8), "Yes", "No")</f>
        <v>No</v>
      </c>
    </row>
    <row r="670" spans="1:22" x14ac:dyDescent="0.35">
      <c r="A670">
        <v>669</v>
      </c>
      <c r="B670" t="s">
        <v>1357</v>
      </c>
      <c r="C670" t="s">
        <v>429</v>
      </c>
      <c r="D670" t="s">
        <v>1358</v>
      </c>
      <c r="E670" t="s">
        <v>25</v>
      </c>
      <c r="F670" t="b">
        <v>1</v>
      </c>
      <c r="G670">
        <v>6</v>
      </c>
      <c r="H670" t="b">
        <v>0</v>
      </c>
      <c r="I670">
        <v>0</v>
      </c>
      <c r="J670" t="s">
        <v>64</v>
      </c>
      <c r="K670">
        <v>40</v>
      </c>
      <c r="L670">
        <v>100</v>
      </c>
      <c r="M670">
        <v>88</v>
      </c>
      <c r="N670">
        <v>79</v>
      </c>
      <c r="O670">
        <v>71</v>
      </c>
      <c r="P670">
        <v>86</v>
      </c>
      <c r="Q670">
        <v>89</v>
      </c>
      <c r="R670">
        <f>SUM(student_scores[[#This Row],[math_score]:[geography_score]])</f>
        <v>553</v>
      </c>
      <c r="S670" s="3">
        <f>student_scores[[#This Row],[Total_Score]]/7</f>
        <v>79</v>
      </c>
      <c r="T670" s="3" t="str" cm="1">
        <f t="array" ref="T670">_xlfn.IFS(student_scores[[#This Row],[weekly_self_study_hours]]&lt;=5,   "0 - 5", student_scores[[#This Row],[weekly_self_study_hours]]&lt;=10,  "6 - 10", student_scores[[#This Row],[weekly_self_study_hours]]&lt;=20,  "11 - 20",student_scores[[#This Row],[weekly_self_study_hours]]&lt;=30, "21 - 30",TRUE, "31+")</f>
        <v>0 - 5</v>
      </c>
      <c r="U670" t="str" cm="1">
        <f t="array" ref="U670">_xlfn.IFS(student_scores[[#This Row],[absence_days]]=0,"0", student_scores[[#This Row],[absence_days]]&lt;=3,"1-3", student_scores[[#This Row],[absence_days]]&lt;=6,"4-6", TRUE,"7-10")</f>
        <v>4-6</v>
      </c>
      <c r="V670" t="str">
        <f>IF(student_scores[[#This Row],[Total_Score]] &gt;= _xlfn.PERCENTILE.INC(student_scores[Total_Score], 0.8), "Yes", "No")</f>
        <v>No</v>
      </c>
    </row>
    <row r="671" spans="1:22" x14ac:dyDescent="0.35">
      <c r="A671">
        <v>670</v>
      </c>
      <c r="B671" t="s">
        <v>1359</v>
      </c>
      <c r="C671" t="s">
        <v>1360</v>
      </c>
      <c r="D671" t="s">
        <v>1361</v>
      </c>
      <c r="E671" t="s">
        <v>20</v>
      </c>
      <c r="F671" t="b">
        <v>0</v>
      </c>
      <c r="G671">
        <v>2</v>
      </c>
      <c r="H671" t="b">
        <v>0</v>
      </c>
      <c r="I671">
        <v>3</v>
      </c>
      <c r="J671" t="s">
        <v>224</v>
      </c>
      <c r="K671">
        <v>64</v>
      </c>
      <c r="L671">
        <v>70</v>
      </c>
      <c r="M671">
        <v>98</v>
      </c>
      <c r="N671">
        <v>82</v>
      </c>
      <c r="O671">
        <v>100</v>
      </c>
      <c r="P671">
        <v>72</v>
      </c>
      <c r="Q671">
        <v>78</v>
      </c>
      <c r="R671">
        <f>SUM(student_scores[[#This Row],[math_score]:[geography_score]])</f>
        <v>564</v>
      </c>
      <c r="S671" s="3">
        <f>student_scores[[#This Row],[Total_Score]]/7</f>
        <v>80.571428571428569</v>
      </c>
      <c r="T671" s="3" t="str" cm="1">
        <f t="array" ref="T671">_xlfn.IFS(student_scores[[#This Row],[weekly_self_study_hours]]&lt;=5,   "0 - 5", student_scores[[#This Row],[weekly_self_study_hours]]&lt;=10,  "6 - 10", student_scores[[#This Row],[weekly_self_study_hours]]&lt;=20,  "11 - 20",student_scores[[#This Row],[weekly_self_study_hours]]&lt;=30, "21 - 30",TRUE, "31+")</f>
        <v>0 - 5</v>
      </c>
      <c r="U671" t="str" cm="1">
        <f t="array" ref="U671">_xlfn.IFS(student_scores[[#This Row],[absence_days]]=0,"0", student_scores[[#This Row],[absence_days]]&lt;=3,"1-3", student_scores[[#This Row],[absence_days]]&lt;=6,"4-6", TRUE,"7-10")</f>
        <v>1-3</v>
      </c>
      <c r="V671" t="str">
        <f>IF(student_scores[[#This Row],[Total_Score]] &gt;= _xlfn.PERCENTILE.INC(student_scores[Total_Score], 0.8), "Yes", "No")</f>
        <v>No</v>
      </c>
    </row>
    <row r="672" spans="1:22" x14ac:dyDescent="0.35">
      <c r="A672">
        <v>671</v>
      </c>
      <c r="B672" t="s">
        <v>154</v>
      </c>
      <c r="C672" t="s">
        <v>1362</v>
      </c>
      <c r="D672" t="s">
        <v>1363</v>
      </c>
      <c r="E672" t="s">
        <v>25</v>
      </c>
      <c r="F672" t="b">
        <v>0</v>
      </c>
      <c r="G672">
        <v>3</v>
      </c>
      <c r="H672" t="b">
        <v>0</v>
      </c>
      <c r="I672">
        <v>16</v>
      </c>
      <c r="J672" t="s">
        <v>38</v>
      </c>
      <c r="K672">
        <v>72</v>
      </c>
      <c r="L672">
        <v>79</v>
      </c>
      <c r="M672">
        <v>95</v>
      </c>
      <c r="N672">
        <v>68</v>
      </c>
      <c r="O672">
        <v>75</v>
      </c>
      <c r="P672">
        <v>70</v>
      </c>
      <c r="Q672">
        <v>88</v>
      </c>
      <c r="R672">
        <f>SUM(student_scores[[#This Row],[math_score]:[geography_score]])</f>
        <v>547</v>
      </c>
      <c r="S672" s="3">
        <f>student_scores[[#This Row],[Total_Score]]/7</f>
        <v>78.142857142857139</v>
      </c>
      <c r="T672" s="3" t="str" cm="1">
        <f t="array" ref="T672">_xlfn.IFS(student_scores[[#This Row],[weekly_self_study_hours]]&lt;=5,   "0 - 5", student_scores[[#This Row],[weekly_self_study_hours]]&lt;=10,  "6 - 10", student_scores[[#This Row],[weekly_self_study_hours]]&lt;=20,  "11 - 20",student_scores[[#This Row],[weekly_self_study_hours]]&lt;=30, "21 - 30",TRUE, "31+")</f>
        <v>11 - 20</v>
      </c>
      <c r="U672" t="str" cm="1">
        <f t="array" ref="U672">_xlfn.IFS(student_scores[[#This Row],[absence_days]]=0,"0", student_scores[[#This Row],[absence_days]]&lt;=3,"1-3", student_scores[[#This Row],[absence_days]]&lt;=6,"4-6", TRUE,"7-10")</f>
        <v>1-3</v>
      </c>
      <c r="V672" t="str">
        <f>IF(student_scores[[#This Row],[Total_Score]] &gt;= _xlfn.PERCENTILE.INC(student_scores[Total_Score], 0.8), "Yes", "No")</f>
        <v>No</v>
      </c>
    </row>
    <row r="673" spans="1:22" x14ac:dyDescent="0.35">
      <c r="A673">
        <v>672</v>
      </c>
      <c r="B673" t="s">
        <v>1364</v>
      </c>
      <c r="C673" t="s">
        <v>249</v>
      </c>
      <c r="D673" t="s">
        <v>1365</v>
      </c>
      <c r="E673" t="s">
        <v>25</v>
      </c>
      <c r="F673" t="b">
        <v>0</v>
      </c>
      <c r="G673">
        <v>2</v>
      </c>
      <c r="H673" t="b">
        <v>0</v>
      </c>
      <c r="I673">
        <v>26</v>
      </c>
      <c r="J673" t="s">
        <v>21</v>
      </c>
      <c r="K673">
        <v>77</v>
      </c>
      <c r="L673">
        <v>96</v>
      </c>
      <c r="M673">
        <v>86</v>
      </c>
      <c r="N673">
        <v>84</v>
      </c>
      <c r="O673">
        <v>90</v>
      </c>
      <c r="P673">
        <v>85</v>
      </c>
      <c r="Q673">
        <v>91</v>
      </c>
      <c r="R673">
        <f>SUM(student_scores[[#This Row],[math_score]:[geography_score]])</f>
        <v>609</v>
      </c>
      <c r="S673" s="3">
        <f>student_scores[[#This Row],[Total_Score]]/7</f>
        <v>87</v>
      </c>
      <c r="T673" s="3" t="str" cm="1">
        <f t="array" ref="T673">_xlfn.IFS(student_scores[[#This Row],[weekly_self_study_hours]]&lt;=5,   "0 - 5", student_scores[[#This Row],[weekly_self_study_hours]]&lt;=10,  "6 - 10", student_scores[[#This Row],[weekly_self_study_hours]]&lt;=20,  "11 - 20",student_scores[[#This Row],[weekly_self_study_hours]]&lt;=30, "21 - 30",TRUE, "31+")</f>
        <v>21 - 30</v>
      </c>
      <c r="U673" t="str" cm="1">
        <f t="array" ref="U673">_xlfn.IFS(student_scores[[#This Row],[absence_days]]=0,"0", student_scores[[#This Row],[absence_days]]&lt;=3,"1-3", student_scores[[#This Row],[absence_days]]&lt;=6,"4-6", TRUE,"7-10")</f>
        <v>1-3</v>
      </c>
      <c r="V673" t="str">
        <f>IF(student_scores[[#This Row],[Total_Score]] &gt;= _xlfn.PERCENTILE.INC(student_scores[Total_Score], 0.8), "Yes", "No")</f>
        <v>Yes</v>
      </c>
    </row>
    <row r="674" spans="1:22" x14ac:dyDescent="0.35">
      <c r="A674">
        <v>673</v>
      </c>
      <c r="B674" t="s">
        <v>202</v>
      </c>
      <c r="C674" t="s">
        <v>143</v>
      </c>
      <c r="D674" t="s">
        <v>1366</v>
      </c>
      <c r="E674" t="s">
        <v>25</v>
      </c>
      <c r="F674" t="b">
        <v>1</v>
      </c>
      <c r="G674">
        <v>10</v>
      </c>
      <c r="H674" t="b">
        <v>1</v>
      </c>
      <c r="I674">
        <v>4</v>
      </c>
      <c r="J674" t="s">
        <v>64</v>
      </c>
      <c r="K674">
        <v>40</v>
      </c>
      <c r="L674">
        <v>86</v>
      </c>
      <c r="M674">
        <v>53</v>
      </c>
      <c r="N674">
        <v>63</v>
      </c>
      <c r="O674">
        <v>50</v>
      </c>
      <c r="P674">
        <v>87</v>
      </c>
      <c r="Q674">
        <v>77</v>
      </c>
      <c r="R674">
        <f>SUM(student_scores[[#This Row],[math_score]:[geography_score]])</f>
        <v>456</v>
      </c>
      <c r="S674" s="3">
        <f>student_scores[[#This Row],[Total_Score]]/7</f>
        <v>65.142857142857139</v>
      </c>
      <c r="T674" s="3" t="str" cm="1">
        <f t="array" ref="T674">_xlfn.IFS(student_scores[[#This Row],[weekly_self_study_hours]]&lt;=5,   "0 - 5", student_scores[[#This Row],[weekly_self_study_hours]]&lt;=10,  "6 - 10", student_scores[[#This Row],[weekly_self_study_hours]]&lt;=20,  "11 - 20",student_scores[[#This Row],[weekly_self_study_hours]]&lt;=30, "21 - 30",TRUE, "31+")</f>
        <v>0 - 5</v>
      </c>
      <c r="U674" t="str" cm="1">
        <f t="array" ref="U674">_xlfn.IFS(student_scores[[#This Row],[absence_days]]=0,"0", student_scores[[#This Row],[absence_days]]&lt;=3,"1-3", student_scores[[#This Row],[absence_days]]&lt;=6,"4-6", TRUE,"7-10")</f>
        <v>7-10</v>
      </c>
      <c r="V674" t="str">
        <f>IF(student_scores[[#This Row],[Total_Score]] &gt;= _xlfn.PERCENTILE.INC(student_scores[Total_Score], 0.8), "Yes", "No")</f>
        <v>No</v>
      </c>
    </row>
    <row r="675" spans="1:22" x14ac:dyDescent="0.35">
      <c r="A675">
        <v>674</v>
      </c>
      <c r="B675" t="s">
        <v>1367</v>
      </c>
      <c r="C675" t="s">
        <v>48</v>
      </c>
      <c r="D675" t="s">
        <v>1368</v>
      </c>
      <c r="E675" t="s">
        <v>20</v>
      </c>
      <c r="F675" t="b">
        <v>0</v>
      </c>
      <c r="G675">
        <v>2</v>
      </c>
      <c r="H675" t="b">
        <v>0</v>
      </c>
      <c r="I675">
        <v>24</v>
      </c>
      <c r="J675" t="s">
        <v>138</v>
      </c>
      <c r="K675">
        <v>100</v>
      </c>
      <c r="L675">
        <v>89</v>
      </c>
      <c r="M675">
        <v>90</v>
      </c>
      <c r="N675">
        <v>96</v>
      </c>
      <c r="O675">
        <v>72</v>
      </c>
      <c r="P675">
        <v>90</v>
      </c>
      <c r="Q675">
        <v>86</v>
      </c>
      <c r="R675">
        <f>SUM(student_scores[[#This Row],[math_score]:[geography_score]])</f>
        <v>623</v>
      </c>
      <c r="S675" s="3">
        <f>student_scores[[#This Row],[Total_Score]]/7</f>
        <v>89</v>
      </c>
      <c r="T675" s="3" t="str" cm="1">
        <f t="array" ref="T675">_xlfn.IFS(student_scores[[#This Row],[weekly_self_study_hours]]&lt;=5,   "0 - 5", student_scores[[#This Row],[weekly_self_study_hours]]&lt;=10,  "6 - 10", student_scores[[#This Row],[weekly_self_study_hours]]&lt;=20,  "11 - 20",student_scores[[#This Row],[weekly_self_study_hours]]&lt;=30, "21 - 30",TRUE, "31+")</f>
        <v>21 - 30</v>
      </c>
      <c r="U675" t="str" cm="1">
        <f t="array" ref="U675">_xlfn.IFS(student_scores[[#This Row],[absence_days]]=0,"0", student_scores[[#This Row],[absence_days]]&lt;=3,"1-3", student_scores[[#This Row],[absence_days]]&lt;=6,"4-6", TRUE,"7-10")</f>
        <v>1-3</v>
      </c>
      <c r="V675" t="str">
        <f>IF(student_scores[[#This Row],[Total_Score]] &gt;= _xlfn.PERCENTILE.INC(student_scores[Total_Score], 0.8), "Yes", "No")</f>
        <v>Yes</v>
      </c>
    </row>
    <row r="676" spans="1:22" x14ac:dyDescent="0.35">
      <c r="A676">
        <v>675</v>
      </c>
      <c r="B676" t="s">
        <v>1369</v>
      </c>
      <c r="C676" t="s">
        <v>566</v>
      </c>
      <c r="D676" t="s">
        <v>1370</v>
      </c>
      <c r="E676" t="s">
        <v>20</v>
      </c>
      <c r="F676" t="b">
        <v>0</v>
      </c>
      <c r="G676">
        <v>5</v>
      </c>
      <c r="H676" t="b">
        <v>1</v>
      </c>
      <c r="I676">
        <v>22</v>
      </c>
      <c r="J676" t="s">
        <v>44</v>
      </c>
      <c r="K676">
        <v>89</v>
      </c>
      <c r="L676">
        <v>93</v>
      </c>
      <c r="M676">
        <v>95</v>
      </c>
      <c r="N676">
        <v>88</v>
      </c>
      <c r="O676">
        <v>72</v>
      </c>
      <c r="P676">
        <v>76</v>
      </c>
      <c r="Q676">
        <v>71</v>
      </c>
      <c r="R676">
        <f>SUM(student_scores[[#This Row],[math_score]:[geography_score]])</f>
        <v>584</v>
      </c>
      <c r="S676" s="3">
        <f>student_scores[[#This Row],[Total_Score]]/7</f>
        <v>83.428571428571431</v>
      </c>
      <c r="T676" s="3" t="str" cm="1">
        <f t="array" ref="T676">_xlfn.IFS(student_scores[[#This Row],[weekly_self_study_hours]]&lt;=5,   "0 - 5", student_scores[[#This Row],[weekly_self_study_hours]]&lt;=10,  "6 - 10", student_scores[[#This Row],[weekly_self_study_hours]]&lt;=20,  "11 - 20",student_scores[[#This Row],[weekly_self_study_hours]]&lt;=30, "21 - 30",TRUE, "31+")</f>
        <v>21 - 30</v>
      </c>
      <c r="U676" t="str" cm="1">
        <f t="array" ref="U676">_xlfn.IFS(student_scores[[#This Row],[absence_days]]=0,"0", student_scores[[#This Row],[absence_days]]&lt;=3,"1-3", student_scores[[#This Row],[absence_days]]&lt;=6,"4-6", TRUE,"7-10")</f>
        <v>4-6</v>
      </c>
      <c r="V676" t="str">
        <f>IF(student_scores[[#This Row],[Total_Score]] &gt;= _xlfn.PERCENTILE.INC(student_scores[Total_Score], 0.8), "Yes", "No")</f>
        <v>No</v>
      </c>
    </row>
    <row r="677" spans="1:22" x14ac:dyDescent="0.35">
      <c r="A677">
        <v>676</v>
      </c>
      <c r="B677" t="s">
        <v>1371</v>
      </c>
      <c r="C677" t="s">
        <v>246</v>
      </c>
      <c r="D677" t="s">
        <v>1372</v>
      </c>
      <c r="E677" t="s">
        <v>25</v>
      </c>
      <c r="F677" t="b">
        <v>1</v>
      </c>
      <c r="G677">
        <v>2</v>
      </c>
      <c r="H677" t="b">
        <v>0</v>
      </c>
      <c r="I677">
        <v>14</v>
      </c>
      <c r="J677" t="s">
        <v>44</v>
      </c>
      <c r="K677">
        <v>97</v>
      </c>
      <c r="L677">
        <v>74</v>
      </c>
      <c r="M677">
        <v>76</v>
      </c>
      <c r="N677">
        <v>72</v>
      </c>
      <c r="O677">
        <v>62</v>
      </c>
      <c r="P677">
        <v>69</v>
      </c>
      <c r="Q677">
        <v>90</v>
      </c>
      <c r="R677">
        <f>SUM(student_scores[[#This Row],[math_score]:[geography_score]])</f>
        <v>540</v>
      </c>
      <c r="S677" s="3">
        <f>student_scores[[#This Row],[Total_Score]]/7</f>
        <v>77.142857142857139</v>
      </c>
      <c r="T677" s="3" t="str" cm="1">
        <f t="array" ref="T677">_xlfn.IFS(student_scores[[#This Row],[weekly_self_study_hours]]&lt;=5,   "0 - 5", student_scores[[#This Row],[weekly_self_study_hours]]&lt;=10,  "6 - 10", student_scores[[#This Row],[weekly_self_study_hours]]&lt;=20,  "11 - 20",student_scores[[#This Row],[weekly_self_study_hours]]&lt;=30, "21 - 30",TRUE, "31+")</f>
        <v>11 - 20</v>
      </c>
      <c r="U677" t="str" cm="1">
        <f t="array" ref="U677">_xlfn.IFS(student_scores[[#This Row],[absence_days]]=0,"0", student_scores[[#This Row],[absence_days]]&lt;=3,"1-3", student_scores[[#This Row],[absence_days]]&lt;=6,"4-6", TRUE,"7-10")</f>
        <v>1-3</v>
      </c>
      <c r="V677" t="str">
        <f>IF(student_scores[[#This Row],[Total_Score]] &gt;= _xlfn.PERCENTILE.INC(student_scores[Total_Score], 0.8), "Yes", "No")</f>
        <v>No</v>
      </c>
    </row>
    <row r="678" spans="1:22" x14ac:dyDescent="0.35">
      <c r="A678">
        <v>677</v>
      </c>
      <c r="B678" t="s">
        <v>300</v>
      </c>
      <c r="C678" t="s">
        <v>707</v>
      </c>
      <c r="D678" t="s">
        <v>1373</v>
      </c>
      <c r="E678" t="s">
        <v>20</v>
      </c>
      <c r="F678" t="b">
        <v>0</v>
      </c>
      <c r="G678">
        <v>2</v>
      </c>
      <c r="H678" t="b">
        <v>0</v>
      </c>
      <c r="I678">
        <v>21</v>
      </c>
      <c r="J678" t="s">
        <v>38</v>
      </c>
      <c r="K678">
        <v>100</v>
      </c>
      <c r="L678">
        <v>77</v>
      </c>
      <c r="M678">
        <v>74</v>
      </c>
      <c r="N678">
        <v>61</v>
      </c>
      <c r="O678">
        <v>81</v>
      </c>
      <c r="P678">
        <v>96</v>
      </c>
      <c r="Q678">
        <v>96</v>
      </c>
      <c r="R678">
        <f>SUM(student_scores[[#This Row],[math_score]:[geography_score]])</f>
        <v>585</v>
      </c>
      <c r="S678" s="3">
        <f>student_scores[[#This Row],[Total_Score]]/7</f>
        <v>83.571428571428569</v>
      </c>
      <c r="T678" s="3" t="str" cm="1">
        <f t="array" ref="T678">_xlfn.IFS(student_scores[[#This Row],[weekly_self_study_hours]]&lt;=5,   "0 - 5", student_scores[[#This Row],[weekly_self_study_hours]]&lt;=10,  "6 - 10", student_scores[[#This Row],[weekly_self_study_hours]]&lt;=20,  "11 - 20",student_scores[[#This Row],[weekly_self_study_hours]]&lt;=30, "21 - 30",TRUE, "31+")</f>
        <v>21 - 30</v>
      </c>
      <c r="U678" t="str" cm="1">
        <f t="array" ref="U678">_xlfn.IFS(student_scores[[#This Row],[absence_days]]=0,"0", student_scores[[#This Row],[absence_days]]&lt;=3,"1-3", student_scores[[#This Row],[absence_days]]&lt;=6,"4-6", TRUE,"7-10")</f>
        <v>1-3</v>
      </c>
      <c r="V678" t="str">
        <f>IF(student_scores[[#This Row],[Total_Score]] &gt;= _xlfn.PERCENTILE.INC(student_scores[Total_Score], 0.8), "Yes", "No")</f>
        <v>No</v>
      </c>
    </row>
    <row r="679" spans="1:22" x14ac:dyDescent="0.35">
      <c r="A679">
        <v>678</v>
      </c>
      <c r="B679" t="s">
        <v>280</v>
      </c>
      <c r="C679" t="s">
        <v>1374</v>
      </c>
      <c r="D679" t="s">
        <v>1375</v>
      </c>
      <c r="E679" t="s">
        <v>20</v>
      </c>
      <c r="F679" t="b">
        <v>0</v>
      </c>
      <c r="G679">
        <v>4</v>
      </c>
      <c r="H679" t="b">
        <v>0</v>
      </c>
      <c r="I679">
        <v>29</v>
      </c>
      <c r="J679" t="s">
        <v>21</v>
      </c>
      <c r="K679">
        <v>81</v>
      </c>
      <c r="L679">
        <v>88</v>
      </c>
      <c r="M679">
        <v>85</v>
      </c>
      <c r="N679">
        <v>89</v>
      </c>
      <c r="O679">
        <v>81</v>
      </c>
      <c r="P679">
        <v>91</v>
      </c>
      <c r="Q679">
        <v>98</v>
      </c>
      <c r="R679">
        <f>SUM(student_scores[[#This Row],[math_score]:[geography_score]])</f>
        <v>613</v>
      </c>
      <c r="S679" s="3">
        <f>student_scores[[#This Row],[Total_Score]]/7</f>
        <v>87.571428571428569</v>
      </c>
      <c r="T679" s="3" t="str" cm="1">
        <f t="array" ref="T679">_xlfn.IFS(student_scores[[#This Row],[weekly_self_study_hours]]&lt;=5,   "0 - 5", student_scores[[#This Row],[weekly_self_study_hours]]&lt;=10,  "6 - 10", student_scores[[#This Row],[weekly_self_study_hours]]&lt;=20,  "11 - 20",student_scores[[#This Row],[weekly_self_study_hours]]&lt;=30, "21 - 30",TRUE, "31+")</f>
        <v>21 - 30</v>
      </c>
      <c r="U679" t="str" cm="1">
        <f t="array" ref="U679">_xlfn.IFS(student_scores[[#This Row],[absence_days]]=0,"0", student_scores[[#This Row],[absence_days]]&lt;=3,"1-3", student_scores[[#This Row],[absence_days]]&lt;=6,"4-6", TRUE,"7-10")</f>
        <v>4-6</v>
      </c>
      <c r="V679" t="str">
        <f>IF(student_scores[[#This Row],[Total_Score]] &gt;= _xlfn.PERCENTILE.INC(student_scores[Total_Score], 0.8), "Yes", "No")</f>
        <v>Yes</v>
      </c>
    </row>
    <row r="680" spans="1:22" x14ac:dyDescent="0.35">
      <c r="A680">
        <v>679</v>
      </c>
      <c r="B680" t="s">
        <v>190</v>
      </c>
      <c r="C680" t="s">
        <v>103</v>
      </c>
      <c r="D680" t="s">
        <v>1376</v>
      </c>
      <c r="E680" t="s">
        <v>25</v>
      </c>
      <c r="F680" t="b">
        <v>0</v>
      </c>
      <c r="G680">
        <v>6</v>
      </c>
      <c r="H680" t="b">
        <v>0</v>
      </c>
      <c r="I680">
        <v>3</v>
      </c>
      <c r="J680" t="s">
        <v>64</v>
      </c>
      <c r="K680">
        <v>100</v>
      </c>
      <c r="L680">
        <v>91</v>
      </c>
      <c r="M680">
        <v>53</v>
      </c>
      <c r="N680">
        <v>78</v>
      </c>
      <c r="O680">
        <v>55</v>
      </c>
      <c r="P680">
        <v>91</v>
      </c>
      <c r="Q680">
        <v>74</v>
      </c>
      <c r="R680">
        <f>SUM(student_scores[[#This Row],[math_score]:[geography_score]])</f>
        <v>542</v>
      </c>
      <c r="S680" s="3">
        <f>student_scores[[#This Row],[Total_Score]]/7</f>
        <v>77.428571428571431</v>
      </c>
      <c r="T680" s="3" t="str" cm="1">
        <f t="array" ref="T680">_xlfn.IFS(student_scores[[#This Row],[weekly_self_study_hours]]&lt;=5,   "0 - 5", student_scores[[#This Row],[weekly_self_study_hours]]&lt;=10,  "6 - 10", student_scores[[#This Row],[weekly_self_study_hours]]&lt;=20,  "11 - 20",student_scores[[#This Row],[weekly_self_study_hours]]&lt;=30, "21 - 30",TRUE, "31+")</f>
        <v>0 - 5</v>
      </c>
      <c r="U680" t="str" cm="1">
        <f t="array" ref="U680">_xlfn.IFS(student_scores[[#This Row],[absence_days]]=0,"0", student_scores[[#This Row],[absence_days]]&lt;=3,"1-3", student_scores[[#This Row],[absence_days]]&lt;=6,"4-6", TRUE,"7-10")</f>
        <v>4-6</v>
      </c>
      <c r="V680" t="str">
        <f>IF(student_scores[[#This Row],[Total_Score]] &gt;= _xlfn.PERCENTILE.INC(student_scores[Total_Score], 0.8), "Yes", "No")</f>
        <v>No</v>
      </c>
    </row>
    <row r="681" spans="1:22" x14ac:dyDescent="0.35">
      <c r="A681">
        <v>680</v>
      </c>
      <c r="B681" t="s">
        <v>110</v>
      </c>
      <c r="C681" t="s">
        <v>822</v>
      </c>
      <c r="D681" t="s">
        <v>1377</v>
      </c>
      <c r="E681" t="s">
        <v>20</v>
      </c>
      <c r="F681" t="b">
        <v>0</v>
      </c>
      <c r="G681">
        <v>2</v>
      </c>
      <c r="H681" t="b">
        <v>0</v>
      </c>
      <c r="I681">
        <v>4</v>
      </c>
      <c r="J681" t="s">
        <v>123</v>
      </c>
      <c r="K681">
        <v>80</v>
      </c>
      <c r="L681">
        <v>65</v>
      </c>
      <c r="M681">
        <v>96</v>
      </c>
      <c r="N681">
        <v>73</v>
      </c>
      <c r="O681">
        <v>84</v>
      </c>
      <c r="P681">
        <v>92</v>
      </c>
      <c r="Q681">
        <v>73</v>
      </c>
      <c r="R681">
        <f>SUM(student_scores[[#This Row],[math_score]:[geography_score]])</f>
        <v>563</v>
      </c>
      <c r="S681" s="3">
        <f>student_scores[[#This Row],[Total_Score]]/7</f>
        <v>80.428571428571431</v>
      </c>
      <c r="T681" s="3" t="str" cm="1">
        <f t="array" ref="T681">_xlfn.IFS(student_scores[[#This Row],[weekly_self_study_hours]]&lt;=5,   "0 - 5", student_scores[[#This Row],[weekly_self_study_hours]]&lt;=10,  "6 - 10", student_scores[[#This Row],[weekly_self_study_hours]]&lt;=20,  "11 - 20",student_scores[[#This Row],[weekly_self_study_hours]]&lt;=30, "21 - 30",TRUE, "31+")</f>
        <v>0 - 5</v>
      </c>
      <c r="U681" t="str" cm="1">
        <f t="array" ref="U681">_xlfn.IFS(student_scores[[#This Row],[absence_days]]=0,"0", student_scores[[#This Row],[absence_days]]&lt;=3,"1-3", student_scores[[#This Row],[absence_days]]&lt;=6,"4-6", TRUE,"7-10")</f>
        <v>1-3</v>
      </c>
      <c r="V681" t="str">
        <f>IF(student_scores[[#This Row],[Total_Score]] &gt;= _xlfn.PERCENTILE.INC(student_scores[Total_Score], 0.8), "Yes", "No")</f>
        <v>No</v>
      </c>
    </row>
    <row r="682" spans="1:22" x14ac:dyDescent="0.35">
      <c r="A682">
        <v>681</v>
      </c>
      <c r="B682" t="s">
        <v>1378</v>
      </c>
      <c r="C682" t="s">
        <v>131</v>
      </c>
      <c r="D682" t="s">
        <v>1379</v>
      </c>
      <c r="E682" t="s">
        <v>20</v>
      </c>
      <c r="F682" t="b">
        <v>0</v>
      </c>
      <c r="G682">
        <v>5</v>
      </c>
      <c r="H682" t="b">
        <v>0</v>
      </c>
      <c r="I682">
        <v>19</v>
      </c>
      <c r="J682" t="s">
        <v>113</v>
      </c>
      <c r="K682">
        <v>79</v>
      </c>
      <c r="L682">
        <v>88</v>
      </c>
      <c r="M682">
        <v>83</v>
      </c>
      <c r="N682">
        <v>84</v>
      </c>
      <c r="O682">
        <v>78</v>
      </c>
      <c r="P682">
        <v>72</v>
      </c>
      <c r="Q682">
        <v>79</v>
      </c>
      <c r="R682">
        <f>SUM(student_scores[[#This Row],[math_score]:[geography_score]])</f>
        <v>563</v>
      </c>
      <c r="S682" s="3">
        <f>student_scores[[#This Row],[Total_Score]]/7</f>
        <v>80.428571428571431</v>
      </c>
      <c r="T682" s="3" t="str" cm="1">
        <f t="array" ref="T682">_xlfn.IFS(student_scores[[#This Row],[weekly_self_study_hours]]&lt;=5,   "0 - 5", student_scores[[#This Row],[weekly_self_study_hours]]&lt;=10,  "6 - 10", student_scores[[#This Row],[weekly_self_study_hours]]&lt;=20,  "11 - 20",student_scores[[#This Row],[weekly_self_study_hours]]&lt;=30, "21 - 30",TRUE, "31+")</f>
        <v>11 - 20</v>
      </c>
      <c r="U682" t="str" cm="1">
        <f t="array" ref="U682">_xlfn.IFS(student_scores[[#This Row],[absence_days]]=0,"0", student_scores[[#This Row],[absence_days]]&lt;=3,"1-3", student_scores[[#This Row],[absence_days]]&lt;=6,"4-6", TRUE,"7-10")</f>
        <v>4-6</v>
      </c>
      <c r="V682" t="str">
        <f>IF(student_scores[[#This Row],[Total_Score]] &gt;= _xlfn.PERCENTILE.INC(student_scores[Total_Score], 0.8), "Yes", "No")</f>
        <v>No</v>
      </c>
    </row>
    <row r="683" spans="1:22" x14ac:dyDescent="0.35">
      <c r="A683">
        <v>682</v>
      </c>
      <c r="B683" t="s">
        <v>1380</v>
      </c>
      <c r="C683" t="s">
        <v>1381</v>
      </c>
      <c r="D683" t="s">
        <v>1382</v>
      </c>
      <c r="E683" t="s">
        <v>20</v>
      </c>
      <c r="F683" t="b">
        <v>0</v>
      </c>
      <c r="G683">
        <v>3</v>
      </c>
      <c r="H683" t="b">
        <v>0</v>
      </c>
      <c r="I683">
        <v>33</v>
      </c>
      <c r="J683" t="s">
        <v>44</v>
      </c>
      <c r="K683">
        <v>96</v>
      </c>
      <c r="L683">
        <v>64</v>
      </c>
      <c r="M683">
        <v>100</v>
      </c>
      <c r="N683">
        <v>87</v>
      </c>
      <c r="O683">
        <v>88</v>
      </c>
      <c r="P683">
        <v>60</v>
      </c>
      <c r="Q683">
        <v>62</v>
      </c>
      <c r="R683">
        <f>SUM(student_scores[[#This Row],[math_score]:[geography_score]])</f>
        <v>557</v>
      </c>
      <c r="S683" s="3">
        <f>student_scores[[#This Row],[Total_Score]]/7</f>
        <v>79.571428571428569</v>
      </c>
      <c r="T683" s="3" t="str" cm="1">
        <f t="array" ref="T683">_xlfn.IFS(student_scores[[#This Row],[weekly_self_study_hours]]&lt;=5,   "0 - 5", student_scores[[#This Row],[weekly_self_study_hours]]&lt;=10,  "6 - 10", student_scores[[#This Row],[weekly_self_study_hours]]&lt;=20,  "11 - 20",student_scores[[#This Row],[weekly_self_study_hours]]&lt;=30, "21 - 30",TRUE, "31+")</f>
        <v>31+</v>
      </c>
      <c r="U683" t="str" cm="1">
        <f t="array" ref="U683">_xlfn.IFS(student_scores[[#This Row],[absence_days]]=0,"0", student_scores[[#This Row],[absence_days]]&lt;=3,"1-3", student_scores[[#This Row],[absence_days]]&lt;=6,"4-6", TRUE,"7-10")</f>
        <v>1-3</v>
      </c>
      <c r="V683" t="str">
        <f>IF(student_scores[[#This Row],[Total_Score]] &gt;= _xlfn.PERCENTILE.INC(student_scores[Total_Score], 0.8), "Yes", "No")</f>
        <v>No</v>
      </c>
    </row>
    <row r="684" spans="1:22" x14ac:dyDescent="0.35">
      <c r="A684">
        <v>683</v>
      </c>
      <c r="B684" t="s">
        <v>1383</v>
      </c>
      <c r="C684" t="s">
        <v>1123</v>
      </c>
      <c r="D684" t="s">
        <v>1384</v>
      </c>
      <c r="E684" t="s">
        <v>25</v>
      </c>
      <c r="F684" t="b">
        <v>0</v>
      </c>
      <c r="G684">
        <v>1</v>
      </c>
      <c r="H684" t="b">
        <v>0</v>
      </c>
      <c r="I684">
        <v>24</v>
      </c>
      <c r="J684" t="s">
        <v>113</v>
      </c>
      <c r="K684">
        <v>95</v>
      </c>
      <c r="L684">
        <v>81</v>
      </c>
      <c r="M684">
        <v>91</v>
      </c>
      <c r="N684">
        <v>62</v>
      </c>
      <c r="O684">
        <v>36</v>
      </c>
      <c r="P684">
        <v>79</v>
      </c>
      <c r="Q684">
        <v>69</v>
      </c>
      <c r="R684">
        <f>SUM(student_scores[[#This Row],[math_score]:[geography_score]])</f>
        <v>513</v>
      </c>
      <c r="S684" s="3">
        <f>student_scores[[#This Row],[Total_Score]]/7</f>
        <v>73.285714285714292</v>
      </c>
      <c r="T684" s="3" t="str" cm="1">
        <f t="array" ref="T684">_xlfn.IFS(student_scores[[#This Row],[weekly_self_study_hours]]&lt;=5,   "0 - 5", student_scores[[#This Row],[weekly_self_study_hours]]&lt;=10,  "6 - 10", student_scores[[#This Row],[weekly_self_study_hours]]&lt;=20,  "11 - 20",student_scores[[#This Row],[weekly_self_study_hours]]&lt;=30, "21 - 30",TRUE, "31+")</f>
        <v>21 - 30</v>
      </c>
      <c r="U684" t="str" cm="1">
        <f t="array" ref="U684">_xlfn.IFS(student_scores[[#This Row],[absence_days]]=0,"0", student_scores[[#This Row],[absence_days]]&lt;=3,"1-3", student_scores[[#This Row],[absence_days]]&lt;=6,"4-6", TRUE,"7-10")</f>
        <v>1-3</v>
      </c>
      <c r="V684" t="str">
        <f>IF(student_scores[[#This Row],[Total_Score]] &gt;= _xlfn.PERCENTILE.INC(student_scores[Total_Score], 0.8), "Yes", "No")</f>
        <v>No</v>
      </c>
    </row>
    <row r="685" spans="1:22" x14ac:dyDescent="0.35">
      <c r="A685">
        <v>684</v>
      </c>
      <c r="B685" t="s">
        <v>1340</v>
      </c>
      <c r="C685" t="s">
        <v>320</v>
      </c>
      <c r="D685" t="s">
        <v>1385</v>
      </c>
      <c r="E685" t="s">
        <v>20</v>
      </c>
      <c r="F685" t="b">
        <v>0</v>
      </c>
      <c r="G685">
        <v>4</v>
      </c>
      <c r="H685" t="b">
        <v>0</v>
      </c>
      <c r="I685">
        <v>29</v>
      </c>
      <c r="J685" t="s">
        <v>38</v>
      </c>
      <c r="K685">
        <v>86</v>
      </c>
      <c r="L685">
        <v>68</v>
      </c>
      <c r="M685">
        <v>65</v>
      </c>
      <c r="N685">
        <v>64</v>
      </c>
      <c r="O685">
        <v>95</v>
      </c>
      <c r="P685">
        <v>82</v>
      </c>
      <c r="Q685">
        <v>87</v>
      </c>
      <c r="R685">
        <f>SUM(student_scores[[#This Row],[math_score]:[geography_score]])</f>
        <v>547</v>
      </c>
      <c r="S685" s="3">
        <f>student_scores[[#This Row],[Total_Score]]/7</f>
        <v>78.142857142857139</v>
      </c>
      <c r="T685" s="3" t="str" cm="1">
        <f t="array" ref="T685">_xlfn.IFS(student_scores[[#This Row],[weekly_self_study_hours]]&lt;=5,   "0 - 5", student_scores[[#This Row],[weekly_self_study_hours]]&lt;=10,  "6 - 10", student_scores[[#This Row],[weekly_self_study_hours]]&lt;=20,  "11 - 20",student_scores[[#This Row],[weekly_self_study_hours]]&lt;=30, "21 - 30",TRUE, "31+")</f>
        <v>21 - 30</v>
      </c>
      <c r="U685" t="str" cm="1">
        <f t="array" ref="U685">_xlfn.IFS(student_scores[[#This Row],[absence_days]]=0,"0", student_scores[[#This Row],[absence_days]]&lt;=3,"1-3", student_scores[[#This Row],[absence_days]]&lt;=6,"4-6", TRUE,"7-10")</f>
        <v>4-6</v>
      </c>
      <c r="V685" t="str">
        <f>IF(student_scores[[#This Row],[Total_Score]] &gt;= _xlfn.PERCENTILE.INC(student_scores[Total_Score], 0.8), "Yes", "No")</f>
        <v>No</v>
      </c>
    </row>
    <row r="686" spans="1:22" x14ac:dyDescent="0.35">
      <c r="A686">
        <v>685</v>
      </c>
      <c r="B686" t="s">
        <v>163</v>
      </c>
      <c r="C686" t="s">
        <v>32</v>
      </c>
      <c r="D686" t="s">
        <v>1386</v>
      </c>
      <c r="E686" t="s">
        <v>20</v>
      </c>
      <c r="F686" t="b">
        <v>0</v>
      </c>
      <c r="G686">
        <v>1</v>
      </c>
      <c r="H686" t="b">
        <v>1</v>
      </c>
      <c r="I686">
        <v>27</v>
      </c>
      <c r="J686" t="s">
        <v>21</v>
      </c>
      <c r="K686">
        <v>86</v>
      </c>
      <c r="L686">
        <v>97</v>
      </c>
      <c r="M686">
        <v>72</v>
      </c>
      <c r="N686">
        <v>90</v>
      </c>
      <c r="O686">
        <v>95</v>
      </c>
      <c r="P686">
        <v>99</v>
      </c>
      <c r="Q686">
        <v>76</v>
      </c>
      <c r="R686">
        <f>SUM(student_scores[[#This Row],[math_score]:[geography_score]])</f>
        <v>615</v>
      </c>
      <c r="S686" s="3">
        <f>student_scores[[#This Row],[Total_Score]]/7</f>
        <v>87.857142857142861</v>
      </c>
      <c r="T686" s="3" t="str" cm="1">
        <f t="array" ref="T686">_xlfn.IFS(student_scores[[#This Row],[weekly_self_study_hours]]&lt;=5,   "0 - 5", student_scores[[#This Row],[weekly_self_study_hours]]&lt;=10,  "6 - 10", student_scores[[#This Row],[weekly_self_study_hours]]&lt;=20,  "11 - 20",student_scores[[#This Row],[weekly_self_study_hours]]&lt;=30, "21 - 30",TRUE, "31+")</f>
        <v>21 - 30</v>
      </c>
      <c r="U686" t="str" cm="1">
        <f t="array" ref="U686">_xlfn.IFS(student_scores[[#This Row],[absence_days]]=0,"0", student_scores[[#This Row],[absence_days]]&lt;=3,"1-3", student_scores[[#This Row],[absence_days]]&lt;=6,"4-6", TRUE,"7-10")</f>
        <v>1-3</v>
      </c>
      <c r="V686" t="str">
        <f>IF(student_scores[[#This Row],[Total_Score]] &gt;= _xlfn.PERCENTILE.INC(student_scores[Total_Score], 0.8), "Yes", "No")</f>
        <v>Yes</v>
      </c>
    </row>
    <row r="687" spans="1:22" x14ac:dyDescent="0.35">
      <c r="A687">
        <v>686</v>
      </c>
      <c r="B687" t="s">
        <v>1387</v>
      </c>
      <c r="C687" t="s">
        <v>244</v>
      </c>
      <c r="D687" t="s">
        <v>1388</v>
      </c>
      <c r="E687" t="s">
        <v>25</v>
      </c>
      <c r="F687" t="b">
        <v>0</v>
      </c>
      <c r="G687">
        <v>2</v>
      </c>
      <c r="H687" t="b">
        <v>0</v>
      </c>
      <c r="I687">
        <v>20</v>
      </c>
      <c r="J687" t="s">
        <v>38</v>
      </c>
      <c r="K687">
        <v>87</v>
      </c>
      <c r="L687">
        <v>68</v>
      </c>
      <c r="M687">
        <v>66</v>
      </c>
      <c r="N687">
        <v>83</v>
      </c>
      <c r="O687">
        <v>92</v>
      </c>
      <c r="P687">
        <v>81</v>
      </c>
      <c r="Q687">
        <v>80</v>
      </c>
      <c r="R687">
        <f>SUM(student_scores[[#This Row],[math_score]:[geography_score]])</f>
        <v>557</v>
      </c>
      <c r="S687" s="3">
        <f>student_scores[[#This Row],[Total_Score]]/7</f>
        <v>79.571428571428569</v>
      </c>
      <c r="T687" s="3" t="str" cm="1">
        <f t="array" ref="T687">_xlfn.IFS(student_scores[[#This Row],[weekly_self_study_hours]]&lt;=5,   "0 - 5", student_scores[[#This Row],[weekly_self_study_hours]]&lt;=10,  "6 - 10", student_scores[[#This Row],[weekly_self_study_hours]]&lt;=20,  "11 - 20",student_scores[[#This Row],[weekly_self_study_hours]]&lt;=30, "21 - 30",TRUE, "31+")</f>
        <v>11 - 20</v>
      </c>
      <c r="U687" t="str" cm="1">
        <f t="array" ref="U687">_xlfn.IFS(student_scores[[#This Row],[absence_days]]=0,"0", student_scores[[#This Row],[absence_days]]&lt;=3,"1-3", student_scores[[#This Row],[absence_days]]&lt;=6,"4-6", TRUE,"7-10")</f>
        <v>1-3</v>
      </c>
      <c r="V687" t="str">
        <f>IF(student_scores[[#This Row],[Total_Score]] &gt;= _xlfn.PERCENTILE.INC(student_scores[Total_Score], 0.8), "Yes", "No")</f>
        <v>No</v>
      </c>
    </row>
    <row r="688" spans="1:22" x14ac:dyDescent="0.35">
      <c r="A688">
        <v>687</v>
      </c>
      <c r="B688" t="s">
        <v>510</v>
      </c>
      <c r="C688" t="s">
        <v>143</v>
      </c>
      <c r="D688" t="s">
        <v>1389</v>
      </c>
      <c r="E688" t="s">
        <v>25</v>
      </c>
      <c r="F688" t="b">
        <v>0</v>
      </c>
      <c r="G688">
        <v>0</v>
      </c>
      <c r="H688" t="b">
        <v>0</v>
      </c>
      <c r="I688">
        <v>35</v>
      </c>
      <c r="J688" t="s">
        <v>113</v>
      </c>
      <c r="K688">
        <v>94</v>
      </c>
      <c r="L688">
        <v>87</v>
      </c>
      <c r="M688">
        <v>100</v>
      </c>
      <c r="N688">
        <v>90</v>
      </c>
      <c r="O688">
        <v>86</v>
      </c>
      <c r="P688">
        <v>86</v>
      </c>
      <c r="Q688">
        <v>90</v>
      </c>
      <c r="R688">
        <f>SUM(student_scores[[#This Row],[math_score]:[geography_score]])</f>
        <v>633</v>
      </c>
      <c r="S688" s="3">
        <f>student_scores[[#This Row],[Total_Score]]/7</f>
        <v>90.428571428571431</v>
      </c>
      <c r="T688" s="3" t="str" cm="1">
        <f t="array" ref="T688">_xlfn.IFS(student_scores[[#This Row],[weekly_self_study_hours]]&lt;=5,   "0 - 5", student_scores[[#This Row],[weekly_self_study_hours]]&lt;=10,  "6 - 10", student_scores[[#This Row],[weekly_self_study_hours]]&lt;=20,  "11 - 20",student_scores[[#This Row],[weekly_self_study_hours]]&lt;=30, "21 - 30",TRUE, "31+")</f>
        <v>31+</v>
      </c>
      <c r="U688" t="str" cm="1">
        <f t="array" ref="U688">_xlfn.IFS(student_scores[[#This Row],[absence_days]]=0,"0", student_scores[[#This Row],[absence_days]]&lt;=3,"1-3", student_scores[[#This Row],[absence_days]]&lt;=6,"4-6", TRUE,"7-10")</f>
        <v>0</v>
      </c>
      <c r="V688" t="str">
        <f>IF(student_scores[[#This Row],[Total_Score]] &gt;= _xlfn.PERCENTILE.INC(student_scores[Total_Score], 0.8), "Yes", "No")</f>
        <v>Yes</v>
      </c>
    </row>
    <row r="689" spans="1:22" x14ac:dyDescent="0.35">
      <c r="A689">
        <v>688</v>
      </c>
      <c r="B689" t="s">
        <v>31</v>
      </c>
      <c r="C689" t="s">
        <v>300</v>
      </c>
      <c r="D689" t="s">
        <v>1390</v>
      </c>
      <c r="E689" t="s">
        <v>25</v>
      </c>
      <c r="F689" t="b">
        <v>0</v>
      </c>
      <c r="G689">
        <v>0</v>
      </c>
      <c r="H689" t="b">
        <v>0</v>
      </c>
      <c r="I689">
        <v>29</v>
      </c>
      <c r="J689" t="s">
        <v>26</v>
      </c>
      <c r="K689">
        <v>88</v>
      </c>
      <c r="L689">
        <v>71</v>
      </c>
      <c r="M689">
        <v>87</v>
      </c>
      <c r="N689">
        <v>85</v>
      </c>
      <c r="O689">
        <v>100</v>
      </c>
      <c r="P689">
        <v>78</v>
      </c>
      <c r="Q689">
        <v>78</v>
      </c>
      <c r="R689">
        <f>SUM(student_scores[[#This Row],[math_score]:[geography_score]])</f>
        <v>587</v>
      </c>
      <c r="S689" s="3">
        <f>student_scores[[#This Row],[Total_Score]]/7</f>
        <v>83.857142857142861</v>
      </c>
      <c r="T689" s="3" t="str" cm="1">
        <f t="array" ref="T689">_xlfn.IFS(student_scores[[#This Row],[weekly_self_study_hours]]&lt;=5,   "0 - 5", student_scores[[#This Row],[weekly_self_study_hours]]&lt;=10,  "6 - 10", student_scores[[#This Row],[weekly_self_study_hours]]&lt;=20,  "11 - 20",student_scores[[#This Row],[weekly_self_study_hours]]&lt;=30, "21 - 30",TRUE, "31+")</f>
        <v>21 - 30</v>
      </c>
      <c r="U689" t="str" cm="1">
        <f t="array" ref="U689">_xlfn.IFS(student_scores[[#This Row],[absence_days]]=0,"0", student_scores[[#This Row],[absence_days]]&lt;=3,"1-3", student_scores[[#This Row],[absence_days]]&lt;=6,"4-6", TRUE,"7-10")</f>
        <v>0</v>
      </c>
      <c r="V689" t="str">
        <f>IF(student_scores[[#This Row],[Total_Score]] &gt;= _xlfn.PERCENTILE.INC(student_scores[Total_Score], 0.8), "Yes", "No")</f>
        <v>No</v>
      </c>
    </row>
    <row r="690" spans="1:22" x14ac:dyDescent="0.35">
      <c r="A690">
        <v>689</v>
      </c>
      <c r="B690" t="s">
        <v>1391</v>
      </c>
      <c r="C690" t="s">
        <v>370</v>
      </c>
      <c r="D690" t="s">
        <v>1392</v>
      </c>
      <c r="E690" t="s">
        <v>20</v>
      </c>
      <c r="F690" t="b">
        <v>0</v>
      </c>
      <c r="G690">
        <v>2</v>
      </c>
      <c r="H690" t="b">
        <v>1</v>
      </c>
      <c r="I690">
        <v>0</v>
      </c>
      <c r="J690" t="s">
        <v>34</v>
      </c>
      <c r="K690">
        <v>88</v>
      </c>
      <c r="L690">
        <v>69</v>
      </c>
      <c r="M690">
        <v>76</v>
      </c>
      <c r="N690">
        <v>64</v>
      </c>
      <c r="O690">
        <v>90</v>
      </c>
      <c r="P690">
        <v>78</v>
      </c>
      <c r="Q690">
        <v>80</v>
      </c>
      <c r="R690">
        <f>SUM(student_scores[[#This Row],[math_score]:[geography_score]])</f>
        <v>545</v>
      </c>
      <c r="S690" s="3">
        <f>student_scores[[#This Row],[Total_Score]]/7</f>
        <v>77.857142857142861</v>
      </c>
      <c r="T690" s="3" t="str" cm="1">
        <f t="array" ref="T690">_xlfn.IFS(student_scores[[#This Row],[weekly_self_study_hours]]&lt;=5,   "0 - 5", student_scores[[#This Row],[weekly_self_study_hours]]&lt;=10,  "6 - 10", student_scores[[#This Row],[weekly_self_study_hours]]&lt;=20,  "11 - 20",student_scores[[#This Row],[weekly_self_study_hours]]&lt;=30, "21 - 30",TRUE, "31+")</f>
        <v>0 - 5</v>
      </c>
      <c r="U690" t="str" cm="1">
        <f t="array" ref="U690">_xlfn.IFS(student_scores[[#This Row],[absence_days]]=0,"0", student_scores[[#This Row],[absence_days]]&lt;=3,"1-3", student_scores[[#This Row],[absence_days]]&lt;=6,"4-6", TRUE,"7-10")</f>
        <v>1-3</v>
      </c>
      <c r="V690" t="str">
        <f>IF(student_scores[[#This Row],[Total_Score]] &gt;= _xlfn.PERCENTILE.INC(student_scores[Total_Score], 0.8), "Yes", "No")</f>
        <v>No</v>
      </c>
    </row>
    <row r="691" spans="1:22" x14ac:dyDescent="0.35">
      <c r="A691">
        <v>690</v>
      </c>
      <c r="B691" t="s">
        <v>328</v>
      </c>
      <c r="C691" t="s">
        <v>707</v>
      </c>
      <c r="D691" t="s">
        <v>1393</v>
      </c>
      <c r="E691" t="s">
        <v>20</v>
      </c>
      <c r="F691" t="b">
        <v>0</v>
      </c>
      <c r="G691">
        <v>3</v>
      </c>
      <c r="H691" t="b">
        <v>0</v>
      </c>
      <c r="I691">
        <v>10</v>
      </c>
      <c r="J691" t="s">
        <v>38</v>
      </c>
      <c r="K691">
        <v>76</v>
      </c>
      <c r="L691">
        <v>61</v>
      </c>
      <c r="M691">
        <v>68</v>
      </c>
      <c r="N691">
        <v>88</v>
      </c>
      <c r="O691">
        <v>86</v>
      </c>
      <c r="P691">
        <v>87</v>
      </c>
      <c r="Q691">
        <v>66</v>
      </c>
      <c r="R691">
        <f>SUM(student_scores[[#This Row],[math_score]:[geography_score]])</f>
        <v>532</v>
      </c>
      <c r="S691" s="3">
        <f>student_scores[[#This Row],[Total_Score]]/7</f>
        <v>76</v>
      </c>
      <c r="T691" s="3" t="str" cm="1">
        <f t="array" ref="T691">_xlfn.IFS(student_scores[[#This Row],[weekly_self_study_hours]]&lt;=5,   "0 - 5", student_scores[[#This Row],[weekly_self_study_hours]]&lt;=10,  "6 - 10", student_scores[[#This Row],[weekly_self_study_hours]]&lt;=20,  "11 - 20",student_scores[[#This Row],[weekly_self_study_hours]]&lt;=30, "21 - 30",TRUE, "31+")</f>
        <v>6 - 10</v>
      </c>
      <c r="U691" t="str" cm="1">
        <f t="array" ref="U691">_xlfn.IFS(student_scores[[#This Row],[absence_days]]=0,"0", student_scores[[#This Row],[absence_days]]&lt;=3,"1-3", student_scores[[#This Row],[absence_days]]&lt;=6,"4-6", TRUE,"7-10")</f>
        <v>1-3</v>
      </c>
      <c r="V691" t="str">
        <f>IF(student_scores[[#This Row],[Total_Score]] &gt;= _xlfn.PERCENTILE.INC(student_scores[Total_Score], 0.8), "Yes", "No")</f>
        <v>No</v>
      </c>
    </row>
    <row r="692" spans="1:22" x14ac:dyDescent="0.35">
      <c r="A692">
        <v>691</v>
      </c>
      <c r="B692" t="s">
        <v>139</v>
      </c>
      <c r="C692" t="s">
        <v>1394</v>
      </c>
      <c r="D692" t="s">
        <v>1395</v>
      </c>
      <c r="E692" t="s">
        <v>20</v>
      </c>
      <c r="F692" t="b">
        <v>0</v>
      </c>
      <c r="G692">
        <v>1</v>
      </c>
      <c r="H692" t="b">
        <v>1</v>
      </c>
      <c r="I692">
        <v>29</v>
      </c>
      <c r="J692" t="s">
        <v>138</v>
      </c>
      <c r="K692">
        <v>84</v>
      </c>
      <c r="L692">
        <v>66</v>
      </c>
      <c r="M692">
        <v>99</v>
      </c>
      <c r="N692">
        <v>80</v>
      </c>
      <c r="O692">
        <v>71</v>
      </c>
      <c r="P692">
        <v>88</v>
      </c>
      <c r="Q692">
        <v>89</v>
      </c>
      <c r="R692">
        <f>SUM(student_scores[[#This Row],[math_score]:[geography_score]])</f>
        <v>577</v>
      </c>
      <c r="S692" s="3">
        <f>student_scores[[#This Row],[Total_Score]]/7</f>
        <v>82.428571428571431</v>
      </c>
      <c r="T692" s="3" t="str" cm="1">
        <f t="array" ref="T692">_xlfn.IFS(student_scores[[#This Row],[weekly_self_study_hours]]&lt;=5,   "0 - 5", student_scores[[#This Row],[weekly_self_study_hours]]&lt;=10,  "6 - 10", student_scores[[#This Row],[weekly_self_study_hours]]&lt;=20,  "11 - 20",student_scores[[#This Row],[weekly_self_study_hours]]&lt;=30, "21 - 30",TRUE, "31+")</f>
        <v>21 - 30</v>
      </c>
      <c r="U692" t="str" cm="1">
        <f t="array" ref="U692">_xlfn.IFS(student_scores[[#This Row],[absence_days]]=0,"0", student_scores[[#This Row],[absence_days]]&lt;=3,"1-3", student_scores[[#This Row],[absence_days]]&lt;=6,"4-6", TRUE,"7-10")</f>
        <v>1-3</v>
      </c>
      <c r="V692" t="str">
        <f>IF(student_scores[[#This Row],[Total_Score]] &gt;= _xlfn.PERCENTILE.INC(student_scores[Total_Score], 0.8), "Yes", "No")</f>
        <v>No</v>
      </c>
    </row>
    <row r="693" spans="1:22" x14ac:dyDescent="0.35">
      <c r="A693">
        <v>692</v>
      </c>
      <c r="B693" t="s">
        <v>483</v>
      </c>
      <c r="C693" t="s">
        <v>1396</v>
      </c>
      <c r="D693" t="s">
        <v>1397</v>
      </c>
      <c r="E693" t="s">
        <v>20</v>
      </c>
      <c r="F693" t="b">
        <v>0</v>
      </c>
      <c r="G693">
        <v>0</v>
      </c>
      <c r="H693" t="b">
        <v>1</v>
      </c>
      <c r="I693">
        <v>17</v>
      </c>
      <c r="J693" t="s">
        <v>44</v>
      </c>
      <c r="K693">
        <v>96</v>
      </c>
      <c r="L693">
        <v>77</v>
      </c>
      <c r="M693">
        <v>91</v>
      </c>
      <c r="N693">
        <v>85</v>
      </c>
      <c r="O693">
        <v>69</v>
      </c>
      <c r="P693">
        <v>91</v>
      </c>
      <c r="Q693">
        <v>91</v>
      </c>
      <c r="R693">
        <f>SUM(student_scores[[#This Row],[math_score]:[geography_score]])</f>
        <v>600</v>
      </c>
      <c r="S693" s="3">
        <f>student_scores[[#This Row],[Total_Score]]/7</f>
        <v>85.714285714285708</v>
      </c>
      <c r="T693" s="3" t="str" cm="1">
        <f t="array" ref="T693">_xlfn.IFS(student_scores[[#This Row],[weekly_self_study_hours]]&lt;=5,   "0 - 5", student_scores[[#This Row],[weekly_self_study_hours]]&lt;=10,  "6 - 10", student_scores[[#This Row],[weekly_self_study_hours]]&lt;=20,  "11 - 20",student_scores[[#This Row],[weekly_self_study_hours]]&lt;=30, "21 - 30",TRUE, "31+")</f>
        <v>11 - 20</v>
      </c>
      <c r="U693" t="str" cm="1">
        <f t="array" ref="U693">_xlfn.IFS(student_scores[[#This Row],[absence_days]]=0,"0", student_scores[[#This Row],[absence_days]]&lt;=3,"1-3", student_scores[[#This Row],[absence_days]]&lt;=6,"4-6", TRUE,"7-10")</f>
        <v>0</v>
      </c>
      <c r="V693" t="str">
        <f>IF(student_scores[[#This Row],[Total_Score]] &gt;= _xlfn.PERCENTILE.INC(student_scores[Total_Score], 0.8), "Yes", "No")</f>
        <v>No</v>
      </c>
    </row>
    <row r="694" spans="1:22" x14ac:dyDescent="0.35">
      <c r="A694">
        <v>693</v>
      </c>
      <c r="B694" t="s">
        <v>1272</v>
      </c>
      <c r="C694" t="s">
        <v>1398</v>
      </c>
      <c r="D694" t="s">
        <v>1399</v>
      </c>
      <c r="E694" t="s">
        <v>20</v>
      </c>
      <c r="F694" t="b">
        <v>1</v>
      </c>
      <c r="G694">
        <v>10</v>
      </c>
      <c r="H694" t="b">
        <v>0</v>
      </c>
      <c r="I694">
        <v>1</v>
      </c>
      <c r="J694" t="s">
        <v>64</v>
      </c>
      <c r="K694">
        <v>57</v>
      </c>
      <c r="L694">
        <v>75</v>
      </c>
      <c r="M694">
        <v>64</v>
      </c>
      <c r="N694">
        <v>85</v>
      </c>
      <c r="O694">
        <v>53</v>
      </c>
      <c r="P694">
        <v>95</v>
      </c>
      <c r="Q694">
        <v>81</v>
      </c>
      <c r="R694">
        <f>SUM(student_scores[[#This Row],[math_score]:[geography_score]])</f>
        <v>510</v>
      </c>
      <c r="S694" s="3">
        <f>student_scores[[#This Row],[Total_Score]]/7</f>
        <v>72.857142857142861</v>
      </c>
      <c r="T694" s="3" t="str" cm="1">
        <f t="array" ref="T694">_xlfn.IFS(student_scores[[#This Row],[weekly_self_study_hours]]&lt;=5,   "0 - 5", student_scores[[#This Row],[weekly_self_study_hours]]&lt;=10,  "6 - 10", student_scores[[#This Row],[weekly_self_study_hours]]&lt;=20,  "11 - 20",student_scores[[#This Row],[weekly_self_study_hours]]&lt;=30, "21 - 30",TRUE, "31+")</f>
        <v>0 - 5</v>
      </c>
      <c r="U694" t="str" cm="1">
        <f t="array" ref="U694">_xlfn.IFS(student_scores[[#This Row],[absence_days]]=0,"0", student_scores[[#This Row],[absence_days]]&lt;=3,"1-3", student_scores[[#This Row],[absence_days]]&lt;=6,"4-6", TRUE,"7-10")</f>
        <v>7-10</v>
      </c>
      <c r="V694" t="str">
        <f>IF(student_scores[[#This Row],[Total_Score]] &gt;= _xlfn.PERCENTILE.INC(student_scores[Total_Score], 0.8), "Yes", "No")</f>
        <v>No</v>
      </c>
    </row>
    <row r="695" spans="1:22" x14ac:dyDescent="0.35">
      <c r="A695">
        <v>694</v>
      </c>
      <c r="B695" t="s">
        <v>130</v>
      </c>
      <c r="C695" t="s">
        <v>191</v>
      </c>
      <c r="D695" t="s">
        <v>1400</v>
      </c>
      <c r="E695" t="s">
        <v>25</v>
      </c>
      <c r="F695" t="b">
        <v>0</v>
      </c>
      <c r="G695">
        <v>1</v>
      </c>
      <c r="H695" t="b">
        <v>0</v>
      </c>
      <c r="I695">
        <v>14</v>
      </c>
      <c r="J695" t="s">
        <v>54</v>
      </c>
      <c r="K695">
        <v>93</v>
      </c>
      <c r="L695">
        <v>79</v>
      </c>
      <c r="M695">
        <v>82</v>
      </c>
      <c r="N695">
        <v>67</v>
      </c>
      <c r="O695">
        <v>64</v>
      </c>
      <c r="P695">
        <v>90</v>
      </c>
      <c r="Q695">
        <v>65</v>
      </c>
      <c r="R695">
        <f>SUM(student_scores[[#This Row],[math_score]:[geography_score]])</f>
        <v>540</v>
      </c>
      <c r="S695" s="3">
        <f>student_scores[[#This Row],[Total_Score]]/7</f>
        <v>77.142857142857139</v>
      </c>
      <c r="T695" s="3" t="str" cm="1">
        <f t="array" ref="T695">_xlfn.IFS(student_scores[[#This Row],[weekly_self_study_hours]]&lt;=5,   "0 - 5", student_scores[[#This Row],[weekly_self_study_hours]]&lt;=10,  "6 - 10", student_scores[[#This Row],[weekly_self_study_hours]]&lt;=20,  "11 - 20",student_scores[[#This Row],[weekly_self_study_hours]]&lt;=30, "21 - 30",TRUE, "31+")</f>
        <v>11 - 20</v>
      </c>
      <c r="U695" t="str" cm="1">
        <f t="array" ref="U695">_xlfn.IFS(student_scores[[#This Row],[absence_days]]=0,"0", student_scores[[#This Row],[absence_days]]&lt;=3,"1-3", student_scores[[#This Row],[absence_days]]&lt;=6,"4-6", TRUE,"7-10")</f>
        <v>1-3</v>
      </c>
      <c r="V695" t="str">
        <f>IF(student_scores[[#This Row],[Total_Score]] &gt;= _xlfn.PERCENTILE.INC(student_scores[Total_Score], 0.8), "Yes", "No")</f>
        <v>No</v>
      </c>
    </row>
    <row r="696" spans="1:22" x14ac:dyDescent="0.35">
      <c r="A696">
        <v>695</v>
      </c>
      <c r="B696" t="s">
        <v>1024</v>
      </c>
      <c r="C696" t="s">
        <v>326</v>
      </c>
      <c r="D696" t="s">
        <v>1401</v>
      </c>
      <c r="E696" t="s">
        <v>20</v>
      </c>
      <c r="F696" t="b">
        <v>0</v>
      </c>
      <c r="G696">
        <v>1</v>
      </c>
      <c r="H696" t="b">
        <v>0</v>
      </c>
      <c r="I696">
        <v>24</v>
      </c>
      <c r="J696" t="s">
        <v>38</v>
      </c>
      <c r="K696">
        <v>88</v>
      </c>
      <c r="L696">
        <v>84</v>
      </c>
      <c r="M696">
        <v>61</v>
      </c>
      <c r="N696">
        <v>61</v>
      </c>
      <c r="O696">
        <v>79</v>
      </c>
      <c r="P696">
        <v>62</v>
      </c>
      <c r="Q696">
        <v>99</v>
      </c>
      <c r="R696">
        <f>SUM(student_scores[[#This Row],[math_score]:[geography_score]])</f>
        <v>534</v>
      </c>
      <c r="S696" s="3">
        <f>student_scores[[#This Row],[Total_Score]]/7</f>
        <v>76.285714285714292</v>
      </c>
      <c r="T696" s="3" t="str" cm="1">
        <f t="array" ref="T696">_xlfn.IFS(student_scores[[#This Row],[weekly_self_study_hours]]&lt;=5,   "0 - 5", student_scores[[#This Row],[weekly_self_study_hours]]&lt;=10,  "6 - 10", student_scores[[#This Row],[weekly_self_study_hours]]&lt;=20,  "11 - 20",student_scores[[#This Row],[weekly_self_study_hours]]&lt;=30, "21 - 30",TRUE, "31+")</f>
        <v>21 - 30</v>
      </c>
      <c r="U696" t="str" cm="1">
        <f t="array" ref="U696">_xlfn.IFS(student_scores[[#This Row],[absence_days]]=0,"0", student_scores[[#This Row],[absence_days]]&lt;=3,"1-3", student_scores[[#This Row],[absence_days]]&lt;=6,"4-6", TRUE,"7-10")</f>
        <v>1-3</v>
      </c>
      <c r="V696" t="str">
        <f>IF(student_scores[[#This Row],[Total_Score]] &gt;= _xlfn.PERCENTILE.INC(student_scores[Total_Score], 0.8), "Yes", "No")</f>
        <v>No</v>
      </c>
    </row>
    <row r="697" spans="1:22" x14ac:dyDescent="0.35">
      <c r="A697">
        <v>696</v>
      </c>
      <c r="B697" t="s">
        <v>66</v>
      </c>
      <c r="C697" t="s">
        <v>1089</v>
      </c>
      <c r="D697" t="s">
        <v>1402</v>
      </c>
      <c r="E697" t="s">
        <v>20</v>
      </c>
      <c r="F697" t="b">
        <v>0</v>
      </c>
      <c r="G697">
        <v>2</v>
      </c>
      <c r="H697" t="b">
        <v>0</v>
      </c>
      <c r="I697">
        <v>35</v>
      </c>
      <c r="J697" t="s">
        <v>138</v>
      </c>
      <c r="K697">
        <v>89</v>
      </c>
      <c r="L697">
        <v>99</v>
      </c>
      <c r="M697">
        <v>86</v>
      </c>
      <c r="N697">
        <v>97</v>
      </c>
      <c r="O697">
        <v>98</v>
      </c>
      <c r="P697">
        <v>97</v>
      </c>
      <c r="Q697">
        <v>93</v>
      </c>
      <c r="R697">
        <f>SUM(student_scores[[#This Row],[math_score]:[geography_score]])</f>
        <v>659</v>
      </c>
      <c r="S697" s="3">
        <f>student_scores[[#This Row],[Total_Score]]/7</f>
        <v>94.142857142857139</v>
      </c>
      <c r="T697" s="3" t="str" cm="1">
        <f t="array" ref="T697">_xlfn.IFS(student_scores[[#This Row],[weekly_self_study_hours]]&lt;=5,   "0 - 5", student_scores[[#This Row],[weekly_self_study_hours]]&lt;=10,  "6 - 10", student_scores[[#This Row],[weekly_self_study_hours]]&lt;=20,  "11 - 20",student_scores[[#This Row],[weekly_self_study_hours]]&lt;=30, "21 - 30",TRUE, "31+")</f>
        <v>31+</v>
      </c>
      <c r="U697" t="str" cm="1">
        <f t="array" ref="U697">_xlfn.IFS(student_scores[[#This Row],[absence_days]]=0,"0", student_scores[[#This Row],[absence_days]]&lt;=3,"1-3", student_scores[[#This Row],[absence_days]]&lt;=6,"4-6", TRUE,"7-10")</f>
        <v>1-3</v>
      </c>
      <c r="V697" t="str">
        <f>IF(student_scores[[#This Row],[Total_Score]] &gt;= _xlfn.PERCENTILE.INC(student_scores[Total_Score], 0.8), "Yes", "No")</f>
        <v>Yes</v>
      </c>
    </row>
    <row r="698" spans="1:22" x14ac:dyDescent="0.35">
      <c r="A698">
        <v>697</v>
      </c>
      <c r="B698" t="s">
        <v>139</v>
      </c>
      <c r="C698" t="s">
        <v>660</v>
      </c>
      <c r="D698" t="s">
        <v>1403</v>
      </c>
      <c r="E698" t="s">
        <v>20</v>
      </c>
      <c r="F698" t="b">
        <v>0</v>
      </c>
      <c r="G698">
        <v>3</v>
      </c>
      <c r="H698" t="b">
        <v>0</v>
      </c>
      <c r="I698">
        <v>19</v>
      </c>
      <c r="J698" t="s">
        <v>138</v>
      </c>
      <c r="K698">
        <v>80</v>
      </c>
      <c r="L698">
        <v>88</v>
      </c>
      <c r="M698">
        <v>94</v>
      </c>
      <c r="N698">
        <v>94</v>
      </c>
      <c r="O698">
        <v>100</v>
      </c>
      <c r="P698">
        <v>99</v>
      </c>
      <c r="Q698">
        <v>99</v>
      </c>
      <c r="R698">
        <f>SUM(student_scores[[#This Row],[math_score]:[geography_score]])</f>
        <v>654</v>
      </c>
      <c r="S698" s="3">
        <f>student_scores[[#This Row],[Total_Score]]/7</f>
        <v>93.428571428571431</v>
      </c>
      <c r="T698" s="3" t="str" cm="1">
        <f t="array" ref="T698">_xlfn.IFS(student_scores[[#This Row],[weekly_self_study_hours]]&lt;=5,   "0 - 5", student_scores[[#This Row],[weekly_self_study_hours]]&lt;=10,  "6 - 10", student_scores[[#This Row],[weekly_self_study_hours]]&lt;=20,  "11 - 20",student_scores[[#This Row],[weekly_self_study_hours]]&lt;=30, "21 - 30",TRUE, "31+")</f>
        <v>11 - 20</v>
      </c>
      <c r="U698" t="str" cm="1">
        <f t="array" ref="U698">_xlfn.IFS(student_scores[[#This Row],[absence_days]]=0,"0", student_scores[[#This Row],[absence_days]]&lt;=3,"1-3", student_scores[[#This Row],[absence_days]]&lt;=6,"4-6", TRUE,"7-10")</f>
        <v>1-3</v>
      </c>
      <c r="V698" t="str">
        <f>IF(student_scores[[#This Row],[Total_Score]] &gt;= _xlfn.PERCENTILE.INC(student_scores[Total_Score], 0.8), "Yes", "No")</f>
        <v>Yes</v>
      </c>
    </row>
    <row r="699" spans="1:22" x14ac:dyDescent="0.35">
      <c r="A699">
        <v>698</v>
      </c>
      <c r="B699" t="s">
        <v>1007</v>
      </c>
      <c r="C699" t="s">
        <v>1404</v>
      </c>
      <c r="D699" t="s">
        <v>1405</v>
      </c>
      <c r="E699" t="s">
        <v>20</v>
      </c>
      <c r="F699" t="b">
        <v>0</v>
      </c>
      <c r="G699">
        <v>6</v>
      </c>
      <c r="H699" t="b">
        <v>0</v>
      </c>
      <c r="I699">
        <v>23</v>
      </c>
      <c r="J699" t="s">
        <v>105</v>
      </c>
      <c r="K699">
        <v>94</v>
      </c>
      <c r="L699">
        <v>92</v>
      </c>
      <c r="M699">
        <v>61</v>
      </c>
      <c r="N699">
        <v>87</v>
      </c>
      <c r="O699">
        <v>61</v>
      </c>
      <c r="P699">
        <v>94</v>
      </c>
      <c r="Q699">
        <v>69</v>
      </c>
      <c r="R699">
        <f>SUM(student_scores[[#This Row],[math_score]:[geography_score]])</f>
        <v>558</v>
      </c>
      <c r="S699" s="3">
        <f>student_scores[[#This Row],[Total_Score]]/7</f>
        <v>79.714285714285708</v>
      </c>
      <c r="T699" s="3" t="str" cm="1">
        <f t="array" ref="T699">_xlfn.IFS(student_scores[[#This Row],[weekly_self_study_hours]]&lt;=5,   "0 - 5", student_scores[[#This Row],[weekly_self_study_hours]]&lt;=10,  "6 - 10", student_scores[[#This Row],[weekly_self_study_hours]]&lt;=20,  "11 - 20",student_scores[[#This Row],[weekly_self_study_hours]]&lt;=30, "21 - 30",TRUE, "31+")</f>
        <v>21 - 30</v>
      </c>
      <c r="U699" t="str" cm="1">
        <f t="array" ref="U699">_xlfn.IFS(student_scores[[#This Row],[absence_days]]=0,"0", student_scores[[#This Row],[absence_days]]&lt;=3,"1-3", student_scores[[#This Row],[absence_days]]&lt;=6,"4-6", TRUE,"7-10")</f>
        <v>4-6</v>
      </c>
      <c r="V699" t="str">
        <f>IF(student_scores[[#This Row],[Total_Score]] &gt;= _xlfn.PERCENTILE.INC(student_scores[Total_Score], 0.8), "Yes", "No")</f>
        <v>No</v>
      </c>
    </row>
    <row r="700" spans="1:22" x14ac:dyDescent="0.35">
      <c r="A700">
        <v>699</v>
      </c>
      <c r="B700" t="s">
        <v>266</v>
      </c>
      <c r="C700" t="s">
        <v>1406</v>
      </c>
      <c r="D700" t="s">
        <v>1407</v>
      </c>
      <c r="E700" t="s">
        <v>20</v>
      </c>
      <c r="F700" t="b">
        <v>0</v>
      </c>
      <c r="G700">
        <v>9</v>
      </c>
      <c r="H700" t="b">
        <v>0</v>
      </c>
      <c r="I700">
        <v>14</v>
      </c>
      <c r="J700" t="s">
        <v>138</v>
      </c>
      <c r="K700">
        <v>99</v>
      </c>
      <c r="L700">
        <v>74</v>
      </c>
      <c r="M700">
        <v>98</v>
      </c>
      <c r="N700">
        <v>69</v>
      </c>
      <c r="O700">
        <v>69</v>
      </c>
      <c r="P700">
        <v>64</v>
      </c>
      <c r="Q700">
        <v>96</v>
      </c>
      <c r="R700">
        <f>SUM(student_scores[[#This Row],[math_score]:[geography_score]])</f>
        <v>569</v>
      </c>
      <c r="S700" s="3">
        <f>student_scores[[#This Row],[Total_Score]]/7</f>
        <v>81.285714285714292</v>
      </c>
      <c r="T700" s="3" t="str" cm="1">
        <f t="array" ref="T700">_xlfn.IFS(student_scores[[#This Row],[weekly_self_study_hours]]&lt;=5,   "0 - 5", student_scores[[#This Row],[weekly_self_study_hours]]&lt;=10,  "6 - 10", student_scores[[#This Row],[weekly_self_study_hours]]&lt;=20,  "11 - 20",student_scores[[#This Row],[weekly_self_study_hours]]&lt;=30, "21 - 30",TRUE, "31+")</f>
        <v>11 - 20</v>
      </c>
      <c r="U700" t="str" cm="1">
        <f t="array" ref="U700">_xlfn.IFS(student_scores[[#This Row],[absence_days]]=0,"0", student_scores[[#This Row],[absence_days]]&lt;=3,"1-3", student_scores[[#This Row],[absence_days]]&lt;=6,"4-6", TRUE,"7-10")</f>
        <v>7-10</v>
      </c>
      <c r="V700" t="str">
        <f>IF(student_scores[[#This Row],[Total_Score]] &gt;= _xlfn.PERCENTILE.INC(student_scores[Total_Score], 0.8), "Yes", "No")</f>
        <v>No</v>
      </c>
    </row>
    <row r="701" spans="1:22" x14ac:dyDescent="0.35">
      <c r="A701">
        <v>700</v>
      </c>
      <c r="B701" t="s">
        <v>269</v>
      </c>
      <c r="C701" t="s">
        <v>790</v>
      </c>
      <c r="D701" t="s">
        <v>1408</v>
      </c>
      <c r="E701" t="s">
        <v>20</v>
      </c>
      <c r="F701" t="b">
        <v>0</v>
      </c>
      <c r="G701">
        <v>2</v>
      </c>
      <c r="H701" t="b">
        <v>0</v>
      </c>
      <c r="I701">
        <v>21</v>
      </c>
      <c r="J701" t="s">
        <v>105</v>
      </c>
      <c r="K701">
        <v>81</v>
      </c>
      <c r="L701">
        <v>72</v>
      </c>
      <c r="M701">
        <v>87</v>
      </c>
      <c r="N701">
        <v>62</v>
      </c>
      <c r="O701">
        <v>69</v>
      </c>
      <c r="P701">
        <v>93</v>
      </c>
      <c r="Q701">
        <v>72</v>
      </c>
      <c r="R701">
        <f>SUM(student_scores[[#This Row],[math_score]:[geography_score]])</f>
        <v>536</v>
      </c>
      <c r="S701" s="3">
        <f>student_scores[[#This Row],[Total_Score]]/7</f>
        <v>76.571428571428569</v>
      </c>
      <c r="T701" s="3" t="str" cm="1">
        <f t="array" ref="T701">_xlfn.IFS(student_scores[[#This Row],[weekly_self_study_hours]]&lt;=5,   "0 - 5", student_scores[[#This Row],[weekly_self_study_hours]]&lt;=10,  "6 - 10", student_scores[[#This Row],[weekly_self_study_hours]]&lt;=20,  "11 - 20",student_scores[[#This Row],[weekly_self_study_hours]]&lt;=30, "21 - 30",TRUE, "31+")</f>
        <v>21 - 30</v>
      </c>
      <c r="U701" t="str" cm="1">
        <f t="array" ref="U701">_xlfn.IFS(student_scores[[#This Row],[absence_days]]=0,"0", student_scores[[#This Row],[absence_days]]&lt;=3,"1-3", student_scores[[#This Row],[absence_days]]&lt;=6,"4-6", TRUE,"7-10")</f>
        <v>1-3</v>
      </c>
      <c r="V701" t="str">
        <f>IF(student_scores[[#This Row],[Total_Score]] &gt;= _xlfn.PERCENTILE.INC(student_scores[Total_Score], 0.8), "Yes", "No")</f>
        <v>No</v>
      </c>
    </row>
    <row r="702" spans="1:22" x14ac:dyDescent="0.35">
      <c r="A702">
        <v>701</v>
      </c>
      <c r="B702" t="s">
        <v>1141</v>
      </c>
      <c r="C702" t="s">
        <v>295</v>
      </c>
      <c r="D702" t="s">
        <v>1409</v>
      </c>
      <c r="E702" t="s">
        <v>20</v>
      </c>
      <c r="F702" t="b">
        <v>0</v>
      </c>
      <c r="G702">
        <v>6</v>
      </c>
      <c r="H702" t="b">
        <v>0</v>
      </c>
      <c r="I702">
        <v>18</v>
      </c>
      <c r="J702" t="s">
        <v>38</v>
      </c>
      <c r="K702">
        <v>91</v>
      </c>
      <c r="L702">
        <v>61</v>
      </c>
      <c r="M702">
        <v>95</v>
      </c>
      <c r="N702">
        <v>82</v>
      </c>
      <c r="O702">
        <v>77</v>
      </c>
      <c r="P702">
        <v>87</v>
      </c>
      <c r="Q702">
        <v>95</v>
      </c>
      <c r="R702">
        <f>SUM(student_scores[[#This Row],[math_score]:[geography_score]])</f>
        <v>588</v>
      </c>
      <c r="S702" s="3">
        <f>student_scores[[#This Row],[Total_Score]]/7</f>
        <v>84</v>
      </c>
      <c r="T702" s="3" t="str" cm="1">
        <f t="array" ref="T702">_xlfn.IFS(student_scores[[#This Row],[weekly_self_study_hours]]&lt;=5,   "0 - 5", student_scores[[#This Row],[weekly_self_study_hours]]&lt;=10,  "6 - 10", student_scores[[#This Row],[weekly_self_study_hours]]&lt;=20,  "11 - 20",student_scores[[#This Row],[weekly_self_study_hours]]&lt;=30, "21 - 30",TRUE, "31+")</f>
        <v>11 - 20</v>
      </c>
      <c r="U702" t="str" cm="1">
        <f t="array" ref="U702">_xlfn.IFS(student_scores[[#This Row],[absence_days]]=0,"0", student_scores[[#This Row],[absence_days]]&lt;=3,"1-3", student_scores[[#This Row],[absence_days]]&lt;=6,"4-6", TRUE,"7-10")</f>
        <v>4-6</v>
      </c>
      <c r="V702" t="str">
        <f>IF(student_scores[[#This Row],[Total_Score]] &gt;= _xlfn.PERCENTILE.INC(student_scores[Total_Score], 0.8), "Yes", "No")</f>
        <v>No</v>
      </c>
    </row>
    <row r="703" spans="1:22" x14ac:dyDescent="0.35">
      <c r="A703">
        <v>702</v>
      </c>
      <c r="B703" t="s">
        <v>720</v>
      </c>
      <c r="C703" t="s">
        <v>1410</v>
      </c>
      <c r="D703" t="s">
        <v>1411</v>
      </c>
      <c r="E703" t="s">
        <v>25</v>
      </c>
      <c r="F703" t="b">
        <v>0</v>
      </c>
      <c r="G703">
        <v>2</v>
      </c>
      <c r="H703" t="b">
        <v>1</v>
      </c>
      <c r="I703">
        <v>16</v>
      </c>
      <c r="J703" t="s">
        <v>109</v>
      </c>
      <c r="K703">
        <v>71</v>
      </c>
      <c r="L703">
        <v>100</v>
      </c>
      <c r="M703">
        <v>99</v>
      </c>
      <c r="N703">
        <v>95</v>
      </c>
      <c r="O703">
        <v>91</v>
      </c>
      <c r="P703">
        <v>96</v>
      </c>
      <c r="Q703">
        <v>96</v>
      </c>
      <c r="R703">
        <f>SUM(student_scores[[#This Row],[math_score]:[geography_score]])</f>
        <v>648</v>
      </c>
      <c r="S703" s="3">
        <f>student_scores[[#This Row],[Total_Score]]/7</f>
        <v>92.571428571428569</v>
      </c>
      <c r="T703" s="3" t="str" cm="1">
        <f t="array" ref="T703">_xlfn.IFS(student_scores[[#This Row],[weekly_self_study_hours]]&lt;=5,   "0 - 5", student_scores[[#This Row],[weekly_self_study_hours]]&lt;=10,  "6 - 10", student_scores[[#This Row],[weekly_self_study_hours]]&lt;=20,  "11 - 20",student_scores[[#This Row],[weekly_self_study_hours]]&lt;=30, "21 - 30",TRUE, "31+")</f>
        <v>11 - 20</v>
      </c>
      <c r="U703" t="str" cm="1">
        <f t="array" ref="U703">_xlfn.IFS(student_scores[[#This Row],[absence_days]]=0,"0", student_scores[[#This Row],[absence_days]]&lt;=3,"1-3", student_scores[[#This Row],[absence_days]]&lt;=6,"4-6", TRUE,"7-10")</f>
        <v>1-3</v>
      </c>
      <c r="V703" t="str">
        <f>IF(student_scores[[#This Row],[Total_Score]] &gt;= _xlfn.PERCENTILE.INC(student_scores[Total_Score], 0.8), "Yes", "No")</f>
        <v>Yes</v>
      </c>
    </row>
    <row r="704" spans="1:22" x14ac:dyDescent="0.35">
      <c r="A704">
        <v>703</v>
      </c>
      <c r="B704" t="s">
        <v>243</v>
      </c>
      <c r="C704" t="s">
        <v>927</v>
      </c>
      <c r="D704" t="s">
        <v>1412</v>
      </c>
      <c r="E704" t="s">
        <v>25</v>
      </c>
      <c r="F704" t="b">
        <v>0</v>
      </c>
      <c r="G704">
        <v>4</v>
      </c>
      <c r="H704" t="b">
        <v>0</v>
      </c>
      <c r="I704">
        <v>2</v>
      </c>
      <c r="J704" t="s">
        <v>38</v>
      </c>
      <c r="K704">
        <v>61</v>
      </c>
      <c r="L704">
        <v>66</v>
      </c>
      <c r="M704">
        <v>78</v>
      </c>
      <c r="N704">
        <v>79</v>
      </c>
      <c r="O704">
        <v>79</v>
      </c>
      <c r="P704">
        <v>96</v>
      </c>
      <c r="Q704">
        <v>81</v>
      </c>
      <c r="R704">
        <f>SUM(student_scores[[#This Row],[math_score]:[geography_score]])</f>
        <v>540</v>
      </c>
      <c r="S704" s="3">
        <f>student_scores[[#This Row],[Total_Score]]/7</f>
        <v>77.142857142857139</v>
      </c>
      <c r="T704" s="3" t="str" cm="1">
        <f t="array" ref="T704">_xlfn.IFS(student_scores[[#This Row],[weekly_self_study_hours]]&lt;=5,   "0 - 5", student_scores[[#This Row],[weekly_self_study_hours]]&lt;=10,  "6 - 10", student_scores[[#This Row],[weekly_self_study_hours]]&lt;=20,  "11 - 20",student_scores[[#This Row],[weekly_self_study_hours]]&lt;=30, "21 - 30",TRUE, "31+")</f>
        <v>0 - 5</v>
      </c>
      <c r="U704" t="str" cm="1">
        <f t="array" ref="U704">_xlfn.IFS(student_scores[[#This Row],[absence_days]]=0,"0", student_scores[[#This Row],[absence_days]]&lt;=3,"1-3", student_scores[[#This Row],[absence_days]]&lt;=6,"4-6", TRUE,"7-10")</f>
        <v>4-6</v>
      </c>
      <c r="V704" t="str">
        <f>IF(student_scores[[#This Row],[Total_Score]] &gt;= _xlfn.PERCENTILE.INC(student_scores[Total_Score], 0.8), "Yes", "No")</f>
        <v>No</v>
      </c>
    </row>
    <row r="705" spans="1:22" x14ac:dyDescent="0.35">
      <c r="A705">
        <v>704</v>
      </c>
      <c r="B705" t="s">
        <v>277</v>
      </c>
      <c r="C705" t="s">
        <v>667</v>
      </c>
      <c r="D705" t="s">
        <v>1413</v>
      </c>
      <c r="E705" t="s">
        <v>20</v>
      </c>
      <c r="F705" t="b">
        <v>0</v>
      </c>
      <c r="G705">
        <v>5</v>
      </c>
      <c r="H705" t="b">
        <v>1</v>
      </c>
      <c r="I705">
        <v>16</v>
      </c>
      <c r="J705" t="s">
        <v>38</v>
      </c>
      <c r="K705">
        <v>87</v>
      </c>
      <c r="L705">
        <v>89</v>
      </c>
      <c r="M705">
        <v>60</v>
      </c>
      <c r="N705">
        <v>66</v>
      </c>
      <c r="O705">
        <v>79</v>
      </c>
      <c r="P705">
        <v>81</v>
      </c>
      <c r="Q705">
        <v>65</v>
      </c>
      <c r="R705">
        <f>SUM(student_scores[[#This Row],[math_score]:[geography_score]])</f>
        <v>527</v>
      </c>
      <c r="S705" s="3">
        <f>student_scores[[#This Row],[Total_Score]]/7</f>
        <v>75.285714285714292</v>
      </c>
      <c r="T705" s="3" t="str" cm="1">
        <f t="array" ref="T705">_xlfn.IFS(student_scores[[#This Row],[weekly_self_study_hours]]&lt;=5,   "0 - 5", student_scores[[#This Row],[weekly_self_study_hours]]&lt;=10,  "6 - 10", student_scores[[#This Row],[weekly_self_study_hours]]&lt;=20,  "11 - 20",student_scores[[#This Row],[weekly_self_study_hours]]&lt;=30, "21 - 30",TRUE, "31+")</f>
        <v>11 - 20</v>
      </c>
      <c r="U705" t="str" cm="1">
        <f t="array" ref="U705">_xlfn.IFS(student_scores[[#This Row],[absence_days]]=0,"0", student_scores[[#This Row],[absence_days]]&lt;=3,"1-3", student_scores[[#This Row],[absence_days]]&lt;=6,"4-6", TRUE,"7-10")</f>
        <v>4-6</v>
      </c>
      <c r="V705" t="str">
        <f>IF(student_scores[[#This Row],[Total_Score]] &gt;= _xlfn.PERCENTILE.INC(student_scores[Total_Score], 0.8), "Yes", "No")</f>
        <v>No</v>
      </c>
    </row>
    <row r="706" spans="1:22" x14ac:dyDescent="0.35">
      <c r="A706">
        <v>705</v>
      </c>
      <c r="B706" t="s">
        <v>921</v>
      </c>
      <c r="C706" t="s">
        <v>295</v>
      </c>
      <c r="D706" t="s">
        <v>1414</v>
      </c>
      <c r="E706" t="s">
        <v>25</v>
      </c>
      <c r="F706" t="b">
        <v>0</v>
      </c>
      <c r="G706">
        <v>0</v>
      </c>
      <c r="H706" t="b">
        <v>0</v>
      </c>
      <c r="I706">
        <v>29</v>
      </c>
      <c r="J706" t="s">
        <v>44</v>
      </c>
      <c r="K706">
        <v>93</v>
      </c>
      <c r="L706">
        <v>69</v>
      </c>
      <c r="M706">
        <v>79</v>
      </c>
      <c r="N706">
        <v>78</v>
      </c>
      <c r="O706">
        <v>77</v>
      </c>
      <c r="P706">
        <v>73</v>
      </c>
      <c r="Q706">
        <v>77</v>
      </c>
      <c r="R706">
        <f>SUM(student_scores[[#This Row],[math_score]:[geography_score]])</f>
        <v>546</v>
      </c>
      <c r="S706" s="3">
        <f>student_scores[[#This Row],[Total_Score]]/7</f>
        <v>78</v>
      </c>
      <c r="T706" s="3" t="str" cm="1">
        <f t="array" ref="T706">_xlfn.IFS(student_scores[[#This Row],[weekly_self_study_hours]]&lt;=5,   "0 - 5", student_scores[[#This Row],[weekly_self_study_hours]]&lt;=10,  "6 - 10", student_scores[[#This Row],[weekly_self_study_hours]]&lt;=20,  "11 - 20",student_scores[[#This Row],[weekly_self_study_hours]]&lt;=30, "21 - 30",TRUE, "31+")</f>
        <v>21 - 30</v>
      </c>
      <c r="U706" t="str" cm="1">
        <f t="array" ref="U706">_xlfn.IFS(student_scores[[#This Row],[absence_days]]=0,"0", student_scores[[#This Row],[absence_days]]&lt;=3,"1-3", student_scores[[#This Row],[absence_days]]&lt;=6,"4-6", TRUE,"7-10")</f>
        <v>0</v>
      </c>
      <c r="V706" t="str">
        <f>IF(student_scores[[#This Row],[Total_Score]] &gt;= _xlfn.PERCENTILE.INC(student_scores[Total_Score], 0.8), "Yes", "No")</f>
        <v>No</v>
      </c>
    </row>
    <row r="707" spans="1:22" x14ac:dyDescent="0.35">
      <c r="A707">
        <v>706</v>
      </c>
      <c r="B707" t="s">
        <v>1024</v>
      </c>
      <c r="C707" t="s">
        <v>164</v>
      </c>
      <c r="D707" t="s">
        <v>1415</v>
      </c>
      <c r="E707" t="s">
        <v>20</v>
      </c>
      <c r="F707" t="b">
        <v>0</v>
      </c>
      <c r="G707">
        <v>5</v>
      </c>
      <c r="H707" t="b">
        <v>0</v>
      </c>
      <c r="I707">
        <v>35</v>
      </c>
      <c r="J707" t="s">
        <v>113</v>
      </c>
      <c r="K707">
        <v>92</v>
      </c>
      <c r="L707">
        <v>88</v>
      </c>
      <c r="M707">
        <v>87</v>
      </c>
      <c r="N707">
        <v>98</v>
      </c>
      <c r="O707">
        <v>96</v>
      </c>
      <c r="P707">
        <v>85</v>
      </c>
      <c r="Q707">
        <v>96</v>
      </c>
      <c r="R707">
        <f>SUM(student_scores[[#This Row],[math_score]:[geography_score]])</f>
        <v>642</v>
      </c>
      <c r="S707" s="3">
        <f>student_scores[[#This Row],[Total_Score]]/7</f>
        <v>91.714285714285708</v>
      </c>
      <c r="T707" s="3" t="str" cm="1">
        <f t="array" ref="T707">_xlfn.IFS(student_scores[[#This Row],[weekly_self_study_hours]]&lt;=5,   "0 - 5", student_scores[[#This Row],[weekly_self_study_hours]]&lt;=10,  "6 - 10", student_scores[[#This Row],[weekly_self_study_hours]]&lt;=20,  "11 - 20",student_scores[[#This Row],[weekly_self_study_hours]]&lt;=30, "21 - 30",TRUE, "31+")</f>
        <v>31+</v>
      </c>
      <c r="U707" t="str" cm="1">
        <f t="array" ref="U707">_xlfn.IFS(student_scores[[#This Row],[absence_days]]=0,"0", student_scores[[#This Row],[absence_days]]&lt;=3,"1-3", student_scores[[#This Row],[absence_days]]&lt;=6,"4-6", TRUE,"7-10")</f>
        <v>4-6</v>
      </c>
      <c r="V707" t="str">
        <f>IF(student_scores[[#This Row],[Total_Score]] &gt;= _xlfn.PERCENTILE.INC(student_scores[Total_Score], 0.8), "Yes", "No")</f>
        <v>Yes</v>
      </c>
    </row>
    <row r="708" spans="1:22" x14ac:dyDescent="0.35">
      <c r="A708">
        <v>707</v>
      </c>
      <c r="B708" t="s">
        <v>35</v>
      </c>
      <c r="C708" t="s">
        <v>964</v>
      </c>
      <c r="D708" t="s">
        <v>1416</v>
      </c>
      <c r="E708" t="s">
        <v>20</v>
      </c>
      <c r="F708" t="b">
        <v>0</v>
      </c>
      <c r="G708">
        <v>2</v>
      </c>
      <c r="H708" t="b">
        <v>0</v>
      </c>
      <c r="I708">
        <v>11</v>
      </c>
      <c r="J708" t="s">
        <v>105</v>
      </c>
      <c r="K708">
        <v>96</v>
      </c>
      <c r="L708">
        <v>87</v>
      </c>
      <c r="M708">
        <v>99</v>
      </c>
      <c r="N708">
        <v>65</v>
      </c>
      <c r="O708">
        <v>98</v>
      </c>
      <c r="P708">
        <v>79</v>
      </c>
      <c r="Q708">
        <v>93</v>
      </c>
      <c r="R708">
        <f>SUM(student_scores[[#This Row],[math_score]:[geography_score]])</f>
        <v>617</v>
      </c>
      <c r="S708" s="3">
        <f>student_scores[[#This Row],[Total_Score]]/7</f>
        <v>88.142857142857139</v>
      </c>
      <c r="T708" s="3" t="str" cm="1">
        <f t="array" ref="T708">_xlfn.IFS(student_scores[[#This Row],[weekly_self_study_hours]]&lt;=5,   "0 - 5", student_scores[[#This Row],[weekly_self_study_hours]]&lt;=10,  "6 - 10", student_scores[[#This Row],[weekly_self_study_hours]]&lt;=20,  "11 - 20",student_scores[[#This Row],[weekly_self_study_hours]]&lt;=30, "21 - 30",TRUE, "31+")</f>
        <v>11 - 20</v>
      </c>
      <c r="U708" t="str" cm="1">
        <f t="array" ref="U708">_xlfn.IFS(student_scores[[#This Row],[absence_days]]=0,"0", student_scores[[#This Row],[absence_days]]&lt;=3,"1-3", student_scores[[#This Row],[absence_days]]&lt;=6,"4-6", TRUE,"7-10")</f>
        <v>1-3</v>
      </c>
      <c r="V708" t="str">
        <f>IF(student_scores[[#This Row],[Total_Score]] &gt;= _xlfn.PERCENTILE.INC(student_scores[Total_Score], 0.8), "Yes", "No")</f>
        <v>Yes</v>
      </c>
    </row>
    <row r="709" spans="1:22" x14ac:dyDescent="0.35">
      <c r="A709">
        <v>708</v>
      </c>
      <c r="B709" t="s">
        <v>1417</v>
      </c>
      <c r="C709" t="s">
        <v>1247</v>
      </c>
      <c r="D709" t="s">
        <v>1418</v>
      </c>
      <c r="E709" t="s">
        <v>20</v>
      </c>
      <c r="F709" t="b">
        <v>0</v>
      </c>
      <c r="G709">
        <v>3</v>
      </c>
      <c r="H709" t="b">
        <v>0</v>
      </c>
      <c r="I709">
        <v>4</v>
      </c>
      <c r="J709" t="s">
        <v>34</v>
      </c>
      <c r="K709">
        <v>83</v>
      </c>
      <c r="L709">
        <v>75</v>
      </c>
      <c r="M709">
        <v>77</v>
      </c>
      <c r="N709">
        <v>61</v>
      </c>
      <c r="O709">
        <v>93</v>
      </c>
      <c r="P709">
        <v>61</v>
      </c>
      <c r="Q709">
        <v>75</v>
      </c>
      <c r="R709">
        <f>SUM(student_scores[[#This Row],[math_score]:[geography_score]])</f>
        <v>525</v>
      </c>
      <c r="S709" s="3">
        <f>student_scores[[#This Row],[Total_Score]]/7</f>
        <v>75</v>
      </c>
      <c r="T709" s="3" t="str" cm="1">
        <f t="array" ref="T709">_xlfn.IFS(student_scores[[#This Row],[weekly_self_study_hours]]&lt;=5,   "0 - 5", student_scores[[#This Row],[weekly_self_study_hours]]&lt;=10,  "6 - 10", student_scores[[#This Row],[weekly_self_study_hours]]&lt;=20,  "11 - 20",student_scores[[#This Row],[weekly_self_study_hours]]&lt;=30, "21 - 30",TRUE, "31+")</f>
        <v>0 - 5</v>
      </c>
      <c r="U709" t="str" cm="1">
        <f t="array" ref="U709">_xlfn.IFS(student_scores[[#This Row],[absence_days]]=0,"0", student_scores[[#This Row],[absence_days]]&lt;=3,"1-3", student_scores[[#This Row],[absence_days]]&lt;=6,"4-6", TRUE,"7-10")</f>
        <v>1-3</v>
      </c>
      <c r="V709" t="str">
        <f>IF(student_scores[[#This Row],[Total_Score]] &gt;= _xlfn.PERCENTILE.INC(student_scores[Total_Score], 0.8), "Yes", "No")</f>
        <v>No</v>
      </c>
    </row>
    <row r="710" spans="1:22" x14ac:dyDescent="0.35">
      <c r="A710">
        <v>709</v>
      </c>
      <c r="B710" t="s">
        <v>1115</v>
      </c>
      <c r="C710" t="s">
        <v>435</v>
      </c>
      <c r="D710" t="s">
        <v>1419</v>
      </c>
      <c r="E710" t="s">
        <v>25</v>
      </c>
      <c r="F710" t="b">
        <v>0</v>
      </c>
      <c r="G710">
        <v>0</v>
      </c>
      <c r="H710" t="b">
        <v>0</v>
      </c>
      <c r="I710">
        <v>15</v>
      </c>
      <c r="J710" t="s">
        <v>54</v>
      </c>
      <c r="K710">
        <v>78</v>
      </c>
      <c r="L710">
        <v>84</v>
      </c>
      <c r="M710">
        <v>79</v>
      </c>
      <c r="N710">
        <v>96</v>
      </c>
      <c r="O710">
        <v>76</v>
      </c>
      <c r="P710">
        <v>71</v>
      </c>
      <c r="Q710">
        <v>71</v>
      </c>
      <c r="R710">
        <f>SUM(student_scores[[#This Row],[math_score]:[geography_score]])</f>
        <v>555</v>
      </c>
      <c r="S710" s="3">
        <f>student_scores[[#This Row],[Total_Score]]/7</f>
        <v>79.285714285714292</v>
      </c>
      <c r="T710" s="3" t="str" cm="1">
        <f t="array" ref="T710">_xlfn.IFS(student_scores[[#This Row],[weekly_self_study_hours]]&lt;=5,   "0 - 5", student_scores[[#This Row],[weekly_self_study_hours]]&lt;=10,  "6 - 10", student_scores[[#This Row],[weekly_self_study_hours]]&lt;=20,  "11 - 20",student_scores[[#This Row],[weekly_self_study_hours]]&lt;=30, "21 - 30",TRUE, "31+")</f>
        <v>11 - 20</v>
      </c>
      <c r="U710" t="str" cm="1">
        <f t="array" ref="U710">_xlfn.IFS(student_scores[[#This Row],[absence_days]]=0,"0", student_scores[[#This Row],[absence_days]]&lt;=3,"1-3", student_scores[[#This Row],[absence_days]]&lt;=6,"4-6", TRUE,"7-10")</f>
        <v>0</v>
      </c>
      <c r="V710" t="str">
        <f>IF(student_scores[[#This Row],[Total_Score]] &gt;= _xlfn.PERCENTILE.INC(student_scores[Total_Score], 0.8), "Yes", "No")</f>
        <v>No</v>
      </c>
    </row>
    <row r="711" spans="1:22" x14ac:dyDescent="0.35">
      <c r="A711">
        <v>710</v>
      </c>
      <c r="B711" t="s">
        <v>266</v>
      </c>
      <c r="C711" t="s">
        <v>1420</v>
      </c>
      <c r="D711" t="s">
        <v>1421</v>
      </c>
      <c r="E711" t="s">
        <v>20</v>
      </c>
      <c r="F711" t="b">
        <v>1</v>
      </c>
      <c r="G711">
        <v>10</v>
      </c>
      <c r="H711" t="b">
        <v>0</v>
      </c>
      <c r="I711">
        <v>25</v>
      </c>
      <c r="J711" t="s">
        <v>105</v>
      </c>
      <c r="K711">
        <v>82</v>
      </c>
      <c r="L711">
        <v>74</v>
      </c>
      <c r="M711">
        <v>84</v>
      </c>
      <c r="N711">
        <v>74</v>
      </c>
      <c r="O711">
        <v>86</v>
      </c>
      <c r="P711">
        <v>81</v>
      </c>
      <c r="Q711">
        <v>100</v>
      </c>
      <c r="R711">
        <f>SUM(student_scores[[#This Row],[math_score]:[geography_score]])</f>
        <v>581</v>
      </c>
      <c r="S711" s="3">
        <f>student_scores[[#This Row],[Total_Score]]/7</f>
        <v>83</v>
      </c>
      <c r="T711" s="3" t="str" cm="1">
        <f t="array" ref="T711">_xlfn.IFS(student_scores[[#This Row],[weekly_self_study_hours]]&lt;=5,   "0 - 5", student_scores[[#This Row],[weekly_self_study_hours]]&lt;=10,  "6 - 10", student_scores[[#This Row],[weekly_self_study_hours]]&lt;=20,  "11 - 20",student_scores[[#This Row],[weekly_self_study_hours]]&lt;=30, "21 - 30",TRUE, "31+")</f>
        <v>21 - 30</v>
      </c>
      <c r="U711" t="str" cm="1">
        <f t="array" ref="U711">_xlfn.IFS(student_scores[[#This Row],[absence_days]]=0,"0", student_scores[[#This Row],[absence_days]]&lt;=3,"1-3", student_scores[[#This Row],[absence_days]]&lt;=6,"4-6", TRUE,"7-10")</f>
        <v>7-10</v>
      </c>
      <c r="V711" t="str">
        <f>IF(student_scores[[#This Row],[Total_Score]] &gt;= _xlfn.PERCENTILE.INC(student_scores[Total_Score], 0.8), "Yes", "No")</f>
        <v>No</v>
      </c>
    </row>
    <row r="712" spans="1:22" x14ac:dyDescent="0.35">
      <c r="A712">
        <v>711</v>
      </c>
      <c r="B712" t="s">
        <v>1422</v>
      </c>
      <c r="C712" t="s">
        <v>1235</v>
      </c>
      <c r="D712" t="s">
        <v>1423</v>
      </c>
      <c r="E712" t="s">
        <v>25</v>
      </c>
      <c r="F712" t="b">
        <v>0</v>
      </c>
      <c r="G712">
        <v>1</v>
      </c>
      <c r="H712" t="b">
        <v>0</v>
      </c>
      <c r="I712">
        <v>31</v>
      </c>
      <c r="J712" t="s">
        <v>113</v>
      </c>
      <c r="K712">
        <v>94</v>
      </c>
      <c r="L712">
        <v>91</v>
      </c>
      <c r="M712">
        <v>68</v>
      </c>
      <c r="N712">
        <v>61</v>
      </c>
      <c r="O712">
        <v>34</v>
      </c>
      <c r="P712">
        <v>60</v>
      </c>
      <c r="Q712">
        <v>63</v>
      </c>
      <c r="R712">
        <f>SUM(student_scores[[#This Row],[math_score]:[geography_score]])</f>
        <v>471</v>
      </c>
      <c r="S712" s="3">
        <f>student_scores[[#This Row],[Total_Score]]/7</f>
        <v>67.285714285714292</v>
      </c>
      <c r="T712" s="3" t="str" cm="1">
        <f t="array" ref="T712">_xlfn.IFS(student_scores[[#This Row],[weekly_self_study_hours]]&lt;=5,   "0 - 5", student_scores[[#This Row],[weekly_self_study_hours]]&lt;=10,  "6 - 10", student_scores[[#This Row],[weekly_self_study_hours]]&lt;=20,  "11 - 20",student_scores[[#This Row],[weekly_self_study_hours]]&lt;=30, "21 - 30",TRUE, "31+")</f>
        <v>31+</v>
      </c>
      <c r="U712" t="str" cm="1">
        <f t="array" ref="U712">_xlfn.IFS(student_scores[[#This Row],[absence_days]]=0,"0", student_scores[[#This Row],[absence_days]]&lt;=3,"1-3", student_scores[[#This Row],[absence_days]]&lt;=6,"4-6", TRUE,"7-10")</f>
        <v>1-3</v>
      </c>
      <c r="V712" t="str">
        <f>IF(student_scores[[#This Row],[Total_Score]] &gt;= _xlfn.PERCENTILE.INC(student_scores[Total_Score], 0.8), "Yes", "No")</f>
        <v>No</v>
      </c>
    </row>
    <row r="713" spans="1:22" x14ac:dyDescent="0.35">
      <c r="A713">
        <v>712</v>
      </c>
      <c r="B713" t="s">
        <v>999</v>
      </c>
      <c r="C713" t="s">
        <v>1424</v>
      </c>
      <c r="D713" t="s">
        <v>1425</v>
      </c>
      <c r="E713" t="s">
        <v>25</v>
      </c>
      <c r="F713" t="b">
        <v>0</v>
      </c>
      <c r="G713">
        <v>7</v>
      </c>
      <c r="H713" t="b">
        <v>0</v>
      </c>
      <c r="I713">
        <v>30</v>
      </c>
      <c r="J713" t="s">
        <v>26</v>
      </c>
      <c r="K713">
        <v>93</v>
      </c>
      <c r="L713">
        <v>73</v>
      </c>
      <c r="M713">
        <v>97</v>
      </c>
      <c r="N713">
        <v>89</v>
      </c>
      <c r="O713">
        <v>88</v>
      </c>
      <c r="P713">
        <v>63</v>
      </c>
      <c r="Q713">
        <v>70</v>
      </c>
      <c r="R713">
        <f>SUM(student_scores[[#This Row],[math_score]:[geography_score]])</f>
        <v>573</v>
      </c>
      <c r="S713" s="3">
        <f>student_scores[[#This Row],[Total_Score]]/7</f>
        <v>81.857142857142861</v>
      </c>
      <c r="T713" s="3" t="str" cm="1">
        <f t="array" ref="T713">_xlfn.IFS(student_scores[[#This Row],[weekly_self_study_hours]]&lt;=5,   "0 - 5", student_scores[[#This Row],[weekly_self_study_hours]]&lt;=10,  "6 - 10", student_scores[[#This Row],[weekly_self_study_hours]]&lt;=20,  "11 - 20",student_scores[[#This Row],[weekly_self_study_hours]]&lt;=30, "21 - 30",TRUE, "31+")</f>
        <v>21 - 30</v>
      </c>
      <c r="U713" t="str" cm="1">
        <f t="array" ref="U713">_xlfn.IFS(student_scores[[#This Row],[absence_days]]=0,"0", student_scores[[#This Row],[absence_days]]&lt;=3,"1-3", student_scores[[#This Row],[absence_days]]&lt;=6,"4-6", TRUE,"7-10")</f>
        <v>7-10</v>
      </c>
      <c r="V713" t="str">
        <f>IF(student_scores[[#This Row],[Total_Score]] &gt;= _xlfn.PERCENTILE.INC(student_scores[Total_Score], 0.8), "Yes", "No")</f>
        <v>No</v>
      </c>
    </row>
    <row r="714" spans="1:22" x14ac:dyDescent="0.35">
      <c r="A714">
        <v>713</v>
      </c>
      <c r="B714" t="s">
        <v>1036</v>
      </c>
      <c r="C714" t="s">
        <v>329</v>
      </c>
      <c r="D714" t="s">
        <v>1426</v>
      </c>
      <c r="E714" t="s">
        <v>25</v>
      </c>
      <c r="F714" t="b">
        <v>0</v>
      </c>
      <c r="G714">
        <v>3</v>
      </c>
      <c r="H714" t="b">
        <v>0</v>
      </c>
      <c r="I714">
        <v>17</v>
      </c>
      <c r="J714" t="s">
        <v>54</v>
      </c>
      <c r="K714">
        <v>80</v>
      </c>
      <c r="L714">
        <v>95</v>
      </c>
      <c r="M714">
        <v>98</v>
      </c>
      <c r="N714">
        <v>95</v>
      </c>
      <c r="O714">
        <v>96</v>
      </c>
      <c r="P714">
        <v>97</v>
      </c>
      <c r="Q714">
        <v>85</v>
      </c>
      <c r="R714">
        <f>SUM(student_scores[[#This Row],[math_score]:[geography_score]])</f>
        <v>646</v>
      </c>
      <c r="S714" s="3">
        <f>student_scores[[#This Row],[Total_Score]]/7</f>
        <v>92.285714285714292</v>
      </c>
      <c r="T714" s="3" t="str" cm="1">
        <f t="array" ref="T714">_xlfn.IFS(student_scores[[#This Row],[weekly_self_study_hours]]&lt;=5,   "0 - 5", student_scores[[#This Row],[weekly_self_study_hours]]&lt;=10,  "6 - 10", student_scores[[#This Row],[weekly_self_study_hours]]&lt;=20,  "11 - 20",student_scores[[#This Row],[weekly_self_study_hours]]&lt;=30, "21 - 30",TRUE, "31+")</f>
        <v>11 - 20</v>
      </c>
      <c r="U714" t="str" cm="1">
        <f t="array" ref="U714">_xlfn.IFS(student_scores[[#This Row],[absence_days]]=0,"0", student_scores[[#This Row],[absence_days]]&lt;=3,"1-3", student_scores[[#This Row],[absence_days]]&lt;=6,"4-6", TRUE,"7-10")</f>
        <v>1-3</v>
      </c>
      <c r="V714" t="str">
        <f>IF(student_scores[[#This Row],[Total_Score]] &gt;= _xlfn.PERCENTILE.INC(student_scores[Total_Score], 0.8), "Yes", "No")</f>
        <v>Yes</v>
      </c>
    </row>
    <row r="715" spans="1:22" x14ac:dyDescent="0.35">
      <c r="A715">
        <v>714</v>
      </c>
      <c r="B715" t="s">
        <v>1427</v>
      </c>
      <c r="C715" t="s">
        <v>281</v>
      </c>
      <c r="D715" t="s">
        <v>1428</v>
      </c>
      <c r="E715" t="s">
        <v>25</v>
      </c>
      <c r="F715" t="b">
        <v>0</v>
      </c>
      <c r="G715">
        <v>10</v>
      </c>
      <c r="H715" t="b">
        <v>0</v>
      </c>
      <c r="I715">
        <v>0</v>
      </c>
      <c r="J715" t="s">
        <v>64</v>
      </c>
      <c r="K715">
        <v>55</v>
      </c>
      <c r="L715">
        <v>99</v>
      </c>
      <c r="M715">
        <v>71</v>
      </c>
      <c r="N715">
        <v>94</v>
      </c>
      <c r="O715">
        <v>69</v>
      </c>
      <c r="P715">
        <v>87</v>
      </c>
      <c r="Q715">
        <v>84</v>
      </c>
      <c r="R715">
        <f>SUM(student_scores[[#This Row],[math_score]:[geography_score]])</f>
        <v>559</v>
      </c>
      <c r="S715" s="3">
        <f>student_scores[[#This Row],[Total_Score]]/7</f>
        <v>79.857142857142861</v>
      </c>
      <c r="T715" s="3" t="str" cm="1">
        <f t="array" ref="T715">_xlfn.IFS(student_scores[[#This Row],[weekly_self_study_hours]]&lt;=5,   "0 - 5", student_scores[[#This Row],[weekly_self_study_hours]]&lt;=10,  "6 - 10", student_scores[[#This Row],[weekly_self_study_hours]]&lt;=20,  "11 - 20",student_scores[[#This Row],[weekly_self_study_hours]]&lt;=30, "21 - 30",TRUE, "31+")</f>
        <v>0 - 5</v>
      </c>
      <c r="U715" t="str" cm="1">
        <f t="array" ref="U715">_xlfn.IFS(student_scores[[#This Row],[absence_days]]=0,"0", student_scores[[#This Row],[absence_days]]&lt;=3,"1-3", student_scores[[#This Row],[absence_days]]&lt;=6,"4-6", TRUE,"7-10")</f>
        <v>7-10</v>
      </c>
      <c r="V715" t="str">
        <f>IF(student_scores[[#This Row],[Total_Score]] &gt;= _xlfn.PERCENTILE.INC(student_scores[Total_Score], 0.8), "Yes", "No")</f>
        <v>No</v>
      </c>
    </row>
    <row r="716" spans="1:22" x14ac:dyDescent="0.35">
      <c r="A716">
        <v>715</v>
      </c>
      <c r="B716" t="s">
        <v>1057</v>
      </c>
      <c r="C716" t="s">
        <v>1429</v>
      </c>
      <c r="D716" t="s">
        <v>1430</v>
      </c>
      <c r="E716" t="s">
        <v>25</v>
      </c>
      <c r="F716" t="b">
        <v>1</v>
      </c>
      <c r="G716">
        <v>2</v>
      </c>
      <c r="H716" t="b">
        <v>0</v>
      </c>
      <c r="I716">
        <v>10</v>
      </c>
      <c r="J716" t="s">
        <v>30</v>
      </c>
      <c r="K716">
        <v>94</v>
      </c>
      <c r="L716">
        <v>71</v>
      </c>
      <c r="M716">
        <v>83</v>
      </c>
      <c r="N716">
        <v>76</v>
      </c>
      <c r="O716">
        <v>99</v>
      </c>
      <c r="P716">
        <v>95</v>
      </c>
      <c r="Q716">
        <v>94</v>
      </c>
      <c r="R716">
        <f>SUM(student_scores[[#This Row],[math_score]:[geography_score]])</f>
        <v>612</v>
      </c>
      <c r="S716" s="3">
        <f>student_scores[[#This Row],[Total_Score]]/7</f>
        <v>87.428571428571431</v>
      </c>
      <c r="T716" s="3" t="str" cm="1">
        <f t="array" ref="T716">_xlfn.IFS(student_scores[[#This Row],[weekly_self_study_hours]]&lt;=5,   "0 - 5", student_scores[[#This Row],[weekly_self_study_hours]]&lt;=10,  "6 - 10", student_scores[[#This Row],[weekly_self_study_hours]]&lt;=20,  "11 - 20",student_scores[[#This Row],[weekly_self_study_hours]]&lt;=30, "21 - 30",TRUE, "31+")</f>
        <v>6 - 10</v>
      </c>
      <c r="U716" t="str" cm="1">
        <f t="array" ref="U716">_xlfn.IFS(student_scores[[#This Row],[absence_days]]=0,"0", student_scores[[#This Row],[absence_days]]&lt;=3,"1-3", student_scores[[#This Row],[absence_days]]&lt;=6,"4-6", TRUE,"7-10")</f>
        <v>1-3</v>
      </c>
      <c r="V716" t="str">
        <f>IF(student_scores[[#This Row],[Total_Score]] &gt;= _xlfn.PERCENTILE.INC(student_scores[Total_Score], 0.8), "Yes", "No")</f>
        <v>Yes</v>
      </c>
    </row>
    <row r="717" spans="1:22" x14ac:dyDescent="0.35">
      <c r="A717">
        <v>716</v>
      </c>
      <c r="B717" t="s">
        <v>39</v>
      </c>
      <c r="C717" t="s">
        <v>1431</v>
      </c>
      <c r="D717" t="s">
        <v>1432</v>
      </c>
      <c r="E717" t="s">
        <v>25</v>
      </c>
      <c r="F717" t="b">
        <v>0</v>
      </c>
      <c r="G717">
        <v>2</v>
      </c>
      <c r="H717" t="b">
        <v>0</v>
      </c>
      <c r="I717">
        <v>22</v>
      </c>
      <c r="J717" t="s">
        <v>109</v>
      </c>
      <c r="K717">
        <v>72</v>
      </c>
      <c r="L717">
        <v>72</v>
      </c>
      <c r="M717">
        <v>85</v>
      </c>
      <c r="N717">
        <v>90</v>
      </c>
      <c r="O717">
        <v>75</v>
      </c>
      <c r="P717">
        <v>94</v>
      </c>
      <c r="Q717">
        <v>65</v>
      </c>
      <c r="R717">
        <f>SUM(student_scores[[#This Row],[math_score]:[geography_score]])</f>
        <v>553</v>
      </c>
      <c r="S717" s="3">
        <f>student_scores[[#This Row],[Total_Score]]/7</f>
        <v>79</v>
      </c>
      <c r="T717" s="3" t="str" cm="1">
        <f t="array" ref="T717">_xlfn.IFS(student_scores[[#This Row],[weekly_self_study_hours]]&lt;=5,   "0 - 5", student_scores[[#This Row],[weekly_self_study_hours]]&lt;=10,  "6 - 10", student_scores[[#This Row],[weekly_self_study_hours]]&lt;=20,  "11 - 20",student_scores[[#This Row],[weekly_self_study_hours]]&lt;=30, "21 - 30",TRUE, "31+")</f>
        <v>21 - 30</v>
      </c>
      <c r="U717" t="str" cm="1">
        <f t="array" ref="U717">_xlfn.IFS(student_scores[[#This Row],[absence_days]]=0,"0", student_scores[[#This Row],[absence_days]]&lt;=3,"1-3", student_scores[[#This Row],[absence_days]]&lt;=6,"4-6", TRUE,"7-10")</f>
        <v>1-3</v>
      </c>
      <c r="V717" t="str">
        <f>IF(student_scores[[#This Row],[Total_Score]] &gt;= _xlfn.PERCENTILE.INC(student_scores[Total_Score], 0.8), "Yes", "No")</f>
        <v>No</v>
      </c>
    </row>
    <row r="718" spans="1:22" x14ac:dyDescent="0.35">
      <c r="A718">
        <v>717</v>
      </c>
      <c r="B718" t="s">
        <v>139</v>
      </c>
      <c r="C718" t="s">
        <v>1433</v>
      </c>
      <c r="D718" t="s">
        <v>1434</v>
      </c>
      <c r="E718" t="s">
        <v>20</v>
      </c>
      <c r="F718" t="b">
        <v>0</v>
      </c>
      <c r="G718">
        <v>3</v>
      </c>
      <c r="H718" t="b">
        <v>0</v>
      </c>
      <c r="I718">
        <v>16</v>
      </c>
      <c r="J718" t="s">
        <v>44</v>
      </c>
      <c r="K718">
        <v>98</v>
      </c>
      <c r="L718">
        <v>89</v>
      </c>
      <c r="M718">
        <v>75</v>
      </c>
      <c r="N718">
        <v>68</v>
      </c>
      <c r="O718">
        <v>87</v>
      </c>
      <c r="P718">
        <v>69</v>
      </c>
      <c r="Q718">
        <v>96</v>
      </c>
      <c r="R718">
        <f>SUM(student_scores[[#This Row],[math_score]:[geography_score]])</f>
        <v>582</v>
      </c>
      <c r="S718" s="3">
        <f>student_scores[[#This Row],[Total_Score]]/7</f>
        <v>83.142857142857139</v>
      </c>
      <c r="T718" s="3" t="str" cm="1">
        <f t="array" ref="T718">_xlfn.IFS(student_scores[[#This Row],[weekly_self_study_hours]]&lt;=5,   "0 - 5", student_scores[[#This Row],[weekly_self_study_hours]]&lt;=10,  "6 - 10", student_scores[[#This Row],[weekly_self_study_hours]]&lt;=20,  "11 - 20",student_scores[[#This Row],[weekly_self_study_hours]]&lt;=30, "21 - 30",TRUE, "31+")</f>
        <v>11 - 20</v>
      </c>
      <c r="U718" t="str" cm="1">
        <f t="array" ref="U718">_xlfn.IFS(student_scores[[#This Row],[absence_days]]=0,"0", student_scores[[#This Row],[absence_days]]&lt;=3,"1-3", student_scores[[#This Row],[absence_days]]&lt;=6,"4-6", TRUE,"7-10")</f>
        <v>1-3</v>
      </c>
      <c r="V718" t="str">
        <f>IF(student_scores[[#This Row],[Total_Score]] &gt;= _xlfn.PERCENTILE.INC(student_scores[Total_Score], 0.8), "Yes", "No")</f>
        <v>No</v>
      </c>
    </row>
    <row r="719" spans="1:22" x14ac:dyDescent="0.35">
      <c r="A719">
        <v>718</v>
      </c>
      <c r="B719" t="s">
        <v>342</v>
      </c>
      <c r="C719" t="s">
        <v>1073</v>
      </c>
      <c r="D719" t="s">
        <v>1435</v>
      </c>
      <c r="E719" t="s">
        <v>25</v>
      </c>
      <c r="F719" t="b">
        <v>0</v>
      </c>
      <c r="G719">
        <v>2</v>
      </c>
      <c r="H719" t="b">
        <v>0</v>
      </c>
      <c r="I719">
        <v>11</v>
      </c>
      <c r="J719" t="s">
        <v>38</v>
      </c>
      <c r="K719">
        <v>71</v>
      </c>
      <c r="L719">
        <v>98</v>
      </c>
      <c r="M719">
        <v>66</v>
      </c>
      <c r="N719">
        <v>65</v>
      </c>
      <c r="O719">
        <v>78</v>
      </c>
      <c r="P719">
        <v>81</v>
      </c>
      <c r="Q719">
        <v>82</v>
      </c>
      <c r="R719">
        <f>SUM(student_scores[[#This Row],[math_score]:[geography_score]])</f>
        <v>541</v>
      </c>
      <c r="S719" s="3">
        <f>student_scores[[#This Row],[Total_Score]]/7</f>
        <v>77.285714285714292</v>
      </c>
      <c r="T719" s="3" t="str" cm="1">
        <f t="array" ref="T719">_xlfn.IFS(student_scores[[#This Row],[weekly_self_study_hours]]&lt;=5,   "0 - 5", student_scores[[#This Row],[weekly_self_study_hours]]&lt;=10,  "6 - 10", student_scores[[#This Row],[weekly_self_study_hours]]&lt;=20,  "11 - 20",student_scores[[#This Row],[weekly_self_study_hours]]&lt;=30, "21 - 30",TRUE, "31+")</f>
        <v>11 - 20</v>
      </c>
      <c r="U719" t="str" cm="1">
        <f t="array" ref="U719">_xlfn.IFS(student_scores[[#This Row],[absence_days]]=0,"0", student_scores[[#This Row],[absence_days]]&lt;=3,"1-3", student_scores[[#This Row],[absence_days]]&lt;=6,"4-6", TRUE,"7-10")</f>
        <v>1-3</v>
      </c>
      <c r="V719" t="str">
        <f>IF(student_scores[[#This Row],[Total_Score]] &gt;= _xlfn.PERCENTILE.INC(student_scores[Total_Score], 0.8), "Yes", "No")</f>
        <v>No</v>
      </c>
    </row>
    <row r="720" spans="1:22" x14ac:dyDescent="0.35">
      <c r="A720">
        <v>719</v>
      </c>
      <c r="B720" t="s">
        <v>39</v>
      </c>
      <c r="C720" t="s">
        <v>569</v>
      </c>
      <c r="D720" t="s">
        <v>1436</v>
      </c>
      <c r="E720" t="s">
        <v>25</v>
      </c>
      <c r="F720" t="b">
        <v>0</v>
      </c>
      <c r="G720">
        <v>3</v>
      </c>
      <c r="H720" t="b">
        <v>0</v>
      </c>
      <c r="I720">
        <v>35</v>
      </c>
      <c r="J720" t="s">
        <v>44</v>
      </c>
      <c r="K720">
        <v>99</v>
      </c>
      <c r="L720">
        <v>95</v>
      </c>
      <c r="M720">
        <v>89</v>
      </c>
      <c r="N720">
        <v>90</v>
      </c>
      <c r="O720">
        <v>95</v>
      </c>
      <c r="P720">
        <v>98</v>
      </c>
      <c r="Q720">
        <v>99</v>
      </c>
      <c r="R720">
        <f>SUM(student_scores[[#This Row],[math_score]:[geography_score]])</f>
        <v>665</v>
      </c>
      <c r="S720" s="3">
        <f>student_scores[[#This Row],[Total_Score]]/7</f>
        <v>95</v>
      </c>
      <c r="T720" s="3" t="str" cm="1">
        <f t="array" ref="T720">_xlfn.IFS(student_scores[[#This Row],[weekly_self_study_hours]]&lt;=5,   "0 - 5", student_scores[[#This Row],[weekly_self_study_hours]]&lt;=10,  "6 - 10", student_scores[[#This Row],[weekly_self_study_hours]]&lt;=20,  "11 - 20",student_scores[[#This Row],[weekly_self_study_hours]]&lt;=30, "21 - 30",TRUE, "31+")</f>
        <v>31+</v>
      </c>
      <c r="U720" t="str" cm="1">
        <f t="array" ref="U720">_xlfn.IFS(student_scores[[#This Row],[absence_days]]=0,"0", student_scores[[#This Row],[absence_days]]&lt;=3,"1-3", student_scores[[#This Row],[absence_days]]&lt;=6,"4-6", TRUE,"7-10")</f>
        <v>1-3</v>
      </c>
      <c r="V720" t="str">
        <f>IF(student_scores[[#This Row],[Total_Score]] &gt;= _xlfn.PERCENTILE.INC(student_scores[Total_Score], 0.8), "Yes", "No")</f>
        <v>Yes</v>
      </c>
    </row>
    <row r="721" spans="1:22" x14ac:dyDescent="0.35">
      <c r="A721">
        <v>720</v>
      </c>
      <c r="B721" t="s">
        <v>135</v>
      </c>
      <c r="C721" t="s">
        <v>281</v>
      </c>
      <c r="D721" t="s">
        <v>1437</v>
      </c>
      <c r="E721" t="s">
        <v>20</v>
      </c>
      <c r="F721" t="b">
        <v>0</v>
      </c>
      <c r="G721">
        <v>1</v>
      </c>
      <c r="H721" t="b">
        <v>0</v>
      </c>
      <c r="I721">
        <v>25</v>
      </c>
      <c r="J721" t="s">
        <v>172</v>
      </c>
      <c r="K721">
        <v>97</v>
      </c>
      <c r="L721">
        <v>67</v>
      </c>
      <c r="M721">
        <v>86</v>
      </c>
      <c r="N721">
        <v>95</v>
      </c>
      <c r="O721">
        <v>65</v>
      </c>
      <c r="P721">
        <v>91</v>
      </c>
      <c r="Q721">
        <v>76</v>
      </c>
      <c r="R721">
        <f>SUM(student_scores[[#This Row],[math_score]:[geography_score]])</f>
        <v>577</v>
      </c>
      <c r="S721" s="3">
        <f>student_scores[[#This Row],[Total_Score]]/7</f>
        <v>82.428571428571431</v>
      </c>
      <c r="T721" s="3" t="str" cm="1">
        <f t="array" ref="T721">_xlfn.IFS(student_scores[[#This Row],[weekly_self_study_hours]]&lt;=5,   "0 - 5", student_scores[[#This Row],[weekly_self_study_hours]]&lt;=10,  "6 - 10", student_scores[[#This Row],[weekly_self_study_hours]]&lt;=20,  "11 - 20",student_scores[[#This Row],[weekly_self_study_hours]]&lt;=30, "21 - 30",TRUE, "31+")</f>
        <v>21 - 30</v>
      </c>
      <c r="U721" t="str" cm="1">
        <f t="array" ref="U721">_xlfn.IFS(student_scores[[#This Row],[absence_days]]=0,"0", student_scores[[#This Row],[absence_days]]&lt;=3,"1-3", student_scores[[#This Row],[absence_days]]&lt;=6,"4-6", TRUE,"7-10")</f>
        <v>1-3</v>
      </c>
      <c r="V721" t="str">
        <f>IF(student_scores[[#This Row],[Total_Score]] &gt;= _xlfn.PERCENTILE.INC(student_scores[Total_Score], 0.8), "Yes", "No")</f>
        <v>No</v>
      </c>
    </row>
    <row r="722" spans="1:22" x14ac:dyDescent="0.35">
      <c r="A722">
        <v>721</v>
      </c>
      <c r="B722" t="s">
        <v>1057</v>
      </c>
      <c r="C722" t="s">
        <v>742</v>
      </c>
      <c r="D722" t="s">
        <v>1438</v>
      </c>
      <c r="E722" t="s">
        <v>25</v>
      </c>
      <c r="F722" t="b">
        <v>0</v>
      </c>
      <c r="G722">
        <v>9</v>
      </c>
      <c r="H722" t="b">
        <v>0</v>
      </c>
      <c r="I722">
        <v>5</v>
      </c>
      <c r="J722" t="s">
        <v>64</v>
      </c>
      <c r="K722">
        <v>85</v>
      </c>
      <c r="L722">
        <v>64</v>
      </c>
      <c r="M722">
        <v>99</v>
      </c>
      <c r="N722">
        <v>93</v>
      </c>
      <c r="O722">
        <v>89</v>
      </c>
      <c r="P722">
        <v>61</v>
      </c>
      <c r="Q722">
        <v>67</v>
      </c>
      <c r="R722">
        <f>SUM(student_scores[[#This Row],[math_score]:[geography_score]])</f>
        <v>558</v>
      </c>
      <c r="S722" s="3">
        <f>student_scores[[#This Row],[Total_Score]]/7</f>
        <v>79.714285714285708</v>
      </c>
      <c r="T722" s="3" t="str" cm="1">
        <f t="array" ref="T722">_xlfn.IFS(student_scores[[#This Row],[weekly_self_study_hours]]&lt;=5,   "0 - 5", student_scores[[#This Row],[weekly_self_study_hours]]&lt;=10,  "6 - 10", student_scores[[#This Row],[weekly_self_study_hours]]&lt;=20,  "11 - 20",student_scores[[#This Row],[weekly_self_study_hours]]&lt;=30, "21 - 30",TRUE, "31+")</f>
        <v>0 - 5</v>
      </c>
      <c r="U722" t="str" cm="1">
        <f t="array" ref="U722">_xlfn.IFS(student_scores[[#This Row],[absence_days]]=0,"0", student_scores[[#This Row],[absence_days]]&lt;=3,"1-3", student_scores[[#This Row],[absence_days]]&lt;=6,"4-6", TRUE,"7-10")</f>
        <v>7-10</v>
      </c>
      <c r="V722" t="str">
        <f>IF(student_scores[[#This Row],[Total_Score]] &gt;= _xlfn.PERCENTILE.INC(student_scores[Total_Score], 0.8), "Yes", "No")</f>
        <v>No</v>
      </c>
    </row>
    <row r="723" spans="1:22" x14ac:dyDescent="0.35">
      <c r="A723">
        <v>722</v>
      </c>
      <c r="B723" t="s">
        <v>410</v>
      </c>
      <c r="C723" t="s">
        <v>281</v>
      </c>
      <c r="D723" t="s">
        <v>1439</v>
      </c>
      <c r="E723" t="s">
        <v>20</v>
      </c>
      <c r="F723" t="b">
        <v>0</v>
      </c>
      <c r="G723">
        <v>2</v>
      </c>
      <c r="H723" t="b">
        <v>1</v>
      </c>
      <c r="I723">
        <v>35</v>
      </c>
      <c r="J723" t="s">
        <v>38</v>
      </c>
      <c r="K723">
        <v>100</v>
      </c>
      <c r="L723">
        <v>88</v>
      </c>
      <c r="M723">
        <v>98</v>
      </c>
      <c r="N723">
        <v>90</v>
      </c>
      <c r="O723">
        <v>93</v>
      </c>
      <c r="P723">
        <v>95</v>
      </c>
      <c r="Q723">
        <v>98</v>
      </c>
      <c r="R723">
        <f>SUM(student_scores[[#This Row],[math_score]:[geography_score]])</f>
        <v>662</v>
      </c>
      <c r="S723" s="3">
        <f>student_scores[[#This Row],[Total_Score]]/7</f>
        <v>94.571428571428569</v>
      </c>
      <c r="T723" s="3" t="str" cm="1">
        <f t="array" ref="T723">_xlfn.IFS(student_scores[[#This Row],[weekly_self_study_hours]]&lt;=5,   "0 - 5", student_scores[[#This Row],[weekly_self_study_hours]]&lt;=10,  "6 - 10", student_scores[[#This Row],[weekly_self_study_hours]]&lt;=20,  "11 - 20",student_scores[[#This Row],[weekly_self_study_hours]]&lt;=30, "21 - 30",TRUE, "31+")</f>
        <v>31+</v>
      </c>
      <c r="U723" t="str" cm="1">
        <f t="array" ref="U723">_xlfn.IFS(student_scores[[#This Row],[absence_days]]=0,"0", student_scores[[#This Row],[absence_days]]&lt;=3,"1-3", student_scores[[#This Row],[absence_days]]&lt;=6,"4-6", TRUE,"7-10")</f>
        <v>1-3</v>
      </c>
      <c r="V723" t="str">
        <f>IF(student_scores[[#This Row],[Total_Score]] &gt;= _xlfn.PERCENTILE.INC(student_scores[Total_Score], 0.8), "Yes", "No")</f>
        <v>Yes</v>
      </c>
    </row>
    <row r="724" spans="1:22" x14ac:dyDescent="0.35">
      <c r="A724">
        <v>723</v>
      </c>
      <c r="B724" t="s">
        <v>280</v>
      </c>
      <c r="C724" t="s">
        <v>1440</v>
      </c>
      <c r="D724" t="s">
        <v>1441</v>
      </c>
      <c r="E724" t="s">
        <v>20</v>
      </c>
      <c r="F724" t="b">
        <v>0</v>
      </c>
      <c r="G724">
        <v>4</v>
      </c>
      <c r="H724" t="b">
        <v>0</v>
      </c>
      <c r="I724">
        <v>15</v>
      </c>
      <c r="J724" t="s">
        <v>105</v>
      </c>
      <c r="K724">
        <v>89</v>
      </c>
      <c r="L724">
        <v>63</v>
      </c>
      <c r="M724">
        <v>73</v>
      </c>
      <c r="N724">
        <v>83</v>
      </c>
      <c r="O724">
        <v>74</v>
      </c>
      <c r="P724">
        <v>91</v>
      </c>
      <c r="Q724">
        <v>83</v>
      </c>
      <c r="R724">
        <f>SUM(student_scores[[#This Row],[math_score]:[geography_score]])</f>
        <v>556</v>
      </c>
      <c r="S724" s="3">
        <f>student_scores[[#This Row],[Total_Score]]/7</f>
        <v>79.428571428571431</v>
      </c>
      <c r="T724" s="3" t="str" cm="1">
        <f t="array" ref="T724">_xlfn.IFS(student_scores[[#This Row],[weekly_self_study_hours]]&lt;=5,   "0 - 5", student_scores[[#This Row],[weekly_self_study_hours]]&lt;=10,  "6 - 10", student_scores[[#This Row],[weekly_self_study_hours]]&lt;=20,  "11 - 20",student_scores[[#This Row],[weekly_self_study_hours]]&lt;=30, "21 - 30",TRUE, "31+")</f>
        <v>11 - 20</v>
      </c>
      <c r="U724" t="str" cm="1">
        <f t="array" ref="U724">_xlfn.IFS(student_scores[[#This Row],[absence_days]]=0,"0", student_scores[[#This Row],[absence_days]]&lt;=3,"1-3", student_scores[[#This Row],[absence_days]]&lt;=6,"4-6", TRUE,"7-10")</f>
        <v>4-6</v>
      </c>
      <c r="V724" t="str">
        <f>IF(student_scores[[#This Row],[Total_Score]] &gt;= _xlfn.PERCENTILE.INC(student_scores[Total_Score], 0.8), "Yes", "No")</f>
        <v>No</v>
      </c>
    </row>
    <row r="725" spans="1:22" x14ac:dyDescent="0.35">
      <c r="A725">
        <v>724</v>
      </c>
      <c r="B725" t="s">
        <v>1442</v>
      </c>
      <c r="C725" t="s">
        <v>332</v>
      </c>
      <c r="D725" t="s">
        <v>1443</v>
      </c>
      <c r="E725" t="s">
        <v>20</v>
      </c>
      <c r="F725" t="b">
        <v>0</v>
      </c>
      <c r="G725">
        <v>4</v>
      </c>
      <c r="H725" t="b">
        <v>1</v>
      </c>
      <c r="I725">
        <v>21</v>
      </c>
      <c r="J725" t="s">
        <v>105</v>
      </c>
      <c r="K725">
        <v>76</v>
      </c>
      <c r="L725">
        <v>87</v>
      </c>
      <c r="M725">
        <v>63</v>
      </c>
      <c r="N725">
        <v>92</v>
      </c>
      <c r="O725">
        <v>93</v>
      </c>
      <c r="P725">
        <v>87</v>
      </c>
      <c r="Q725">
        <v>88</v>
      </c>
      <c r="R725">
        <f>SUM(student_scores[[#This Row],[math_score]:[geography_score]])</f>
        <v>586</v>
      </c>
      <c r="S725" s="3">
        <f>student_scores[[#This Row],[Total_Score]]/7</f>
        <v>83.714285714285708</v>
      </c>
      <c r="T725" s="3" t="str" cm="1">
        <f t="array" ref="T725">_xlfn.IFS(student_scores[[#This Row],[weekly_self_study_hours]]&lt;=5,   "0 - 5", student_scores[[#This Row],[weekly_self_study_hours]]&lt;=10,  "6 - 10", student_scores[[#This Row],[weekly_self_study_hours]]&lt;=20,  "11 - 20",student_scores[[#This Row],[weekly_self_study_hours]]&lt;=30, "21 - 30",TRUE, "31+")</f>
        <v>21 - 30</v>
      </c>
      <c r="U725" t="str" cm="1">
        <f t="array" ref="U725">_xlfn.IFS(student_scores[[#This Row],[absence_days]]=0,"0", student_scores[[#This Row],[absence_days]]&lt;=3,"1-3", student_scores[[#This Row],[absence_days]]&lt;=6,"4-6", TRUE,"7-10")</f>
        <v>4-6</v>
      </c>
      <c r="V725" t="str">
        <f>IF(student_scores[[#This Row],[Total_Score]] &gt;= _xlfn.PERCENTILE.INC(student_scores[Total_Score], 0.8), "Yes", "No")</f>
        <v>No</v>
      </c>
    </row>
    <row r="726" spans="1:22" x14ac:dyDescent="0.35">
      <c r="A726">
        <v>725</v>
      </c>
      <c r="B726" t="s">
        <v>565</v>
      </c>
      <c r="C726" t="s">
        <v>418</v>
      </c>
      <c r="D726" t="s">
        <v>1444</v>
      </c>
      <c r="E726" t="s">
        <v>25</v>
      </c>
      <c r="F726" t="b">
        <v>0</v>
      </c>
      <c r="G726">
        <v>2</v>
      </c>
      <c r="H726" t="b">
        <v>0</v>
      </c>
      <c r="I726">
        <v>3</v>
      </c>
      <c r="J726" t="s">
        <v>123</v>
      </c>
      <c r="K726">
        <v>100</v>
      </c>
      <c r="L726">
        <v>68</v>
      </c>
      <c r="M726">
        <v>80</v>
      </c>
      <c r="N726">
        <v>75</v>
      </c>
      <c r="O726">
        <v>85</v>
      </c>
      <c r="P726">
        <v>82</v>
      </c>
      <c r="Q726">
        <v>85</v>
      </c>
      <c r="R726">
        <f>SUM(student_scores[[#This Row],[math_score]:[geography_score]])</f>
        <v>575</v>
      </c>
      <c r="S726" s="3">
        <f>student_scores[[#This Row],[Total_Score]]/7</f>
        <v>82.142857142857139</v>
      </c>
      <c r="T726" s="3" t="str" cm="1">
        <f t="array" ref="T726">_xlfn.IFS(student_scores[[#This Row],[weekly_self_study_hours]]&lt;=5,   "0 - 5", student_scores[[#This Row],[weekly_self_study_hours]]&lt;=10,  "6 - 10", student_scores[[#This Row],[weekly_self_study_hours]]&lt;=20,  "11 - 20",student_scores[[#This Row],[weekly_self_study_hours]]&lt;=30, "21 - 30",TRUE, "31+")</f>
        <v>0 - 5</v>
      </c>
      <c r="U726" t="str" cm="1">
        <f t="array" ref="U726">_xlfn.IFS(student_scores[[#This Row],[absence_days]]=0,"0", student_scores[[#This Row],[absence_days]]&lt;=3,"1-3", student_scores[[#This Row],[absence_days]]&lt;=6,"4-6", TRUE,"7-10")</f>
        <v>1-3</v>
      </c>
      <c r="V726" t="str">
        <f>IF(student_scores[[#This Row],[Total_Score]] &gt;= _xlfn.PERCENTILE.INC(student_scores[Total_Score], 0.8), "Yes", "No")</f>
        <v>No</v>
      </c>
    </row>
    <row r="727" spans="1:22" x14ac:dyDescent="0.35">
      <c r="A727">
        <v>726</v>
      </c>
      <c r="B727" t="s">
        <v>746</v>
      </c>
      <c r="C727" t="s">
        <v>1445</v>
      </c>
      <c r="D727" t="s">
        <v>1446</v>
      </c>
      <c r="E727" t="s">
        <v>25</v>
      </c>
      <c r="F727" t="b">
        <v>0</v>
      </c>
      <c r="G727">
        <v>1</v>
      </c>
      <c r="H727" t="b">
        <v>0</v>
      </c>
      <c r="I727">
        <v>1</v>
      </c>
      <c r="J727" t="s">
        <v>224</v>
      </c>
      <c r="K727">
        <v>77</v>
      </c>
      <c r="L727">
        <v>99</v>
      </c>
      <c r="M727">
        <v>99</v>
      </c>
      <c r="N727">
        <v>76</v>
      </c>
      <c r="O727">
        <v>70</v>
      </c>
      <c r="P727">
        <v>80</v>
      </c>
      <c r="Q727">
        <v>90</v>
      </c>
      <c r="R727">
        <f>SUM(student_scores[[#This Row],[math_score]:[geography_score]])</f>
        <v>591</v>
      </c>
      <c r="S727" s="3">
        <f>student_scores[[#This Row],[Total_Score]]/7</f>
        <v>84.428571428571431</v>
      </c>
      <c r="T727" s="3" t="str" cm="1">
        <f t="array" ref="T727">_xlfn.IFS(student_scores[[#This Row],[weekly_self_study_hours]]&lt;=5,   "0 - 5", student_scores[[#This Row],[weekly_self_study_hours]]&lt;=10,  "6 - 10", student_scores[[#This Row],[weekly_self_study_hours]]&lt;=20,  "11 - 20",student_scores[[#This Row],[weekly_self_study_hours]]&lt;=30, "21 - 30",TRUE, "31+")</f>
        <v>0 - 5</v>
      </c>
      <c r="U727" t="str" cm="1">
        <f t="array" ref="U727">_xlfn.IFS(student_scores[[#This Row],[absence_days]]=0,"0", student_scores[[#This Row],[absence_days]]&lt;=3,"1-3", student_scores[[#This Row],[absence_days]]&lt;=6,"4-6", TRUE,"7-10")</f>
        <v>1-3</v>
      </c>
      <c r="V727" t="str">
        <f>IF(student_scores[[#This Row],[Total_Score]] &gt;= _xlfn.PERCENTILE.INC(student_scores[Total_Score], 0.8), "Yes", "No")</f>
        <v>No</v>
      </c>
    </row>
    <row r="728" spans="1:22" x14ac:dyDescent="0.35">
      <c r="A728">
        <v>727</v>
      </c>
      <c r="B728" t="s">
        <v>1447</v>
      </c>
      <c r="C728" t="s">
        <v>1448</v>
      </c>
      <c r="D728" t="s">
        <v>1449</v>
      </c>
      <c r="E728" t="s">
        <v>25</v>
      </c>
      <c r="F728" t="b">
        <v>0</v>
      </c>
      <c r="G728">
        <v>1</v>
      </c>
      <c r="H728" t="b">
        <v>0</v>
      </c>
      <c r="I728">
        <v>32</v>
      </c>
      <c r="J728" t="s">
        <v>44</v>
      </c>
      <c r="K728">
        <v>85</v>
      </c>
      <c r="L728">
        <v>86</v>
      </c>
      <c r="M728">
        <v>84</v>
      </c>
      <c r="N728">
        <v>81</v>
      </c>
      <c r="O728">
        <v>92</v>
      </c>
      <c r="P728">
        <v>84</v>
      </c>
      <c r="Q728">
        <v>93</v>
      </c>
      <c r="R728">
        <f>SUM(student_scores[[#This Row],[math_score]:[geography_score]])</f>
        <v>605</v>
      </c>
      <c r="S728" s="3">
        <f>student_scores[[#This Row],[Total_Score]]/7</f>
        <v>86.428571428571431</v>
      </c>
      <c r="T728" s="3" t="str" cm="1">
        <f t="array" ref="T728">_xlfn.IFS(student_scores[[#This Row],[weekly_self_study_hours]]&lt;=5,   "0 - 5", student_scores[[#This Row],[weekly_self_study_hours]]&lt;=10,  "6 - 10", student_scores[[#This Row],[weekly_self_study_hours]]&lt;=20,  "11 - 20",student_scores[[#This Row],[weekly_self_study_hours]]&lt;=30, "21 - 30",TRUE, "31+")</f>
        <v>31+</v>
      </c>
      <c r="U728" t="str" cm="1">
        <f t="array" ref="U728">_xlfn.IFS(student_scores[[#This Row],[absence_days]]=0,"0", student_scores[[#This Row],[absence_days]]&lt;=3,"1-3", student_scores[[#This Row],[absence_days]]&lt;=6,"4-6", TRUE,"7-10")</f>
        <v>1-3</v>
      </c>
      <c r="V728" t="str">
        <f>IF(student_scores[[#This Row],[Total_Score]] &gt;= _xlfn.PERCENTILE.INC(student_scores[Total_Score], 0.8), "Yes", "No")</f>
        <v>Yes</v>
      </c>
    </row>
    <row r="729" spans="1:22" x14ac:dyDescent="0.35">
      <c r="A729">
        <v>728</v>
      </c>
      <c r="B729" t="s">
        <v>1380</v>
      </c>
      <c r="C729" t="s">
        <v>355</v>
      </c>
      <c r="D729" t="s">
        <v>1450</v>
      </c>
      <c r="E729" t="s">
        <v>20</v>
      </c>
      <c r="F729" t="b">
        <v>0</v>
      </c>
      <c r="G729">
        <v>6</v>
      </c>
      <c r="H729" t="b">
        <v>1</v>
      </c>
      <c r="I729">
        <v>25</v>
      </c>
      <c r="J729" t="s">
        <v>21</v>
      </c>
      <c r="K729">
        <v>70</v>
      </c>
      <c r="L729">
        <v>83</v>
      </c>
      <c r="M729">
        <v>63</v>
      </c>
      <c r="N729">
        <v>86</v>
      </c>
      <c r="O729">
        <v>97</v>
      </c>
      <c r="P729">
        <v>88</v>
      </c>
      <c r="Q729">
        <v>79</v>
      </c>
      <c r="R729">
        <f>SUM(student_scores[[#This Row],[math_score]:[geography_score]])</f>
        <v>566</v>
      </c>
      <c r="S729" s="3">
        <f>student_scores[[#This Row],[Total_Score]]/7</f>
        <v>80.857142857142861</v>
      </c>
      <c r="T729" s="3" t="str" cm="1">
        <f t="array" ref="T729">_xlfn.IFS(student_scores[[#This Row],[weekly_self_study_hours]]&lt;=5,   "0 - 5", student_scores[[#This Row],[weekly_self_study_hours]]&lt;=10,  "6 - 10", student_scores[[#This Row],[weekly_self_study_hours]]&lt;=20,  "11 - 20",student_scores[[#This Row],[weekly_self_study_hours]]&lt;=30, "21 - 30",TRUE, "31+")</f>
        <v>21 - 30</v>
      </c>
      <c r="U729" t="str" cm="1">
        <f t="array" ref="U729">_xlfn.IFS(student_scores[[#This Row],[absence_days]]=0,"0", student_scores[[#This Row],[absence_days]]&lt;=3,"1-3", student_scores[[#This Row],[absence_days]]&lt;=6,"4-6", TRUE,"7-10")</f>
        <v>4-6</v>
      </c>
      <c r="V729" t="str">
        <f>IF(student_scores[[#This Row],[Total_Score]] &gt;= _xlfn.PERCENTILE.INC(student_scores[Total_Score], 0.8), "Yes", "No")</f>
        <v>No</v>
      </c>
    </row>
    <row r="730" spans="1:22" x14ac:dyDescent="0.35">
      <c r="A730">
        <v>729</v>
      </c>
      <c r="B730" t="s">
        <v>634</v>
      </c>
      <c r="C730" t="s">
        <v>49</v>
      </c>
      <c r="D730" t="s">
        <v>1451</v>
      </c>
      <c r="E730" t="s">
        <v>25</v>
      </c>
      <c r="F730" t="b">
        <v>0</v>
      </c>
      <c r="G730">
        <v>9</v>
      </c>
      <c r="H730" t="b">
        <v>0</v>
      </c>
      <c r="I730">
        <v>26</v>
      </c>
      <c r="J730" t="s">
        <v>21</v>
      </c>
      <c r="K730">
        <v>76</v>
      </c>
      <c r="L730">
        <v>83</v>
      </c>
      <c r="M730">
        <v>90</v>
      </c>
      <c r="N730">
        <v>68</v>
      </c>
      <c r="O730">
        <v>96</v>
      </c>
      <c r="P730">
        <v>94</v>
      </c>
      <c r="Q730">
        <v>87</v>
      </c>
      <c r="R730">
        <f>SUM(student_scores[[#This Row],[math_score]:[geography_score]])</f>
        <v>594</v>
      </c>
      <c r="S730" s="3">
        <f>student_scores[[#This Row],[Total_Score]]/7</f>
        <v>84.857142857142861</v>
      </c>
      <c r="T730" s="3" t="str" cm="1">
        <f t="array" ref="T730">_xlfn.IFS(student_scores[[#This Row],[weekly_self_study_hours]]&lt;=5,   "0 - 5", student_scores[[#This Row],[weekly_self_study_hours]]&lt;=10,  "6 - 10", student_scores[[#This Row],[weekly_self_study_hours]]&lt;=20,  "11 - 20",student_scores[[#This Row],[weekly_self_study_hours]]&lt;=30, "21 - 30",TRUE, "31+")</f>
        <v>21 - 30</v>
      </c>
      <c r="U730" t="str" cm="1">
        <f t="array" ref="U730">_xlfn.IFS(student_scores[[#This Row],[absence_days]]=0,"0", student_scores[[#This Row],[absence_days]]&lt;=3,"1-3", student_scores[[#This Row],[absence_days]]&lt;=6,"4-6", TRUE,"7-10")</f>
        <v>7-10</v>
      </c>
      <c r="V730" t="str">
        <f>IF(student_scores[[#This Row],[Total_Score]] &gt;= _xlfn.PERCENTILE.INC(student_scores[Total_Score], 0.8), "Yes", "No")</f>
        <v>No</v>
      </c>
    </row>
    <row r="731" spans="1:22" x14ac:dyDescent="0.35">
      <c r="A731">
        <v>730</v>
      </c>
      <c r="B731" t="s">
        <v>599</v>
      </c>
      <c r="C731" t="s">
        <v>98</v>
      </c>
      <c r="D731" t="s">
        <v>1452</v>
      </c>
      <c r="E731" t="s">
        <v>25</v>
      </c>
      <c r="F731" t="b">
        <v>1</v>
      </c>
      <c r="G731">
        <v>7</v>
      </c>
      <c r="H731" t="b">
        <v>0</v>
      </c>
      <c r="I731">
        <v>34</v>
      </c>
      <c r="J731" t="s">
        <v>21</v>
      </c>
      <c r="K731">
        <v>75</v>
      </c>
      <c r="L731">
        <v>82</v>
      </c>
      <c r="M731">
        <v>89</v>
      </c>
      <c r="N731">
        <v>65</v>
      </c>
      <c r="O731">
        <v>85</v>
      </c>
      <c r="P731">
        <v>89</v>
      </c>
      <c r="Q731">
        <v>81</v>
      </c>
      <c r="R731">
        <f>SUM(student_scores[[#This Row],[math_score]:[geography_score]])</f>
        <v>566</v>
      </c>
      <c r="S731" s="3">
        <f>student_scores[[#This Row],[Total_Score]]/7</f>
        <v>80.857142857142861</v>
      </c>
      <c r="T731" s="3" t="str" cm="1">
        <f t="array" ref="T731">_xlfn.IFS(student_scores[[#This Row],[weekly_self_study_hours]]&lt;=5,   "0 - 5", student_scores[[#This Row],[weekly_self_study_hours]]&lt;=10,  "6 - 10", student_scores[[#This Row],[weekly_self_study_hours]]&lt;=20,  "11 - 20",student_scores[[#This Row],[weekly_self_study_hours]]&lt;=30, "21 - 30",TRUE, "31+")</f>
        <v>31+</v>
      </c>
      <c r="U731" t="str" cm="1">
        <f t="array" ref="U731">_xlfn.IFS(student_scores[[#This Row],[absence_days]]=0,"0", student_scores[[#This Row],[absence_days]]&lt;=3,"1-3", student_scores[[#This Row],[absence_days]]&lt;=6,"4-6", TRUE,"7-10")</f>
        <v>7-10</v>
      </c>
      <c r="V731" t="str">
        <f>IF(student_scores[[#This Row],[Total_Score]] &gt;= _xlfn.PERCENTILE.INC(student_scores[Total_Score], 0.8), "Yes", "No")</f>
        <v>No</v>
      </c>
    </row>
    <row r="732" spans="1:22" x14ac:dyDescent="0.35">
      <c r="A732">
        <v>731</v>
      </c>
      <c r="B732" t="s">
        <v>1171</v>
      </c>
      <c r="C732" t="s">
        <v>797</v>
      </c>
      <c r="D732" t="s">
        <v>1453</v>
      </c>
      <c r="E732" t="s">
        <v>20</v>
      </c>
      <c r="F732" t="b">
        <v>0</v>
      </c>
      <c r="G732">
        <v>2</v>
      </c>
      <c r="H732" t="b">
        <v>1</v>
      </c>
      <c r="I732">
        <v>25</v>
      </c>
      <c r="J732" t="s">
        <v>172</v>
      </c>
      <c r="K732">
        <v>97</v>
      </c>
      <c r="L732">
        <v>65</v>
      </c>
      <c r="M732">
        <v>96</v>
      </c>
      <c r="N732">
        <v>87</v>
      </c>
      <c r="O732">
        <v>87</v>
      </c>
      <c r="P732">
        <v>95</v>
      </c>
      <c r="Q732">
        <v>100</v>
      </c>
      <c r="R732">
        <f>SUM(student_scores[[#This Row],[math_score]:[geography_score]])</f>
        <v>627</v>
      </c>
      <c r="S732" s="3">
        <f>student_scores[[#This Row],[Total_Score]]/7</f>
        <v>89.571428571428569</v>
      </c>
      <c r="T732" s="3" t="str" cm="1">
        <f t="array" ref="T732">_xlfn.IFS(student_scores[[#This Row],[weekly_self_study_hours]]&lt;=5,   "0 - 5", student_scores[[#This Row],[weekly_self_study_hours]]&lt;=10,  "6 - 10", student_scores[[#This Row],[weekly_self_study_hours]]&lt;=20,  "11 - 20",student_scores[[#This Row],[weekly_self_study_hours]]&lt;=30, "21 - 30",TRUE, "31+")</f>
        <v>21 - 30</v>
      </c>
      <c r="U732" t="str" cm="1">
        <f t="array" ref="U732">_xlfn.IFS(student_scores[[#This Row],[absence_days]]=0,"0", student_scores[[#This Row],[absence_days]]&lt;=3,"1-3", student_scores[[#This Row],[absence_days]]&lt;=6,"4-6", TRUE,"7-10")</f>
        <v>1-3</v>
      </c>
      <c r="V732" t="str">
        <f>IF(student_scores[[#This Row],[Total_Score]] &gt;= _xlfn.PERCENTILE.INC(student_scores[Total_Score], 0.8), "Yes", "No")</f>
        <v>Yes</v>
      </c>
    </row>
    <row r="733" spans="1:22" x14ac:dyDescent="0.35">
      <c r="A733">
        <v>732</v>
      </c>
      <c r="B733" t="s">
        <v>1359</v>
      </c>
      <c r="C733" t="s">
        <v>66</v>
      </c>
      <c r="D733" t="s">
        <v>1454</v>
      </c>
      <c r="E733" t="s">
        <v>20</v>
      </c>
      <c r="F733" t="b">
        <v>1</v>
      </c>
      <c r="G733">
        <v>10</v>
      </c>
      <c r="H733" t="b">
        <v>0</v>
      </c>
      <c r="I733">
        <v>3</v>
      </c>
      <c r="J733" t="s">
        <v>64</v>
      </c>
      <c r="K733">
        <v>72</v>
      </c>
      <c r="L733">
        <v>81</v>
      </c>
      <c r="M733">
        <v>61</v>
      </c>
      <c r="N733">
        <v>73</v>
      </c>
      <c r="O733">
        <v>96</v>
      </c>
      <c r="P733">
        <v>72</v>
      </c>
      <c r="Q733">
        <v>86</v>
      </c>
      <c r="R733">
        <f>SUM(student_scores[[#This Row],[math_score]:[geography_score]])</f>
        <v>541</v>
      </c>
      <c r="S733" s="3">
        <f>student_scores[[#This Row],[Total_Score]]/7</f>
        <v>77.285714285714292</v>
      </c>
      <c r="T733" s="3" t="str" cm="1">
        <f t="array" ref="T733">_xlfn.IFS(student_scores[[#This Row],[weekly_self_study_hours]]&lt;=5,   "0 - 5", student_scores[[#This Row],[weekly_self_study_hours]]&lt;=10,  "6 - 10", student_scores[[#This Row],[weekly_self_study_hours]]&lt;=20,  "11 - 20",student_scores[[#This Row],[weekly_self_study_hours]]&lt;=30, "21 - 30",TRUE, "31+")</f>
        <v>0 - 5</v>
      </c>
      <c r="U733" t="str" cm="1">
        <f t="array" ref="U733">_xlfn.IFS(student_scores[[#This Row],[absence_days]]=0,"0", student_scores[[#This Row],[absence_days]]&lt;=3,"1-3", student_scores[[#This Row],[absence_days]]&lt;=6,"4-6", TRUE,"7-10")</f>
        <v>7-10</v>
      </c>
      <c r="V733" t="str">
        <f>IF(student_scores[[#This Row],[Total_Score]] &gt;= _xlfn.PERCENTILE.INC(student_scores[Total_Score], 0.8), "Yes", "No")</f>
        <v>No</v>
      </c>
    </row>
    <row r="734" spans="1:22" x14ac:dyDescent="0.35">
      <c r="A734">
        <v>733</v>
      </c>
      <c r="B734" t="s">
        <v>1455</v>
      </c>
      <c r="C734" t="s">
        <v>42</v>
      </c>
      <c r="D734" t="s">
        <v>1456</v>
      </c>
      <c r="E734" t="s">
        <v>20</v>
      </c>
      <c r="F734" t="b">
        <v>1</v>
      </c>
      <c r="G734">
        <v>3</v>
      </c>
      <c r="H734" t="b">
        <v>0</v>
      </c>
      <c r="I734">
        <v>12</v>
      </c>
      <c r="J734" t="s">
        <v>172</v>
      </c>
      <c r="K734">
        <v>84</v>
      </c>
      <c r="L734">
        <v>69</v>
      </c>
      <c r="M734">
        <v>68</v>
      </c>
      <c r="N734">
        <v>92</v>
      </c>
      <c r="O734">
        <v>86</v>
      </c>
      <c r="P734">
        <v>67</v>
      </c>
      <c r="Q734">
        <v>73</v>
      </c>
      <c r="R734">
        <f>SUM(student_scores[[#This Row],[math_score]:[geography_score]])</f>
        <v>539</v>
      </c>
      <c r="S734" s="3">
        <f>student_scores[[#This Row],[Total_Score]]/7</f>
        <v>77</v>
      </c>
      <c r="T734" s="3" t="str" cm="1">
        <f t="array" ref="T734">_xlfn.IFS(student_scores[[#This Row],[weekly_self_study_hours]]&lt;=5,   "0 - 5", student_scores[[#This Row],[weekly_self_study_hours]]&lt;=10,  "6 - 10", student_scores[[#This Row],[weekly_self_study_hours]]&lt;=20,  "11 - 20",student_scores[[#This Row],[weekly_self_study_hours]]&lt;=30, "21 - 30",TRUE, "31+")</f>
        <v>11 - 20</v>
      </c>
      <c r="U734" t="str" cm="1">
        <f t="array" ref="U734">_xlfn.IFS(student_scores[[#This Row],[absence_days]]=0,"0", student_scores[[#This Row],[absence_days]]&lt;=3,"1-3", student_scores[[#This Row],[absence_days]]&lt;=6,"4-6", TRUE,"7-10")</f>
        <v>1-3</v>
      </c>
      <c r="V734" t="str">
        <f>IF(student_scores[[#This Row],[Total_Score]] &gt;= _xlfn.PERCENTILE.INC(student_scores[Total_Score], 0.8), "Yes", "No")</f>
        <v>No</v>
      </c>
    </row>
    <row r="735" spans="1:22" x14ac:dyDescent="0.35">
      <c r="A735">
        <v>734</v>
      </c>
      <c r="B735" t="s">
        <v>944</v>
      </c>
      <c r="C735" t="s">
        <v>1457</v>
      </c>
      <c r="D735" t="s">
        <v>1458</v>
      </c>
      <c r="E735" t="s">
        <v>20</v>
      </c>
      <c r="F735" t="b">
        <v>0</v>
      </c>
      <c r="G735">
        <v>1</v>
      </c>
      <c r="H735" t="b">
        <v>0</v>
      </c>
      <c r="I735">
        <v>25</v>
      </c>
      <c r="J735" t="s">
        <v>38</v>
      </c>
      <c r="K735">
        <v>84</v>
      </c>
      <c r="L735">
        <v>94</v>
      </c>
      <c r="M735">
        <v>65</v>
      </c>
      <c r="N735">
        <v>74</v>
      </c>
      <c r="O735">
        <v>92</v>
      </c>
      <c r="P735">
        <v>81</v>
      </c>
      <c r="Q735">
        <v>79</v>
      </c>
      <c r="R735">
        <f>SUM(student_scores[[#This Row],[math_score]:[geography_score]])</f>
        <v>569</v>
      </c>
      <c r="S735" s="3">
        <f>student_scores[[#This Row],[Total_Score]]/7</f>
        <v>81.285714285714292</v>
      </c>
      <c r="T735" s="3" t="str" cm="1">
        <f t="array" ref="T735">_xlfn.IFS(student_scores[[#This Row],[weekly_self_study_hours]]&lt;=5,   "0 - 5", student_scores[[#This Row],[weekly_self_study_hours]]&lt;=10,  "6 - 10", student_scores[[#This Row],[weekly_self_study_hours]]&lt;=20,  "11 - 20",student_scores[[#This Row],[weekly_self_study_hours]]&lt;=30, "21 - 30",TRUE, "31+")</f>
        <v>21 - 30</v>
      </c>
      <c r="U735" t="str" cm="1">
        <f t="array" ref="U735">_xlfn.IFS(student_scores[[#This Row],[absence_days]]=0,"0", student_scores[[#This Row],[absence_days]]&lt;=3,"1-3", student_scores[[#This Row],[absence_days]]&lt;=6,"4-6", TRUE,"7-10")</f>
        <v>1-3</v>
      </c>
      <c r="V735" t="str">
        <f>IF(student_scores[[#This Row],[Total_Score]] &gt;= _xlfn.PERCENTILE.INC(student_scores[Total_Score], 0.8), "Yes", "No")</f>
        <v>No</v>
      </c>
    </row>
    <row r="736" spans="1:22" x14ac:dyDescent="0.35">
      <c r="A736">
        <v>735</v>
      </c>
      <c r="B736" t="s">
        <v>139</v>
      </c>
      <c r="C736" t="s">
        <v>1128</v>
      </c>
      <c r="D736" t="s">
        <v>1459</v>
      </c>
      <c r="E736" t="s">
        <v>20</v>
      </c>
      <c r="F736" t="b">
        <v>0</v>
      </c>
      <c r="G736">
        <v>6</v>
      </c>
      <c r="H736" t="b">
        <v>0</v>
      </c>
      <c r="I736">
        <v>50</v>
      </c>
      <c r="J736" t="s">
        <v>26</v>
      </c>
      <c r="K736">
        <v>94</v>
      </c>
      <c r="L736">
        <v>87</v>
      </c>
      <c r="M736">
        <v>99</v>
      </c>
      <c r="N736">
        <v>99</v>
      </c>
      <c r="O736">
        <v>86</v>
      </c>
      <c r="P736">
        <v>86</v>
      </c>
      <c r="Q736">
        <v>85</v>
      </c>
      <c r="R736">
        <f>SUM(student_scores[[#This Row],[math_score]:[geography_score]])</f>
        <v>636</v>
      </c>
      <c r="S736" s="3">
        <f>student_scores[[#This Row],[Total_Score]]/7</f>
        <v>90.857142857142861</v>
      </c>
      <c r="T736" s="3" t="str" cm="1">
        <f t="array" ref="T736">_xlfn.IFS(student_scores[[#This Row],[weekly_self_study_hours]]&lt;=5,   "0 - 5", student_scores[[#This Row],[weekly_self_study_hours]]&lt;=10,  "6 - 10", student_scores[[#This Row],[weekly_self_study_hours]]&lt;=20,  "11 - 20",student_scores[[#This Row],[weekly_self_study_hours]]&lt;=30, "21 - 30",TRUE, "31+")</f>
        <v>31+</v>
      </c>
      <c r="U736" t="str" cm="1">
        <f t="array" ref="U736">_xlfn.IFS(student_scores[[#This Row],[absence_days]]=0,"0", student_scores[[#This Row],[absence_days]]&lt;=3,"1-3", student_scores[[#This Row],[absence_days]]&lt;=6,"4-6", TRUE,"7-10")</f>
        <v>4-6</v>
      </c>
      <c r="V736" t="str">
        <f>IF(student_scores[[#This Row],[Total_Score]] &gt;= _xlfn.PERCENTILE.INC(student_scores[Total_Score], 0.8), "Yes", "No")</f>
        <v>Yes</v>
      </c>
    </row>
    <row r="737" spans="1:22" x14ac:dyDescent="0.35">
      <c r="A737">
        <v>736</v>
      </c>
      <c r="B737" t="s">
        <v>345</v>
      </c>
      <c r="C737" t="s">
        <v>1460</v>
      </c>
      <c r="D737" t="s">
        <v>1461</v>
      </c>
      <c r="E737" t="s">
        <v>25</v>
      </c>
      <c r="F737" t="b">
        <v>0</v>
      </c>
      <c r="G737">
        <v>7</v>
      </c>
      <c r="H737" t="b">
        <v>0</v>
      </c>
      <c r="I737">
        <v>15</v>
      </c>
      <c r="J737" t="s">
        <v>123</v>
      </c>
      <c r="K737">
        <v>80</v>
      </c>
      <c r="L737">
        <v>91</v>
      </c>
      <c r="M737">
        <v>100</v>
      </c>
      <c r="N737">
        <v>87</v>
      </c>
      <c r="O737">
        <v>87</v>
      </c>
      <c r="P737">
        <v>94</v>
      </c>
      <c r="Q737">
        <v>100</v>
      </c>
      <c r="R737">
        <f>SUM(student_scores[[#This Row],[math_score]:[geography_score]])</f>
        <v>639</v>
      </c>
      <c r="S737" s="3">
        <f>student_scores[[#This Row],[Total_Score]]/7</f>
        <v>91.285714285714292</v>
      </c>
      <c r="T737" s="3" t="str" cm="1">
        <f t="array" ref="T737">_xlfn.IFS(student_scores[[#This Row],[weekly_self_study_hours]]&lt;=5,   "0 - 5", student_scores[[#This Row],[weekly_self_study_hours]]&lt;=10,  "6 - 10", student_scores[[#This Row],[weekly_self_study_hours]]&lt;=20,  "11 - 20",student_scores[[#This Row],[weekly_self_study_hours]]&lt;=30, "21 - 30",TRUE, "31+")</f>
        <v>11 - 20</v>
      </c>
      <c r="U737" t="str" cm="1">
        <f t="array" ref="U737">_xlfn.IFS(student_scores[[#This Row],[absence_days]]=0,"0", student_scores[[#This Row],[absence_days]]&lt;=3,"1-3", student_scores[[#This Row],[absence_days]]&lt;=6,"4-6", TRUE,"7-10")</f>
        <v>7-10</v>
      </c>
      <c r="V737" t="str">
        <f>IF(student_scores[[#This Row],[Total_Score]] &gt;= _xlfn.PERCENTILE.INC(student_scores[Total_Score], 0.8), "Yes", "No")</f>
        <v>Yes</v>
      </c>
    </row>
    <row r="738" spans="1:22" x14ac:dyDescent="0.35">
      <c r="A738">
        <v>737</v>
      </c>
      <c r="B738" t="s">
        <v>1462</v>
      </c>
      <c r="C738" t="s">
        <v>1463</v>
      </c>
      <c r="D738" t="s">
        <v>1464</v>
      </c>
      <c r="E738" t="s">
        <v>25</v>
      </c>
      <c r="F738" t="b">
        <v>0</v>
      </c>
      <c r="G738">
        <v>0</v>
      </c>
      <c r="H738" t="b">
        <v>0</v>
      </c>
      <c r="I738">
        <v>34</v>
      </c>
      <c r="J738" t="s">
        <v>44</v>
      </c>
      <c r="K738">
        <v>87</v>
      </c>
      <c r="L738">
        <v>98</v>
      </c>
      <c r="M738">
        <v>79</v>
      </c>
      <c r="N738">
        <v>87</v>
      </c>
      <c r="O738">
        <v>92</v>
      </c>
      <c r="P738">
        <v>80</v>
      </c>
      <c r="Q738">
        <v>93</v>
      </c>
      <c r="R738">
        <f>SUM(student_scores[[#This Row],[math_score]:[geography_score]])</f>
        <v>616</v>
      </c>
      <c r="S738" s="3">
        <f>student_scores[[#This Row],[Total_Score]]/7</f>
        <v>88</v>
      </c>
      <c r="T738" s="3" t="str" cm="1">
        <f t="array" ref="T738">_xlfn.IFS(student_scores[[#This Row],[weekly_self_study_hours]]&lt;=5,   "0 - 5", student_scores[[#This Row],[weekly_self_study_hours]]&lt;=10,  "6 - 10", student_scores[[#This Row],[weekly_self_study_hours]]&lt;=20,  "11 - 20",student_scores[[#This Row],[weekly_self_study_hours]]&lt;=30, "21 - 30",TRUE, "31+")</f>
        <v>31+</v>
      </c>
      <c r="U738" t="str" cm="1">
        <f t="array" ref="U738">_xlfn.IFS(student_scores[[#This Row],[absence_days]]=0,"0", student_scores[[#This Row],[absence_days]]&lt;=3,"1-3", student_scores[[#This Row],[absence_days]]&lt;=6,"4-6", TRUE,"7-10")</f>
        <v>0</v>
      </c>
      <c r="V738" t="str">
        <f>IF(student_scores[[#This Row],[Total_Score]] &gt;= _xlfn.PERCENTILE.INC(student_scores[Total_Score], 0.8), "Yes", "No")</f>
        <v>Yes</v>
      </c>
    </row>
    <row r="739" spans="1:22" x14ac:dyDescent="0.35">
      <c r="A739">
        <v>738</v>
      </c>
      <c r="B739" t="s">
        <v>692</v>
      </c>
      <c r="C739" t="s">
        <v>1110</v>
      </c>
      <c r="D739" t="s">
        <v>1465</v>
      </c>
      <c r="E739" t="s">
        <v>25</v>
      </c>
      <c r="F739" t="b">
        <v>0</v>
      </c>
      <c r="G739">
        <v>6</v>
      </c>
      <c r="H739" t="b">
        <v>0</v>
      </c>
      <c r="I739">
        <v>27</v>
      </c>
      <c r="J739" t="s">
        <v>172</v>
      </c>
      <c r="K739">
        <v>93</v>
      </c>
      <c r="L739">
        <v>94</v>
      </c>
      <c r="M739">
        <v>87</v>
      </c>
      <c r="N739">
        <v>92</v>
      </c>
      <c r="O739">
        <v>99</v>
      </c>
      <c r="P739">
        <v>93</v>
      </c>
      <c r="Q739">
        <v>88</v>
      </c>
      <c r="R739">
        <f>SUM(student_scores[[#This Row],[math_score]:[geography_score]])</f>
        <v>646</v>
      </c>
      <c r="S739" s="3">
        <f>student_scores[[#This Row],[Total_Score]]/7</f>
        <v>92.285714285714292</v>
      </c>
      <c r="T739" s="3" t="str" cm="1">
        <f t="array" ref="T739">_xlfn.IFS(student_scores[[#This Row],[weekly_self_study_hours]]&lt;=5,   "0 - 5", student_scores[[#This Row],[weekly_self_study_hours]]&lt;=10,  "6 - 10", student_scores[[#This Row],[weekly_self_study_hours]]&lt;=20,  "11 - 20",student_scores[[#This Row],[weekly_self_study_hours]]&lt;=30, "21 - 30",TRUE, "31+")</f>
        <v>21 - 30</v>
      </c>
      <c r="U739" t="str" cm="1">
        <f t="array" ref="U739">_xlfn.IFS(student_scores[[#This Row],[absence_days]]=0,"0", student_scores[[#This Row],[absence_days]]&lt;=3,"1-3", student_scores[[#This Row],[absence_days]]&lt;=6,"4-6", TRUE,"7-10")</f>
        <v>4-6</v>
      </c>
      <c r="V739" t="str">
        <f>IF(student_scores[[#This Row],[Total_Score]] &gt;= _xlfn.PERCENTILE.INC(student_scores[Total_Score], 0.8), "Yes", "No")</f>
        <v>Yes</v>
      </c>
    </row>
    <row r="740" spans="1:22" x14ac:dyDescent="0.35">
      <c r="A740">
        <v>739</v>
      </c>
      <c r="B740" t="s">
        <v>787</v>
      </c>
      <c r="C740" t="s">
        <v>1466</v>
      </c>
      <c r="D740" t="s">
        <v>1467</v>
      </c>
      <c r="E740" t="s">
        <v>25</v>
      </c>
      <c r="F740" t="b">
        <v>0</v>
      </c>
      <c r="G740">
        <v>1</v>
      </c>
      <c r="H740" t="b">
        <v>0</v>
      </c>
      <c r="I740">
        <v>5</v>
      </c>
      <c r="J740" t="s">
        <v>159</v>
      </c>
      <c r="K740">
        <v>87</v>
      </c>
      <c r="L740">
        <v>69</v>
      </c>
      <c r="M740">
        <v>96</v>
      </c>
      <c r="N740">
        <v>61</v>
      </c>
      <c r="O740">
        <v>72</v>
      </c>
      <c r="P740">
        <v>78</v>
      </c>
      <c r="Q740">
        <v>99</v>
      </c>
      <c r="R740">
        <f>SUM(student_scores[[#This Row],[math_score]:[geography_score]])</f>
        <v>562</v>
      </c>
      <c r="S740" s="3">
        <f>student_scores[[#This Row],[Total_Score]]/7</f>
        <v>80.285714285714292</v>
      </c>
      <c r="T740" s="3" t="str" cm="1">
        <f t="array" ref="T740">_xlfn.IFS(student_scores[[#This Row],[weekly_self_study_hours]]&lt;=5,   "0 - 5", student_scores[[#This Row],[weekly_self_study_hours]]&lt;=10,  "6 - 10", student_scores[[#This Row],[weekly_self_study_hours]]&lt;=20,  "11 - 20",student_scores[[#This Row],[weekly_self_study_hours]]&lt;=30, "21 - 30",TRUE, "31+")</f>
        <v>0 - 5</v>
      </c>
      <c r="U740" t="str" cm="1">
        <f t="array" ref="U740">_xlfn.IFS(student_scores[[#This Row],[absence_days]]=0,"0", student_scores[[#This Row],[absence_days]]&lt;=3,"1-3", student_scores[[#This Row],[absence_days]]&lt;=6,"4-6", TRUE,"7-10")</f>
        <v>1-3</v>
      </c>
      <c r="V740" t="str">
        <f>IF(student_scores[[#This Row],[Total_Score]] &gt;= _xlfn.PERCENTILE.INC(student_scores[Total_Score], 0.8), "Yes", "No")</f>
        <v>No</v>
      </c>
    </row>
    <row r="741" spans="1:22" x14ac:dyDescent="0.35">
      <c r="A741">
        <v>740</v>
      </c>
      <c r="B741" t="s">
        <v>300</v>
      </c>
      <c r="C741" t="s">
        <v>551</v>
      </c>
      <c r="D741" t="s">
        <v>1468</v>
      </c>
      <c r="E741" t="s">
        <v>20</v>
      </c>
      <c r="F741" t="b">
        <v>0</v>
      </c>
      <c r="G741">
        <v>10</v>
      </c>
      <c r="H741" t="b">
        <v>1</v>
      </c>
      <c r="I741">
        <v>0</v>
      </c>
      <c r="J741" t="s">
        <v>64</v>
      </c>
      <c r="K741">
        <v>64</v>
      </c>
      <c r="L741">
        <v>51</v>
      </c>
      <c r="M741">
        <v>70</v>
      </c>
      <c r="N741">
        <v>94</v>
      </c>
      <c r="O741">
        <v>86</v>
      </c>
      <c r="P741">
        <v>65</v>
      </c>
      <c r="Q741">
        <v>80</v>
      </c>
      <c r="R741">
        <f>SUM(student_scores[[#This Row],[math_score]:[geography_score]])</f>
        <v>510</v>
      </c>
      <c r="S741" s="3">
        <f>student_scores[[#This Row],[Total_Score]]/7</f>
        <v>72.857142857142861</v>
      </c>
      <c r="T741" s="3" t="str" cm="1">
        <f t="array" ref="T741">_xlfn.IFS(student_scores[[#This Row],[weekly_self_study_hours]]&lt;=5,   "0 - 5", student_scores[[#This Row],[weekly_self_study_hours]]&lt;=10,  "6 - 10", student_scores[[#This Row],[weekly_self_study_hours]]&lt;=20,  "11 - 20",student_scores[[#This Row],[weekly_self_study_hours]]&lt;=30, "21 - 30",TRUE, "31+")</f>
        <v>0 - 5</v>
      </c>
      <c r="U741" t="str" cm="1">
        <f t="array" ref="U741">_xlfn.IFS(student_scores[[#This Row],[absence_days]]=0,"0", student_scores[[#This Row],[absence_days]]&lt;=3,"1-3", student_scores[[#This Row],[absence_days]]&lt;=6,"4-6", TRUE,"7-10")</f>
        <v>7-10</v>
      </c>
      <c r="V741" t="str">
        <f>IF(student_scores[[#This Row],[Total_Score]] &gt;= _xlfn.PERCENTILE.INC(student_scores[Total_Score], 0.8), "Yes", "No")</f>
        <v>No</v>
      </c>
    </row>
    <row r="742" spans="1:22" x14ac:dyDescent="0.35">
      <c r="A742">
        <v>741</v>
      </c>
      <c r="B742" t="s">
        <v>446</v>
      </c>
      <c r="C742" t="s">
        <v>167</v>
      </c>
      <c r="D742" t="s">
        <v>1469</v>
      </c>
      <c r="E742" t="s">
        <v>20</v>
      </c>
      <c r="F742" t="b">
        <v>0</v>
      </c>
      <c r="G742">
        <v>5</v>
      </c>
      <c r="H742" t="b">
        <v>0</v>
      </c>
      <c r="I742">
        <v>15</v>
      </c>
      <c r="J742" t="s">
        <v>44</v>
      </c>
      <c r="K742">
        <v>96</v>
      </c>
      <c r="L742">
        <v>73</v>
      </c>
      <c r="M742">
        <v>91</v>
      </c>
      <c r="N742">
        <v>71</v>
      </c>
      <c r="O742">
        <v>72</v>
      </c>
      <c r="P742">
        <v>74</v>
      </c>
      <c r="Q742">
        <v>76</v>
      </c>
      <c r="R742">
        <f>SUM(student_scores[[#This Row],[math_score]:[geography_score]])</f>
        <v>553</v>
      </c>
      <c r="S742" s="3">
        <f>student_scores[[#This Row],[Total_Score]]/7</f>
        <v>79</v>
      </c>
      <c r="T742" s="3" t="str" cm="1">
        <f t="array" ref="T742">_xlfn.IFS(student_scores[[#This Row],[weekly_self_study_hours]]&lt;=5,   "0 - 5", student_scores[[#This Row],[weekly_self_study_hours]]&lt;=10,  "6 - 10", student_scores[[#This Row],[weekly_self_study_hours]]&lt;=20,  "11 - 20",student_scores[[#This Row],[weekly_self_study_hours]]&lt;=30, "21 - 30",TRUE, "31+")</f>
        <v>11 - 20</v>
      </c>
      <c r="U742" t="str" cm="1">
        <f t="array" ref="U742">_xlfn.IFS(student_scores[[#This Row],[absence_days]]=0,"0", student_scores[[#This Row],[absence_days]]&lt;=3,"1-3", student_scores[[#This Row],[absence_days]]&lt;=6,"4-6", TRUE,"7-10")</f>
        <v>4-6</v>
      </c>
      <c r="V742" t="str">
        <f>IF(student_scores[[#This Row],[Total_Score]] &gt;= _xlfn.PERCENTILE.INC(student_scores[Total_Score], 0.8), "Yes", "No")</f>
        <v>No</v>
      </c>
    </row>
    <row r="743" spans="1:22" x14ac:dyDescent="0.35">
      <c r="A743">
        <v>742</v>
      </c>
      <c r="B743" t="s">
        <v>1470</v>
      </c>
      <c r="C743" t="s">
        <v>136</v>
      </c>
      <c r="D743" t="s">
        <v>1471</v>
      </c>
      <c r="E743" t="s">
        <v>25</v>
      </c>
      <c r="F743" t="b">
        <v>0</v>
      </c>
      <c r="G743">
        <v>2</v>
      </c>
      <c r="H743" t="b">
        <v>1</v>
      </c>
      <c r="I743">
        <v>31</v>
      </c>
      <c r="J743" t="s">
        <v>76</v>
      </c>
      <c r="K743">
        <v>97</v>
      </c>
      <c r="L743">
        <v>62</v>
      </c>
      <c r="M743">
        <v>93</v>
      </c>
      <c r="N743">
        <v>80</v>
      </c>
      <c r="O743">
        <v>96</v>
      </c>
      <c r="P743">
        <v>94</v>
      </c>
      <c r="Q743">
        <v>67</v>
      </c>
      <c r="R743">
        <f>SUM(student_scores[[#This Row],[math_score]:[geography_score]])</f>
        <v>589</v>
      </c>
      <c r="S743" s="3">
        <f>student_scores[[#This Row],[Total_Score]]/7</f>
        <v>84.142857142857139</v>
      </c>
      <c r="T743" s="3" t="str" cm="1">
        <f t="array" ref="T743">_xlfn.IFS(student_scores[[#This Row],[weekly_self_study_hours]]&lt;=5,   "0 - 5", student_scores[[#This Row],[weekly_self_study_hours]]&lt;=10,  "6 - 10", student_scores[[#This Row],[weekly_self_study_hours]]&lt;=20,  "11 - 20",student_scores[[#This Row],[weekly_self_study_hours]]&lt;=30, "21 - 30",TRUE, "31+")</f>
        <v>31+</v>
      </c>
      <c r="U743" t="str" cm="1">
        <f t="array" ref="U743">_xlfn.IFS(student_scores[[#This Row],[absence_days]]=0,"0", student_scores[[#This Row],[absence_days]]&lt;=3,"1-3", student_scores[[#This Row],[absence_days]]&lt;=6,"4-6", TRUE,"7-10")</f>
        <v>1-3</v>
      </c>
      <c r="V743" t="str">
        <f>IF(student_scores[[#This Row],[Total_Score]] &gt;= _xlfn.PERCENTILE.INC(student_scores[Total_Score], 0.8), "Yes", "No")</f>
        <v>No</v>
      </c>
    </row>
    <row r="744" spans="1:22" x14ac:dyDescent="0.35">
      <c r="A744">
        <v>743</v>
      </c>
      <c r="B744" t="s">
        <v>117</v>
      </c>
      <c r="C744" t="s">
        <v>56</v>
      </c>
      <c r="D744" t="s">
        <v>1472</v>
      </c>
      <c r="E744" t="s">
        <v>25</v>
      </c>
      <c r="F744" t="b">
        <v>0</v>
      </c>
      <c r="G744">
        <v>6</v>
      </c>
      <c r="H744" t="b">
        <v>0</v>
      </c>
      <c r="I744">
        <v>0</v>
      </c>
      <c r="J744" t="s">
        <v>34</v>
      </c>
      <c r="K744">
        <v>62</v>
      </c>
      <c r="L744">
        <v>79</v>
      </c>
      <c r="M744">
        <v>75</v>
      </c>
      <c r="N744">
        <v>65</v>
      </c>
      <c r="O744">
        <v>71</v>
      </c>
      <c r="P744">
        <v>75</v>
      </c>
      <c r="Q744">
        <v>93</v>
      </c>
      <c r="R744">
        <f>SUM(student_scores[[#This Row],[math_score]:[geography_score]])</f>
        <v>520</v>
      </c>
      <c r="S744" s="3">
        <f>student_scores[[#This Row],[Total_Score]]/7</f>
        <v>74.285714285714292</v>
      </c>
      <c r="T744" s="3" t="str" cm="1">
        <f t="array" ref="T744">_xlfn.IFS(student_scores[[#This Row],[weekly_self_study_hours]]&lt;=5,   "0 - 5", student_scores[[#This Row],[weekly_self_study_hours]]&lt;=10,  "6 - 10", student_scores[[#This Row],[weekly_self_study_hours]]&lt;=20,  "11 - 20",student_scores[[#This Row],[weekly_self_study_hours]]&lt;=30, "21 - 30",TRUE, "31+")</f>
        <v>0 - 5</v>
      </c>
      <c r="U744" t="str" cm="1">
        <f t="array" ref="U744">_xlfn.IFS(student_scores[[#This Row],[absence_days]]=0,"0", student_scores[[#This Row],[absence_days]]&lt;=3,"1-3", student_scores[[#This Row],[absence_days]]&lt;=6,"4-6", TRUE,"7-10")</f>
        <v>4-6</v>
      </c>
      <c r="V744" t="str">
        <f>IF(student_scores[[#This Row],[Total_Score]] &gt;= _xlfn.PERCENTILE.INC(student_scores[Total_Score], 0.8), "Yes", "No")</f>
        <v>No</v>
      </c>
    </row>
    <row r="745" spans="1:22" x14ac:dyDescent="0.35">
      <c r="A745">
        <v>744</v>
      </c>
      <c r="B745" t="s">
        <v>280</v>
      </c>
      <c r="C745" t="s">
        <v>1473</v>
      </c>
      <c r="D745" t="s">
        <v>1474</v>
      </c>
      <c r="E745" t="s">
        <v>20</v>
      </c>
      <c r="F745" t="b">
        <v>1</v>
      </c>
      <c r="G745">
        <v>1</v>
      </c>
      <c r="H745" t="b">
        <v>0</v>
      </c>
      <c r="I745">
        <v>5</v>
      </c>
      <c r="J745" t="s">
        <v>64</v>
      </c>
      <c r="K745">
        <v>97</v>
      </c>
      <c r="L745">
        <v>79</v>
      </c>
      <c r="M745">
        <v>96</v>
      </c>
      <c r="N745">
        <v>94</v>
      </c>
      <c r="O745">
        <v>59</v>
      </c>
      <c r="P745">
        <v>83</v>
      </c>
      <c r="Q745">
        <v>64</v>
      </c>
      <c r="R745">
        <f>SUM(student_scores[[#This Row],[math_score]:[geography_score]])</f>
        <v>572</v>
      </c>
      <c r="S745" s="3">
        <f>student_scores[[#This Row],[Total_Score]]/7</f>
        <v>81.714285714285708</v>
      </c>
      <c r="T745" s="3" t="str" cm="1">
        <f t="array" ref="T745">_xlfn.IFS(student_scores[[#This Row],[weekly_self_study_hours]]&lt;=5,   "0 - 5", student_scores[[#This Row],[weekly_self_study_hours]]&lt;=10,  "6 - 10", student_scores[[#This Row],[weekly_self_study_hours]]&lt;=20,  "11 - 20",student_scores[[#This Row],[weekly_self_study_hours]]&lt;=30, "21 - 30",TRUE, "31+")</f>
        <v>0 - 5</v>
      </c>
      <c r="U745" t="str" cm="1">
        <f t="array" ref="U745">_xlfn.IFS(student_scores[[#This Row],[absence_days]]=0,"0", student_scores[[#This Row],[absence_days]]&lt;=3,"1-3", student_scores[[#This Row],[absence_days]]&lt;=6,"4-6", TRUE,"7-10")</f>
        <v>1-3</v>
      </c>
      <c r="V745" t="str">
        <f>IF(student_scores[[#This Row],[Total_Score]] &gt;= _xlfn.PERCENTILE.INC(student_scores[Total_Score], 0.8), "Yes", "No")</f>
        <v>No</v>
      </c>
    </row>
    <row r="746" spans="1:22" x14ac:dyDescent="0.35">
      <c r="A746">
        <v>745</v>
      </c>
      <c r="B746" t="s">
        <v>331</v>
      </c>
      <c r="C746" t="s">
        <v>118</v>
      </c>
      <c r="D746" t="s">
        <v>1475</v>
      </c>
      <c r="E746" t="s">
        <v>20</v>
      </c>
      <c r="F746" t="b">
        <v>0</v>
      </c>
      <c r="G746">
        <v>3</v>
      </c>
      <c r="H746" t="b">
        <v>0</v>
      </c>
      <c r="I746">
        <v>35</v>
      </c>
      <c r="J746" t="s">
        <v>44</v>
      </c>
      <c r="K746">
        <v>85</v>
      </c>
      <c r="L746">
        <v>100</v>
      </c>
      <c r="M746">
        <v>90</v>
      </c>
      <c r="N746">
        <v>93</v>
      </c>
      <c r="O746">
        <v>94</v>
      </c>
      <c r="P746">
        <v>97</v>
      </c>
      <c r="Q746">
        <v>98</v>
      </c>
      <c r="R746">
        <f>SUM(student_scores[[#This Row],[math_score]:[geography_score]])</f>
        <v>657</v>
      </c>
      <c r="S746" s="3">
        <f>student_scores[[#This Row],[Total_Score]]/7</f>
        <v>93.857142857142861</v>
      </c>
      <c r="T746" s="3" t="str" cm="1">
        <f t="array" ref="T746">_xlfn.IFS(student_scores[[#This Row],[weekly_self_study_hours]]&lt;=5,   "0 - 5", student_scores[[#This Row],[weekly_self_study_hours]]&lt;=10,  "6 - 10", student_scores[[#This Row],[weekly_self_study_hours]]&lt;=20,  "11 - 20",student_scores[[#This Row],[weekly_self_study_hours]]&lt;=30, "21 - 30",TRUE, "31+")</f>
        <v>31+</v>
      </c>
      <c r="U746" t="str" cm="1">
        <f t="array" ref="U746">_xlfn.IFS(student_scores[[#This Row],[absence_days]]=0,"0", student_scores[[#This Row],[absence_days]]&lt;=3,"1-3", student_scores[[#This Row],[absence_days]]&lt;=6,"4-6", TRUE,"7-10")</f>
        <v>1-3</v>
      </c>
      <c r="V746" t="str">
        <f>IF(student_scores[[#This Row],[Total_Score]] &gt;= _xlfn.PERCENTILE.INC(student_scores[Total_Score], 0.8), "Yes", "No")</f>
        <v>Yes</v>
      </c>
    </row>
    <row r="747" spans="1:22" x14ac:dyDescent="0.35">
      <c r="A747">
        <v>746</v>
      </c>
      <c r="B747" t="s">
        <v>300</v>
      </c>
      <c r="C747" t="s">
        <v>995</v>
      </c>
      <c r="D747" t="s">
        <v>1476</v>
      </c>
      <c r="E747" t="s">
        <v>20</v>
      </c>
      <c r="F747" t="b">
        <v>0</v>
      </c>
      <c r="G747">
        <v>0</v>
      </c>
      <c r="H747" t="b">
        <v>0</v>
      </c>
      <c r="I747">
        <v>27</v>
      </c>
      <c r="J747" t="s">
        <v>38</v>
      </c>
      <c r="K747">
        <v>68</v>
      </c>
      <c r="L747">
        <v>95</v>
      </c>
      <c r="M747">
        <v>66</v>
      </c>
      <c r="N747">
        <v>65</v>
      </c>
      <c r="O747">
        <v>89</v>
      </c>
      <c r="P747">
        <v>84</v>
      </c>
      <c r="Q747">
        <v>100</v>
      </c>
      <c r="R747">
        <f>SUM(student_scores[[#This Row],[math_score]:[geography_score]])</f>
        <v>567</v>
      </c>
      <c r="S747" s="3">
        <f>student_scores[[#This Row],[Total_Score]]/7</f>
        <v>81</v>
      </c>
      <c r="T747" s="3" t="str" cm="1">
        <f t="array" ref="T747">_xlfn.IFS(student_scores[[#This Row],[weekly_self_study_hours]]&lt;=5,   "0 - 5", student_scores[[#This Row],[weekly_self_study_hours]]&lt;=10,  "6 - 10", student_scores[[#This Row],[weekly_self_study_hours]]&lt;=20,  "11 - 20",student_scores[[#This Row],[weekly_self_study_hours]]&lt;=30, "21 - 30",TRUE, "31+")</f>
        <v>21 - 30</v>
      </c>
      <c r="U747" t="str" cm="1">
        <f t="array" ref="U747">_xlfn.IFS(student_scores[[#This Row],[absence_days]]=0,"0", student_scores[[#This Row],[absence_days]]&lt;=3,"1-3", student_scores[[#This Row],[absence_days]]&lt;=6,"4-6", TRUE,"7-10")</f>
        <v>0</v>
      </c>
      <c r="V747" t="str">
        <f>IF(student_scores[[#This Row],[Total_Score]] &gt;= _xlfn.PERCENTILE.INC(student_scores[Total_Score], 0.8), "Yes", "No")</f>
        <v>No</v>
      </c>
    </row>
    <row r="748" spans="1:22" x14ac:dyDescent="0.35">
      <c r="A748">
        <v>747</v>
      </c>
      <c r="B748" t="s">
        <v>655</v>
      </c>
      <c r="C748" t="s">
        <v>1300</v>
      </c>
      <c r="D748" t="s">
        <v>1477</v>
      </c>
      <c r="E748" t="s">
        <v>25</v>
      </c>
      <c r="F748" t="b">
        <v>1</v>
      </c>
      <c r="G748">
        <v>7</v>
      </c>
      <c r="H748" t="b">
        <v>0</v>
      </c>
      <c r="I748">
        <v>1</v>
      </c>
      <c r="J748" t="s">
        <v>64</v>
      </c>
      <c r="K748">
        <v>45</v>
      </c>
      <c r="L748">
        <v>68</v>
      </c>
      <c r="M748">
        <v>99</v>
      </c>
      <c r="N748">
        <v>91</v>
      </c>
      <c r="O748">
        <v>88</v>
      </c>
      <c r="P748">
        <v>63</v>
      </c>
      <c r="Q748">
        <v>61</v>
      </c>
      <c r="R748">
        <f>SUM(student_scores[[#This Row],[math_score]:[geography_score]])</f>
        <v>515</v>
      </c>
      <c r="S748" s="3">
        <f>student_scores[[#This Row],[Total_Score]]/7</f>
        <v>73.571428571428569</v>
      </c>
      <c r="T748" s="3" t="str" cm="1">
        <f t="array" ref="T748">_xlfn.IFS(student_scores[[#This Row],[weekly_self_study_hours]]&lt;=5,   "0 - 5", student_scores[[#This Row],[weekly_self_study_hours]]&lt;=10,  "6 - 10", student_scores[[#This Row],[weekly_self_study_hours]]&lt;=20,  "11 - 20",student_scores[[#This Row],[weekly_self_study_hours]]&lt;=30, "21 - 30",TRUE, "31+")</f>
        <v>0 - 5</v>
      </c>
      <c r="U748" t="str" cm="1">
        <f t="array" ref="U748">_xlfn.IFS(student_scores[[#This Row],[absence_days]]=0,"0", student_scores[[#This Row],[absence_days]]&lt;=3,"1-3", student_scores[[#This Row],[absence_days]]&lt;=6,"4-6", TRUE,"7-10")</f>
        <v>7-10</v>
      </c>
      <c r="V748" t="str">
        <f>IF(student_scores[[#This Row],[Total_Score]] &gt;= _xlfn.PERCENTILE.INC(student_scores[Total_Score], 0.8), "Yes", "No")</f>
        <v>No</v>
      </c>
    </row>
    <row r="749" spans="1:22" x14ac:dyDescent="0.35">
      <c r="A749">
        <v>748</v>
      </c>
      <c r="B749" t="s">
        <v>1340</v>
      </c>
      <c r="C749" t="s">
        <v>1478</v>
      </c>
      <c r="D749" t="s">
        <v>1479</v>
      </c>
      <c r="E749" t="s">
        <v>20</v>
      </c>
      <c r="F749" t="b">
        <v>1</v>
      </c>
      <c r="G749">
        <v>6</v>
      </c>
      <c r="H749" t="b">
        <v>0</v>
      </c>
      <c r="I749">
        <v>2</v>
      </c>
      <c r="J749" t="s">
        <v>64</v>
      </c>
      <c r="K749">
        <v>86</v>
      </c>
      <c r="L749">
        <v>79</v>
      </c>
      <c r="M749">
        <v>86</v>
      </c>
      <c r="N749">
        <v>73</v>
      </c>
      <c r="O749">
        <v>53</v>
      </c>
      <c r="P749">
        <v>84</v>
      </c>
      <c r="Q749">
        <v>79</v>
      </c>
      <c r="R749">
        <f>SUM(student_scores[[#This Row],[math_score]:[geography_score]])</f>
        <v>540</v>
      </c>
      <c r="S749" s="3">
        <f>student_scores[[#This Row],[Total_Score]]/7</f>
        <v>77.142857142857139</v>
      </c>
      <c r="T749" s="3" t="str" cm="1">
        <f t="array" ref="T749">_xlfn.IFS(student_scores[[#This Row],[weekly_self_study_hours]]&lt;=5,   "0 - 5", student_scores[[#This Row],[weekly_self_study_hours]]&lt;=10,  "6 - 10", student_scores[[#This Row],[weekly_self_study_hours]]&lt;=20,  "11 - 20",student_scores[[#This Row],[weekly_self_study_hours]]&lt;=30, "21 - 30",TRUE, "31+")</f>
        <v>0 - 5</v>
      </c>
      <c r="U749" t="str" cm="1">
        <f t="array" ref="U749">_xlfn.IFS(student_scores[[#This Row],[absence_days]]=0,"0", student_scores[[#This Row],[absence_days]]&lt;=3,"1-3", student_scores[[#This Row],[absence_days]]&lt;=6,"4-6", TRUE,"7-10")</f>
        <v>4-6</v>
      </c>
      <c r="V749" t="str">
        <f>IF(student_scores[[#This Row],[Total_Score]] &gt;= _xlfn.PERCENTILE.INC(student_scores[Total_Score], 0.8), "Yes", "No")</f>
        <v>No</v>
      </c>
    </row>
    <row r="750" spans="1:22" x14ac:dyDescent="0.35">
      <c r="A750">
        <v>749</v>
      </c>
      <c r="B750" t="s">
        <v>746</v>
      </c>
      <c r="C750" t="s">
        <v>49</v>
      </c>
      <c r="D750" t="s">
        <v>1480</v>
      </c>
      <c r="E750" t="s">
        <v>25</v>
      </c>
      <c r="F750" t="b">
        <v>0</v>
      </c>
      <c r="G750">
        <v>10</v>
      </c>
      <c r="H750" t="b">
        <v>0</v>
      </c>
      <c r="I750">
        <v>34</v>
      </c>
      <c r="J750" t="s">
        <v>44</v>
      </c>
      <c r="K750">
        <v>97</v>
      </c>
      <c r="L750">
        <v>94</v>
      </c>
      <c r="M750">
        <v>73</v>
      </c>
      <c r="N750">
        <v>98</v>
      </c>
      <c r="O750">
        <v>87</v>
      </c>
      <c r="P750">
        <v>97</v>
      </c>
      <c r="Q750">
        <v>98</v>
      </c>
      <c r="R750">
        <f>SUM(student_scores[[#This Row],[math_score]:[geography_score]])</f>
        <v>644</v>
      </c>
      <c r="S750" s="3">
        <f>student_scores[[#This Row],[Total_Score]]/7</f>
        <v>92</v>
      </c>
      <c r="T750" s="3" t="str" cm="1">
        <f t="array" ref="T750">_xlfn.IFS(student_scores[[#This Row],[weekly_self_study_hours]]&lt;=5,   "0 - 5", student_scores[[#This Row],[weekly_self_study_hours]]&lt;=10,  "6 - 10", student_scores[[#This Row],[weekly_self_study_hours]]&lt;=20,  "11 - 20",student_scores[[#This Row],[weekly_self_study_hours]]&lt;=30, "21 - 30",TRUE, "31+")</f>
        <v>31+</v>
      </c>
      <c r="U750" t="str" cm="1">
        <f t="array" ref="U750">_xlfn.IFS(student_scores[[#This Row],[absence_days]]=0,"0", student_scores[[#This Row],[absence_days]]&lt;=3,"1-3", student_scores[[#This Row],[absence_days]]&lt;=6,"4-6", TRUE,"7-10")</f>
        <v>7-10</v>
      </c>
      <c r="V750" t="str">
        <f>IF(student_scores[[#This Row],[Total_Score]] &gt;= _xlfn.PERCENTILE.INC(student_scores[Total_Score], 0.8), "Yes", "No")</f>
        <v>Yes</v>
      </c>
    </row>
    <row r="751" spans="1:22" x14ac:dyDescent="0.35">
      <c r="A751">
        <v>750</v>
      </c>
      <c r="B751" t="s">
        <v>402</v>
      </c>
      <c r="C751" t="s">
        <v>1481</v>
      </c>
      <c r="D751" t="s">
        <v>1482</v>
      </c>
      <c r="E751" t="s">
        <v>20</v>
      </c>
      <c r="F751" t="b">
        <v>1</v>
      </c>
      <c r="G751">
        <v>2</v>
      </c>
      <c r="H751" t="b">
        <v>1</v>
      </c>
      <c r="I751">
        <v>18</v>
      </c>
      <c r="J751" t="s">
        <v>44</v>
      </c>
      <c r="K751">
        <v>93</v>
      </c>
      <c r="L751">
        <v>67</v>
      </c>
      <c r="M751">
        <v>65</v>
      </c>
      <c r="N751">
        <v>61</v>
      </c>
      <c r="O751">
        <v>61</v>
      </c>
      <c r="P751">
        <v>96</v>
      </c>
      <c r="Q751">
        <v>65</v>
      </c>
      <c r="R751">
        <f>SUM(student_scores[[#This Row],[math_score]:[geography_score]])</f>
        <v>508</v>
      </c>
      <c r="S751" s="3">
        <f>student_scores[[#This Row],[Total_Score]]/7</f>
        <v>72.571428571428569</v>
      </c>
      <c r="T751" s="3" t="str" cm="1">
        <f t="array" ref="T751">_xlfn.IFS(student_scores[[#This Row],[weekly_self_study_hours]]&lt;=5,   "0 - 5", student_scores[[#This Row],[weekly_self_study_hours]]&lt;=10,  "6 - 10", student_scores[[#This Row],[weekly_self_study_hours]]&lt;=20,  "11 - 20",student_scores[[#This Row],[weekly_self_study_hours]]&lt;=30, "21 - 30",TRUE, "31+")</f>
        <v>11 - 20</v>
      </c>
      <c r="U751" t="str" cm="1">
        <f t="array" ref="U751">_xlfn.IFS(student_scores[[#This Row],[absence_days]]=0,"0", student_scores[[#This Row],[absence_days]]&lt;=3,"1-3", student_scores[[#This Row],[absence_days]]&lt;=6,"4-6", TRUE,"7-10")</f>
        <v>1-3</v>
      </c>
      <c r="V751" t="str">
        <f>IF(student_scores[[#This Row],[Total_Score]] &gt;= _xlfn.PERCENTILE.INC(student_scores[Total_Score], 0.8), "Yes", "No")</f>
        <v>No</v>
      </c>
    </row>
    <row r="752" spans="1:22" x14ac:dyDescent="0.35">
      <c r="A752">
        <v>751</v>
      </c>
      <c r="B752" t="s">
        <v>160</v>
      </c>
      <c r="C752" t="s">
        <v>1202</v>
      </c>
      <c r="D752" t="s">
        <v>1483</v>
      </c>
      <c r="E752" t="s">
        <v>20</v>
      </c>
      <c r="F752" t="b">
        <v>0</v>
      </c>
      <c r="G752">
        <v>1</v>
      </c>
      <c r="H752" t="b">
        <v>0</v>
      </c>
      <c r="I752">
        <v>14</v>
      </c>
      <c r="J752" t="s">
        <v>44</v>
      </c>
      <c r="K752">
        <v>85</v>
      </c>
      <c r="L752">
        <v>93</v>
      </c>
      <c r="M752">
        <v>75</v>
      </c>
      <c r="N752">
        <v>72</v>
      </c>
      <c r="O752">
        <v>84</v>
      </c>
      <c r="P752">
        <v>63</v>
      </c>
      <c r="Q752">
        <v>63</v>
      </c>
      <c r="R752">
        <f>SUM(student_scores[[#This Row],[math_score]:[geography_score]])</f>
        <v>535</v>
      </c>
      <c r="S752" s="3">
        <f>student_scores[[#This Row],[Total_Score]]/7</f>
        <v>76.428571428571431</v>
      </c>
      <c r="T752" s="3" t="str" cm="1">
        <f t="array" ref="T752">_xlfn.IFS(student_scores[[#This Row],[weekly_self_study_hours]]&lt;=5,   "0 - 5", student_scores[[#This Row],[weekly_self_study_hours]]&lt;=10,  "6 - 10", student_scores[[#This Row],[weekly_self_study_hours]]&lt;=20,  "11 - 20",student_scores[[#This Row],[weekly_self_study_hours]]&lt;=30, "21 - 30",TRUE, "31+")</f>
        <v>11 - 20</v>
      </c>
      <c r="U752" t="str" cm="1">
        <f t="array" ref="U752">_xlfn.IFS(student_scores[[#This Row],[absence_days]]=0,"0", student_scores[[#This Row],[absence_days]]&lt;=3,"1-3", student_scores[[#This Row],[absence_days]]&lt;=6,"4-6", TRUE,"7-10")</f>
        <v>1-3</v>
      </c>
      <c r="V752" t="str">
        <f>IF(student_scores[[#This Row],[Total_Score]] &gt;= _xlfn.PERCENTILE.INC(student_scores[Total_Score], 0.8), "Yes", "No")</f>
        <v>No</v>
      </c>
    </row>
    <row r="753" spans="1:22" x14ac:dyDescent="0.35">
      <c r="A753">
        <v>752</v>
      </c>
      <c r="B753" t="s">
        <v>83</v>
      </c>
      <c r="C753" t="s">
        <v>281</v>
      </c>
      <c r="D753" t="s">
        <v>1484</v>
      </c>
      <c r="E753" t="s">
        <v>25</v>
      </c>
      <c r="F753" t="b">
        <v>0</v>
      </c>
      <c r="G753">
        <v>1</v>
      </c>
      <c r="H753" t="b">
        <v>0</v>
      </c>
      <c r="I753">
        <v>6</v>
      </c>
      <c r="J753" t="s">
        <v>123</v>
      </c>
      <c r="K753">
        <v>88</v>
      </c>
      <c r="L753">
        <v>88</v>
      </c>
      <c r="M753">
        <v>98</v>
      </c>
      <c r="N753">
        <v>92</v>
      </c>
      <c r="O753">
        <v>71</v>
      </c>
      <c r="P753">
        <v>66</v>
      </c>
      <c r="Q753">
        <v>90</v>
      </c>
      <c r="R753">
        <f>SUM(student_scores[[#This Row],[math_score]:[geography_score]])</f>
        <v>593</v>
      </c>
      <c r="S753" s="3">
        <f>student_scores[[#This Row],[Total_Score]]/7</f>
        <v>84.714285714285708</v>
      </c>
      <c r="T753" s="3" t="str" cm="1">
        <f t="array" ref="T753">_xlfn.IFS(student_scores[[#This Row],[weekly_self_study_hours]]&lt;=5,   "0 - 5", student_scores[[#This Row],[weekly_self_study_hours]]&lt;=10,  "6 - 10", student_scores[[#This Row],[weekly_self_study_hours]]&lt;=20,  "11 - 20",student_scores[[#This Row],[weekly_self_study_hours]]&lt;=30, "21 - 30",TRUE, "31+")</f>
        <v>6 - 10</v>
      </c>
      <c r="U753" t="str" cm="1">
        <f t="array" ref="U753">_xlfn.IFS(student_scores[[#This Row],[absence_days]]=0,"0", student_scores[[#This Row],[absence_days]]&lt;=3,"1-3", student_scores[[#This Row],[absence_days]]&lt;=6,"4-6", TRUE,"7-10")</f>
        <v>1-3</v>
      </c>
      <c r="V753" t="str">
        <f>IF(student_scores[[#This Row],[Total_Score]] &gt;= _xlfn.PERCENTILE.INC(student_scores[Total_Score], 0.8), "Yes", "No")</f>
        <v>No</v>
      </c>
    </row>
    <row r="754" spans="1:22" x14ac:dyDescent="0.35">
      <c r="A754">
        <v>753</v>
      </c>
      <c r="B754" t="s">
        <v>214</v>
      </c>
      <c r="C754" t="s">
        <v>295</v>
      </c>
      <c r="D754" t="s">
        <v>1485</v>
      </c>
      <c r="E754" t="s">
        <v>20</v>
      </c>
      <c r="F754" t="b">
        <v>0</v>
      </c>
      <c r="G754">
        <v>5</v>
      </c>
      <c r="H754" t="b">
        <v>1</v>
      </c>
      <c r="I754">
        <v>2</v>
      </c>
      <c r="J754" t="s">
        <v>34</v>
      </c>
      <c r="K754">
        <v>100</v>
      </c>
      <c r="L754">
        <v>67</v>
      </c>
      <c r="M754">
        <v>98</v>
      </c>
      <c r="N754">
        <v>71</v>
      </c>
      <c r="O754">
        <v>92</v>
      </c>
      <c r="P754">
        <v>79</v>
      </c>
      <c r="Q754">
        <v>99</v>
      </c>
      <c r="R754">
        <f>SUM(student_scores[[#This Row],[math_score]:[geography_score]])</f>
        <v>606</v>
      </c>
      <c r="S754" s="3">
        <f>student_scores[[#This Row],[Total_Score]]/7</f>
        <v>86.571428571428569</v>
      </c>
      <c r="T754" s="3" t="str" cm="1">
        <f t="array" ref="T754">_xlfn.IFS(student_scores[[#This Row],[weekly_self_study_hours]]&lt;=5,   "0 - 5", student_scores[[#This Row],[weekly_self_study_hours]]&lt;=10,  "6 - 10", student_scores[[#This Row],[weekly_self_study_hours]]&lt;=20,  "11 - 20",student_scores[[#This Row],[weekly_self_study_hours]]&lt;=30, "21 - 30",TRUE, "31+")</f>
        <v>0 - 5</v>
      </c>
      <c r="U754" t="str" cm="1">
        <f t="array" ref="U754">_xlfn.IFS(student_scores[[#This Row],[absence_days]]=0,"0", student_scores[[#This Row],[absence_days]]&lt;=3,"1-3", student_scores[[#This Row],[absence_days]]&lt;=6,"4-6", TRUE,"7-10")</f>
        <v>4-6</v>
      </c>
      <c r="V754" t="str">
        <f>IF(student_scores[[#This Row],[Total_Score]] &gt;= _xlfn.PERCENTILE.INC(student_scores[Total_Score], 0.8), "Yes", "No")</f>
        <v>Yes</v>
      </c>
    </row>
    <row r="755" spans="1:22" x14ac:dyDescent="0.35">
      <c r="A755">
        <v>754</v>
      </c>
      <c r="B755" t="s">
        <v>1486</v>
      </c>
      <c r="C755" t="s">
        <v>610</v>
      </c>
      <c r="D755" t="s">
        <v>1487</v>
      </c>
      <c r="E755" t="s">
        <v>20</v>
      </c>
      <c r="F755" t="b">
        <v>0</v>
      </c>
      <c r="G755">
        <v>2</v>
      </c>
      <c r="H755" t="b">
        <v>0</v>
      </c>
      <c r="I755">
        <v>19</v>
      </c>
      <c r="J755" t="s">
        <v>44</v>
      </c>
      <c r="K755">
        <v>93</v>
      </c>
      <c r="L755">
        <v>74</v>
      </c>
      <c r="M755">
        <v>88</v>
      </c>
      <c r="N755">
        <v>92</v>
      </c>
      <c r="O755">
        <v>77</v>
      </c>
      <c r="P755">
        <v>89</v>
      </c>
      <c r="Q755">
        <v>96</v>
      </c>
      <c r="R755">
        <f>SUM(student_scores[[#This Row],[math_score]:[geography_score]])</f>
        <v>609</v>
      </c>
      <c r="S755" s="3">
        <f>student_scores[[#This Row],[Total_Score]]/7</f>
        <v>87</v>
      </c>
      <c r="T755" s="3" t="str" cm="1">
        <f t="array" ref="T755">_xlfn.IFS(student_scores[[#This Row],[weekly_self_study_hours]]&lt;=5,   "0 - 5", student_scores[[#This Row],[weekly_self_study_hours]]&lt;=10,  "6 - 10", student_scores[[#This Row],[weekly_self_study_hours]]&lt;=20,  "11 - 20",student_scores[[#This Row],[weekly_self_study_hours]]&lt;=30, "21 - 30",TRUE, "31+")</f>
        <v>11 - 20</v>
      </c>
      <c r="U755" t="str" cm="1">
        <f t="array" ref="U755">_xlfn.IFS(student_scores[[#This Row],[absence_days]]=0,"0", student_scores[[#This Row],[absence_days]]&lt;=3,"1-3", student_scores[[#This Row],[absence_days]]&lt;=6,"4-6", TRUE,"7-10")</f>
        <v>1-3</v>
      </c>
      <c r="V755" t="str">
        <f>IF(student_scores[[#This Row],[Total_Score]] &gt;= _xlfn.PERCENTILE.INC(student_scores[Total_Score], 0.8), "Yes", "No")</f>
        <v>Yes</v>
      </c>
    </row>
    <row r="756" spans="1:22" x14ac:dyDescent="0.35">
      <c r="A756">
        <v>755</v>
      </c>
      <c r="B756" t="s">
        <v>130</v>
      </c>
      <c r="C756" t="s">
        <v>1488</v>
      </c>
      <c r="D756" t="s">
        <v>1489</v>
      </c>
      <c r="E756" t="s">
        <v>25</v>
      </c>
      <c r="F756" t="b">
        <v>0</v>
      </c>
      <c r="G756">
        <v>1</v>
      </c>
      <c r="H756" t="b">
        <v>0</v>
      </c>
      <c r="I756">
        <v>1</v>
      </c>
      <c r="J756" t="s">
        <v>34</v>
      </c>
      <c r="K756">
        <v>70</v>
      </c>
      <c r="L756">
        <v>63</v>
      </c>
      <c r="M756">
        <v>73</v>
      </c>
      <c r="N756">
        <v>97</v>
      </c>
      <c r="O756">
        <v>63</v>
      </c>
      <c r="P756">
        <v>61</v>
      </c>
      <c r="Q756">
        <v>90</v>
      </c>
      <c r="R756">
        <f>SUM(student_scores[[#This Row],[math_score]:[geography_score]])</f>
        <v>517</v>
      </c>
      <c r="S756" s="3">
        <f>student_scores[[#This Row],[Total_Score]]/7</f>
        <v>73.857142857142861</v>
      </c>
      <c r="T756" s="3" t="str" cm="1">
        <f t="array" ref="T756">_xlfn.IFS(student_scores[[#This Row],[weekly_self_study_hours]]&lt;=5,   "0 - 5", student_scores[[#This Row],[weekly_self_study_hours]]&lt;=10,  "6 - 10", student_scores[[#This Row],[weekly_self_study_hours]]&lt;=20,  "11 - 20",student_scores[[#This Row],[weekly_self_study_hours]]&lt;=30, "21 - 30",TRUE, "31+")</f>
        <v>0 - 5</v>
      </c>
      <c r="U756" t="str" cm="1">
        <f t="array" ref="U756">_xlfn.IFS(student_scores[[#This Row],[absence_days]]=0,"0", student_scores[[#This Row],[absence_days]]&lt;=3,"1-3", student_scores[[#This Row],[absence_days]]&lt;=6,"4-6", TRUE,"7-10")</f>
        <v>1-3</v>
      </c>
      <c r="V756" t="str">
        <f>IF(student_scores[[#This Row],[Total_Score]] &gt;= _xlfn.PERCENTILE.INC(student_scores[Total_Score], 0.8), "Yes", "No")</f>
        <v>No</v>
      </c>
    </row>
    <row r="757" spans="1:22" x14ac:dyDescent="0.35">
      <c r="A757">
        <v>756</v>
      </c>
      <c r="B757" t="s">
        <v>845</v>
      </c>
      <c r="C757" t="s">
        <v>421</v>
      </c>
      <c r="D757" t="s">
        <v>1490</v>
      </c>
      <c r="E757" t="s">
        <v>25</v>
      </c>
      <c r="F757" t="b">
        <v>0</v>
      </c>
      <c r="G757">
        <v>2</v>
      </c>
      <c r="H757" t="b">
        <v>0</v>
      </c>
      <c r="I757">
        <v>13</v>
      </c>
      <c r="J757" t="s">
        <v>105</v>
      </c>
      <c r="K757">
        <v>82</v>
      </c>
      <c r="L757">
        <v>67</v>
      </c>
      <c r="M757">
        <v>94</v>
      </c>
      <c r="N757">
        <v>88</v>
      </c>
      <c r="O757">
        <v>86</v>
      </c>
      <c r="P757">
        <v>89</v>
      </c>
      <c r="Q757">
        <v>98</v>
      </c>
      <c r="R757">
        <f>SUM(student_scores[[#This Row],[math_score]:[geography_score]])</f>
        <v>604</v>
      </c>
      <c r="S757" s="3">
        <f>student_scores[[#This Row],[Total_Score]]/7</f>
        <v>86.285714285714292</v>
      </c>
      <c r="T757" s="3" t="str" cm="1">
        <f t="array" ref="T757">_xlfn.IFS(student_scores[[#This Row],[weekly_self_study_hours]]&lt;=5,   "0 - 5", student_scores[[#This Row],[weekly_self_study_hours]]&lt;=10,  "6 - 10", student_scores[[#This Row],[weekly_self_study_hours]]&lt;=20,  "11 - 20",student_scores[[#This Row],[weekly_self_study_hours]]&lt;=30, "21 - 30",TRUE, "31+")</f>
        <v>11 - 20</v>
      </c>
      <c r="U757" t="str" cm="1">
        <f t="array" ref="U757">_xlfn.IFS(student_scores[[#This Row],[absence_days]]=0,"0", student_scores[[#This Row],[absence_days]]&lt;=3,"1-3", student_scores[[#This Row],[absence_days]]&lt;=6,"4-6", TRUE,"7-10")</f>
        <v>1-3</v>
      </c>
      <c r="V757" t="str">
        <f>IF(student_scores[[#This Row],[Total_Score]] &gt;= _xlfn.PERCENTILE.INC(student_scores[Total_Score], 0.8), "Yes", "No")</f>
        <v>Yes</v>
      </c>
    </row>
    <row r="758" spans="1:22" x14ac:dyDescent="0.35">
      <c r="A758">
        <v>757</v>
      </c>
      <c r="B758" t="s">
        <v>1491</v>
      </c>
      <c r="C758" t="s">
        <v>1492</v>
      </c>
      <c r="D758" t="s">
        <v>1493</v>
      </c>
      <c r="E758" t="s">
        <v>25</v>
      </c>
      <c r="F758" t="b">
        <v>1</v>
      </c>
      <c r="G758">
        <v>8</v>
      </c>
      <c r="H758" t="b">
        <v>0</v>
      </c>
      <c r="I758">
        <v>3</v>
      </c>
      <c r="J758" t="s">
        <v>64</v>
      </c>
      <c r="K758">
        <v>41</v>
      </c>
      <c r="L758">
        <v>76</v>
      </c>
      <c r="M758">
        <v>94</v>
      </c>
      <c r="N758">
        <v>93</v>
      </c>
      <c r="O758">
        <v>79</v>
      </c>
      <c r="P758">
        <v>84</v>
      </c>
      <c r="Q758">
        <v>96</v>
      </c>
      <c r="R758">
        <f>SUM(student_scores[[#This Row],[math_score]:[geography_score]])</f>
        <v>563</v>
      </c>
      <c r="S758" s="3">
        <f>student_scores[[#This Row],[Total_Score]]/7</f>
        <v>80.428571428571431</v>
      </c>
      <c r="T758" s="3" t="str" cm="1">
        <f t="array" ref="T758">_xlfn.IFS(student_scores[[#This Row],[weekly_self_study_hours]]&lt;=5,   "0 - 5", student_scores[[#This Row],[weekly_self_study_hours]]&lt;=10,  "6 - 10", student_scores[[#This Row],[weekly_self_study_hours]]&lt;=20,  "11 - 20",student_scores[[#This Row],[weekly_self_study_hours]]&lt;=30, "21 - 30",TRUE, "31+")</f>
        <v>0 - 5</v>
      </c>
      <c r="U758" t="str" cm="1">
        <f t="array" ref="U758">_xlfn.IFS(student_scores[[#This Row],[absence_days]]=0,"0", student_scores[[#This Row],[absence_days]]&lt;=3,"1-3", student_scores[[#This Row],[absence_days]]&lt;=6,"4-6", TRUE,"7-10")</f>
        <v>7-10</v>
      </c>
      <c r="V758" t="str">
        <f>IF(student_scores[[#This Row],[Total_Score]] &gt;= _xlfn.PERCENTILE.INC(student_scores[Total_Score], 0.8), "Yes", "No")</f>
        <v>No</v>
      </c>
    </row>
    <row r="759" spans="1:22" x14ac:dyDescent="0.35">
      <c r="A759">
        <v>758</v>
      </c>
      <c r="B759" t="s">
        <v>1494</v>
      </c>
      <c r="C759" t="s">
        <v>796</v>
      </c>
      <c r="D759" t="s">
        <v>1495</v>
      </c>
      <c r="E759" t="s">
        <v>20</v>
      </c>
      <c r="F759" t="b">
        <v>0</v>
      </c>
      <c r="G759">
        <v>2</v>
      </c>
      <c r="H759" t="b">
        <v>0</v>
      </c>
      <c r="I759">
        <v>21</v>
      </c>
      <c r="J759" t="s">
        <v>105</v>
      </c>
      <c r="K759">
        <v>94</v>
      </c>
      <c r="L759">
        <v>74</v>
      </c>
      <c r="M759">
        <v>74</v>
      </c>
      <c r="N759">
        <v>89</v>
      </c>
      <c r="O759">
        <v>67</v>
      </c>
      <c r="P759">
        <v>93</v>
      </c>
      <c r="Q759">
        <v>96</v>
      </c>
      <c r="R759">
        <f>SUM(student_scores[[#This Row],[math_score]:[geography_score]])</f>
        <v>587</v>
      </c>
      <c r="S759" s="3">
        <f>student_scores[[#This Row],[Total_Score]]/7</f>
        <v>83.857142857142861</v>
      </c>
      <c r="T759" s="3" t="str" cm="1">
        <f t="array" ref="T759">_xlfn.IFS(student_scores[[#This Row],[weekly_self_study_hours]]&lt;=5,   "0 - 5", student_scores[[#This Row],[weekly_self_study_hours]]&lt;=10,  "6 - 10", student_scores[[#This Row],[weekly_self_study_hours]]&lt;=20,  "11 - 20",student_scores[[#This Row],[weekly_self_study_hours]]&lt;=30, "21 - 30",TRUE, "31+")</f>
        <v>21 - 30</v>
      </c>
      <c r="U759" t="str" cm="1">
        <f t="array" ref="U759">_xlfn.IFS(student_scores[[#This Row],[absence_days]]=0,"0", student_scores[[#This Row],[absence_days]]&lt;=3,"1-3", student_scores[[#This Row],[absence_days]]&lt;=6,"4-6", TRUE,"7-10")</f>
        <v>1-3</v>
      </c>
      <c r="V759" t="str">
        <f>IF(student_scores[[#This Row],[Total_Score]] &gt;= _xlfn.PERCENTILE.INC(student_scores[Total_Score], 0.8), "Yes", "No")</f>
        <v>No</v>
      </c>
    </row>
    <row r="760" spans="1:22" x14ac:dyDescent="0.35">
      <c r="A760">
        <v>759</v>
      </c>
      <c r="B760" t="s">
        <v>1496</v>
      </c>
      <c r="C760" t="s">
        <v>518</v>
      </c>
      <c r="D760" t="s">
        <v>1497</v>
      </c>
      <c r="E760" t="s">
        <v>25</v>
      </c>
      <c r="F760" t="b">
        <v>1</v>
      </c>
      <c r="G760">
        <v>2</v>
      </c>
      <c r="H760" t="b">
        <v>0</v>
      </c>
      <c r="I760">
        <v>29</v>
      </c>
      <c r="J760" t="s">
        <v>123</v>
      </c>
      <c r="K760">
        <v>67</v>
      </c>
      <c r="L760">
        <v>69</v>
      </c>
      <c r="M760">
        <v>75</v>
      </c>
      <c r="N760">
        <v>94</v>
      </c>
      <c r="O760">
        <v>98</v>
      </c>
      <c r="P760">
        <v>80</v>
      </c>
      <c r="Q760">
        <v>74</v>
      </c>
      <c r="R760">
        <f>SUM(student_scores[[#This Row],[math_score]:[geography_score]])</f>
        <v>557</v>
      </c>
      <c r="S760" s="3">
        <f>student_scores[[#This Row],[Total_Score]]/7</f>
        <v>79.571428571428569</v>
      </c>
      <c r="T760" s="3" t="str" cm="1">
        <f t="array" ref="T760">_xlfn.IFS(student_scores[[#This Row],[weekly_self_study_hours]]&lt;=5,   "0 - 5", student_scores[[#This Row],[weekly_self_study_hours]]&lt;=10,  "6 - 10", student_scores[[#This Row],[weekly_self_study_hours]]&lt;=20,  "11 - 20",student_scores[[#This Row],[weekly_self_study_hours]]&lt;=30, "21 - 30",TRUE, "31+")</f>
        <v>21 - 30</v>
      </c>
      <c r="U760" t="str" cm="1">
        <f t="array" ref="U760">_xlfn.IFS(student_scores[[#This Row],[absence_days]]=0,"0", student_scores[[#This Row],[absence_days]]&lt;=3,"1-3", student_scores[[#This Row],[absence_days]]&lt;=6,"4-6", TRUE,"7-10")</f>
        <v>1-3</v>
      </c>
      <c r="V760" t="str">
        <f>IF(student_scores[[#This Row],[Total_Score]] &gt;= _xlfn.PERCENTILE.INC(student_scores[Total_Score], 0.8), "Yes", "No")</f>
        <v>No</v>
      </c>
    </row>
    <row r="761" spans="1:22" x14ac:dyDescent="0.35">
      <c r="A761">
        <v>760</v>
      </c>
      <c r="B761" t="s">
        <v>1267</v>
      </c>
      <c r="C761" t="s">
        <v>1498</v>
      </c>
      <c r="D761" t="s">
        <v>1499</v>
      </c>
      <c r="E761" t="s">
        <v>25</v>
      </c>
      <c r="F761" t="b">
        <v>0</v>
      </c>
      <c r="G761">
        <v>0</v>
      </c>
      <c r="H761" t="b">
        <v>1</v>
      </c>
      <c r="I761">
        <v>11</v>
      </c>
      <c r="J761" t="s">
        <v>30</v>
      </c>
      <c r="K761">
        <v>89</v>
      </c>
      <c r="L761">
        <v>75</v>
      </c>
      <c r="M761">
        <v>64</v>
      </c>
      <c r="N761">
        <v>81</v>
      </c>
      <c r="O761">
        <v>66</v>
      </c>
      <c r="P761">
        <v>82</v>
      </c>
      <c r="Q761">
        <v>92</v>
      </c>
      <c r="R761">
        <f>SUM(student_scores[[#This Row],[math_score]:[geography_score]])</f>
        <v>549</v>
      </c>
      <c r="S761" s="3">
        <f>student_scores[[#This Row],[Total_Score]]/7</f>
        <v>78.428571428571431</v>
      </c>
      <c r="T761" s="3" t="str" cm="1">
        <f t="array" ref="T761">_xlfn.IFS(student_scores[[#This Row],[weekly_self_study_hours]]&lt;=5,   "0 - 5", student_scores[[#This Row],[weekly_self_study_hours]]&lt;=10,  "6 - 10", student_scores[[#This Row],[weekly_self_study_hours]]&lt;=20,  "11 - 20",student_scores[[#This Row],[weekly_self_study_hours]]&lt;=30, "21 - 30",TRUE, "31+")</f>
        <v>11 - 20</v>
      </c>
      <c r="U761" t="str" cm="1">
        <f t="array" ref="U761">_xlfn.IFS(student_scores[[#This Row],[absence_days]]=0,"0", student_scores[[#This Row],[absence_days]]&lt;=3,"1-3", student_scores[[#This Row],[absence_days]]&lt;=6,"4-6", TRUE,"7-10")</f>
        <v>0</v>
      </c>
      <c r="V761" t="str">
        <f>IF(student_scores[[#This Row],[Total_Score]] &gt;= _xlfn.PERCENTILE.INC(student_scores[Total_Score], 0.8), "Yes", "No")</f>
        <v>No</v>
      </c>
    </row>
    <row r="762" spans="1:22" x14ac:dyDescent="0.35">
      <c r="A762">
        <v>761</v>
      </c>
      <c r="B762" t="s">
        <v>227</v>
      </c>
      <c r="C762" t="s">
        <v>42</v>
      </c>
      <c r="D762" t="s">
        <v>1500</v>
      </c>
      <c r="E762" t="s">
        <v>20</v>
      </c>
      <c r="F762" t="b">
        <v>0</v>
      </c>
      <c r="G762">
        <v>3</v>
      </c>
      <c r="H762" t="b">
        <v>0</v>
      </c>
      <c r="I762">
        <v>23</v>
      </c>
      <c r="J762" t="s">
        <v>26</v>
      </c>
      <c r="K762">
        <v>82</v>
      </c>
      <c r="L762">
        <v>82</v>
      </c>
      <c r="M762">
        <v>100</v>
      </c>
      <c r="N762">
        <v>93</v>
      </c>
      <c r="O762">
        <v>91</v>
      </c>
      <c r="P762">
        <v>61</v>
      </c>
      <c r="Q762">
        <v>83</v>
      </c>
      <c r="R762">
        <f>SUM(student_scores[[#This Row],[math_score]:[geography_score]])</f>
        <v>592</v>
      </c>
      <c r="S762" s="3">
        <f>student_scores[[#This Row],[Total_Score]]/7</f>
        <v>84.571428571428569</v>
      </c>
      <c r="T762" s="3" t="str" cm="1">
        <f t="array" ref="T762">_xlfn.IFS(student_scores[[#This Row],[weekly_self_study_hours]]&lt;=5,   "0 - 5", student_scores[[#This Row],[weekly_self_study_hours]]&lt;=10,  "6 - 10", student_scores[[#This Row],[weekly_self_study_hours]]&lt;=20,  "11 - 20",student_scores[[#This Row],[weekly_self_study_hours]]&lt;=30, "21 - 30",TRUE, "31+")</f>
        <v>21 - 30</v>
      </c>
      <c r="U762" t="str" cm="1">
        <f t="array" ref="U762">_xlfn.IFS(student_scores[[#This Row],[absence_days]]=0,"0", student_scores[[#This Row],[absence_days]]&lt;=3,"1-3", student_scores[[#This Row],[absence_days]]&lt;=6,"4-6", TRUE,"7-10")</f>
        <v>1-3</v>
      </c>
      <c r="V762" t="str">
        <f>IF(student_scores[[#This Row],[Total_Score]] &gt;= _xlfn.PERCENTILE.INC(student_scores[Total_Score], 0.8), "Yes", "No")</f>
        <v>No</v>
      </c>
    </row>
    <row r="763" spans="1:22" x14ac:dyDescent="0.35">
      <c r="A763">
        <v>762</v>
      </c>
      <c r="B763" t="s">
        <v>145</v>
      </c>
      <c r="C763" t="s">
        <v>1501</v>
      </c>
      <c r="D763" t="s">
        <v>1502</v>
      </c>
      <c r="E763" t="s">
        <v>20</v>
      </c>
      <c r="F763" t="b">
        <v>1</v>
      </c>
      <c r="G763">
        <v>2</v>
      </c>
      <c r="H763" t="b">
        <v>0</v>
      </c>
      <c r="I763">
        <v>30</v>
      </c>
      <c r="J763" t="s">
        <v>44</v>
      </c>
      <c r="K763">
        <v>96</v>
      </c>
      <c r="L763">
        <v>79</v>
      </c>
      <c r="M763">
        <v>93</v>
      </c>
      <c r="N763">
        <v>92</v>
      </c>
      <c r="O763">
        <v>92</v>
      </c>
      <c r="P763">
        <v>71</v>
      </c>
      <c r="Q763">
        <v>87</v>
      </c>
      <c r="R763">
        <f>SUM(student_scores[[#This Row],[math_score]:[geography_score]])</f>
        <v>610</v>
      </c>
      <c r="S763" s="3">
        <f>student_scores[[#This Row],[Total_Score]]/7</f>
        <v>87.142857142857139</v>
      </c>
      <c r="T763" s="3" t="str" cm="1">
        <f t="array" ref="T763">_xlfn.IFS(student_scores[[#This Row],[weekly_self_study_hours]]&lt;=5,   "0 - 5", student_scores[[#This Row],[weekly_self_study_hours]]&lt;=10,  "6 - 10", student_scores[[#This Row],[weekly_self_study_hours]]&lt;=20,  "11 - 20",student_scores[[#This Row],[weekly_self_study_hours]]&lt;=30, "21 - 30",TRUE, "31+")</f>
        <v>21 - 30</v>
      </c>
      <c r="U763" t="str" cm="1">
        <f t="array" ref="U763">_xlfn.IFS(student_scores[[#This Row],[absence_days]]=0,"0", student_scores[[#This Row],[absence_days]]&lt;=3,"1-3", student_scores[[#This Row],[absence_days]]&lt;=6,"4-6", TRUE,"7-10")</f>
        <v>1-3</v>
      </c>
      <c r="V763" t="str">
        <f>IF(student_scores[[#This Row],[Total_Score]] &gt;= _xlfn.PERCENTILE.INC(student_scores[Total_Score], 0.8), "Yes", "No")</f>
        <v>Yes</v>
      </c>
    </row>
    <row r="764" spans="1:22" x14ac:dyDescent="0.35">
      <c r="A764">
        <v>763</v>
      </c>
      <c r="B764" t="s">
        <v>1503</v>
      </c>
      <c r="C764" t="s">
        <v>528</v>
      </c>
      <c r="D764" t="s">
        <v>1504</v>
      </c>
      <c r="E764" t="s">
        <v>25</v>
      </c>
      <c r="F764" t="b">
        <v>0</v>
      </c>
      <c r="G764">
        <v>1</v>
      </c>
      <c r="H764" t="b">
        <v>0</v>
      </c>
      <c r="I764">
        <v>13</v>
      </c>
      <c r="J764" t="s">
        <v>113</v>
      </c>
      <c r="K764">
        <v>94</v>
      </c>
      <c r="L764">
        <v>84</v>
      </c>
      <c r="M764">
        <v>84</v>
      </c>
      <c r="N764">
        <v>89</v>
      </c>
      <c r="O764">
        <v>52</v>
      </c>
      <c r="P764">
        <v>97</v>
      </c>
      <c r="Q764">
        <v>76</v>
      </c>
      <c r="R764">
        <f>SUM(student_scores[[#This Row],[math_score]:[geography_score]])</f>
        <v>576</v>
      </c>
      <c r="S764" s="3">
        <f>student_scores[[#This Row],[Total_Score]]/7</f>
        <v>82.285714285714292</v>
      </c>
      <c r="T764" s="3" t="str" cm="1">
        <f t="array" ref="T764">_xlfn.IFS(student_scores[[#This Row],[weekly_self_study_hours]]&lt;=5,   "0 - 5", student_scores[[#This Row],[weekly_self_study_hours]]&lt;=10,  "6 - 10", student_scores[[#This Row],[weekly_self_study_hours]]&lt;=20,  "11 - 20",student_scores[[#This Row],[weekly_self_study_hours]]&lt;=30, "21 - 30",TRUE, "31+")</f>
        <v>11 - 20</v>
      </c>
      <c r="U764" t="str" cm="1">
        <f t="array" ref="U764">_xlfn.IFS(student_scores[[#This Row],[absence_days]]=0,"0", student_scores[[#This Row],[absence_days]]&lt;=3,"1-3", student_scores[[#This Row],[absence_days]]&lt;=6,"4-6", TRUE,"7-10")</f>
        <v>1-3</v>
      </c>
      <c r="V764" t="str">
        <f>IF(student_scores[[#This Row],[Total_Score]] &gt;= _xlfn.PERCENTILE.INC(student_scores[Total_Score], 0.8), "Yes", "No")</f>
        <v>No</v>
      </c>
    </row>
    <row r="765" spans="1:22" x14ac:dyDescent="0.35">
      <c r="A765">
        <v>764</v>
      </c>
      <c r="B765" t="s">
        <v>1505</v>
      </c>
      <c r="C765" t="s">
        <v>39</v>
      </c>
      <c r="D765" t="s">
        <v>1506</v>
      </c>
      <c r="E765" t="s">
        <v>20</v>
      </c>
      <c r="F765" t="b">
        <v>0</v>
      </c>
      <c r="G765">
        <v>4</v>
      </c>
      <c r="H765" t="b">
        <v>0</v>
      </c>
      <c r="I765">
        <v>19</v>
      </c>
      <c r="J765" t="s">
        <v>138</v>
      </c>
      <c r="K765">
        <v>84</v>
      </c>
      <c r="L765">
        <v>65</v>
      </c>
      <c r="M765">
        <v>83</v>
      </c>
      <c r="N765">
        <v>99</v>
      </c>
      <c r="O765">
        <v>86</v>
      </c>
      <c r="P765">
        <v>75</v>
      </c>
      <c r="Q765">
        <v>67</v>
      </c>
      <c r="R765">
        <f>SUM(student_scores[[#This Row],[math_score]:[geography_score]])</f>
        <v>559</v>
      </c>
      <c r="S765" s="3">
        <f>student_scores[[#This Row],[Total_Score]]/7</f>
        <v>79.857142857142861</v>
      </c>
      <c r="T765" s="3" t="str" cm="1">
        <f t="array" ref="T765">_xlfn.IFS(student_scores[[#This Row],[weekly_self_study_hours]]&lt;=5,   "0 - 5", student_scores[[#This Row],[weekly_self_study_hours]]&lt;=10,  "6 - 10", student_scores[[#This Row],[weekly_self_study_hours]]&lt;=20,  "11 - 20",student_scores[[#This Row],[weekly_self_study_hours]]&lt;=30, "21 - 30",TRUE, "31+")</f>
        <v>11 - 20</v>
      </c>
      <c r="U765" t="str" cm="1">
        <f t="array" ref="U765">_xlfn.IFS(student_scores[[#This Row],[absence_days]]=0,"0", student_scores[[#This Row],[absence_days]]&lt;=3,"1-3", student_scores[[#This Row],[absence_days]]&lt;=6,"4-6", TRUE,"7-10")</f>
        <v>4-6</v>
      </c>
      <c r="V765" t="str">
        <f>IF(student_scores[[#This Row],[Total_Score]] &gt;= _xlfn.PERCENTILE.INC(student_scores[Total_Score], 0.8), "Yes", "No")</f>
        <v>No</v>
      </c>
    </row>
    <row r="766" spans="1:22" x14ac:dyDescent="0.35">
      <c r="A766">
        <v>765</v>
      </c>
      <c r="B766" t="s">
        <v>913</v>
      </c>
      <c r="C766" t="s">
        <v>136</v>
      </c>
      <c r="D766" t="s">
        <v>1507</v>
      </c>
      <c r="E766" t="s">
        <v>25</v>
      </c>
      <c r="F766" t="b">
        <v>0</v>
      </c>
      <c r="G766">
        <v>5</v>
      </c>
      <c r="H766" t="b">
        <v>0</v>
      </c>
      <c r="I766">
        <v>33</v>
      </c>
      <c r="J766" t="s">
        <v>44</v>
      </c>
      <c r="K766">
        <v>87</v>
      </c>
      <c r="L766">
        <v>98</v>
      </c>
      <c r="M766">
        <v>97</v>
      </c>
      <c r="N766">
        <v>70</v>
      </c>
      <c r="O766">
        <v>80</v>
      </c>
      <c r="P766">
        <v>67</v>
      </c>
      <c r="Q766">
        <v>82</v>
      </c>
      <c r="R766">
        <f>SUM(student_scores[[#This Row],[math_score]:[geography_score]])</f>
        <v>581</v>
      </c>
      <c r="S766" s="3">
        <f>student_scores[[#This Row],[Total_Score]]/7</f>
        <v>83</v>
      </c>
      <c r="T766" s="3" t="str" cm="1">
        <f t="array" ref="T766">_xlfn.IFS(student_scores[[#This Row],[weekly_self_study_hours]]&lt;=5,   "0 - 5", student_scores[[#This Row],[weekly_self_study_hours]]&lt;=10,  "6 - 10", student_scores[[#This Row],[weekly_self_study_hours]]&lt;=20,  "11 - 20",student_scores[[#This Row],[weekly_self_study_hours]]&lt;=30, "21 - 30",TRUE, "31+")</f>
        <v>31+</v>
      </c>
      <c r="U766" t="str" cm="1">
        <f t="array" ref="U766">_xlfn.IFS(student_scores[[#This Row],[absence_days]]=0,"0", student_scores[[#This Row],[absence_days]]&lt;=3,"1-3", student_scores[[#This Row],[absence_days]]&lt;=6,"4-6", TRUE,"7-10")</f>
        <v>4-6</v>
      </c>
      <c r="V766" t="str">
        <f>IF(student_scores[[#This Row],[Total_Score]] &gt;= _xlfn.PERCENTILE.INC(student_scores[Total_Score], 0.8), "Yes", "No")</f>
        <v>No</v>
      </c>
    </row>
    <row r="767" spans="1:22" x14ac:dyDescent="0.35">
      <c r="A767">
        <v>766</v>
      </c>
      <c r="B767" t="s">
        <v>139</v>
      </c>
      <c r="C767" t="s">
        <v>1508</v>
      </c>
      <c r="D767" t="s">
        <v>1509</v>
      </c>
      <c r="E767" t="s">
        <v>20</v>
      </c>
      <c r="F767" t="b">
        <v>0</v>
      </c>
      <c r="G767">
        <v>2</v>
      </c>
      <c r="H767" t="b">
        <v>0</v>
      </c>
      <c r="I767">
        <v>21</v>
      </c>
      <c r="J767" t="s">
        <v>44</v>
      </c>
      <c r="K767">
        <v>90</v>
      </c>
      <c r="L767">
        <v>93</v>
      </c>
      <c r="M767">
        <v>66</v>
      </c>
      <c r="N767">
        <v>77</v>
      </c>
      <c r="O767">
        <v>72</v>
      </c>
      <c r="P767">
        <v>82</v>
      </c>
      <c r="Q767">
        <v>82</v>
      </c>
      <c r="R767">
        <f>SUM(student_scores[[#This Row],[math_score]:[geography_score]])</f>
        <v>562</v>
      </c>
      <c r="S767" s="3">
        <f>student_scores[[#This Row],[Total_Score]]/7</f>
        <v>80.285714285714292</v>
      </c>
      <c r="T767" s="3" t="str" cm="1">
        <f t="array" ref="T767">_xlfn.IFS(student_scores[[#This Row],[weekly_self_study_hours]]&lt;=5,   "0 - 5", student_scores[[#This Row],[weekly_self_study_hours]]&lt;=10,  "6 - 10", student_scores[[#This Row],[weekly_self_study_hours]]&lt;=20,  "11 - 20",student_scores[[#This Row],[weekly_self_study_hours]]&lt;=30, "21 - 30",TRUE, "31+")</f>
        <v>21 - 30</v>
      </c>
      <c r="U767" t="str" cm="1">
        <f t="array" ref="U767">_xlfn.IFS(student_scores[[#This Row],[absence_days]]=0,"0", student_scores[[#This Row],[absence_days]]&lt;=3,"1-3", student_scores[[#This Row],[absence_days]]&lt;=6,"4-6", TRUE,"7-10")</f>
        <v>1-3</v>
      </c>
      <c r="V767" t="str">
        <f>IF(student_scores[[#This Row],[Total_Score]] &gt;= _xlfn.PERCENTILE.INC(student_scores[Total_Score], 0.8), "Yes", "No")</f>
        <v>No</v>
      </c>
    </row>
    <row r="768" spans="1:22" x14ac:dyDescent="0.35">
      <c r="A768">
        <v>767</v>
      </c>
      <c r="B768" t="s">
        <v>536</v>
      </c>
      <c r="C768" t="s">
        <v>1510</v>
      </c>
      <c r="D768" t="s">
        <v>1511</v>
      </c>
      <c r="E768" t="s">
        <v>25</v>
      </c>
      <c r="F768" t="b">
        <v>0</v>
      </c>
      <c r="G768">
        <v>7</v>
      </c>
      <c r="H768" t="b">
        <v>0</v>
      </c>
      <c r="I768">
        <v>31</v>
      </c>
      <c r="J768" t="s">
        <v>76</v>
      </c>
      <c r="K768">
        <v>86</v>
      </c>
      <c r="L768">
        <v>81</v>
      </c>
      <c r="M768">
        <v>91</v>
      </c>
      <c r="N768">
        <v>83</v>
      </c>
      <c r="O768">
        <v>97</v>
      </c>
      <c r="P768">
        <v>83</v>
      </c>
      <c r="Q768">
        <v>80</v>
      </c>
      <c r="R768">
        <f>SUM(student_scores[[#This Row],[math_score]:[geography_score]])</f>
        <v>601</v>
      </c>
      <c r="S768" s="3">
        <f>student_scores[[#This Row],[Total_Score]]/7</f>
        <v>85.857142857142861</v>
      </c>
      <c r="T768" s="3" t="str" cm="1">
        <f t="array" ref="T768">_xlfn.IFS(student_scores[[#This Row],[weekly_self_study_hours]]&lt;=5,   "0 - 5", student_scores[[#This Row],[weekly_self_study_hours]]&lt;=10,  "6 - 10", student_scores[[#This Row],[weekly_self_study_hours]]&lt;=20,  "11 - 20",student_scores[[#This Row],[weekly_self_study_hours]]&lt;=30, "21 - 30",TRUE, "31+")</f>
        <v>31+</v>
      </c>
      <c r="U768" t="str" cm="1">
        <f t="array" ref="U768">_xlfn.IFS(student_scores[[#This Row],[absence_days]]=0,"0", student_scores[[#This Row],[absence_days]]&lt;=3,"1-3", student_scores[[#This Row],[absence_days]]&lt;=6,"4-6", TRUE,"7-10")</f>
        <v>7-10</v>
      </c>
      <c r="V768" t="str">
        <f>IF(student_scores[[#This Row],[Total_Score]] &gt;= _xlfn.PERCENTILE.INC(student_scores[Total_Score], 0.8), "Yes", "No")</f>
        <v>Yes</v>
      </c>
    </row>
    <row r="769" spans="1:22" x14ac:dyDescent="0.35">
      <c r="A769">
        <v>768</v>
      </c>
      <c r="B769" t="s">
        <v>443</v>
      </c>
      <c r="C769" t="s">
        <v>1098</v>
      </c>
      <c r="D769" t="s">
        <v>1512</v>
      </c>
      <c r="E769" t="s">
        <v>20</v>
      </c>
      <c r="F769" t="b">
        <v>0</v>
      </c>
      <c r="G769">
        <v>6</v>
      </c>
      <c r="H769" t="b">
        <v>0</v>
      </c>
      <c r="I769">
        <v>3</v>
      </c>
      <c r="J769" t="s">
        <v>64</v>
      </c>
      <c r="K769">
        <v>48</v>
      </c>
      <c r="L769">
        <v>72</v>
      </c>
      <c r="M769">
        <v>64</v>
      </c>
      <c r="N769">
        <v>65</v>
      </c>
      <c r="O769">
        <v>64</v>
      </c>
      <c r="P769">
        <v>55</v>
      </c>
      <c r="Q769">
        <v>79</v>
      </c>
      <c r="R769">
        <f>SUM(student_scores[[#This Row],[math_score]:[geography_score]])</f>
        <v>447</v>
      </c>
      <c r="S769" s="3">
        <f>student_scores[[#This Row],[Total_Score]]/7</f>
        <v>63.857142857142854</v>
      </c>
      <c r="T769" s="3" t="str" cm="1">
        <f t="array" ref="T769">_xlfn.IFS(student_scores[[#This Row],[weekly_self_study_hours]]&lt;=5,   "0 - 5", student_scores[[#This Row],[weekly_self_study_hours]]&lt;=10,  "6 - 10", student_scores[[#This Row],[weekly_self_study_hours]]&lt;=20,  "11 - 20",student_scores[[#This Row],[weekly_self_study_hours]]&lt;=30, "21 - 30",TRUE, "31+")</f>
        <v>0 - 5</v>
      </c>
      <c r="U769" t="str" cm="1">
        <f t="array" ref="U769">_xlfn.IFS(student_scores[[#This Row],[absence_days]]=0,"0", student_scores[[#This Row],[absence_days]]&lt;=3,"1-3", student_scores[[#This Row],[absence_days]]&lt;=6,"4-6", TRUE,"7-10")</f>
        <v>4-6</v>
      </c>
      <c r="V769" t="str">
        <f>IF(student_scores[[#This Row],[Total_Score]] &gt;= _xlfn.PERCENTILE.INC(student_scores[Total_Score], 0.8), "Yes", "No")</f>
        <v>No</v>
      </c>
    </row>
    <row r="770" spans="1:22" x14ac:dyDescent="0.35">
      <c r="A770">
        <v>769</v>
      </c>
      <c r="B770" t="s">
        <v>1513</v>
      </c>
      <c r="C770" t="s">
        <v>597</v>
      </c>
      <c r="D770" t="s">
        <v>1514</v>
      </c>
      <c r="E770" t="s">
        <v>25</v>
      </c>
      <c r="F770" t="b">
        <v>1</v>
      </c>
      <c r="G770">
        <v>7</v>
      </c>
      <c r="H770" t="b">
        <v>0</v>
      </c>
      <c r="I770">
        <v>3</v>
      </c>
      <c r="J770" t="s">
        <v>64</v>
      </c>
      <c r="K770">
        <v>49</v>
      </c>
      <c r="L770">
        <v>59</v>
      </c>
      <c r="M770">
        <v>99</v>
      </c>
      <c r="N770">
        <v>59</v>
      </c>
      <c r="O770">
        <v>75</v>
      </c>
      <c r="P770">
        <v>54</v>
      </c>
      <c r="Q770">
        <v>70</v>
      </c>
      <c r="R770">
        <f>SUM(student_scores[[#This Row],[math_score]:[geography_score]])</f>
        <v>465</v>
      </c>
      <c r="S770" s="3">
        <f>student_scores[[#This Row],[Total_Score]]/7</f>
        <v>66.428571428571431</v>
      </c>
      <c r="T770" s="3" t="str" cm="1">
        <f t="array" ref="T770">_xlfn.IFS(student_scores[[#This Row],[weekly_self_study_hours]]&lt;=5,   "0 - 5", student_scores[[#This Row],[weekly_self_study_hours]]&lt;=10,  "6 - 10", student_scores[[#This Row],[weekly_self_study_hours]]&lt;=20,  "11 - 20",student_scores[[#This Row],[weekly_self_study_hours]]&lt;=30, "21 - 30",TRUE, "31+")</f>
        <v>0 - 5</v>
      </c>
      <c r="U770" t="str" cm="1">
        <f t="array" ref="U770">_xlfn.IFS(student_scores[[#This Row],[absence_days]]=0,"0", student_scores[[#This Row],[absence_days]]&lt;=3,"1-3", student_scores[[#This Row],[absence_days]]&lt;=6,"4-6", TRUE,"7-10")</f>
        <v>7-10</v>
      </c>
      <c r="V770" t="str">
        <f>IF(student_scores[[#This Row],[Total_Score]] &gt;= _xlfn.PERCENTILE.INC(student_scores[Total_Score], 0.8), "Yes", "No")</f>
        <v>No</v>
      </c>
    </row>
    <row r="771" spans="1:22" x14ac:dyDescent="0.35">
      <c r="A771">
        <v>770</v>
      </c>
      <c r="B771" t="s">
        <v>280</v>
      </c>
      <c r="C771" t="s">
        <v>1515</v>
      </c>
      <c r="D771" t="s">
        <v>1516</v>
      </c>
      <c r="E771" t="s">
        <v>20</v>
      </c>
      <c r="F771" t="b">
        <v>1</v>
      </c>
      <c r="G771">
        <v>0</v>
      </c>
      <c r="H771" t="b">
        <v>0</v>
      </c>
      <c r="I771">
        <v>30</v>
      </c>
      <c r="J771" t="s">
        <v>38</v>
      </c>
      <c r="K771">
        <v>90</v>
      </c>
      <c r="L771">
        <v>83</v>
      </c>
      <c r="M771">
        <v>72</v>
      </c>
      <c r="N771">
        <v>77</v>
      </c>
      <c r="O771">
        <v>99</v>
      </c>
      <c r="P771">
        <v>84</v>
      </c>
      <c r="Q771">
        <v>67</v>
      </c>
      <c r="R771">
        <f>SUM(student_scores[[#This Row],[math_score]:[geography_score]])</f>
        <v>572</v>
      </c>
      <c r="S771" s="3">
        <f>student_scores[[#This Row],[Total_Score]]/7</f>
        <v>81.714285714285708</v>
      </c>
      <c r="T771" s="3" t="str" cm="1">
        <f t="array" ref="T771">_xlfn.IFS(student_scores[[#This Row],[weekly_self_study_hours]]&lt;=5,   "0 - 5", student_scores[[#This Row],[weekly_self_study_hours]]&lt;=10,  "6 - 10", student_scores[[#This Row],[weekly_self_study_hours]]&lt;=20,  "11 - 20",student_scores[[#This Row],[weekly_self_study_hours]]&lt;=30, "21 - 30",TRUE, "31+")</f>
        <v>21 - 30</v>
      </c>
      <c r="U771" t="str" cm="1">
        <f t="array" ref="U771">_xlfn.IFS(student_scores[[#This Row],[absence_days]]=0,"0", student_scores[[#This Row],[absence_days]]&lt;=3,"1-3", student_scores[[#This Row],[absence_days]]&lt;=6,"4-6", TRUE,"7-10")</f>
        <v>0</v>
      </c>
      <c r="V771" t="str">
        <f>IF(student_scores[[#This Row],[Total_Score]] &gt;= _xlfn.PERCENTILE.INC(student_scores[Total_Score], 0.8), "Yes", "No")</f>
        <v>No</v>
      </c>
    </row>
    <row r="772" spans="1:22" x14ac:dyDescent="0.35">
      <c r="A772">
        <v>771</v>
      </c>
      <c r="B772" t="s">
        <v>899</v>
      </c>
      <c r="C772" t="s">
        <v>49</v>
      </c>
      <c r="D772" t="s">
        <v>1517</v>
      </c>
      <c r="E772" t="s">
        <v>25</v>
      </c>
      <c r="F772" t="b">
        <v>1</v>
      </c>
      <c r="G772">
        <v>5</v>
      </c>
      <c r="H772" t="b">
        <v>1</v>
      </c>
      <c r="I772">
        <v>1</v>
      </c>
      <c r="J772" t="s">
        <v>64</v>
      </c>
      <c r="K772">
        <v>40</v>
      </c>
      <c r="L772">
        <v>51</v>
      </c>
      <c r="M772">
        <v>93</v>
      </c>
      <c r="N772">
        <v>100</v>
      </c>
      <c r="O772">
        <v>76</v>
      </c>
      <c r="P772">
        <v>60</v>
      </c>
      <c r="Q772">
        <v>99</v>
      </c>
      <c r="R772">
        <f>SUM(student_scores[[#This Row],[math_score]:[geography_score]])</f>
        <v>519</v>
      </c>
      <c r="S772" s="3">
        <f>student_scores[[#This Row],[Total_Score]]/7</f>
        <v>74.142857142857139</v>
      </c>
      <c r="T772" s="3" t="str" cm="1">
        <f t="array" ref="T772">_xlfn.IFS(student_scores[[#This Row],[weekly_self_study_hours]]&lt;=5,   "0 - 5", student_scores[[#This Row],[weekly_self_study_hours]]&lt;=10,  "6 - 10", student_scores[[#This Row],[weekly_self_study_hours]]&lt;=20,  "11 - 20",student_scores[[#This Row],[weekly_self_study_hours]]&lt;=30, "21 - 30",TRUE, "31+")</f>
        <v>0 - 5</v>
      </c>
      <c r="U772" t="str" cm="1">
        <f t="array" ref="U772">_xlfn.IFS(student_scores[[#This Row],[absence_days]]=0,"0", student_scores[[#This Row],[absence_days]]&lt;=3,"1-3", student_scores[[#This Row],[absence_days]]&lt;=6,"4-6", TRUE,"7-10")</f>
        <v>4-6</v>
      </c>
      <c r="V772" t="str">
        <f>IF(student_scores[[#This Row],[Total_Score]] &gt;= _xlfn.PERCENTILE.INC(student_scores[Total_Score], 0.8), "Yes", "No")</f>
        <v>No</v>
      </c>
    </row>
    <row r="773" spans="1:22" x14ac:dyDescent="0.35">
      <c r="A773">
        <v>772</v>
      </c>
      <c r="B773" t="s">
        <v>1518</v>
      </c>
      <c r="C773" t="s">
        <v>1519</v>
      </c>
      <c r="D773" t="s">
        <v>1520</v>
      </c>
      <c r="E773" t="s">
        <v>25</v>
      </c>
      <c r="F773" t="b">
        <v>0</v>
      </c>
      <c r="G773">
        <v>0</v>
      </c>
      <c r="H773" t="b">
        <v>1</v>
      </c>
      <c r="I773">
        <v>8</v>
      </c>
      <c r="J773" t="s">
        <v>38</v>
      </c>
      <c r="K773">
        <v>78</v>
      </c>
      <c r="L773">
        <v>81</v>
      </c>
      <c r="M773">
        <v>71</v>
      </c>
      <c r="N773">
        <v>91</v>
      </c>
      <c r="O773">
        <v>79</v>
      </c>
      <c r="P773">
        <v>79</v>
      </c>
      <c r="Q773">
        <v>75</v>
      </c>
      <c r="R773">
        <f>SUM(student_scores[[#This Row],[math_score]:[geography_score]])</f>
        <v>554</v>
      </c>
      <c r="S773" s="3">
        <f>student_scores[[#This Row],[Total_Score]]/7</f>
        <v>79.142857142857139</v>
      </c>
      <c r="T773" s="3" t="str" cm="1">
        <f t="array" ref="T773">_xlfn.IFS(student_scores[[#This Row],[weekly_self_study_hours]]&lt;=5,   "0 - 5", student_scores[[#This Row],[weekly_self_study_hours]]&lt;=10,  "6 - 10", student_scores[[#This Row],[weekly_self_study_hours]]&lt;=20,  "11 - 20",student_scores[[#This Row],[weekly_self_study_hours]]&lt;=30, "21 - 30",TRUE, "31+")</f>
        <v>6 - 10</v>
      </c>
      <c r="U773" t="str" cm="1">
        <f t="array" ref="U773">_xlfn.IFS(student_scores[[#This Row],[absence_days]]=0,"0", student_scores[[#This Row],[absence_days]]&lt;=3,"1-3", student_scores[[#This Row],[absence_days]]&lt;=6,"4-6", TRUE,"7-10")</f>
        <v>0</v>
      </c>
      <c r="V773" t="str">
        <f>IF(student_scores[[#This Row],[Total_Score]] &gt;= _xlfn.PERCENTILE.INC(student_scores[Total_Score], 0.8), "Yes", "No")</f>
        <v>No</v>
      </c>
    </row>
    <row r="774" spans="1:22" x14ac:dyDescent="0.35">
      <c r="A774">
        <v>773</v>
      </c>
      <c r="B774" t="s">
        <v>208</v>
      </c>
      <c r="C774" t="s">
        <v>160</v>
      </c>
      <c r="D774" t="s">
        <v>1521</v>
      </c>
      <c r="E774" t="s">
        <v>20</v>
      </c>
      <c r="F774" t="b">
        <v>0</v>
      </c>
      <c r="G774">
        <v>2</v>
      </c>
      <c r="H774" t="b">
        <v>0</v>
      </c>
      <c r="I774">
        <v>29</v>
      </c>
      <c r="J774" t="s">
        <v>44</v>
      </c>
      <c r="K774">
        <v>87</v>
      </c>
      <c r="L774">
        <v>68</v>
      </c>
      <c r="M774">
        <v>75</v>
      </c>
      <c r="N774">
        <v>96</v>
      </c>
      <c r="O774">
        <v>91</v>
      </c>
      <c r="P774">
        <v>72</v>
      </c>
      <c r="Q774">
        <v>78</v>
      </c>
      <c r="R774">
        <f>SUM(student_scores[[#This Row],[math_score]:[geography_score]])</f>
        <v>567</v>
      </c>
      <c r="S774" s="3">
        <f>student_scores[[#This Row],[Total_Score]]/7</f>
        <v>81</v>
      </c>
      <c r="T774" s="3" t="str" cm="1">
        <f t="array" ref="T774">_xlfn.IFS(student_scores[[#This Row],[weekly_self_study_hours]]&lt;=5,   "0 - 5", student_scores[[#This Row],[weekly_self_study_hours]]&lt;=10,  "6 - 10", student_scores[[#This Row],[weekly_self_study_hours]]&lt;=20,  "11 - 20",student_scores[[#This Row],[weekly_self_study_hours]]&lt;=30, "21 - 30",TRUE, "31+")</f>
        <v>21 - 30</v>
      </c>
      <c r="U774" t="str" cm="1">
        <f t="array" ref="U774">_xlfn.IFS(student_scores[[#This Row],[absence_days]]=0,"0", student_scores[[#This Row],[absence_days]]&lt;=3,"1-3", student_scores[[#This Row],[absence_days]]&lt;=6,"4-6", TRUE,"7-10")</f>
        <v>1-3</v>
      </c>
      <c r="V774" t="str">
        <f>IF(student_scores[[#This Row],[Total_Score]] &gt;= _xlfn.PERCENTILE.INC(student_scores[Total_Score], 0.8), "Yes", "No")</f>
        <v>No</v>
      </c>
    </row>
    <row r="775" spans="1:22" x14ac:dyDescent="0.35">
      <c r="A775">
        <v>774</v>
      </c>
      <c r="B775" t="s">
        <v>731</v>
      </c>
      <c r="C775" t="s">
        <v>1522</v>
      </c>
      <c r="D775" t="s">
        <v>1523</v>
      </c>
      <c r="E775" t="s">
        <v>25</v>
      </c>
      <c r="F775" t="b">
        <v>0</v>
      </c>
      <c r="G775">
        <v>2</v>
      </c>
      <c r="H775" t="b">
        <v>0</v>
      </c>
      <c r="I775">
        <v>18</v>
      </c>
      <c r="J775" t="s">
        <v>113</v>
      </c>
      <c r="K775">
        <v>79</v>
      </c>
      <c r="L775">
        <v>81</v>
      </c>
      <c r="M775">
        <v>68</v>
      </c>
      <c r="N775">
        <v>70</v>
      </c>
      <c r="O775">
        <v>60</v>
      </c>
      <c r="P775">
        <v>65</v>
      </c>
      <c r="Q775">
        <v>71</v>
      </c>
      <c r="R775">
        <f>SUM(student_scores[[#This Row],[math_score]:[geography_score]])</f>
        <v>494</v>
      </c>
      <c r="S775" s="3">
        <f>student_scores[[#This Row],[Total_Score]]/7</f>
        <v>70.571428571428569</v>
      </c>
      <c r="T775" s="3" t="str" cm="1">
        <f t="array" ref="T775">_xlfn.IFS(student_scores[[#This Row],[weekly_self_study_hours]]&lt;=5,   "0 - 5", student_scores[[#This Row],[weekly_self_study_hours]]&lt;=10,  "6 - 10", student_scores[[#This Row],[weekly_self_study_hours]]&lt;=20,  "11 - 20",student_scores[[#This Row],[weekly_self_study_hours]]&lt;=30, "21 - 30",TRUE, "31+")</f>
        <v>11 - 20</v>
      </c>
      <c r="U775" t="str" cm="1">
        <f t="array" ref="U775">_xlfn.IFS(student_scores[[#This Row],[absence_days]]=0,"0", student_scores[[#This Row],[absence_days]]&lt;=3,"1-3", student_scores[[#This Row],[absence_days]]&lt;=6,"4-6", TRUE,"7-10")</f>
        <v>1-3</v>
      </c>
      <c r="V775" t="str">
        <f>IF(student_scores[[#This Row],[Total_Score]] &gt;= _xlfn.PERCENTILE.INC(student_scores[Total_Score], 0.8), "Yes", "No")</f>
        <v>No</v>
      </c>
    </row>
    <row r="776" spans="1:22" x14ac:dyDescent="0.35">
      <c r="A776">
        <v>775</v>
      </c>
      <c r="B776" t="s">
        <v>65</v>
      </c>
      <c r="C776" t="s">
        <v>1524</v>
      </c>
      <c r="D776" t="s">
        <v>1525</v>
      </c>
      <c r="E776" t="s">
        <v>25</v>
      </c>
      <c r="F776" t="b">
        <v>0</v>
      </c>
      <c r="G776">
        <v>6</v>
      </c>
      <c r="H776" t="b">
        <v>1</v>
      </c>
      <c r="I776">
        <v>4</v>
      </c>
      <c r="J776" t="s">
        <v>159</v>
      </c>
      <c r="K776">
        <v>100</v>
      </c>
      <c r="L776">
        <v>100</v>
      </c>
      <c r="M776">
        <v>94</v>
      </c>
      <c r="N776">
        <v>83</v>
      </c>
      <c r="O776">
        <v>62</v>
      </c>
      <c r="P776">
        <v>92</v>
      </c>
      <c r="Q776">
        <v>71</v>
      </c>
      <c r="R776">
        <f>SUM(student_scores[[#This Row],[math_score]:[geography_score]])</f>
        <v>602</v>
      </c>
      <c r="S776" s="3">
        <f>student_scores[[#This Row],[Total_Score]]/7</f>
        <v>86</v>
      </c>
      <c r="T776" s="3" t="str" cm="1">
        <f t="array" ref="T776">_xlfn.IFS(student_scores[[#This Row],[weekly_self_study_hours]]&lt;=5,   "0 - 5", student_scores[[#This Row],[weekly_self_study_hours]]&lt;=10,  "6 - 10", student_scores[[#This Row],[weekly_self_study_hours]]&lt;=20,  "11 - 20",student_scores[[#This Row],[weekly_self_study_hours]]&lt;=30, "21 - 30",TRUE, "31+")</f>
        <v>0 - 5</v>
      </c>
      <c r="U776" t="str" cm="1">
        <f t="array" ref="U776">_xlfn.IFS(student_scores[[#This Row],[absence_days]]=0,"0", student_scores[[#This Row],[absence_days]]&lt;=3,"1-3", student_scores[[#This Row],[absence_days]]&lt;=6,"4-6", TRUE,"7-10")</f>
        <v>4-6</v>
      </c>
      <c r="V776" t="str">
        <f>IF(student_scores[[#This Row],[Total_Score]] &gt;= _xlfn.PERCENTILE.INC(student_scores[Total_Score], 0.8), "Yes", "No")</f>
        <v>Yes</v>
      </c>
    </row>
    <row r="777" spans="1:22" x14ac:dyDescent="0.35">
      <c r="A777">
        <v>776</v>
      </c>
      <c r="B777" t="s">
        <v>1526</v>
      </c>
      <c r="C777" t="s">
        <v>1527</v>
      </c>
      <c r="D777" t="s">
        <v>1528</v>
      </c>
      <c r="E777" t="s">
        <v>25</v>
      </c>
      <c r="F777" t="b">
        <v>0</v>
      </c>
      <c r="G777">
        <v>1</v>
      </c>
      <c r="H777" t="b">
        <v>0</v>
      </c>
      <c r="I777">
        <v>10</v>
      </c>
      <c r="J777" t="s">
        <v>38</v>
      </c>
      <c r="K777">
        <v>71</v>
      </c>
      <c r="L777">
        <v>72</v>
      </c>
      <c r="M777">
        <v>65</v>
      </c>
      <c r="N777">
        <v>65</v>
      </c>
      <c r="O777">
        <v>65</v>
      </c>
      <c r="P777">
        <v>67</v>
      </c>
      <c r="Q777">
        <v>97</v>
      </c>
      <c r="R777">
        <f>SUM(student_scores[[#This Row],[math_score]:[geography_score]])</f>
        <v>502</v>
      </c>
      <c r="S777" s="3">
        <f>student_scores[[#This Row],[Total_Score]]/7</f>
        <v>71.714285714285708</v>
      </c>
      <c r="T777" s="3" t="str" cm="1">
        <f t="array" ref="T777">_xlfn.IFS(student_scores[[#This Row],[weekly_self_study_hours]]&lt;=5,   "0 - 5", student_scores[[#This Row],[weekly_self_study_hours]]&lt;=10,  "6 - 10", student_scores[[#This Row],[weekly_self_study_hours]]&lt;=20,  "11 - 20",student_scores[[#This Row],[weekly_self_study_hours]]&lt;=30, "21 - 30",TRUE, "31+")</f>
        <v>6 - 10</v>
      </c>
      <c r="U777" t="str" cm="1">
        <f t="array" ref="U777">_xlfn.IFS(student_scores[[#This Row],[absence_days]]=0,"0", student_scores[[#This Row],[absence_days]]&lt;=3,"1-3", student_scores[[#This Row],[absence_days]]&lt;=6,"4-6", TRUE,"7-10")</f>
        <v>1-3</v>
      </c>
      <c r="V777" t="str">
        <f>IF(student_scores[[#This Row],[Total_Score]] &gt;= _xlfn.PERCENTILE.INC(student_scores[Total_Score], 0.8), "Yes", "No")</f>
        <v>No</v>
      </c>
    </row>
    <row r="778" spans="1:22" x14ac:dyDescent="0.35">
      <c r="A778">
        <v>777</v>
      </c>
      <c r="B778" t="s">
        <v>731</v>
      </c>
      <c r="C778" t="s">
        <v>488</v>
      </c>
      <c r="D778" t="s">
        <v>1529</v>
      </c>
      <c r="E778" t="s">
        <v>25</v>
      </c>
      <c r="F778" t="b">
        <v>0</v>
      </c>
      <c r="G778">
        <v>2</v>
      </c>
      <c r="H778" t="b">
        <v>0</v>
      </c>
      <c r="I778">
        <v>32</v>
      </c>
      <c r="J778" t="s">
        <v>105</v>
      </c>
      <c r="K778">
        <v>77</v>
      </c>
      <c r="L778">
        <v>64</v>
      </c>
      <c r="M778">
        <v>69</v>
      </c>
      <c r="N778">
        <v>60</v>
      </c>
      <c r="O778">
        <v>92</v>
      </c>
      <c r="P778">
        <v>76</v>
      </c>
      <c r="Q778">
        <v>74</v>
      </c>
      <c r="R778">
        <f>SUM(student_scores[[#This Row],[math_score]:[geography_score]])</f>
        <v>512</v>
      </c>
      <c r="S778" s="3">
        <f>student_scores[[#This Row],[Total_Score]]/7</f>
        <v>73.142857142857139</v>
      </c>
      <c r="T778" s="3" t="str" cm="1">
        <f t="array" ref="T778">_xlfn.IFS(student_scores[[#This Row],[weekly_self_study_hours]]&lt;=5,   "0 - 5", student_scores[[#This Row],[weekly_self_study_hours]]&lt;=10,  "6 - 10", student_scores[[#This Row],[weekly_self_study_hours]]&lt;=20,  "11 - 20",student_scores[[#This Row],[weekly_self_study_hours]]&lt;=30, "21 - 30",TRUE, "31+")</f>
        <v>31+</v>
      </c>
      <c r="U778" t="str" cm="1">
        <f t="array" ref="U778">_xlfn.IFS(student_scores[[#This Row],[absence_days]]=0,"0", student_scores[[#This Row],[absence_days]]&lt;=3,"1-3", student_scores[[#This Row],[absence_days]]&lt;=6,"4-6", TRUE,"7-10")</f>
        <v>1-3</v>
      </c>
      <c r="V778" t="str">
        <f>IF(student_scores[[#This Row],[Total_Score]] &gt;= _xlfn.PERCENTILE.INC(student_scores[Total_Score], 0.8), "Yes", "No")</f>
        <v>No</v>
      </c>
    </row>
    <row r="779" spans="1:22" x14ac:dyDescent="0.35">
      <c r="A779">
        <v>778</v>
      </c>
      <c r="B779" t="s">
        <v>1530</v>
      </c>
      <c r="C779" t="s">
        <v>444</v>
      </c>
      <c r="D779" t="s">
        <v>1531</v>
      </c>
      <c r="E779" t="s">
        <v>25</v>
      </c>
      <c r="F779" t="b">
        <v>0</v>
      </c>
      <c r="G779">
        <v>1</v>
      </c>
      <c r="H779" t="b">
        <v>0</v>
      </c>
      <c r="I779">
        <v>32</v>
      </c>
      <c r="J779" t="s">
        <v>21</v>
      </c>
      <c r="K779">
        <v>83</v>
      </c>
      <c r="L779">
        <v>84</v>
      </c>
      <c r="M779">
        <v>96</v>
      </c>
      <c r="N779">
        <v>96</v>
      </c>
      <c r="O779">
        <v>79</v>
      </c>
      <c r="P779">
        <v>80</v>
      </c>
      <c r="Q779">
        <v>81</v>
      </c>
      <c r="R779">
        <f>SUM(student_scores[[#This Row],[math_score]:[geography_score]])</f>
        <v>599</v>
      </c>
      <c r="S779" s="3">
        <f>student_scores[[#This Row],[Total_Score]]/7</f>
        <v>85.571428571428569</v>
      </c>
      <c r="T779" s="3" t="str" cm="1">
        <f t="array" ref="T779">_xlfn.IFS(student_scores[[#This Row],[weekly_self_study_hours]]&lt;=5,   "0 - 5", student_scores[[#This Row],[weekly_self_study_hours]]&lt;=10,  "6 - 10", student_scores[[#This Row],[weekly_self_study_hours]]&lt;=20,  "11 - 20",student_scores[[#This Row],[weekly_self_study_hours]]&lt;=30, "21 - 30",TRUE, "31+")</f>
        <v>31+</v>
      </c>
      <c r="U779" t="str" cm="1">
        <f t="array" ref="U779">_xlfn.IFS(student_scores[[#This Row],[absence_days]]=0,"0", student_scores[[#This Row],[absence_days]]&lt;=3,"1-3", student_scores[[#This Row],[absence_days]]&lt;=6,"4-6", TRUE,"7-10")</f>
        <v>1-3</v>
      </c>
      <c r="V779" t="str">
        <f>IF(student_scores[[#This Row],[Total_Score]] &gt;= _xlfn.PERCENTILE.INC(student_scores[Total_Score], 0.8), "Yes", "No")</f>
        <v>No</v>
      </c>
    </row>
    <row r="780" spans="1:22" x14ac:dyDescent="0.35">
      <c r="A780">
        <v>779</v>
      </c>
      <c r="B780" t="s">
        <v>94</v>
      </c>
      <c r="C780" t="s">
        <v>300</v>
      </c>
      <c r="D780" t="s">
        <v>1532</v>
      </c>
      <c r="E780" t="s">
        <v>20</v>
      </c>
      <c r="F780" t="b">
        <v>0</v>
      </c>
      <c r="G780">
        <v>2</v>
      </c>
      <c r="H780" t="b">
        <v>1</v>
      </c>
      <c r="I780">
        <v>16</v>
      </c>
      <c r="J780" t="s">
        <v>44</v>
      </c>
      <c r="K780">
        <v>96</v>
      </c>
      <c r="L780">
        <v>79</v>
      </c>
      <c r="M780">
        <v>80</v>
      </c>
      <c r="N780">
        <v>71</v>
      </c>
      <c r="O780">
        <v>67</v>
      </c>
      <c r="P780">
        <v>76</v>
      </c>
      <c r="Q780">
        <v>63</v>
      </c>
      <c r="R780">
        <f>SUM(student_scores[[#This Row],[math_score]:[geography_score]])</f>
        <v>532</v>
      </c>
      <c r="S780" s="3">
        <f>student_scores[[#This Row],[Total_Score]]/7</f>
        <v>76</v>
      </c>
      <c r="T780" s="3" t="str" cm="1">
        <f t="array" ref="T780">_xlfn.IFS(student_scores[[#This Row],[weekly_self_study_hours]]&lt;=5,   "0 - 5", student_scores[[#This Row],[weekly_self_study_hours]]&lt;=10,  "6 - 10", student_scores[[#This Row],[weekly_self_study_hours]]&lt;=20,  "11 - 20",student_scores[[#This Row],[weekly_self_study_hours]]&lt;=30, "21 - 30",TRUE, "31+")</f>
        <v>11 - 20</v>
      </c>
      <c r="U780" t="str" cm="1">
        <f t="array" ref="U780">_xlfn.IFS(student_scores[[#This Row],[absence_days]]=0,"0", student_scores[[#This Row],[absence_days]]&lt;=3,"1-3", student_scores[[#This Row],[absence_days]]&lt;=6,"4-6", TRUE,"7-10")</f>
        <v>1-3</v>
      </c>
      <c r="V780" t="str">
        <f>IF(student_scores[[#This Row],[Total_Score]] &gt;= _xlfn.PERCENTILE.INC(student_scores[Total_Score], 0.8), "Yes", "No")</f>
        <v>No</v>
      </c>
    </row>
    <row r="781" spans="1:22" x14ac:dyDescent="0.35">
      <c r="A781">
        <v>780</v>
      </c>
      <c r="B781" t="s">
        <v>1112</v>
      </c>
      <c r="C781" t="s">
        <v>1533</v>
      </c>
      <c r="D781" t="s">
        <v>1534</v>
      </c>
      <c r="E781" t="s">
        <v>20</v>
      </c>
      <c r="F781" t="b">
        <v>0</v>
      </c>
      <c r="G781">
        <v>6</v>
      </c>
      <c r="H781" t="b">
        <v>0</v>
      </c>
      <c r="I781">
        <v>35</v>
      </c>
      <c r="J781" t="s">
        <v>38</v>
      </c>
      <c r="K781">
        <v>91</v>
      </c>
      <c r="L781">
        <v>96</v>
      </c>
      <c r="M781">
        <v>100</v>
      </c>
      <c r="N781">
        <v>95</v>
      </c>
      <c r="O781">
        <v>100</v>
      </c>
      <c r="P781">
        <v>94</v>
      </c>
      <c r="Q781">
        <v>95</v>
      </c>
      <c r="R781">
        <f>SUM(student_scores[[#This Row],[math_score]:[geography_score]])</f>
        <v>671</v>
      </c>
      <c r="S781" s="3">
        <f>student_scores[[#This Row],[Total_Score]]/7</f>
        <v>95.857142857142861</v>
      </c>
      <c r="T781" s="3" t="str" cm="1">
        <f t="array" ref="T781">_xlfn.IFS(student_scores[[#This Row],[weekly_self_study_hours]]&lt;=5,   "0 - 5", student_scores[[#This Row],[weekly_self_study_hours]]&lt;=10,  "6 - 10", student_scores[[#This Row],[weekly_self_study_hours]]&lt;=20,  "11 - 20",student_scores[[#This Row],[weekly_self_study_hours]]&lt;=30, "21 - 30",TRUE, "31+")</f>
        <v>31+</v>
      </c>
      <c r="U781" t="str" cm="1">
        <f t="array" ref="U781">_xlfn.IFS(student_scores[[#This Row],[absence_days]]=0,"0", student_scores[[#This Row],[absence_days]]&lt;=3,"1-3", student_scores[[#This Row],[absence_days]]&lt;=6,"4-6", TRUE,"7-10")</f>
        <v>4-6</v>
      </c>
      <c r="V781" t="str">
        <f>IF(student_scores[[#This Row],[Total_Score]] &gt;= _xlfn.PERCENTILE.INC(student_scores[Total_Score], 0.8), "Yes", "No")</f>
        <v>Yes</v>
      </c>
    </row>
    <row r="782" spans="1:22" x14ac:dyDescent="0.35">
      <c r="A782">
        <v>781</v>
      </c>
      <c r="B782" t="s">
        <v>1535</v>
      </c>
      <c r="C782" t="s">
        <v>1536</v>
      </c>
      <c r="D782" t="s">
        <v>1537</v>
      </c>
      <c r="E782" t="s">
        <v>25</v>
      </c>
      <c r="F782" t="b">
        <v>0</v>
      </c>
      <c r="G782">
        <v>8</v>
      </c>
      <c r="H782" t="b">
        <v>0</v>
      </c>
      <c r="I782">
        <v>2</v>
      </c>
      <c r="J782" t="s">
        <v>64</v>
      </c>
      <c r="K782">
        <v>71</v>
      </c>
      <c r="L782">
        <v>69</v>
      </c>
      <c r="M782">
        <v>95</v>
      </c>
      <c r="N782">
        <v>83</v>
      </c>
      <c r="O782">
        <v>90</v>
      </c>
      <c r="P782">
        <v>93</v>
      </c>
      <c r="Q782">
        <v>89</v>
      </c>
      <c r="R782">
        <f>SUM(student_scores[[#This Row],[math_score]:[geography_score]])</f>
        <v>590</v>
      </c>
      <c r="S782" s="3">
        <f>student_scores[[#This Row],[Total_Score]]/7</f>
        <v>84.285714285714292</v>
      </c>
      <c r="T782" s="3" t="str" cm="1">
        <f t="array" ref="T782">_xlfn.IFS(student_scores[[#This Row],[weekly_self_study_hours]]&lt;=5,   "0 - 5", student_scores[[#This Row],[weekly_self_study_hours]]&lt;=10,  "6 - 10", student_scores[[#This Row],[weekly_self_study_hours]]&lt;=20,  "11 - 20",student_scores[[#This Row],[weekly_self_study_hours]]&lt;=30, "21 - 30",TRUE, "31+")</f>
        <v>0 - 5</v>
      </c>
      <c r="U782" t="str" cm="1">
        <f t="array" ref="U782">_xlfn.IFS(student_scores[[#This Row],[absence_days]]=0,"0", student_scores[[#This Row],[absence_days]]&lt;=3,"1-3", student_scores[[#This Row],[absence_days]]&lt;=6,"4-6", TRUE,"7-10")</f>
        <v>7-10</v>
      </c>
      <c r="V782" t="str">
        <f>IF(student_scores[[#This Row],[Total_Score]] &gt;= _xlfn.PERCENTILE.INC(student_scores[Total_Score], 0.8), "Yes", "No")</f>
        <v>No</v>
      </c>
    </row>
    <row r="783" spans="1:22" x14ac:dyDescent="0.35">
      <c r="A783">
        <v>782</v>
      </c>
      <c r="B783" t="s">
        <v>1267</v>
      </c>
      <c r="C783" t="s">
        <v>948</v>
      </c>
      <c r="D783" t="s">
        <v>1538</v>
      </c>
      <c r="E783" t="s">
        <v>25</v>
      </c>
      <c r="F783" t="b">
        <v>0</v>
      </c>
      <c r="G783">
        <v>3</v>
      </c>
      <c r="H783" t="b">
        <v>0</v>
      </c>
      <c r="I783">
        <v>27</v>
      </c>
      <c r="J783" t="s">
        <v>38</v>
      </c>
      <c r="K783">
        <v>84</v>
      </c>
      <c r="L783">
        <v>80</v>
      </c>
      <c r="M783">
        <v>75</v>
      </c>
      <c r="N783">
        <v>63</v>
      </c>
      <c r="O783">
        <v>71</v>
      </c>
      <c r="P783">
        <v>86</v>
      </c>
      <c r="Q783">
        <v>63</v>
      </c>
      <c r="R783">
        <f>SUM(student_scores[[#This Row],[math_score]:[geography_score]])</f>
        <v>522</v>
      </c>
      <c r="S783" s="3">
        <f>student_scores[[#This Row],[Total_Score]]/7</f>
        <v>74.571428571428569</v>
      </c>
      <c r="T783" s="3" t="str" cm="1">
        <f t="array" ref="T783">_xlfn.IFS(student_scores[[#This Row],[weekly_self_study_hours]]&lt;=5,   "0 - 5", student_scores[[#This Row],[weekly_self_study_hours]]&lt;=10,  "6 - 10", student_scores[[#This Row],[weekly_self_study_hours]]&lt;=20,  "11 - 20",student_scores[[#This Row],[weekly_self_study_hours]]&lt;=30, "21 - 30",TRUE, "31+")</f>
        <v>21 - 30</v>
      </c>
      <c r="U783" t="str" cm="1">
        <f t="array" ref="U783">_xlfn.IFS(student_scores[[#This Row],[absence_days]]=0,"0", student_scores[[#This Row],[absence_days]]&lt;=3,"1-3", student_scores[[#This Row],[absence_days]]&lt;=6,"4-6", TRUE,"7-10")</f>
        <v>1-3</v>
      </c>
      <c r="V783" t="str">
        <f>IF(student_scores[[#This Row],[Total_Score]] &gt;= _xlfn.PERCENTILE.INC(student_scores[Total_Score], 0.8), "Yes", "No")</f>
        <v>No</v>
      </c>
    </row>
    <row r="784" spans="1:22" x14ac:dyDescent="0.35">
      <c r="A784">
        <v>783</v>
      </c>
      <c r="B784" t="s">
        <v>1539</v>
      </c>
      <c r="C784" t="s">
        <v>1540</v>
      </c>
      <c r="D784" t="s">
        <v>1541</v>
      </c>
      <c r="E784" t="s">
        <v>20</v>
      </c>
      <c r="F784" t="b">
        <v>0</v>
      </c>
      <c r="G784">
        <v>3</v>
      </c>
      <c r="H784" t="b">
        <v>0</v>
      </c>
      <c r="I784">
        <v>28</v>
      </c>
      <c r="J784" t="s">
        <v>44</v>
      </c>
      <c r="K784">
        <v>91</v>
      </c>
      <c r="L784">
        <v>61</v>
      </c>
      <c r="M784">
        <v>61</v>
      </c>
      <c r="N784">
        <v>85</v>
      </c>
      <c r="O784">
        <v>64</v>
      </c>
      <c r="P784">
        <v>76</v>
      </c>
      <c r="Q784">
        <v>88</v>
      </c>
      <c r="R784">
        <f>SUM(student_scores[[#This Row],[math_score]:[geography_score]])</f>
        <v>526</v>
      </c>
      <c r="S784" s="3">
        <f>student_scores[[#This Row],[Total_Score]]/7</f>
        <v>75.142857142857139</v>
      </c>
      <c r="T784" s="3" t="str" cm="1">
        <f t="array" ref="T784">_xlfn.IFS(student_scores[[#This Row],[weekly_self_study_hours]]&lt;=5,   "0 - 5", student_scores[[#This Row],[weekly_self_study_hours]]&lt;=10,  "6 - 10", student_scores[[#This Row],[weekly_self_study_hours]]&lt;=20,  "11 - 20",student_scores[[#This Row],[weekly_self_study_hours]]&lt;=30, "21 - 30",TRUE, "31+")</f>
        <v>21 - 30</v>
      </c>
      <c r="U784" t="str" cm="1">
        <f t="array" ref="U784">_xlfn.IFS(student_scores[[#This Row],[absence_days]]=0,"0", student_scores[[#This Row],[absence_days]]&lt;=3,"1-3", student_scores[[#This Row],[absence_days]]&lt;=6,"4-6", TRUE,"7-10")</f>
        <v>1-3</v>
      </c>
      <c r="V784" t="str">
        <f>IF(student_scores[[#This Row],[Total_Score]] &gt;= _xlfn.PERCENTILE.INC(student_scores[Total_Score], 0.8), "Yes", "No")</f>
        <v>No</v>
      </c>
    </row>
    <row r="785" spans="1:22" x14ac:dyDescent="0.35">
      <c r="A785">
        <v>784</v>
      </c>
      <c r="B785" t="s">
        <v>225</v>
      </c>
      <c r="C785" t="s">
        <v>639</v>
      </c>
      <c r="D785" t="s">
        <v>1542</v>
      </c>
      <c r="E785" t="s">
        <v>20</v>
      </c>
      <c r="F785" t="b">
        <v>0</v>
      </c>
      <c r="G785">
        <v>2</v>
      </c>
      <c r="H785" t="b">
        <v>0</v>
      </c>
      <c r="I785">
        <v>2</v>
      </c>
      <c r="J785" t="s">
        <v>224</v>
      </c>
      <c r="K785">
        <v>59</v>
      </c>
      <c r="L785">
        <v>65</v>
      </c>
      <c r="M785">
        <v>72</v>
      </c>
      <c r="N785">
        <v>60</v>
      </c>
      <c r="O785">
        <v>94</v>
      </c>
      <c r="P785">
        <v>63</v>
      </c>
      <c r="Q785">
        <v>75</v>
      </c>
      <c r="R785">
        <f>SUM(student_scores[[#This Row],[math_score]:[geography_score]])</f>
        <v>488</v>
      </c>
      <c r="S785" s="3">
        <f>student_scores[[#This Row],[Total_Score]]/7</f>
        <v>69.714285714285708</v>
      </c>
      <c r="T785" s="3" t="str" cm="1">
        <f t="array" ref="T785">_xlfn.IFS(student_scores[[#This Row],[weekly_self_study_hours]]&lt;=5,   "0 - 5", student_scores[[#This Row],[weekly_self_study_hours]]&lt;=10,  "6 - 10", student_scores[[#This Row],[weekly_self_study_hours]]&lt;=20,  "11 - 20",student_scores[[#This Row],[weekly_self_study_hours]]&lt;=30, "21 - 30",TRUE, "31+")</f>
        <v>0 - 5</v>
      </c>
      <c r="U785" t="str" cm="1">
        <f t="array" ref="U785">_xlfn.IFS(student_scores[[#This Row],[absence_days]]=0,"0", student_scores[[#This Row],[absence_days]]&lt;=3,"1-3", student_scores[[#This Row],[absence_days]]&lt;=6,"4-6", TRUE,"7-10")</f>
        <v>1-3</v>
      </c>
      <c r="V785" t="str">
        <f>IF(student_scores[[#This Row],[Total_Score]] &gt;= _xlfn.PERCENTILE.INC(student_scores[Total_Score], 0.8), "Yes", "No")</f>
        <v>No</v>
      </c>
    </row>
    <row r="786" spans="1:22" x14ac:dyDescent="0.35">
      <c r="A786">
        <v>785</v>
      </c>
      <c r="B786" t="s">
        <v>106</v>
      </c>
      <c r="C786" t="s">
        <v>864</v>
      </c>
      <c r="D786" t="s">
        <v>1543</v>
      </c>
      <c r="E786" t="s">
        <v>20</v>
      </c>
      <c r="F786" t="b">
        <v>0</v>
      </c>
      <c r="G786">
        <v>3</v>
      </c>
      <c r="H786" t="b">
        <v>0</v>
      </c>
      <c r="I786">
        <v>42</v>
      </c>
      <c r="J786" t="s">
        <v>26</v>
      </c>
      <c r="K786">
        <v>89</v>
      </c>
      <c r="L786">
        <v>90</v>
      </c>
      <c r="M786">
        <v>91</v>
      </c>
      <c r="N786">
        <v>95</v>
      </c>
      <c r="O786">
        <v>87</v>
      </c>
      <c r="P786">
        <v>92</v>
      </c>
      <c r="Q786">
        <v>96</v>
      </c>
      <c r="R786">
        <f>SUM(student_scores[[#This Row],[math_score]:[geography_score]])</f>
        <v>640</v>
      </c>
      <c r="S786" s="3">
        <f>student_scores[[#This Row],[Total_Score]]/7</f>
        <v>91.428571428571431</v>
      </c>
      <c r="T786" s="3" t="str" cm="1">
        <f t="array" ref="T786">_xlfn.IFS(student_scores[[#This Row],[weekly_self_study_hours]]&lt;=5,   "0 - 5", student_scores[[#This Row],[weekly_self_study_hours]]&lt;=10,  "6 - 10", student_scores[[#This Row],[weekly_self_study_hours]]&lt;=20,  "11 - 20",student_scores[[#This Row],[weekly_self_study_hours]]&lt;=30, "21 - 30",TRUE, "31+")</f>
        <v>31+</v>
      </c>
      <c r="U786" t="str" cm="1">
        <f t="array" ref="U786">_xlfn.IFS(student_scores[[#This Row],[absence_days]]=0,"0", student_scores[[#This Row],[absence_days]]&lt;=3,"1-3", student_scores[[#This Row],[absence_days]]&lt;=6,"4-6", TRUE,"7-10")</f>
        <v>1-3</v>
      </c>
      <c r="V786" t="str">
        <f>IF(student_scores[[#This Row],[Total_Score]] &gt;= _xlfn.PERCENTILE.INC(student_scores[Total_Score], 0.8), "Yes", "No")</f>
        <v>Yes</v>
      </c>
    </row>
    <row r="787" spans="1:22" x14ac:dyDescent="0.35">
      <c r="A787">
        <v>786</v>
      </c>
      <c r="B787" t="s">
        <v>277</v>
      </c>
      <c r="C787" t="s">
        <v>756</v>
      </c>
      <c r="D787" t="s">
        <v>1544</v>
      </c>
      <c r="E787" t="s">
        <v>20</v>
      </c>
      <c r="F787" t="b">
        <v>0</v>
      </c>
      <c r="G787">
        <v>7</v>
      </c>
      <c r="H787" t="b">
        <v>0</v>
      </c>
      <c r="I787">
        <v>31</v>
      </c>
      <c r="J787" t="s">
        <v>105</v>
      </c>
      <c r="K787">
        <v>81</v>
      </c>
      <c r="L787">
        <v>92</v>
      </c>
      <c r="M787">
        <v>68</v>
      </c>
      <c r="N787">
        <v>93</v>
      </c>
      <c r="O787">
        <v>69</v>
      </c>
      <c r="P787">
        <v>78</v>
      </c>
      <c r="Q787">
        <v>89</v>
      </c>
      <c r="R787">
        <f>SUM(student_scores[[#This Row],[math_score]:[geography_score]])</f>
        <v>570</v>
      </c>
      <c r="S787" s="3">
        <f>student_scores[[#This Row],[Total_Score]]/7</f>
        <v>81.428571428571431</v>
      </c>
      <c r="T787" s="3" t="str" cm="1">
        <f t="array" ref="T787">_xlfn.IFS(student_scores[[#This Row],[weekly_self_study_hours]]&lt;=5,   "0 - 5", student_scores[[#This Row],[weekly_self_study_hours]]&lt;=10,  "6 - 10", student_scores[[#This Row],[weekly_self_study_hours]]&lt;=20,  "11 - 20",student_scores[[#This Row],[weekly_self_study_hours]]&lt;=30, "21 - 30",TRUE, "31+")</f>
        <v>31+</v>
      </c>
      <c r="U787" t="str" cm="1">
        <f t="array" ref="U787">_xlfn.IFS(student_scores[[#This Row],[absence_days]]=0,"0", student_scores[[#This Row],[absence_days]]&lt;=3,"1-3", student_scores[[#This Row],[absence_days]]&lt;=6,"4-6", TRUE,"7-10")</f>
        <v>7-10</v>
      </c>
      <c r="V787" t="str">
        <f>IF(student_scores[[#This Row],[Total_Score]] &gt;= _xlfn.PERCENTILE.INC(student_scores[Total_Score], 0.8), "Yes", "No")</f>
        <v>No</v>
      </c>
    </row>
    <row r="788" spans="1:22" x14ac:dyDescent="0.35">
      <c r="A788">
        <v>787</v>
      </c>
      <c r="B788" t="s">
        <v>413</v>
      </c>
      <c r="C788" t="s">
        <v>1545</v>
      </c>
      <c r="D788" t="s">
        <v>1546</v>
      </c>
      <c r="E788" t="s">
        <v>20</v>
      </c>
      <c r="F788" t="b">
        <v>0</v>
      </c>
      <c r="G788">
        <v>3</v>
      </c>
      <c r="H788" t="b">
        <v>0</v>
      </c>
      <c r="I788">
        <v>15</v>
      </c>
      <c r="J788" t="s">
        <v>113</v>
      </c>
      <c r="K788">
        <v>77</v>
      </c>
      <c r="L788">
        <v>84</v>
      </c>
      <c r="M788">
        <v>86</v>
      </c>
      <c r="N788">
        <v>97</v>
      </c>
      <c r="O788">
        <v>90</v>
      </c>
      <c r="P788">
        <v>83</v>
      </c>
      <c r="Q788">
        <v>92</v>
      </c>
      <c r="R788">
        <f>SUM(student_scores[[#This Row],[math_score]:[geography_score]])</f>
        <v>609</v>
      </c>
      <c r="S788" s="3">
        <f>student_scores[[#This Row],[Total_Score]]/7</f>
        <v>87</v>
      </c>
      <c r="T788" s="3" t="str" cm="1">
        <f t="array" ref="T788">_xlfn.IFS(student_scores[[#This Row],[weekly_self_study_hours]]&lt;=5,   "0 - 5", student_scores[[#This Row],[weekly_self_study_hours]]&lt;=10,  "6 - 10", student_scores[[#This Row],[weekly_self_study_hours]]&lt;=20,  "11 - 20",student_scores[[#This Row],[weekly_self_study_hours]]&lt;=30, "21 - 30",TRUE, "31+")</f>
        <v>11 - 20</v>
      </c>
      <c r="U788" t="str" cm="1">
        <f t="array" ref="U788">_xlfn.IFS(student_scores[[#This Row],[absence_days]]=0,"0", student_scores[[#This Row],[absence_days]]&lt;=3,"1-3", student_scores[[#This Row],[absence_days]]&lt;=6,"4-6", TRUE,"7-10")</f>
        <v>1-3</v>
      </c>
      <c r="V788" t="str">
        <f>IF(student_scores[[#This Row],[Total_Score]] &gt;= _xlfn.PERCENTILE.INC(student_scores[Total_Score], 0.8), "Yes", "No")</f>
        <v>Yes</v>
      </c>
    </row>
    <row r="789" spans="1:22" x14ac:dyDescent="0.35">
      <c r="A789">
        <v>788</v>
      </c>
      <c r="B789" t="s">
        <v>1218</v>
      </c>
      <c r="C789" t="s">
        <v>1547</v>
      </c>
      <c r="D789" t="s">
        <v>1548</v>
      </c>
      <c r="E789" t="s">
        <v>20</v>
      </c>
      <c r="F789" t="b">
        <v>0</v>
      </c>
      <c r="G789">
        <v>7</v>
      </c>
      <c r="H789" t="b">
        <v>0</v>
      </c>
      <c r="I789">
        <v>1</v>
      </c>
      <c r="J789" t="s">
        <v>64</v>
      </c>
      <c r="K789">
        <v>72</v>
      </c>
      <c r="L789">
        <v>58</v>
      </c>
      <c r="M789">
        <v>73</v>
      </c>
      <c r="N789">
        <v>57</v>
      </c>
      <c r="O789">
        <v>67</v>
      </c>
      <c r="P789">
        <v>88</v>
      </c>
      <c r="Q789">
        <v>70</v>
      </c>
      <c r="R789">
        <f>SUM(student_scores[[#This Row],[math_score]:[geography_score]])</f>
        <v>485</v>
      </c>
      <c r="S789" s="3">
        <f>student_scores[[#This Row],[Total_Score]]/7</f>
        <v>69.285714285714292</v>
      </c>
      <c r="T789" s="3" t="str" cm="1">
        <f t="array" ref="T789">_xlfn.IFS(student_scores[[#This Row],[weekly_self_study_hours]]&lt;=5,   "0 - 5", student_scores[[#This Row],[weekly_self_study_hours]]&lt;=10,  "6 - 10", student_scores[[#This Row],[weekly_self_study_hours]]&lt;=20,  "11 - 20",student_scores[[#This Row],[weekly_self_study_hours]]&lt;=30, "21 - 30",TRUE, "31+")</f>
        <v>0 - 5</v>
      </c>
      <c r="U789" t="str" cm="1">
        <f t="array" ref="U789">_xlfn.IFS(student_scores[[#This Row],[absence_days]]=0,"0", student_scores[[#This Row],[absence_days]]&lt;=3,"1-3", student_scores[[#This Row],[absence_days]]&lt;=6,"4-6", TRUE,"7-10")</f>
        <v>7-10</v>
      </c>
      <c r="V789" t="str">
        <f>IF(student_scores[[#This Row],[Total_Score]] &gt;= _xlfn.PERCENTILE.INC(student_scores[Total_Score], 0.8), "Yes", "No")</f>
        <v>No</v>
      </c>
    </row>
    <row r="790" spans="1:22" x14ac:dyDescent="0.35">
      <c r="A790">
        <v>789</v>
      </c>
      <c r="B790" t="s">
        <v>1549</v>
      </c>
      <c r="C790" t="s">
        <v>1550</v>
      </c>
      <c r="D790" t="s">
        <v>1551</v>
      </c>
      <c r="E790" t="s">
        <v>25</v>
      </c>
      <c r="F790" t="b">
        <v>0</v>
      </c>
      <c r="G790">
        <v>5</v>
      </c>
      <c r="H790" t="b">
        <v>0</v>
      </c>
      <c r="I790">
        <v>10</v>
      </c>
      <c r="J790" t="s">
        <v>54</v>
      </c>
      <c r="K790">
        <v>91</v>
      </c>
      <c r="L790">
        <v>63</v>
      </c>
      <c r="M790">
        <v>78</v>
      </c>
      <c r="N790">
        <v>93</v>
      </c>
      <c r="O790">
        <v>76</v>
      </c>
      <c r="P790">
        <v>76</v>
      </c>
      <c r="Q790">
        <v>90</v>
      </c>
      <c r="R790">
        <f>SUM(student_scores[[#This Row],[math_score]:[geography_score]])</f>
        <v>567</v>
      </c>
      <c r="S790" s="3">
        <f>student_scores[[#This Row],[Total_Score]]/7</f>
        <v>81</v>
      </c>
      <c r="T790" s="3" t="str" cm="1">
        <f t="array" ref="T790">_xlfn.IFS(student_scores[[#This Row],[weekly_self_study_hours]]&lt;=5,   "0 - 5", student_scores[[#This Row],[weekly_self_study_hours]]&lt;=10,  "6 - 10", student_scores[[#This Row],[weekly_self_study_hours]]&lt;=20,  "11 - 20",student_scores[[#This Row],[weekly_self_study_hours]]&lt;=30, "21 - 30",TRUE, "31+")</f>
        <v>6 - 10</v>
      </c>
      <c r="U790" t="str" cm="1">
        <f t="array" ref="U790">_xlfn.IFS(student_scores[[#This Row],[absence_days]]=0,"0", student_scores[[#This Row],[absence_days]]&lt;=3,"1-3", student_scores[[#This Row],[absence_days]]&lt;=6,"4-6", TRUE,"7-10")</f>
        <v>4-6</v>
      </c>
      <c r="V790" t="str">
        <f>IF(student_scores[[#This Row],[Total_Score]] &gt;= _xlfn.PERCENTILE.INC(student_scores[Total_Score], 0.8), "Yes", "No")</f>
        <v>No</v>
      </c>
    </row>
    <row r="791" spans="1:22" x14ac:dyDescent="0.35">
      <c r="A791">
        <v>790</v>
      </c>
      <c r="B791" t="s">
        <v>722</v>
      </c>
      <c r="C791" t="s">
        <v>56</v>
      </c>
      <c r="D791" t="s">
        <v>1552</v>
      </c>
      <c r="E791" t="s">
        <v>25</v>
      </c>
      <c r="F791" t="b">
        <v>0</v>
      </c>
      <c r="G791">
        <v>5</v>
      </c>
      <c r="H791" t="b">
        <v>0</v>
      </c>
      <c r="I791">
        <v>40</v>
      </c>
      <c r="J791" t="s">
        <v>26</v>
      </c>
      <c r="K791">
        <v>88</v>
      </c>
      <c r="L791">
        <v>100</v>
      </c>
      <c r="M791">
        <v>94</v>
      </c>
      <c r="N791">
        <v>91</v>
      </c>
      <c r="O791">
        <v>85</v>
      </c>
      <c r="P791">
        <v>91</v>
      </c>
      <c r="Q791">
        <v>88</v>
      </c>
      <c r="R791">
        <f>SUM(student_scores[[#This Row],[math_score]:[geography_score]])</f>
        <v>637</v>
      </c>
      <c r="S791" s="3">
        <f>student_scores[[#This Row],[Total_Score]]/7</f>
        <v>91</v>
      </c>
      <c r="T791" s="3" t="str" cm="1">
        <f t="array" ref="T791">_xlfn.IFS(student_scores[[#This Row],[weekly_self_study_hours]]&lt;=5,   "0 - 5", student_scores[[#This Row],[weekly_self_study_hours]]&lt;=10,  "6 - 10", student_scores[[#This Row],[weekly_self_study_hours]]&lt;=20,  "11 - 20",student_scores[[#This Row],[weekly_self_study_hours]]&lt;=30, "21 - 30",TRUE, "31+")</f>
        <v>31+</v>
      </c>
      <c r="U791" t="str" cm="1">
        <f t="array" ref="U791">_xlfn.IFS(student_scores[[#This Row],[absence_days]]=0,"0", student_scores[[#This Row],[absence_days]]&lt;=3,"1-3", student_scores[[#This Row],[absence_days]]&lt;=6,"4-6", TRUE,"7-10")</f>
        <v>4-6</v>
      </c>
      <c r="V791" t="str">
        <f>IF(student_scores[[#This Row],[Total_Score]] &gt;= _xlfn.PERCENTILE.INC(student_scores[Total_Score], 0.8), "Yes", "No")</f>
        <v>Yes</v>
      </c>
    </row>
    <row r="792" spans="1:22" x14ac:dyDescent="0.35">
      <c r="A792">
        <v>791</v>
      </c>
      <c r="B792" t="s">
        <v>1141</v>
      </c>
      <c r="C792" t="s">
        <v>1553</v>
      </c>
      <c r="D792" t="s">
        <v>1554</v>
      </c>
      <c r="E792" t="s">
        <v>20</v>
      </c>
      <c r="F792" t="b">
        <v>0</v>
      </c>
      <c r="G792">
        <v>8</v>
      </c>
      <c r="H792" t="b">
        <v>0</v>
      </c>
      <c r="I792">
        <v>40</v>
      </c>
      <c r="J792" t="s">
        <v>26</v>
      </c>
      <c r="K792">
        <v>94</v>
      </c>
      <c r="L792">
        <v>88</v>
      </c>
      <c r="M792">
        <v>99</v>
      </c>
      <c r="N792">
        <v>92</v>
      </c>
      <c r="O792">
        <v>98</v>
      </c>
      <c r="P792">
        <v>85</v>
      </c>
      <c r="Q792">
        <v>95</v>
      </c>
      <c r="R792">
        <f>SUM(student_scores[[#This Row],[math_score]:[geography_score]])</f>
        <v>651</v>
      </c>
      <c r="S792" s="3">
        <f>student_scores[[#This Row],[Total_Score]]/7</f>
        <v>93</v>
      </c>
      <c r="T792" s="3" t="str" cm="1">
        <f t="array" ref="T792">_xlfn.IFS(student_scores[[#This Row],[weekly_self_study_hours]]&lt;=5,   "0 - 5", student_scores[[#This Row],[weekly_self_study_hours]]&lt;=10,  "6 - 10", student_scores[[#This Row],[weekly_self_study_hours]]&lt;=20,  "11 - 20",student_scores[[#This Row],[weekly_self_study_hours]]&lt;=30, "21 - 30",TRUE, "31+")</f>
        <v>31+</v>
      </c>
      <c r="U792" t="str" cm="1">
        <f t="array" ref="U792">_xlfn.IFS(student_scores[[#This Row],[absence_days]]=0,"0", student_scores[[#This Row],[absence_days]]&lt;=3,"1-3", student_scores[[#This Row],[absence_days]]&lt;=6,"4-6", TRUE,"7-10")</f>
        <v>7-10</v>
      </c>
      <c r="V792" t="str">
        <f>IF(student_scores[[#This Row],[Total_Score]] &gt;= _xlfn.PERCENTILE.INC(student_scores[Total_Score], 0.8), "Yes", "No")</f>
        <v>Yes</v>
      </c>
    </row>
    <row r="793" spans="1:22" x14ac:dyDescent="0.35">
      <c r="A793">
        <v>792</v>
      </c>
      <c r="B793" t="s">
        <v>1555</v>
      </c>
      <c r="C793" t="s">
        <v>1556</v>
      </c>
      <c r="D793" t="s">
        <v>1557</v>
      </c>
      <c r="E793" t="s">
        <v>25</v>
      </c>
      <c r="F793" t="b">
        <v>0</v>
      </c>
      <c r="G793">
        <v>0</v>
      </c>
      <c r="H793" t="b">
        <v>0</v>
      </c>
      <c r="I793">
        <v>8</v>
      </c>
      <c r="J793" t="s">
        <v>224</v>
      </c>
      <c r="K793">
        <v>67</v>
      </c>
      <c r="L793">
        <v>72</v>
      </c>
      <c r="M793">
        <v>98</v>
      </c>
      <c r="N793">
        <v>65</v>
      </c>
      <c r="O793">
        <v>61</v>
      </c>
      <c r="P793">
        <v>87</v>
      </c>
      <c r="Q793">
        <v>89</v>
      </c>
      <c r="R793">
        <f>SUM(student_scores[[#This Row],[math_score]:[geography_score]])</f>
        <v>539</v>
      </c>
      <c r="S793" s="3">
        <f>student_scores[[#This Row],[Total_Score]]/7</f>
        <v>77</v>
      </c>
      <c r="T793" s="3" t="str" cm="1">
        <f t="array" ref="T793">_xlfn.IFS(student_scores[[#This Row],[weekly_self_study_hours]]&lt;=5,   "0 - 5", student_scores[[#This Row],[weekly_self_study_hours]]&lt;=10,  "6 - 10", student_scores[[#This Row],[weekly_self_study_hours]]&lt;=20,  "11 - 20",student_scores[[#This Row],[weekly_self_study_hours]]&lt;=30, "21 - 30",TRUE, "31+")</f>
        <v>6 - 10</v>
      </c>
      <c r="U793" t="str" cm="1">
        <f t="array" ref="U793">_xlfn.IFS(student_scores[[#This Row],[absence_days]]=0,"0", student_scores[[#This Row],[absence_days]]&lt;=3,"1-3", student_scores[[#This Row],[absence_days]]&lt;=6,"4-6", TRUE,"7-10")</f>
        <v>0</v>
      </c>
      <c r="V793" t="str">
        <f>IF(student_scores[[#This Row],[Total_Score]] &gt;= _xlfn.PERCENTILE.INC(student_scores[Total_Score], 0.8), "Yes", "No")</f>
        <v>No</v>
      </c>
    </row>
    <row r="794" spans="1:22" x14ac:dyDescent="0.35">
      <c r="A794">
        <v>793</v>
      </c>
      <c r="B794" t="s">
        <v>39</v>
      </c>
      <c r="C794" t="s">
        <v>1223</v>
      </c>
      <c r="D794" t="s">
        <v>1558</v>
      </c>
      <c r="E794" t="s">
        <v>25</v>
      </c>
      <c r="F794" t="b">
        <v>0</v>
      </c>
      <c r="G794">
        <v>2</v>
      </c>
      <c r="H794" t="b">
        <v>0</v>
      </c>
      <c r="I794">
        <v>22</v>
      </c>
      <c r="J794" t="s">
        <v>38</v>
      </c>
      <c r="K794">
        <v>88</v>
      </c>
      <c r="L794">
        <v>86</v>
      </c>
      <c r="M794">
        <v>82</v>
      </c>
      <c r="N794">
        <v>89</v>
      </c>
      <c r="O794">
        <v>81</v>
      </c>
      <c r="P794">
        <v>61</v>
      </c>
      <c r="Q794">
        <v>83</v>
      </c>
      <c r="R794">
        <f>SUM(student_scores[[#This Row],[math_score]:[geography_score]])</f>
        <v>570</v>
      </c>
      <c r="S794" s="3">
        <f>student_scores[[#This Row],[Total_Score]]/7</f>
        <v>81.428571428571431</v>
      </c>
      <c r="T794" s="3" t="str" cm="1">
        <f t="array" ref="T794">_xlfn.IFS(student_scores[[#This Row],[weekly_self_study_hours]]&lt;=5,   "0 - 5", student_scores[[#This Row],[weekly_self_study_hours]]&lt;=10,  "6 - 10", student_scores[[#This Row],[weekly_self_study_hours]]&lt;=20,  "11 - 20",student_scores[[#This Row],[weekly_self_study_hours]]&lt;=30, "21 - 30",TRUE, "31+")</f>
        <v>21 - 30</v>
      </c>
      <c r="U794" t="str" cm="1">
        <f t="array" ref="U794">_xlfn.IFS(student_scores[[#This Row],[absence_days]]=0,"0", student_scores[[#This Row],[absence_days]]&lt;=3,"1-3", student_scores[[#This Row],[absence_days]]&lt;=6,"4-6", TRUE,"7-10")</f>
        <v>1-3</v>
      </c>
      <c r="V794" t="str">
        <f>IF(student_scores[[#This Row],[Total_Score]] &gt;= _xlfn.PERCENTILE.INC(student_scores[Total_Score], 0.8), "Yes", "No")</f>
        <v>No</v>
      </c>
    </row>
    <row r="795" spans="1:22" x14ac:dyDescent="0.35">
      <c r="A795">
        <v>794</v>
      </c>
      <c r="B795" t="s">
        <v>1559</v>
      </c>
      <c r="C795" t="s">
        <v>400</v>
      </c>
      <c r="D795" t="s">
        <v>1560</v>
      </c>
      <c r="E795" t="s">
        <v>25</v>
      </c>
      <c r="F795" t="b">
        <v>0</v>
      </c>
      <c r="G795">
        <v>3</v>
      </c>
      <c r="H795" t="b">
        <v>0</v>
      </c>
      <c r="I795">
        <v>21</v>
      </c>
      <c r="J795" t="s">
        <v>38</v>
      </c>
      <c r="K795">
        <v>67</v>
      </c>
      <c r="L795">
        <v>67</v>
      </c>
      <c r="M795">
        <v>62</v>
      </c>
      <c r="N795">
        <v>80</v>
      </c>
      <c r="O795">
        <v>61</v>
      </c>
      <c r="P795">
        <v>61</v>
      </c>
      <c r="Q795">
        <v>82</v>
      </c>
      <c r="R795">
        <f>SUM(student_scores[[#This Row],[math_score]:[geography_score]])</f>
        <v>480</v>
      </c>
      <c r="S795" s="3">
        <f>student_scores[[#This Row],[Total_Score]]/7</f>
        <v>68.571428571428569</v>
      </c>
      <c r="T795" s="3" t="str" cm="1">
        <f t="array" ref="T795">_xlfn.IFS(student_scores[[#This Row],[weekly_self_study_hours]]&lt;=5,   "0 - 5", student_scores[[#This Row],[weekly_self_study_hours]]&lt;=10,  "6 - 10", student_scores[[#This Row],[weekly_self_study_hours]]&lt;=20,  "11 - 20",student_scores[[#This Row],[weekly_self_study_hours]]&lt;=30, "21 - 30",TRUE, "31+")</f>
        <v>21 - 30</v>
      </c>
      <c r="U795" t="str" cm="1">
        <f t="array" ref="U795">_xlfn.IFS(student_scores[[#This Row],[absence_days]]=0,"0", student_scores[[#This Row],[absence_days]]&lt;=3,"1-3", student_scores[[#This Row],[absence_days]]&lt;=6,"4-6", TRUE,"7-10")</f>
        <v>1-3</v>
      </c>
      <c r="V795" t="str">
        <f>IF(student_scores[[#This Row],[Total_Score]] &gt;= _xlfn.PERCENTILE.INC(student_scores[Total_Score], 0.8), "Yes", "No")</f>
        <v>No</v>
      </c>
    </row>
    <row r="796" spans="1:22" x14ac:dyDescent="0.35">
      <c r="A796">
        <v>795</v>
      </c>
      <c r="B796" t="s">
        <v>252</v>
      </c>
      <c r="C796" t="s">
        <v>1561</v>
      </c>
      <c r="D796" t="s">
        <v>1562</v>
      </c>
      <c r="E796" t="s">
        <v>20</v>
      </c>
      <c r="F796" t="b">
        <v>0</v>
      </c>
      <c r="G796">
        <v>7</v>
      </c>
      <c r="H796" t="b">
        <v>0</v>
      </c>
      <c r="I796">
        <v>31</v>
      </c>
      <c r="J796" t="s">
        <v>21</v>
      </c>
      <c r="K796">
        <v>95</v>
      </c>
      <c r="L796">
        <v>87</v>
      </c>
      <c r="M796">
        <v>96</v>
      </c>
      <c r="N796">
        <v>97</v>
      </c>
      <c r="O796">
        <v>83</v>
      </c>
      <c r="P796">
        <v>93</v>
      </c>
      <c r="Q796">
        <v>88</v>
      </c>
      <c r="R796">
        <f>SUM(student_scores[[#This Row],[math_score]:[geography_score]])</f>
        <v>639</v>
      </c>
      <c r="S796" s="3">
        <f>student_scores[[#This Row],[Total_Score]]/7</f>
        <v>91.285714285714292</v>
      </c>
      <c r="T796" s="3" t="str" cm="1">
        <f t="array" ref="T796">_xlfn.IFS(student_scores[[#This Row],[weekly_self_study_hours]]&lt;=5,   "0 - 5", student_scores[[#This Row],[weekly_self_study_hours]]&lt;=10,  "6 - 10", student_scores[[#This Row],[weekly_self_study_hours]]&lt;=20,  "11 - 20",student_scores[[#This Row],[weekly_self_study_hours]]&lt;=30, "21 - 30",TRUE, "31+")</f>
        <v>31+</v>
      </c>
      <c r="U796" t="str" cm="1">
        <f t="array" ref="U796">_xlfn.IFS(student_scores[[#This Row],[absence_days]]=0,"0", student_scores[[#This Row],[absence_days]]&lt;=3,"1-3", student_scores[[#This Row],[absence_days]]&lt;=6,"4-6", TRUE,"7-10")</f>
        <v>7-10</v>
      </c>
      <c r="V796" t="str">
        <f>IF(student_scores[[#This Row],[Total_Score]] &gt;= _xlfn.PERCENTILE.INC(student_scores[Total_Score], 0.8), "Yes", "No")</f>
        <v>Yes</v>
      </c>
    </row>
    <row r="797" spans="1:22" x14ac:dyDescent="0.35">
      <c r="A797">
        <v>796</v>
      </c>
      <c r="B797" t="s">
        <v>1563</v>
      </c>
      <c r="C797" t="s">
        <v>1564</v>
      </c>
      <c r="D797" t="s">
        <v>1565</v>
      </c>
      <c r="E797" t="s">
        <v>20</v>
      </c>
      <c r="F797" t="b">
        <v>0</v>
      </c>
      <c r="G797">
        <v>1</v>
      </c>
      <c r="H797" t="b">
        <v>0</v>
      </c>
      <c r="I797">
        <v>10</v>
      </c>
      <c r="J797" t="s">
        <v>30</v>
      </c>
      <c r="K797">
        <v>96</v>
      </c>
      <c r="L797">
        <v>91</v>
      </c>
      <c r="M797">
        <v>78</v>
      </c>
      <c r="N797">
        <v>94</v>
      </c>
      <c r="O797">
        <v>81</v>
      </c>
      <c r="P797">
        <v>88</v>
      </c>
      <c r="Q797">
        <v>86</v>
      </c>
      <c r="R797">
        <f>SUM(student_scores[[#This Row],[math_score]:[geography_score]])</f>
        <v>614</v>
      </c>
      <c r="S797" s="3">
        <f>student_scores[[#This Row],[Total_Score]]/7</f>
        <v>87.714285714285708</v>
      </c>
      <c r="T797" s="3" t="str" cm="1">
        <f t="array" ref="T797">_xlfn.IFS(student_scores[[#This Row],[weekly_self_study_hours]]&lt;=5,   "0 - 5", student_scores[[#This Row],[weekly_self_study_hours]]&lt;=10,  "6 - 10", student_scores[[#This Row],[weekly_self_study_hours]]&lt;=20,  "11 - 20",student_scores[[#This Row],[weekly_self_study_hours]]&lt;=30, "21 - 30",TRUE, "31+")</f>
        <v>6 - 10</v>
      </c>
      <c r="U797" t="str" cm="1">
        <f t="array" ref="U797">_xlfn.IFS(student_scores[[#This Row],[absence_days]]=0,"0", student_scores[[#This Row],[absence_days]]&lt;=3,"1-3", student_scores[[#This Row],[absence_days]]&lt;=6,"4-6", TRUE,"7-10")</f>
        <v>1-3</v>
      </c>
      <c r="V797" t="str">
        <f>IF(student_scores[[#This Row],[Total_Score]] &gt;= _xlfn.PERCENTILE.INC(student_scores[Total_Score], 0.8), "Yes", "No")</f>
        <v>Yes</v>
      </c>
    </row>
    <row r="798" spans="1:22" x14ac:dyDescent="0.35">
      <c r="A798">
        <v>797</v>
      </c>
      <c r="B798" t="s">
        <v>130</v>
      </c>
      <c r="C798" t="s">
        <v>403</v>
      </c>
      <c r="D798" t="s">
        <v>1566</v>
      </c>
      <c r="E798" t="s">
        <v>25</v>
      </c>
      <c r="F798" t="b">
        <v>0</v>
      </c>
      <c r="G798">
        <v>3</v>
      </c>
      <c r="H798" t="b">
        <v>1</v>
      </c>
      <c r="I798">
        <v>35</v>
      </c>
      <c r="J798" t="s">
        <v>105</v>
      </c>
      <c r="K798">
        <v>87</v>
      </c>
      <c r="L798">
        <v>99</v>
      </c>
      <c r="M798">
        <v>99</v>
      </c>
      <c r="N798">
        <v>100</v>
      </c>
      <c r="O798">
        <v>98</v>
      </c>
      <c r="P798">
        <v>96</v>
      </c>
      <c r="Q798">
        <v>94</v>
      </c>
      <c r="R798">
        <f>SUM(student_scores[[#This Row],[math_score]:[geography_score]])</f>
        <v>673</v>
      </c>
      <c r="S798" s="3">
        <f>student_scores[[#This Row],[Total_Score]]/7</f>
        <v>96.142857142857139</v>
      </c>
      <c r="T798" s="3" t="str" cm="1">
        <f t="array" ref="T798">_xlfn.IFS(student_scores[[#This Row],[weekly_self_study_hours]]&lt;=5,   "0 - 5", student_scores[[#This Row],[weekly_self_study_hours]]&lt;=10,  "6 - 10", student_scores[[#This Row],[weekly_self_study_hours]]&lt;=20,  "11 - 20",student_scores[[#This Row],[weekly_self_study_hours]]&lt;=30, "21 - 30",TRUE, "31+")</f>
        <v>31+</v>
      </c>
      <c r="U798" t="str" cm="1">
        <f t="array" ref="U798">_xlfn.IFS(student_scores[[#This Row],[absence_days]]=0,"0", student_scores[[#This Row],[absence_days]]&lt;=3,"1-3", student_scores[[#This Row],[absence_days]]&lt;=6,"4-6", TRUE,"7-10")</f>
        <v>1-3</v>
      </c>
      <c r="V798" t="str">
        <f>IF(student_scores[[#This Row],[Total_Score]] &gt;= _xlfn.PERCENTILE.INC(student_scores[Total_Score], 0.8), "Yes", "No")</f>
        <v>Yes</v>
      </c>
    </row>
    <row r="799" spans="1:22" x14ac:dyDescent="0.35">
      <c r="A799">
        <v>798</v>
      </c>
      <c r="B799" t="s">
        <v>139</v>
      </c>
      <c r="C799" t="s">
        <v>103</v>
      </c>
      <c r="D799" t="s">
        <v>1567</v>
      </c>
      <c r="E799" t="s">
        <v>20</v>
      </c>
      <c r="F799" t="b">
        <v>0</v>
      </c>
      <c r="G799">
        <v>3</v>
      </c>
      <c r="H799" t="b">
        <v>0</v>
      </c>
      <c r="I799">
        <v>14</v>
      </c>
      <c r="J799" t="s">
        <v>105</v>
      </c>
      <c r="K799">
        <v>85</v>
      </c>
      <c r="L799">
        <v>88</v>
      </c>
      <c r="M799">
        <v>85</v>
      </c>
      <c r="N799">
        <v>92</v>
      </c>
      <c r="O799">
        <v>96</v>
      </c>
      <c r="P799">
        <v>81</v>
      </c>
      <c r="Q799">
        <v>95</v>
      </c>
      <c r="R799">
        <f>SUM(student_scores[[#This Row],[math_score]:[geography_score]])</f>
        <v>622</v>
      </c>
      <c r="S799" s="3">
        <f>student_scores[[#This Row],[Total_Score]]/7</f>
        <v>88.857142857142861</v>
      </c>
      <c r="T799" s="3" t="str" cm="1">
        <f t="array" ref="T799">_xlfn.IFS(student_scores[[#This Row],[weekly_self_study_hours]]&lt;=5,   "0 - 5", student_scores[[#This Row],[weekly_self_study_hours]]&lt;=10,  "6 - 10", student_scores[[#This Row],[weekly_self_study_hours]]&lt;=20,  "11 - 20",student_scores[[#This Row],[weekly_self_study_hours]]&lt;=30, "21 - 30",TRUE, "31+")</f>
        <v>11 - 20</v>
      </c>
      <c r="U799" t="str" cm="1">
        <f t="array" ref="U799">_xlfn.IFS(student_scores[[#This Row],[absence_days]]=0,"0", student_scores[[#This Row],[absence_days]]&lt;=3,"1-3", student_scores[[#This Row],[absence_days]]&lt;=6,"4-6", TRUE,"7-10")</f>
        <v>1-3</v>
      </c>
      <c r="V799" t="str">
        <f>IF(student_scores[[#This Row],[Total_Score]] &gt;= _xlfn.PERCENTILE.INC(student_scores[Total_Score], 0.8), "Yes", "No")</f>
        <v>Yes</v>
      </c>
    </row>
    <row r="800" spans="1:22" x14ac:dyDescent="0.35">
      <c r="A800">
        <v>799</v>
      </c>
      <c r="B800" t="s">
        <v>1043</v>
      </c>
      <c r="C800" t="s">
        <v>295</v>
      </c>
      <c r="D800" t="s">
        <v>1568</v>
      </c>
      <c r="E800" t="s">
        <v>20</v>
      </c>
      <c r="F800" t="b">
        <v>0</v>
      </c>
      <c r="G800">
        <v>2</v>
      </c>
      <c r="H800" t="b">
        <v>0</v>
      </c>
      <c r="I800">
        <v>7</v>
      </c>
      <c r="J800" t="s">
        <v>30</v>
      </c>
      <c r="K800">
        <v>88</v>
      </c>
      <c r="L800">
        <v>85</v>
      </c>
      <c r="M800">
        <v>100</v>
      </c>
      <c r="N800">
        <v>68</v>
      </c>
      <c r="O800">
        <v>65</v>
      </c>
      <c r="P800">
        <v>97</v>
      </c>
      <c r="Q800">
        <v>94</v>
      </c>
      <c r="R800">
        <f>SUM(student_scores[[#This Row],[math_score]:[geography_score]])</f>
        <v>597</v>
      </c>
      <c r="S800" s="3">
        <f>student_scores[[#This Row],[Total_Score]]/7</f>
        <v>85.285714285714292</v>
      </c>
      <c r="T800" s="3" t="str" cm="1">
        <f t="array" ref="T800">_xlfn.IFS(student_scores[[#This Row],[weekly_self_study_hours]]&lt;=5,   "0 - 5", student_scores[[#This Row],[weekly_self_study_hours]]&lt;=10,  "6 - 10", student_scores[[#This Row],[weekly_self_study_hours]]&lt;=20,  "11 - 20",student_scores[[#This Row],[weekly_self_study_hours]]&lt;=30, "21 - 30",TRUE, "31+")</f>
        <v>6 - 10</v>
      </c>
      <c r="U800" t="str" cm="1">
        <f t="array" ref="U800">_xlfn.IFS(student_scores[[#This Row],[absence_days]]=0,"0", student_scores[[#This Row],[absence_days]]&lt;=3,"1-3", student_scores[[#This Row],[absence_days]]&lt;=6,"4-6", TRUE,"7-10")</f>
        <v>1-3</v>
      </c>
      <c r="V800" t="str">
        <f>IF(student_scores[[#This Row],[Total_Score]] &gt;= _xlfn.PERCENTILE.INC(student_scores[Total_Score], 0.8), "Yes", "No")</f>
        <v>No</v>
      </c>
    </row>
    <row r="801" spans="1:22" x14ac:dyDescent="0.35">
      <c r="A801">
        <v>800</v>
      </c>
      <c r="B801" t="s">
        <v>413</v>
      </c>
      <c r="C801" t="s">
        <v>1569</v>
      </c>
      <c r="D801" t="s">
        <v>1570</v>
      </c>
      <c r="E801" t="s">
        <v>20</v>
      </c>
      <c r="F801" t="b">
        <v>0</v>
      </c>
      <c r="G801">
        <v>5</v>
      </c>
      <c r="H801" t="b">
        <v>0</v>
      </c>
      <c r="I801">
        <v>4</v>
      </c>
      <c r="J801" t="s">
        <v>64</v>
      </c>
      <c r="K801">
        <v>94</v>
      </c>
      <c r="L801">
        <v>68</v>
      </c>
      <c r="M801">
        <v>72</v>
      </c>
      <c r="N801">
        <v>99</v>
      </c>
      <c r="O801">
        <v>83</v>
      </c>
      <c r="P801">
        <v>53</v>
      </c>
      <c r="Q801">
        <v>83</v>
      </c>
      <c r="R801">
        <f>SUM(student_scores[[#This Row],[math_score]:[geography_score]])</f>
        <v>552</v>
      </c>
      <c r="S801" s="3">
        <f>student_scores[[#This Row],[Total_Score]]/7</f>
        <v>78.857142857142861</v>
      </c>
      <c r="T801" s="3" t="str" cm="1">
        <f t="array" ref="T801">_xlfn.IFS(student_scores[[#This Row],[weekly_self_study_hours]]&lt;=5,   "0 - 5", student_scores[[#This Row],[weekly_self_study_hours]]&lt;=10,  "6 - 10", student_scores[[#This Row],[weekly_self_study_hours]]&lt;=20,  "11 - 20",student_scores[[#This Row],[weekly_self_study_hours]]&lt;=30, "21 - 30",TRUE, "31+")</f>
        <v>0 - 5</v>
      </c>
      <c r="U801" t="str" cm="1">
        <f t="array" ref="U801">_xlfn.IFS(student_scores[[#This Row],[absence_days]]=0,"0", student_scores[[#This Row],[absence_days]]&lt;=3,"1-3", student_scores[[#This Row],[absence_days]]&lt;=6,"4-6", TRUE,"7-10")</f>
        <v>4-6</v>
      </c>
      <c r="V801" t="str">
        <f>IF(student_scores[[#This Row],[Total_Score]] &gt;= _xlfn.PERCENTILE.INC(student_scores[Total_Score], 0.8), "Yes", "No")</f>
        <v>No</v>
      </c>
    </row>
    <row r="802" spans="1:22" x14ac:dyDescent="0.35">
      <c r="A802">
        <v>801</v>
      </c>
      <c r="B802" t="s">
        <v>1267</v>
      </c>
      <c r="C802" t="s">
        <v>491</v>
      </c>
      <c r="D802" t="s">
        <v>1571</v>
      </c>
      <c r="E802" t="s">
        <v>25</v>
      </c>
      <c r="F802" t="b">
        <v>0</v>
      </c>
      <c r="G802">
        <v>4</v>
      </c>
      <c r="H802" t="b">
        <v>1</v>
      </c>
      <c r="I802">
        <v>14</v>
      </c>
      <c r="J802" t="s">
        <v>54</v>
      </c>
      <c r="K802">
        <v>67</v>
      </c>
      <c r="L802">
        <v>100</v>
      </c>
      <c r="M802">
        <v>77</v>
      </c>
      <c r="N802">
        <v>85</v>
      </c>
      <c r="O802">
        <v>73</v>
      </c>
      <c r="P802">
        <v>95</v>
      </c>
      <c r="Q802">
        <v>86</v>
      </c>
      <c r="R802">
        <f>SUM(student_scores[[#This Row],[math_score]:[geography_score]])</f>
        <v>583</v>
      </c>
      <c r="S802" s="3">
        <f>student_scores[[#This Row],[Total_Score]]/7</f>
        <v>83.285714285714292</v>
      </c>
      <c r="T802" s="3" t="str" cm="1">
        <f t="array" ref="T802">_xlfn.IFS(student_scores[[#This Row],[weekly_self_study_hours]]&lt;=5,   "0 - 5", student_scores[[#This Row],[weekly_self_study_hours]]&lt;=10,  "6 - 10", student_scores[[#This Row],[weekly_self_study_hours]]&lt;=20,  "11 - 20",student_scores[[#This Row],[weekly_self_study_hours]]&lt;=30, "21 - 30",TRUE, "31+")</f>
        <v>11 - 20</v>
      </c>
      <c r="U802" t="str" cm="1">
        <f t="array" ref="U802">_xlfn.IFS(student_scores[[#This Row],[absence_days]]=0,"0", student_scores[[#This Row],[absence_days]]&lt;=3,"1-3", student_scores[[#This Row],[absence_days]]&lt;=6,"4-6", TRUE,"7-10")</f>
        <v>4-6</v>
      </c>
      <c r="V802" t="str">
        <f>IF(student_scores[[#This Row],[Total_Score]] &gt;= _xlfn.PERCENTILE.INC(student_scores[Total_Score], 0.8), "Yes", "No")</f>
        <v>No</v>
      </c>
    </row>
    <row r="803" spans="1:22" x14ac:dyDescent="0.35">
      <c r="A803">
        <v>802</v>
      </c>
      <c r="B803" t="s">
        <v>388</v>
      </c>
      <c r="C803" t="s">
        <v>411</v>
      </c>
      <c r="D803" t="s">
        <v>1572</v>
      </c>
      <c r="E803" t="s">
        <v>25</v>
      </c>
      <c r="F803" t="b">
        <v>0</v>
      </c>
      <c r="G803">
        <v>1</v>
      </c>
      <c r="H803" t="b">
        <v>1</v>
      </c>
      <c r="I803">
        <v>29</v>
      </c>
      <c r="J803" t="s">
        <v>44</v>
      </c>
      <c r="K803">
        <v>92</v>
      </c>
      <c r="L803">
        <v>63</v>
      </c>
      <c r="M803">
        <v>99</v>
      </c>
      <c r="N803">
        <v>77</v>
      </c>
      <c r="O803">
        <v>82</v>
      </c>
      <c r="P803">
        <v>88</v>
      </c>
      <c r="Q803">
        <v>72</v>
      </c>
      <c r="R803">
        <f>SUM(student_scores[[#This Row],[math_score]:[geography_score]])</f>
        <v>573</v>
      </c>
      <c r="S803" s="3">
        <f>student_scores[[#This Row],[Total_Score]]/7</f>
        <v>81.857142857142861</v>
      </c>
      <c r="T803" s="3" t="str" cm="1">
        <f t="array" ref="T803">_xlfn.IFS(student_scores[[#This Row],[weekly_self_study_hours]]&lt;=5,   "0 - 5", student_scores[[#This Row],[weekly_self_study_hours]]&lt;=10,  "6 - 10", student_scores[[#This Row],[weekly_self_study_hours]]&lt;=20,  "11 - 20",student_scores[[#This Row],[weekly_self_study_hours]]&lt;=30, "21 - 30",TRUE, "31+")</f>
        <v>21 - 30</v>
      </c>
      <c r="U803" t="str" cm="1">
        <f t="array" ref="U803">_xlfn.IFS(student_scores[[#This Row],[absence_days]]=0,"0", student_scores[[#This Row],[absence_days]]&lt;=3,"1-3", student_scores[[#This Row],[absence_days]]&lt;=6,"4-6", TRUE,"7-10")</f>
        <v>1-3</v>
      </c>
      <c r="V803" t="str">
        <f>IF(student_scores[[#This Row],[Total_Score]] &gt;= _xlfn.PERCENTILE.INC(student_scores[Total_Score], 0.8), "Yes", "No")</f>
        <v>No</v>
      </c>
    </row>
    <row r="804" spans="1:22" x14ac:dyDescent="0.35">
      <c r="A804">
        <v>803</v>
      </c>
      <c r="B804" t="s">
        <v>517</v>
      </c>
      <c r="C804" t="s">
        <v>1573</v>
      </c>
      <c r="D804" t="s">
        <v>1574</v>
      </c>
      <c r="E804" t="s">
        <v>25</v>
      </c>
      <c r="F804" t="b">
        <v>1</v>
      </c>
      <c r="G804">
        <v>3</v>
      </c>
      <c r="H804" t="b">
        <v>0</v>
      </c>
      <c r="I804">
        <v>20</v>
      </c>
      <c r="J804" t="s">
        <v>113</v>
      </c>
      <c r="K804">
        <v>76</v>
      </c>
      <c r="L804">
        <v>75</v>
      </c>
      <c r="M804">
        <v>60</v>
      </c>
      <c r="N804">
        <v>77</v>
      </c>
      <c r="O804">
        <v>71</v>
      </c>
      <c r="P804">
        <v>70</v>
      </c>
      <c r="Q804">
        <v>88</v>
      </c>
      <c r="R804">
        <f>SUM(student_scores[[#This Row],[math_score]:[geography_score]])</f>
        <v>517</v>
      </c>
      <c r="S804" s="3">
        <f>student_scores[[#This Row],[Total_Score]]/7</f>
        <v>73.857142857142861</v>
      </c>
      <c r="T804" s="3" t="str" cm="1">
        <f t="array" ref="T804">_xlfn.IFS(student_scores[[#This Row],[weekly_self_study_hours]]&lt;=5,   "0 - 5", student_scores[[#This Row],[weekly_self_study_hours]]&lt;=10,  "6 - 10", student_scores[[#This Row],[weekly_self_study_hours]]&lt;=20,  "11 - 20",student_scores[[#This Row],[weekly_self_study_hours]]&lt;=30, "21 - 30",TRUE, "31+")</f>
        <v>11 - 20</v>
      </c>
      <c r="U804" t="str" cm="1">
        <f t="array" ref="U804">_xlfn.IFS(student_scores[[#This Row],[absence_days]]=0,"0", student_scores[[#This Row],[absence_days]]&lt;=3,"1-3", student_scores[[#This Row],[absence_days]]&lt;=6,"4-6", TRUE,"7-10")</f>
        <v>1-3</v>
      </c>
      <c r="V804" t="str">
        <f>IF(student_scores[[#This Row],[Total_Score]] &gt;= _xlfn.PERCENTILE.INC(student_scores[Total_Score], 0.8), "Yes", "No")</f>
        <v>No</v>
      </c>
    </row>
    <row r="805" spans="1:22" x14ac:dyDescent="0.35">
      <c r="A805">
        <v>804</v>
      </c>
      <c r="B805" t="s">
        <v>1267</v>
      </c>
      <c r="C805" t="s">
        <v>1575</v>
      </c>
      <c r="D805" t="s">
        <v>1576</v>
      </c>
      <c r="E805" t="s">
        <v>25</v>
      </c>
      <c r="F805" t="b">
        <v>0</v>
      </c>
      <c r="G805">
        <v>3</v>
      </c>
      <c r="H805" t="b">
        <v>1</v>
      </c>
      <c r="I805">
        <v>24</v>
      </c>
      <c r="J805" t="s">
        <v>44</v>
      </c>
      <c r="K805">
        <v>86</v>
      </c>
      <c r="L805">
        <v>75</v>
      </c>
      <c r="M805">
        <v>96</v>
      </c>
      <c r="N805">
        <v>62</v>
      </c>
      <c r="O805">
        <v>81</v>
      </c>
      <c r="P805">
        <v>91</v>
      </c>
      <c r="Q805">
        <v>84</v>
      </c>
      <c r="R805">
        <f>SUM(student_scores[[#This Row],[math_score]:[geography_score]])</f>
        <v>575</v>
      </c>
      <c r="S805" s="3">
        <f>student_scores[[#This Row],[Total_Score]]/7</f>
        <v>82.142857142857139</v>
      </c>
      <c r="T805" s="3" t="str" cm="1">
        <f t="array" ref="T805">_xlfn.IFS(student_scores[[#This Row],[weekly_self_study_hours]]&lt;=5,   "0 - 5", student_scores[[#This Row],[weekly_self_study_hours]]&lt;=10,  "6 - 10", student_scores[[#This Row],[weekly_self_study_hours]]&lt;=20,  "11 - 20",student_scores[[#This Row],[weekly_self_study_hours]]&lt;=30, "21 - 30",TRUE, "31+")</f>
        <v>21 - 30</v>
      </c>
      <c r="U805" t="str" cm="1">
        <f t="array" ref="U805">_xlfn.IFS(student_scores[[#This Row],[absence_days]]=0,"0", student_scores[[#This Row],[absence_days]]&lt;=3,"1-3", student_scores[[#This Row],[absence_days]]&lt;=6,"4-6", TRUE,"7-10")</f>
        <v>1-3</v>
      </c>
      <c r="V805" t="str">
        <f>IF(student_scores[[#This Row],[Total_Score]] &gt;= _xlfn.PERCENTILE.INC(student_scores[Total_Score], 0.8), "Yes", "No")</f>
        <v>No</v>
      </c>
    </row>
    <row r="806" spans="1:22" x14ac:dyDescent="0.35">
      <c r="A806">
        <v>805</v>
      </c>
      <c r="B806" t="s">
        <v>1057</v>
      </c>
      <c r="C806" t="s">
        <v>1125</v>
      </c>
      <c r="D806" t="s">
        <v>1577</v>
      </c>
      <c r="E806" t="s">
        <v>25</v>
      </c>
      <c r="F806" t="b">
        <v>0</v>
      </c>
      <c r="G806">
        <v>3</v>
      </c>
      <c r="H806" t="b">
        <v>1</v>
      </c>
      <c r="I806">
        <v>27</v>
      </c>
      <c r="J806" t="s">
        <v>44</v>
      </c>
      <c r="K806">
        <v>94</v>
      </c>
      <c r="L806">
        <v>94</v>
      </c>
      <c r="M806">
        <v>86</v>
      </c>
      <c r="N806">
        <v>62</v>
      </c>
      <c r="O806">
        <v>73</v>
      </c>
      <c r="P806">
        <v>90</v>
      </c>
      <c r="Q806">
        <v>75</v>
      </c>
      <c r="R806">
        <f>SUM(student_scores[[#This Row],[math_score]:[geography_score]])</f>
        <v>574</v>
      </c>
      <c r="S806" s="3">
        <f>student_scores[[#This Row],[Total_Score]]/7</f>
        <v>82</v>
      </c>
      <c r="T806" s="3" t="str" cm="1">
        <f t="array" ref="T806">_xlfn.IFS(student_scores[[#This Row],[weekly_self_study_hours]]&lt;=5,   "0 - 5", student_scores[[#This Row],[weekly_self_study_hours]]&lt;=10,  "6 - 10", student_scores[[#This Row],[weekly_self_study_hours]]&lt;=20,  "11 - 20",student_scores[[#This Row],[weekly_self_study_hours]]&lt;=30, "21 - 30",TRUE, "31+")</f>
        <v>21 - 30</v>
      </c>
      <c r="U806" t="str" cm="1">
        <f t="array" ref="U806">_xlfn.IFS(student_scores[[#This Row],[absence_days]]=0,"0", student_scores[[#This Row],[absence_days]]&lt;=3,"1-3", student_scores[[#This Row],[absence_days]]&lt;=6,"4-6", TRUE,"7-10")</f>
        <v>1-3</v>
      </c>
      <c r="V806" t="str">
        <f>IF(student_scores[[#This Row],[Total_Score]] &gt;= _xlfn.PERCENTILE.INC(student_scores[Total_Score], 0.8), "Yes", "No")</f>
        <v>No</v>
      </c>
    </row>
    <row r="807" spans="1:22" x14ac:dyDescent="0.35">
      <c r="A807">
        <v>806</v>
      </c>
      <c r="B807" t="s">
        <v>319</v>
      </c>
      <c r="C807" t="s">
        <v>429</v>
      </c>
      <c r="D807" t="s">
        <v>1578</v>
      </c>
      <c r="E807" t="s">
        <v>25</v>
      </c>
      <c r="F807" t="b">
        <v>0</v>
      </c>
      <c r="G807">
        <v>3</v>
      </c>
      <c r="H807" t="b">
        <v>0</v>
      </c>
      <c r="I807">
        <v>31</v>
      </c>
      <c r="J807" t="s">
        <v>44</v>
      </c>
      <c r="K807">
        <v>100</v>
      </c>
      <c r="L807">
        <v>85</v>
      </c>
      <c r="M807">
        <v>62</v>
      </c>
      <c r="N807">
        <v>62</v>
      </c>
      <c r="O807">
        <v>89</v>
      </c>
      <c r="P807">
        <v>65</v>
      </c>
      <c r="Q807">
        <v>67</v>
      </c>
      <c r="R807">
        <f>SUM(student_scores[[#This Row],[math_score]:[geography_score]])</f>
        <v>530</v>
      </c>
      <c r="S807" s="3">
        <f>student_scores[[#This Row],[Total_Score]]/7</f>
        <v>75.714285714285708</v>
      </c>
      <c r="T807" s="3" t="str" cm="1">
        <f t="array" ref="T807">_xlfn.IFS(student_scores[[#This Row],[weekly_self_study_hours]]&lt;=5,   "0 - 5", student_scores[[#This Row],[weekly_self_study_hours]]&lt;=10,  "6 - 10", student_scores[[#This Row],[weekly_self_study_hours]]&lt;=20,  "11 - 20",student_scores[[#This Row],[weekly_self_study_hours]]&lt;=30, "21 - 30",TRUE, "31+")</f>
        <v>31+</v>
      </c>
      <c r="U807" t="str" cm="1">
        <f t="array" ref="U807">_xlfn.IFS(student_scores[[#This Row],[absence_days]]=0,"0", student_scores[[#This Row],[absence_days]]&lt;=3,"1-3", student_scores[[#This Row],[absence_days]]&lt;=6,"4-6", TRUE,"7-10")</f>
        <v>1-3</v>
      </c>
      <c r="V807" t="str">
        <f>IF(student_scores[[#This Row],[Total_Score]] &gt;= _xlfn.PERCENTILE.INC(student_scores[Total_Score], 0.8), "Yes", "No")</f>
        <v>No</v>
      </c>
    </row>
    <row r="808" spans="1:22" x14ac:dyDescent="0.35">
      <c r="A808">
        <v>807</v>
      </c>
      <c r="B808" t="s">
        <v>1086</v>
      </c>
      <c r="C808" t="s">
        <v>1579</v>
      </c>
      <c r="D808" t="s">
        <v>1580</v>
      </c>
      <c r="E808" t="s">
        <v>25</v>
      </c>
      <c r="F808" t="b">
        <v>0</v>
      </c>
      <c r="G808">
        <v>4</v>
      </c>
      <c r="H808" t="b">
        <v>0</v>
      </c>
      <c r="I808">
        <v>27</v>
      </c>
      <c r="J808" t="s">
        <v>21</v>
      </c>
      <c r="K808">
        <v>74</v>
      </c>
      <c r="L808">
        <v>84</v>
      </c>
      <c r="M808">
        <v>71</v>
      </c>
      <c r="N808">
        <v>93</v>
      </c>
      <c r="O808">
        <v>65</v>
      </c>
      <c r="P808">
        <v>98</v>
      </c>
      <c r="Q808">
        <v>61</v>
      </c>
      <c r="R808">
        <f>SUM(student_scores[[#This Row],[math_score]:[geography_score]])</f>
        <v>546</v>
      </c>
      <c r="S808" s="3">
        <f>student_scores[[#This Row],[Total_Score]]/7</f>
        <v>78</v>
      </c>
      <c r="T808" s="3" t="str" cm="1">
        <f t="array" ref="T808">_xlfn.IFS(student_scores[[#This Row],[weekly_self_study_hours]]&lt;=5,   "0 - 5", student_scores[[#This Row],[weekly_self_study_hours]]&lt;=10,  "6 - 10", student_scores[[#This Row],[weekly_self_study_hours]]&lt;=20,  "11 - 20",student_scores[[#This Row],[weekly_self_study_hours]]&lt;=30, "21 - 30",TRUE, "31+")</f>
        <v>21 - 30</v>
      </c>
      <c r="U808" t="str" cm="1">
        <f t="array" ref="U808">_xlfn.IFS(student_scores[[#This Row],[absence_days]]=0,"0", student_scores[[#This Row],[absence_days]]&lt;=3,"1-3", student_scores[[#This Row],[absence_days]]&lt;=6,"4-6", TRUE,"7-10")</f>
        <v>4-6</v>
      </c>
      <c r="V808" t="str">
        <f>IF(student_scores[[#This Row],[Total_Score]] &gt;= _xlfn.PERCENTILE.INC(student_scores[Total_Score], 0.8), "Yes", "No")</f>
        <v>No</v>
      </c>
    </row>
    <row r="809" spans="1:22" x14ac:dyDescent="0.35">
      <c r="A809">
        <v>808</v>
      </c>
      <c r="B809" t="s">
        <v>35</v>
      </c>
      <c r="C809" t="s">
        <v>62</v>
      </c>
      <c r="D809" t="s">
        <v>1581</v>
      </c>
      <c r="E809" t="s">
        <v>20</v>
      </c>
      <c r="F809" t="b">
        <v>0</v>
      </c>
      <c r="G809">
        <v>2</v>
      </c>
      <c r="H809" t="b">
        <v>0</v>
      </c>
      <c r="I809">
        <v>23</v>
      </c>
      <c r="J809" t="s">
        <v>38</v>
      </c>
      <c r="K809">
        <v>99</v>
      </c>
      <c r="L809">
        <v>98</v>
      </c>
      <c r="M809">
        <v>70</v>
      </c>
      <c r="N809">
        <v>73</v>
      </c>
      <c r="O809">
        <v>63</v>
      </c>
      <c r="P809">
        <v>62</v>
      </c>
      <c r="Q809">
        <v>88</v>
      </c>
      <c r="R809">
        <f>SUM(student_scores[[#This Row],[math_score]:[geography_score]])</f>
        <v>553</v>
      </c>
      <c r="S809" s="3">
        <f>student_scores[[#This Row],[Total_Score]]/7</f>
        <v>79</v>
      </c>
      <c r="T809" s="3" t="str" cm="1">
        <f t="array" ref="T809">_xlfn.IFS(student_scores[[#This Row],[weekly_self_study_hours]]&lt;=5,   "0 - 5", student_scores[[#This Row],[weekly_self_study_hours]]&lt;=10,  "6 - 10", student_scores[[#This Row],[weekly_self_study_hours]]&lt;=20,  "11 - 20",student_scores[[#This Row],[weekly_self_study_hours]]&lt;=30, "21 - 30",TRUE, "31+")</f>
        <v>21 - 30</v>
      </c>
      <c r="U809" t="str" cm="1">
        <f t="array" ref="U809">_xlfn.IFS(student_scores[[#This Row],[absence_days]]=0,"0", student_scores[[#This Row],[absence_days]]&lt;=3,"1-3", student_scores[[#This Row],[absence_days]]&lt;=6,"4-6", TRUE,"7-10")</f>
        <v>1-3</v>
      </c>
      <c r="V809" t="str">
        <f>IF(student_scores[[#This Row],[Total_Score]] &gt;= _xlfn.PERCENTILE.INC(student_scores[Total_Score], 0.8), "Yes", "No")</f>
        <v>No</v>
      </c>
    </row>
    <row r="810" spans="1:22" x14ac:dyDescent="0.35">
      <c r="A810">
        <v>809</v>
      </c>
      <c r="B810" t="s">
        <v>1582</v>
      </c>
      <c r="C810" t="s">
        <v>66</v>
      </c>
      <c r="D810" t="s">
        <v>1583</v>
      </c>
      <c r="E810" t="s">
        <v>25</v>
      </c>
      <c r="F810" t="b">
        <v>0</v>
      </c>
      <c r="G810">
        <v>10</v>
      </c>
      <c r="H810" t="b">
        <v>0</v>
      </c>
      <c r="I810">
        <v>0</v>
      </c>
      <c r="J810" t="s">
        <v>64</v>
      </c>
      <c r="K810">
        <v>66</v>
      </c>
      <c r="L810">
        <v>97</v>
      </c>
      <c r="M810">
        <v>72</v>
      </c>
      <c r="N810">
        <v>98</v>
      </c>
      <c r="O810">
        <v>86</v>
      </c>
      <c r="P810">
        <v>86</v>
      </c>
      <c r="Q810">
        <v>63</v>
      </c>
      <c r="R810">
        <f>SUM(student_scores[[#This Row],[math_score]:[geography_score]])</f>
        <v>568</v>
      </c>
      <c r="S810" s="3">
        <f>student_scores[[#This Row],[Total_Score]]/7</f>
        <v>81.142857142857139</v>
      </c>
      <c r="T810" s="3" t="str" cm="1">
        <f t="array" ref="T810">_xlfn.IFS(student_scores[[#This Row],[weekly_self_study_hours]]&lt;=5,   "0 - 5", student_scores[[#This Row],[weekly_self_study_hours]]&lt;=10,  "6 - 10", student_scores[[#This Row],[weekly_self_study_hours]]&lt;=20,  "11 - 20",student_scores[[#This Row],[weekly_self_study_hours]]&lt;=30, "21 - 30",TRUE, "31+")</f>
        <v>0 - 5</v>
      </c>
      <c r="U810" t="str" cm="1">
        <f t="array" ref="U810">_xlfn.IFS(student_scores[[#This Row],[absence_days]]=0,"0", student_scores[[#This Row],[absence_days]]&lt;=3,"1-3", student_scores[[#This Row],[absence_days]]&lt;=6,"4-6", TRUE,"7-10")</f>
        <v>7-10</v>
      </c>
      <c r="V810" t="str">
        <f>IF(student_scores[[#This Row],[Total_Score]] &gt;= _xlfn.PERCENTILE.INC(student_scores[Total_Score], 0.8), "Yes", "No")</f>
        <v>No</v>
      </c>
    </row>
    <row r="811" spans="1:22" x14ac:dyDescent="0.35">
      <c r="A811">
        <v>810</v>
      </c>
      <c r="B811" t="s">
        <v>1584</v>
      </c>
      <c r="C811" t="s">
        <v>49</v>
      </c>
      <c r="D811" t="s">
        <v>1585</v>
      </c>
      <c r="E811" t="s">
        <v>25</v>
      </c>
      <c r="F811" t="b">
        <v>0</v>
      </c>
      <c r="G811">
        <v>2</v>
      </c>
      <c r="H811" t="b">
        <v>0</v>
      </c>
      <c r="I811">
        <v>35</v>
      </c>
      <c r="J811" t="s">
        <v>76</v>
      </c>
      <c r="K811">
        <v>99</v>
      </c>
      <c r="L811">
        <v>96</v>
      </c>
      <c r="M811">
        <v>100</v>
      </c>
      <c r="N811">
        <v>95</v>
      </c>
      <c r="O811">
        <v>90</v>
      </c>
      <c r="P811">
        <v>95</v>
      </c>
      <c r="Q811">
        <v>88</v>
      </c>
      <c r="R811">
        <f>SUM(student_scores[[#This Row],[math_score]:[geography_score]])</f>
        <v>663</v>
      </c>
      <c r="S811" s="3">
        <f>student_scores[[#This Row],[Total_Score]]/7</f>
        <v>94.714285714285708</v>
      </c>
      <c r="T811" s="3" t="str" cm="1">
        <f t="array" ref="T811">_xlfn.IFS(student_scores[[#This Row],[weekly_self_study_hours]]&lt;=5,   "0 - 5", student_scores[[#This Row],[weekly_self_study_hours]]&lt;=10,  "6 - 10", student_scores[[#This Row],[weekly_self_study_hours]]&lt;=20,  "11 - 20",student_scores[[#This Row],[weekly_self_study_hours]]&lt;=30, "21 - 30",TRUE, "31+")</f>
        <v>31+</v>
      </c>
      <c r="U811" t="str" cm="1">
        <f t="array" ref="U811">_xlfn.IFS(student_scores[[#This Row],[absence_days]]=0,"0", student_scores[[#This Row],[absence_days]]&lt;=3,"1-3", student_scores[[#This Row],[absence_days]]&lt;=6,"4-6", TRUE,"7-10")</f>
        <v>1-3</v>
      </c>
      <c r="V811" t="str">
        <f>IF(student_scores[[#This Row],[Total_Score]] &gt;= _xlfn.PERCENTILE.INC(student_scores[Total_Score], 0.8), "Yes", "No")</f>
        <v>Yes</v>
      </c>
    </row>
    <row r="812" spans="1:22" x14ac:dyDescent="0.35">
      <c r="A812">
        <v>811</v>
      </c>
      <c r="B812" t="s">
        <v>473</v>
      </c>
      <c r="C812" t="s">
        <v>632</v>
      </c>
      <c r="D812" t="s">
        <v>1586</v>
      </c>
      <c r="E812" t="s">
        <v>20</v>
      </c>
      <c r="F812" t="b">
        <v>0</v>
      </c>
      <c r="G812">
        <v>1</v>
      </c>
      <c r="H812" t="b">
        <v>1</v>
      </c>
      <c r="I812">
        <v>33</v>
      </c>
      <c r="J812" t="s">
        <v>38</v>
      </c>
      <c r="K812">
        <v>97</v>
      </c>
      <c r="L812">
        <v>76</v>
      </c>
      <c r="M812">
        <v>99</v>
      </c>
      <c r="N812">
        <v>85</v>
      </c>
      <c r="O812">
        <v>98</v>
      </c>
      <c r="P812">
        <v>62</v>
      </c>
      <c r="Q812">
        <v>97</v>
      </c>
      <c r="R812">
        <f>SUM(student_scores[[#This Row],[math_score]:[geography_score]])</f>
        <v>614</v>
      </c>
      <c r="S812" s="3">
        <f>student_scores[[#This Row],[Total_Score]]/7</f>
        <v>87.714285714285708</v>
      </c>
      <c r="T812" s="3" t="str" cm="1">
        <f t="array" ref="T812">_xlfn.IFS(student_scores[[#This Row],[weekly_self_study_hours]]&lt;=5,   "0 - 5", student_scores[[#This Row],[weekly_self_study_hours]]&lt;=10,  "6 - 10", student_scores[[#This Row],[weekly_self_study_hours]]&lt;=20,  "11 - 20",student_scores[[#This Row],[weekly_self_study_hours]]&lt;=30, "21 - 30",TRUE, "31+")</f>
        <v>31+</v>
      </c>
      <c r="U812" t="str" cm="1">
        <f t="array" ref="U812">_xlfn.IFS(student_scores[[#This Row],[absence_days]]=0,"0", student_scores[[#This Row],[absence_days]]&lt;=3,"1-3", student_scores[[#This Row],[absence_days]]&lt;=6,"4-6", TRUE,"7-10")</f>
        <v>1-3</v>
      </c>
      <c r="V812" t="str">
        <f>IF(student_scores[[#This Row],[Total_Score]] &gt;= _xlfn.PERCENTILE.INC(student_scores[Total_Score], 0.8), "Yes", "No")</f>
        <v>Yes</v>
      </c>
    </row>
    <row r="813" spans="1:22" x14ac:dyDescent="0.35">
      <c r="A813">
        <v>812</v>
      </c>
      <c r="B813" t="s">
        <v>221</v>
      </c>
      <c r="C813" t="s">
        <v>167</v>
      </c>
      <c r="D813" t="s">
        <v>1587</v>
      </c>
      <c r="E813" t="s">
        <v>20</v>
      </c>
      <c r="F813" t="b">
        <v>0</v>
      </c>
      <c r="G813">
        <v>5</v>
      </c>
      <c r="H813" t="b">
        <v>1</v>
      </c>
      <c r="I813">
        <v>11</v>
      </c>
      <c r="J813" t="s">
        <v>105</v>
      </c>
      <c r="K813">
        <v>81</v>
      </c>
      <c r="L813">
        <v>71</v>
      </c>
      <c r="M813">
        <v>76</v>
      </c>
      <c r="N813">
        <v>95</v>
      </c>
      <c r="O813">
        <v>99</v>
      </c>
      <c r="P813">
        <v>85</v>
      </c>
      <c r="Q813">
        <v>71</v>
      </c>
      <c r="R813">
        <f>SUM(student_scores[[#This Row],[math_score]:[geography_score]])</f>
        <v>578</v>
      </c>
      <c r="S813" s="3">
        <f>student_scores[[#This Row],[Total_Score]]/7</f>
        <v>82.571428571428569</v>
      </c>
      <c r="T813" s="3" t="str" cm="1">
        <f t="array" ref="T813">_xlfn.IFS(student_scores[[#This Row],[weekly_self_study_hours]]&lt;=5,   "0 - 5", student_scores[[#This Row],[weekly_self_study_hours]]&lt;=10,  "6 - 10", student_scores[[#This Row],[weekly_self_study_hours]]&lt;=20,  "11 - 20",student_scores[[#This Row],[weekly_self_study_hours]]&lt;=30, "21 - 30",TRUE, "31+")</f>
        <v>11 - 20</v>
      </c>
      <c r="U813" t="str" cm="1">
        <f t="array" ref="U813">_xlfn.IFS(student_scores[[#This Row],[absence_days]]=0,"0", student_scores[[#This Row],[absence_days]]&lt;=3,"1-3", student_scores[[#This Row],[absence_days]]&lt;=6,"4-6", TRUE,"7-10")</f>
        <v>4-6</v>
      </c>
      <c r="V813" t="str">
        <f>IF(student_scores[[#This Row],[Total_Score]] &gt;= _xlfn.PERCENTILE.INC(student_scores[Total_Score], 0.8), "Yes", "No")</f>
        <v>No</v>
      </c>
    </row>
    <row r="814" spans="1:22" x14ac:dyDescent="0.35">
      <c r="A814">
        <v>813</v>
      </c>
      <c r="B814" t="s">
        <v>27</v>
      </c>
      <c r="C814" t="s">
        <v>504</v>
      </c>
      <c r="D814" t="s">
        <v>1588</v>
      </c>
      <c r="E814" t="s">
        <v>25</v>
      </c>
      <c r="F814" t="b">
        <v>0</v>
      </c>
      <c r="G814">
        <v>9</v>
      </c>
      <c r="H814" t="b">
        <v>0</v>
      </c>
      <c r="I814">
        <v>10</v>
      </c>
      <c r="J814" t="s">
        <v>105</v>
      </c>
      <c r="K814">
        <v>95</v>
      </c>
      <c r="L814">
        <v>88</v>
      </c>
      <c r="M814">
        <v>62</v>
      </c>
      <c r="N814">
        <v>85</v>
      </c>
      <c r="O814">
        <v>82</v>
      </c>
      <c r="P814">
        <v>94</v>
      </c>
      <c r="Q814">
        <v>73</v>
      </c>
      <c r="R814">
        <f>SUM(student_scores[[#This Row],[math_score]:[geography_score]])</f>
        <v>579</v>
      </c>
      <c r="S814" s="3">
        <f>student_scores[[#This Row],[Total_Score]]/7</f>
        <v>82.714285714285708</v>
      </c>
      <c r="T814" s="3" t="str" cm="1">
        <f t="array" ref="T814">_xlfn.IFS(student_scores[[#This Row],[weekly_self_study_hours]]&lt;=5,   "0 - 5", student_scores[[#This Row],[weekly_self_study_hours]]&lt;=10,  "6 - 10", student_scores[[#This Row],[weekly_self_study_hours]]&lt;=20,  "11 - 20",student_scores[[#This Row],[weekly_self_study_hours]]&lt;=30, "21 - 30",TRUE, "31+")</f>
        <v>6 - 10</v>
      </c>
      <c r="U814" t="str" cm="1">
        <f t="array" ref="U814">_xlfn.IFS(student_scores[[#This Row],[absence_days]]=0,"0", student_scores[[#This Row],[absence_days]]&lt;=3,"1-3", student_scores[[#This Row],[absence_days]]&lt;=6,"4-6", TRUE,"7-10")</f>
        <v>7-10</v>
      </c>
      <c r="V814" t="str">
        <f>IF(student_scores[[#This Row],[Total_Score]] &gt;= _xlfn.PERCENTILE.INC(student_scores[Total_Score], 0.8), "Yes", "No")</f>
        <v>No</v>
      </c>
    </row>
    <row r="815" spans="1:22" x14ac:dyDescent="0.35">
      <c r="A815">
        <v>814</v>
      </c>
      <c r="B815" t="s">
        <v>1589</v>
      </c>
      <c r="C815" t="s">
        <v>295</v>
      </c>
      <c r="D815" t="s">
        <v>1590</v>
      </c>
      <c r="E815" t="s">
        <v>20</v>
      </c>
      <c r="F815" t="b">
        <v>1</v>
      </c>
      <c r="G815">
        <v>6</v>
      </c>
      <c r="H815" t="b">
        <v>0</v>
      </c>
      <c r="I815">
        <v>3</v>
      </c>
      <c r="J815" t="s">
        <v>64</v>
      </c>
      <c r="K815">
        <v>55</v>
      </c>
      <c r="L815">
        <v>69</v>
      </c>
      <c r="M815">
        <v>53</v>
      </c>
      <c r="N815">
        <v>75</v>
      </c>
      <c r="O815">
        <v>86</v>
      </c>
      <c r="P815">
        <v>95</v>
      </c>
      <c r="Q815">
        <v>61</v>
      </c>
      <c r="R815">
        <f>SUM(student_scores[[#This Row],[math_score]:[geography_score]])</f>
        <v>494</v>
      </c>
      <c r="S815" s="3">
        <f>student_scores[[#This Row],[Total_Score]]/7</f>
        <v>70.571428571428569</v>
      </c>
      <c r="T815" s="3" t="str" cm="1">
        <f t="array" ref="T815">_xlfn.IFS(student_scores[[#This Row],[weekly_self_study_hours]]&lt;=5,   "0 - 5", student_scores[[#This Row],[weekly_self_study_hours]]&lt;=10,  "6 - 10", student_scores[[#This Row],[weekly_self_study_hours]]&lt;=20,  "11 - 20",student_scores[[#This Row],[weekly_self_study_hours]]&lt;=30, "21 - 30",TRUE, "31+")</f>
        <v>0 - 5</v>
      </c>
      <c r="U815" t="str" cm="1">
        <f t="array" ref="U815">_xlfn.IFS(student_scores[[#This Row],[absence_days]]=0,"0", student_scores[[#This Row],[absence_days]]&lt;=3,"1-3", student_scores[[#This Row],[absence_days]]&lt;=6,"4-6", TRUE,"7-10")</f>
        <v>4-6</v>
      </c>
      <c r="V815" t="str">
        <f>IF(student_scores[[#This Row],[Total_Score]] &gt;= _xlfn.PERCENTILE.INC(student_scores[Total_Score], 0.8), "Yes", "No")</f>
        <v>No</v>
      </c>
    </row>
    <row r="816" spans="1:22" x14ac:dyDescent="0.35">
      <c r="A816">
        <v>815</v>
      </c>
      <c r="B816" t="s">
        <v>110</v>
      </c>
      <c r="C816" t="s">
        <v>300</v>
      </c>
      <c r="D816" t="s">
        <v>1591</v>
      </c>
      <c r="E816" t="s">
        <v>20</v>
      </c>
      <c r="F816" t="b">
        <v>0</v>
      </c>
      <c r="G816">
        <v>3</v>
      </c>
      <c r="H816" t="b">
        <v>0</v>
      </c>
      <c r="I816">
        <v>5</v>
      </c>
      <c r="J816" t="s">
        <v>224</v>
      </c>
      <c r="K816">
        <v>50</v>
      </c>
      <c r="L816">
        <v>62</v>
      </c>
      <c r="M816">
        <v>97</v>
      </c>
      <c r="N816">
        <v>90</v>
      </c>
      <c r="O816">
        <v>93</v>
      </c>
      <c r="P816">
        <v>75</v>
      </c>
      <c r="Q816">
        <v>80</v>
      </c>
      <c r="R816">
        <f>SUM(student_scores[[#This Row],[math_score]:[geography_score]])</f>
        <v>547</v>
      </c>
      <c r="S816" s="3">
        <f>student_scores[[#This Row],[Total_Score]]/7</f>
        <v>78.142857142857139</v>
      </c>
      <c r="T816" s="3" t="str" cm="1">
        <f t="array" ref="T816">_xlfn.IFS(student_scores[[#This Row],[weekly_self_study_hours]]&lt;=5,   "0 - 5", student_scores[[#This Row],[weekly_self_study_hours]]&lt;=10,  "6 - 10", student_scores[[#This Row],[weekly_self_study_hours]]&lt;=20,  "11 - 20",student_scores[[#This Row],[weekly_self_study_hours]]&lt;=30, "21 - 30",TRUE, "31+")</f>
        <v>0 - 5</v>
      </c>
      <c r="U816" t="str" cm="1">
        <f t="array" ref="U816">_xlfn.IFS(student_scores[[#This Row],[absence_days]]=0,"0", student_scores[[#This Row],[absence_days]]&lt;=3,"1-3", student_scores[[#This Row],[absence_days]]&lt;=6,"4-6", TRUE,"7-10")</f>
        <v>1-3</v>
      </c>
      <c r="V816" t="str">
        <f>IF(student_scores[[#This Row],[Total_Score]] &gt;= _xlfn.PERCENTILE.INC(student_scores[Total_Score], 0.8), "Yes", "No")</f>
        <v>No</v>
      </c>
    </row>
    <row r="817" spans="1:22" x14ac:dyDescent="0.35">
      <c r="A817">
        <v>816</v>
      </c>
      <c r="B817" t="s">
        <v>110</v>
      </c>
      <c r="C817" t="s">
        <v>491</v>
      </c>
      <c r="D817" t="s">
        <v>1592</v>
      </c>
      <c r="E817" t="s">
        <v>20</v>
      </c>
      <c r="F817" t="b">
        <v>0</v>
      </c>
      <c r="G817">
        <v>5</v>
      </c>
      <c r="H817" t="b">
        <v>0</v>
      </c>
      <c r="I817">
        <v>34</v>
      </c>
      <c r="J817" t="s">
        <v>44</v>
      </c>
      <c r="K817">
        <v>98</v>
      </c>
      <c r="L817">
        <v>84</v>
      </c>
      <c r="M817">
        <v>90</v>
      </c>
      <c r="N817">
        <v>83</v>
      </c>
      <c r="O817">
        <v>84</v>
      </c>
      <c r="P817">
        <v>61</v>
      </c>
      <c r="Q817">
        <v>99</v>
      </c>
      <c r="R817">
        <f>SUM(student_scores[[#This Row],[math_score]:[geography_score]])</f>
        <v>599</v>
      </c>
      <c r="S817" s="3">
        <f>student_scores[[#This Row],[Total_Score]]/7</f>
        <v>85.571428571428569</v>
      </c>
      <c r="T817" s="3" t="str" cm="1">
        <f t="array" ref="T817">_xlfn.IFS(student_scores[[#This Row],[weekly_self_study_hours]]&lt;=5,   "0 - 5", student_scores[[#This Row],[weekly_self_study_hours]]&lt;=10,  "6 - 10", student_scores[[#This Row],[weekly_self_study_hours]]&lt;=20,  "11 - 20",student_scores[[#This Row],[weekly_self_study_hours]]&lt;=30, "21 - 30",TRUE, "31+")</f>
        <v>31+</v>
      </c>
      <c r="U817" t="str" cm="1">
        <f t="array" ref="U817">_xlfn.IFS(student_scores[[#This Row],[absence_days]]=0,"0", student_scores[[#This Row],[absence_days]]&lt;=3,"1-3", student_scores[[#This Row],[absence_days]]&lt;=6,"4-6", TRUE,"7-10")</f>
        <v>4-6</v>
      </c>
      <c r="V817" t="str">
        <f>IF(student_scores[[#This Row],[Total_Score]] &gt;= _xlfn.PERCENTILE.INC(student_scores[Total_Score], 0.8), "Yes", "No")</f>
        <v>No</v>
      </c>
    </row>
    <row r="818" spans="1:22" x14ac:dyDescent="0.35">
      <c r="A818">
        <v>817</v>
      </c>
      <c r="B818" t="s">
        <v>190</v>
      </c>
      <c r="C818" t="s">
        <v>1593</v>
      </c>
      <c r="D818" t="s">
        <v>1594</v>
      </c>
      <c r="E818" t="s">
        <v>25</v>
      </c>
      <c r="F818" t="b">
        <v>0</v>
      </c>
      <c r="G818">
        <v>7</v>
      </c>
      <c r="H818" t="b">
        <v>0</v>
      </c>
      <c r="I818">
        <v>15</v>
      </c>
      <c r="J818" t="s">
        <v>113</v>
      </c>
      <c r="K818">
        <v>88</v>
      </c>
      <c r="L818">
        <v>67</v>
      </c>
      <c r="M818">
        <v>71</v>
      </c>
      <c r="N818">
        <v>85</v>
      </c>
      <c r="O818">
        <v>68</v>
      </c>
      <c r="P818">
        <v>88</v>
      </c>
      <c r="Q818">
        <v>67</v>
      </c>
      <c r="R818">
        <f>SUM(student_scores[[#This Row],[math_score]:[geography_score]])</f>
        <v>534</v>
      </c>
      <c r="S818" s="3">
        <f>student_scores[[#This Row],[Total_Score]]/7</f>
        <v>76.285714285714292</v>
      </c>
      <c r="T818" s="3" t="str" cm="1">
        <f t="array" ref="T818">_xlfn.IFS(student_scores[[#This Row],[weekly_self_study_hours]]&lt;=5,   "0 - 5", student_scores[[#This Row],[weekly_self_study_hours]]&lt;=10,  "6 - 10", student_scores[[#This Row],[weekly_self_study_hours]]&lt;=20,  "11 - 20",student_scores[[#This Row],[weekly_self_study_hours]]&lt;=30, "21 - 30",TRUE, "31+")</f>
        <v>11 - 20</v>
      </c>
      <c r="U818" t="str" cm="1">
        <f t="array" ref="U818">_xlfn.IFS(student_scores[[#This Row],[absence_days]]=0,"0", student_scores[[#This Row],[absence_days]]&lt;=3,"1-3", student_scores[[#This Row],[absence_days]]&lt;=6,"4-6", TRUE,"7-10")</f>
        <v>7-10</v>
      </c>
      <c r="V818" t="str">
        <f>IF(student_scores[[#This Row],[Total_Score]] &gt;= _xlfn.PERCENTILE.INC(student_scores[Total_Score], 0.8), "Yes", "No")</f>
        <v>No</v>
      </c>
    </row>
    <row r="819" spans="1:22" x14ac:dyDescent="0.35">
      <c r="A819">
        <v>818</v>
      </c>
      <c r="B819" t="s">
        <v>1283</v>
      </c>
      <c r="C819" t="s">
        <v>1595</v>
      </c>
      <c r="D819" t="s">
        <v>1596</v>
      </c>
      <c r="E819" t="s">
        <v>25</v>
      </c>
      <c r="F819" t="b">
        <v>0</v>
      </c>
      <c r="G819">
        <v>1</v>
      </c>
      <c r="H819" t="b">
        <v>0</v>
      </c>
      <c r="I819">
        <v>20</v>
      </c>
      <c r="J819" t="s">
        <v>44</v>
      </c>
      <c r="K819">
        <v>87</v>
      </c>
      <c r="L819">
        <v>99</v>
      </c>
      <c r="M819">
        <v>92</v>
      </c>
      <c r="N819">
        <v>85</v>
      </c>
      <c r="O819">
        <v>62</v>
      </c>
      <c r="P819">
        <v>69</v>
      </c>
      <c r="Q819">
        <v>67</v>
      </c>
      <c r="R819">
        <f>SUM(student_scores[[#This Row],[math_score]:[geography_score]])</f>
        <v>561</v>
      </c>
      <c r="S819" s="3">
        <f>student_scores[[#This Row],[Total_Score]]/7</f>
        <v>80.142857142857139</v>
      </c>
      <c r="T819" s="3" t="str" cm="1">
        <f t="array" ref="T819">_xlfn.IFS(student_scores[[#This Row],[weekly_self_study_hours]]&lt;=5,   "0 - 5", student_scores[[#This Row],[weekly_self_study_hours]]&lt;=10,  "6 - 10", student_scores[[#This Row],[weekly_self_study_hours]]&lt;=20,  "11 - 20",student_scores[[#This Row],[weekly_self_study_hours]]&lt;=30, "21 - 30",TRUE, "31+")</f>
        <v>11 - 20</v>
      </c>
      <c r="U819" t="str" cm="1">
        <f t="array" ref="U819">_xlfn.IFS(student_scores[[#This Row],[absence_days]]=0,"0", student_scores[[#This Row],[absence_days]]&lt;=3,"1-3", student_scores[[#This Row],[absence_days]]&lt;=6,"4-6", TRUE,"7-10")</f>
        <v>1-3</v>
      </c>
      <c r="V819" t="str">
        <f>IF(student_scores[[#This Row],[Total_Score]] &gt;= _xlfn.PERCENTILE.INC(student_scores[Total_Score], 0.8), "Yes", "No")</f>
        <v>No</v>
      </c>
    </row>
    <row r="820" spans="1:22" x14ac:dyDescent="0.35">
      <c r="A820">
        <v>819</v>
      </c>
      <c r="B820" t="s">
        <v>225</v>
      </c>
      <c r="C820" t="s">
        <v>252</v>
      </c>
      <c r="D820" t="s">
        <v>1597</v>
      </c>
      <c r="E820" t="s">
        <v>20</v>
      </c>
      <c r="F820" t="b">
        <v>0</v>
      </c>
      <c r="G820">
        <v>1</v>
      </c>
      <c r="H820" t="b">
        <v>0</v>
      </c>
      <c r="I820">
        <v>3</v>
      </c>
      <c r="J820" t="s">
        <v>30</v>
      </c>
      <c r="K820">
        <v>73</v>
      </c>
      <c r="L820">
        <v>74</v>
      </c>
      <c r="M820">
        <v>94</v>
      </c>
      <c r="N820">
        <v>76</v>
      </c>
      <c r="O820">
        <v>97</v>
      </c>
      <c r="P820">
        <v>86</v>
      </c>
      <c r="Q820">
        <v>85</v>
      </c>
      <c r="R820">
        <f>SUM(student_scores[[#This Row],[math_score]:[geography_score]])</f>
        <v>585</v>
      </c>
      <c r="S820" s="3">
        <f>student_scores[[#This Row],[Total_Score]]/7</f>
        <v>83.571428571428569</v>
      </c>
      <c r="T820" s="3" t="str" cm="1">
        <f t="array" ref="T820">_xlfn.IFS(student_scores[[#This Row],[weekly_self_study_hours]]&lt;=5,   "0 - 5", student_scores[[#This Row],[weekly_self_study_hours]]&lt;=10,  "6 - 10", student_scores[[#This Row],[weekly_self_study_hours]]&lt;=20,  "11 - 20",student_scores[[#This Row],[weekly_self_study_hours]]&lt;=30, "21 - 30",TRUE, "31+")</f>
        <v>0 - 5</v>
      </c>
      <c r="U820" t="str" cm="1">
        <f t="array" ref="U820">_xlfn.IFS(student_scores[[#This Row],[absence_days]]=0,"0", student_scores[[#This Row],[absence_days]]&lt;=3,"1-3", student_scores[[#This Row],[absence_days]]&lt;=6,"4-6", TRUE,"7-10")</f>
        <v>1-3</v>
      </c>
      <c r="V820" t="str">
        <f>IF(student_scores[[#This Row],[Total_Score]] &gt;= _xlfn.PERCENTILE.INC(student_scores[Total_Score], 0.8), "Yes", "No")</f>
        <v>No</v>
      </c>
    </row>
    <row r="821" spans="1:22" x14ac:dyDescent="0.35">
      <c r="A821">
        <v>820</v>
      </c>
      <c r="B821" t="s">
        <v>221</v>
      </c>
      <c r="C821" t="s">
        <v>572</v>
      </c>
      <c r="D821" t="s">
        <v>1598</v>
      </c>
      <c r="E821" t="s">
        <v>20</v>
      </c>
      <c r="F821" t="b">
        <v>1</v>
      </c>
      <c r="G821">
        <v>2</v>
      </c>
      <c r="H821" t="b">
        <v>1</v>
      </c>
      <c r="I821">
        <v>2</v>
      </c>
      <c r="J821" t="s">
        <v>64</v>
      </c>
      <c r="K821">
        <v>46</v>
      </c>
      <c r="L821">
        <v>71</v>
      </c>
      <c r="M821">
        <v>60</v>
      </c>
      <c r="N821">
        <v>50</v>
      </c>
      <c r="O821">
        <v>85</v>
      </c>
      <c r="P821">
        <v>69</v>
      </c>
      <c r="Q821">
        <v>62</v>
      </c>
      <c r="R821">
        <f>SUM(student_scores[[#This Row],[math_score]:[geography_score]])</f>
        <v>443</v>
      </c>
      <c r="S821" s="3">
        <f>student_scores[[#This Row],[Total_Score]]/7</f>
        <v>63.285714285714285</v>
      </c>
      <c r="T821" s="3" t="str" cm="1">
        <f t="array" ref="T821">_xlfn.IFS(student_scores[[#This Row],[weekly_self_study_hours]]&lt;=5,   "0 - 5", student_scores[[#This Row],[weekly_self_study_hours]]&lt;=10,  "6 - 10", student_scores[[#This Row],[weekly_self_study_hours]]&lt;=20,  "11 - 20",student_scores[[#This Row],[weekly_self_study_hours]]&lt;=30, "21 - 30",TRUE, "31+")</f>
        <v>0 - 5</v>
      </c>
      <c r="U821" t="str" cm="1">
        <f t="array" ref="U821">_xlfn.IFS(student_scores[[#This Row],[absence_days]]=0,"0", student_scores[[#This Row],[absence_days]]&lt;=3,"1-3", student_scores[[#This Row],[absence_days]]&lt;=6,"4-6", TRUE,"7-10")</f>
        <v>1-3</v>
      </c>
      <c r="V821" t="str">
        <f>IF(student_scores[[#This Row],[Total_Score]] &gt;= _xlfn.PERCENTILE.INC(student_scores[Total_Score], 0.8), "Yes", "No")</f>
        <v>No</v>
      </c>
    </row>
    <row r="822" spans="1:22" x14ac:dyDescent="0.35">
      <c r="A822">
        <v>821</v>
      </c>
      <c r="B822" t="s">
        <v>465</v>
      </c>
      <c r="C822" t="s">
        <v>1599</v>
      </c>
      <c r="D822" t="s">
        <v>1600</v>
      </c>
      <c r="E822" t="s">
        <v>25</v>
      </c>
      <c r="F822" t="b">
        <v>0</v>
      </c>
      <c r="G822">
        <v>1</v>
      </c>
      <c r="H822" t="b">
        <v>0</v>
      </c>
      <c r="I822">
        <v>27</v>
      </c>
      <c r="J822" t="s">
        <v>105</v>
      </c>
      <c r="K822">
        <v>88</v>
      </c>
      <c r="L822">
        <v>82</v>
      </c>
      <c r="M822">
        <v>90</v>
      </c>
      <c r="N822">
        <v>94</v>
      </c>
      <c r="O822">
        <v>99</v>
      </c>
      <c r="P822">
        <v>78</v>
      </c>
      <c r="Q822">
        <v>65</v>
      </c>
      <c r="R822">
        <f>SUM(student_scores[[#This Row],[math_score]:[geography_score]])</f>
        <v>596</v>
      </c>
      <c r="S822" s="3">
        <f>student_scores[[#This Row],[Total_Score]]/7</f>
        <v>85.142857142857139</v>
      </c>
      <c r="T822" s="3" t="str" cm="1">
        <f t="array" ref="T822">_xlfn.IFS(student_scores[[#This Row],[weekly_self_study_hours]]&lt;=5,   "0 - 5", student_scores[[#This Row],[weekly_self_study_hours]]&lt;=10,  "6 - 10", student_scores[[#This Row],[weekly_self_study_hours]]&lt;=20,  "11 - 20",student_scores[[#This Row],[weekly_self_study_hours]]&lt;=30, "21 - 30",TRUE, "31+")</f>
        <v>21 - 30</v>
      </c>
      <c r="U822" t="str" cm="1">
        <f t="array" ref="U822">_xlfn.IFS(student_scores[[#This Row],[absence_days]]=0,"0", student_scores[[#This Row],[absence_days]]&lt;=3,"1-3", student_scores[[#This Row],[absence_days]]&lt;=6,"4-6", TRUE,"7-10")</f>
        <v>1-3</v>
      </c>
      <c r="V822" t="str">
        <f>IF(student_scores[[#This Row],[Total_Score]] &gt;= _xlfn.PERCENTILE.INC(student_scores[Total_Score], 0.8), "Yes", "No")</f>
        <v>No</v>
      </c>
    </row>
    <row r="823" spans="1:22" x14ac:dyDescent="0.35">
      <c r="A823">
        <v>822</v>
      </c>
      <c r="B823" t="s">
        <v>266</v>
      </c>
      <c r="C823" t="s">
        <v>1601</v>
      </c>
      <c r="D823" t="s">
        <v>1602</v>
      </c>
      <c r="E823" t="s">
        <v>20</v>
      </c>
      <c r="F823" t="b">
        <v>1</v>
      </c>
      <c r="G823">
        <v>0</v>
      </c>
      <c r="H823" t="b">
        <v>0</v>
      </c>
      <c r="I823">
        <v>29</v>
      </c>
      <c r="J823" t="s">
        <v>44</v>
      </c>
      <c r="K823">
        <v>95</v>
      </c>
      <c r="L823">
        <v>62</v>
      </c>
      <c r="M823">
        <v>68</v>
      </c>
      <c r="N823">
        <v>64</v>
      </c>
      <c r="O823">
        <v>71</v>
      </c>
      <c r="P823">
        <v>87</v>
      </c>
      <c r="Q823">
        <v>60</v>
      </c>
      <c r="R823">
        <f>SUM(student_scores[[#This Row],[math_score]:[geography_score]])</f>
        <v>507</v>
      </c>
      <c r="S823" s="3">
        <f>student_scores[[#This Row],[Total_Score]]/7</f>
        <v>72.428571428571431</v>
      </c>
      <c r="T823" s="3" t="str" cm="1">
        <f t="array" ref="T823">_xlfn.IFS(student_scores[[#This Row],[weekly_self_study_hours]]&lt;=5,   "0 - 5", student_scores[[#This Row],[weekly_self_study_hours]]&lt;=10,  "6 - 10", student_scores[[#This Row],[weekly_self_study_hours]]&lt;=20,  "11 - 20",student_scores[[#This Row],[weekly_self_study_hours]]&lt;=30, "21 - 30",TRUE, "31+")</f>
        <v>21 - 30</v>
      </c>
      <c r="U823" t="str" cm="1">
        <f t="array" ref="U823">_xlfn.IFS(student_scores[[#This Row],[absence_days]]=0,"0", student_scores[[#This Row],[absence_days]]&lt;=3,"1-3", student_scores[[#This Row],[absence_days]]&lt;=6,"4-6", TRUE,"7-10")</f>
        <v>0</v>
      </c>
      <c r="V823" t="str">
        <f>IF(student_scores[[#This Row],[Total_Score]] &gt;= _xlfn.PERCENTILE.INC(student_scores[Total_Score], 0.8), "Yes", "No")</f>
        <v>No</v>
      </c>
    </row>
    <row r="824" spans="1:22" x14ac:dyDescent="0.35">
      <c r="A824">
        <v>823</v>
      </c>
      <c r="B824" t="s">
        <v>731</v>
      </c>
      <c r="C824" t="s">
        <v>1603</v>
      </c>
      <c r="D824" t="s">
        <v>1604</v>
      </c>
      <c r="E824" t="s">
        <v>25</v>
      </c>
      <c r="F824" t="b">
        <v>0</v>
      </c>
      <c r="G824">
        <v>1</v>
      </c>
      <c r="H824" t="b">
        <v>1</v>
      </c>
      <c r="I824">
        <v>2</v>
      </c>
      <c r="J824" t="s">
        <v>34</v>
      </c>
      <c r="K824">
        <v>73</v>
      </c>
      <c r="L824">
        <v>71</v>
      </c>
      <c r="M824">
        <v>60</v>
      </c>
      <c r="N824">
        <v>70</v>
      </c>
      <c r="O824">
        <v>78</v>
      </c>
      <c r="P824">
        <v>72</v>
      </c>
      <c r="Q824">
        <v>78</v>
      </c>
      <c r="R824">
        <f>SUM(student_scores[[#This Row],[math_score]:[geography_score]])</f>
        <v>502</v>
      </c>
      <c r="S824" s="3">
        <f>student_scores[[#This Row],[Total_Score]]/7</f>
        <v>71.714285714285708</v>
      </c>
      <c r="T824" s="3" t="str" cm="1">
        <f t="array" ref="T824">_xlfn.IFS(student_scores[[#This Row],[weekly_self_study_hours]]&lt;=5,   "0 - 5", student_scores[[#This Row],[weekly_self_study_hours]]&lt;=10,  "6 - 10", student_scores[[#This Row],[weekly_self_study_hours]]&lt;=20,  "11 - 20",student_scores[[#This Row],[weekly_self_study_hours]]&lt;=30, "21 - 30",TRUE, "31+")</f>
        <v>0 - 5</v>
      </c>
      <c r="U824" t="str" cm="1">
        <f t="array" ref="U824">_xlfn.IFS(student_scores[[#This Row],[absence_days]]=0,"0", student_scores[[#This Row],[absence_days]]&lt;=3,"1-3", student_scores[[#This Row],[absence_days]]&lt;=6,"4-6", TRUE,"7-10")</f>
        <v>1-3</v>
      </c>
      <c r="V824" t="str">
        <f>IF(student_scores[[#This Row],[Total_Score]] &gt;= _xlfn.PERCENTILE.INC(student_scores[Total_Score], 0.8), "Yes", "No")</f>
        <v>No</v>
      </c>
    </row>
    <row r="825" spans="1:22" x14ac:dyDescent="0.35">
      <c r="A825">
        <v>824</v>
      </c>
      <c r="B825" t="s">
        <v>1605</v>
      </c>
      <c r="C825" t="s">
        <v>742</v>
      </c>
      <c r="D825" t="s">
        <v>1606</v>
      </c>
      <c r="E825" t="s">
        <v>25</v>
      </c>
      <c r="F825" t="b">
        <v>0</v>
      </c>
      <c r="G825">
        <v>5</v>
      </c>
      <c r="H825" t="b">
        <v>0</v>
      </c>
      <c r="I825">
        <v>9</v>
      </c>
      <c r="J825" t="s">
        <v>123</v>
      </c>
      <c r="K825">
        <v>70</v>
      </c>
      <c r="L825">
        <v>88</v>
      </c>
      <c r="M825">
        <v>100</v>
      </c>
      <c r="N825">
        <v>91</v>
      </c>
      <c r="O825">
        <v>98</v>
      </c>
      <c r="P825">
        <v>68</v>
      </c>
      <c r="Q825">
        <v>81</v>
      </c>
      <c r="R825">
        <f>SUM(student_scores[[#This Row],[math_score]:[geography_score]])</f>
        <v>596</v>
      </c>
      <c r="S825" s="3">
        <f>student_scores[[#This Row],[Total_Score]]/7</f>
        <v>85.142857142857139</v>
      </c>
      <c r="T825" s="3" t="str" cm="1">
        <f t="array" ref="T825">_xlfn.IFS(student_scores[[#This Row],[weekly_self_study_hours]]&lt;=5,   "0 - 5", student_scores[[#This Row],[weekly_self_study_hours]]&lt;=10,  "6 - 10", student_scores[[#This Row],[weekly_self_study_hours]]&lt;=20,  "11 - 20",student_scores[[#This Row],[weekly_self_study_hours]]&lt;=30, "21 - 30",TRUE, "31+")</f>
        <v>6 - 10</v>
      </c>
      <c r="U825" t="str" cm="1">
        <f t="array" ref="U825">_xlfn.IFS(student_scores[[#This Row],[absence_days]]=0,"0", student_scores[[#This Row],[absence_days]]&lt;=3,"1-3", student_scores[[#This Row],[absence_days]]&lt;=6,"4-6", TRUE,"7-10")</f>
        <v>4-6</v>
      </c>
      <c r="V825" t="str">
        <f>IF(student_scores[[#This Row],[Total_Score]] &gt;= _xlfn.PERCENTILE.INC(student_scores[Total_Score], 0.8), "Yes", "No")</f>
        <v>No</v>
      </c>
    </row>
    <row r="826" spans="1:22" x14ac:dyDescent="0.35">
      <c r="A826">
        <v>825</v>
      </c>
      <c r="B826" t="s">
        <v>135</v>
      </c>
      <c r="C826" t="s">
        <v>170</v>
      </c>
      <c r="D826" t="s">
        <v>1607</v>
      </c>
      <c r="E826" t="s">
        <v>20</v>
      </c>
      <c r="F826" t="b">
        <v>0</v>
      </c>
      <c r="G826">
        <v>7</v>
      </c>
      <c r="H826" t="b">
        <v>0</v>
      </c>
      <c r="I826">
        <v>14</v>
      </c>
      <c r="J826" t="s">
        <v>138</v>
      </c>
      <c r="K826">
        <v>84</v>
      </c>
      <c r="L826">
        <v>100</v>
      </c>
      <c r="M826">
        <v>99</v>
      </c>
      <c r="N826">
        <v>94</v>
      </c>
      <c r="O826">
        <v>84</v>
      </c>
      <c r="P826">
        <v>86</v>
      </c>
      <c r="Q826">
        <v>63</v>
      </c>
      <c r="R826">
        <f>SUM(student_scores[[#This Row],[math_score]:[geography_score]])</f>
        <v>610</v>
      </c>
      <c r="S826" s="3">
        <f>student_scores[[#This Row],[Total_Score]]/7</f>
        <v>87.142857142857139</v>
      </c>
      <c r="T826" s="3" t="str" cm="1">
        <f t="array" ref="T826">_xlfn.IFS(student_scores[[#This Row],[weekly_self_study_hours]]&lt;=5,   "0 - 5", student_scores[[#This Row],[weekly_self_study_hours]]&lt;=10,  "6 - 10", student_scores[[#This Row],[weekly_self_study_hours]]&lt;=20,  "11 - 20",student_scores[[#This Row],[weekly_self_study_hours]]&lt;=30, "21 - 30",TRUE, "31+")</f>
        <v>11 - 20</v>
      </c>
      <c r="U826" t="str" cm="1">
        <f t="array" ref="U826">_xlfn.IFS(student_scores[[#This Row],[absence_days]]=0,"0", student_scores[[#This Row],[absence_days]]&lt;=3,"1-3", student_scores[[#This Row],[absence_days]]&lt;=6,"4-6", TRUE,"7-10")</f>
        <v>7-10</v>
      </c>
      <c r="V826" t="str">
        <f>IF(student_scores[[#This Row],[Total_Score]] &gt;= _xlfn.PERCENTILE.INC(student_scores[Total_Score], 0.8), "Yes", "No")</f>
        <v>Yes</v>
      </c>
    </row>
    <row r="827" spans="1:22" x14ac:dyDescent="0.35">
      <c r="A827">
        <v>826</v>
      </c>
      <c r="B827" t="s">
        <v>1608</v>
      </c>
      <c r="C827" t="s">
        <v>1609</v>
      </c>
      <c r="D827" t="s">
        <v>1610</v>
      </c>
      <c r="E827" t="s">
        <v>20</v>
      </c>
      <c r="F827" t="b">
        <v>0</v>
      </c>
      <c r="G827">
        <v>8</v>
      </c>
      <c r="H827" t="b">
        <v>0</v>
      </c>
      <c r="I827">
        <v>25</v>
      </c>
      <c r="J827" t="s">
        <v>26</v>
      </c>
      <c r="K827">
        <v>88</v>
      </c>
      <c r="L827">
        <v>60</v>
      </c>
      <c r="M827">
        <v>87</v>
      </c>
      <c r="N827">
        <v>90</v>
      </c>
      <c r="O827">
        <v>87</v>
      </c>
      <c r="P827">
        <v>86</v>
      </c>
      <c r="Q827">
        <v>62</v>
      </c>
      <c r="R827">
        <f>SUM(student_scores[[#This Row],[math_score]:[geography_score]])</f>
        <v>560</v>
      </c>
      <c r="S827" s="3">
        <f>student_scores[[#This Row],[Total_Score]]/7</f>
        <v>80</v>
      </c>
      <c r="T827" s="3" t="str" cm="1">
        <f t="array" ref="T827">_xlfn.IFS(student_scores[[#This Row],[weekly_self_study_hours]]&lt;=5,   "0 - 5", student_scores[[#This Row],[weekly_self_study_hours]]&lt;=10,  "6 - 10", student_scores[[#This Row],[weekly_self_study_hours]]&lt;=20,  "11 - 20",student_scores[[#This Row],[weekly_self_study_hours]]&lt;=30, "21 - 30",TRUE, "31+")</f>
        <v>21 - 30</v>
      </c>
      <c r="U827" t="str" cm="1">
        <f t="array" ref="U827">_xlfn.IFS(student_scores[[#This Row],[absence_days]]=0,"0", student_scores[[#This Row],[absence_days]]&lt;=3,"1-3", student_scores[[#This Row],[absence_days]]&lt;=6,"4-6", TRUE,"7-10")</f>
        <v>7-10</v>
      </c>
      <c r="V827" t="str">
        <f>IF(student_scores[[#This Row],[Total_Score]] &gt;= _xlfn.PERCENTILE.INC(student_scores[Total_Score], 0.8), "Yes", "No")</f>
        <v>No</v>
      </c>
    </row>
    <row r="828" spans="1:22" x14ac:dyDescent="0.35">
      <c r="A828">
        <v>827</v>
      </c>
      <c r="B828" t="s">
        <v>300</v>
      </c>
      <c r="C828" t="s">
        <v>518</v>
      </c>
      <c r="D828" t="s">
        <v>1611</v>
      </c>
      <c r="E828" t="s">
        <v>20</v>
      </c>
      <c r="F828" t="b">
        <v>0</v>
      </c>
      <c r="G828">
        <v>1</v>
      </c>
      <c r="H828" t="b">
        <v>1</v>
      </c>
      <c r="I828">
        <v>9</v>
      </c>
      <c r="J828" t="s">
        <v>38</v>
      </c>
      <c r="K828">
        <v>66</v>
      </c>
      <c r="L828">
        <v>65</v>
      </c>
      <c r="M828">
        <v>82</v>
      </c>
      <c r="N828">
        <v>96</v>
      </c>
      <c r="O828">
        <v>87</v>
      </c>
      <c r="P828">
        <v>87</v>
      </c>
      <c r="Q828">
        <v>63</v>
      </c>
      <c r="R828">
        <f>SUM(student_scores[[#This Row],[math_score]:[geography_score]])</f>
        <v>546</v>
      </c>
      <c r="S828" s="3">
        <f>student_scores[[#This Row],[Total_Score]]/7</f>
        <v>78</v>
      </c>
      <c r="T828" s="3" t="str" cm="1">
        <f t="array" ref="T828">_xlfn.IFS(student_scores[[#This Row],[weekly_self_study_hours]]&lt;=5,   "0 - 5", student_scores[[#This Row],[weekly_self_study_hours]]&lt;=10,  "6 - 10", student_scores[[#This Row],[weekly_self_study_hours]]&lt;=20,  "11 - 20",student_scores[[#This Row],[weekly_self_study_hours]]&lt;=30, "21 - 30",TRUE, "31+")</f>
        <v>6 - 10</v>
      </c>
      <c r="U828" t="str" cm="1">
        <f t="array" ref="U828">_xlfn.IFS(student_scores[[#This Row],[absence_days]]=0,"0", student_scores[[#This Row],[absence_days]]&lt;=3,"1-3", student_scores[[#This Row],[absence_days]]&lt;=6,"4-6", TRUE,"7-10")</f>
        <v>1-3</v>
      </c>
      <c r="V828" t="str">
        <f>IF(student_scores[[#This Row],[Total_Score]] &gt;= _xlfn.PERCENTILE.INC(student_scores[Total_Score], 0.8), "Yes", "No")</f>
        <v>No</v>
      </c>
    </row>
    <row r="829" spans="1:22" x14ac:dyDescent="0.35">
      <c r="A829">
        <v>828</v>
      </c>
      <c r="B829" t="s">
        <v>676</v>
      </c>
      <c r="C829" t="s">
        <v>1612</v>
      </c>
      <c r="D829" t="s">
        <v>1613</v>
      </c>
      <c r="E829" t="s">
        <v>20</v>
      </c>
      <c r="F829" t="b">
        <v>1</v>
      </c>
      <c r="G829">
        <v>9</v>
      </c>
      <c r="H829" t="b">
        <v>0</v>
      </c>
      <c r="I829">
        <v>2</v>
      </c>
      <c r="J829" t="s">
        <v>64</v>
      </c>
      <c r="K829">
        <v>46</v>
      </c>
      <c r="L829">
        <v>54</v>
      </c>
      <c r="M829">
        <v>93</v>
      </c>
      <c r="N829">
        <v>57</v>
      </c>
      <c r="O829">
        <v>99</v>
      </c>
      <c r="P829">
        <v>59</v>
      </c>
      <c r="Q829">
        <v>73</v>
      </c>
      <c r="R829">
        <f>SUM(student_scores[[#This Row],[math_score]:[geography_score]])</f>
        <v>481</v>
      </c>
      <c r="S829" s="3">
        <f>student_scores[[#This Row],[Total_Score]]/7</f>
        <v>68.714285714285708</v>
      </c>
      <c r="T829" s="3" t="str" cm="1">
        <f t="array" ref="T829">_xlfn.IFS(student_scores[[#This Row],[weekly_self_study_hours]]&lt;=5,   "0 - 5", student_scores[[#This Row],[weekly_self_study_hours]]&lt;=10,  "6 - 10", student_scores[[#This Row],[weekly_self_study_hours]]&lt;=20,  "11 - 20",student_scores[[#This Row],[weekly_self_study_hours]]&lt;=30, "21 - 30",TRUE, "31+")</f>
        <v>0 - 5</v>
      </c>
      <c r="U829" t="str" cm="1">
        <f t="array" ref="U829">_xlfn.IFS(student_scores[[#This Row],[absence_days]]=0,"0", student_scores[[#This Row],[absence_days]]&lt;=3,"1-3", student_scores[[#This Row],[absence_days]]&lt;=6,"4-6", TRUE,"7-10")</f>
        <v>7-10</v>
      </c>
      <c r="V829" t="str">
        <f>IF(student_scores[[#This Row],[Total_Score]] &gt;= _xlfn.PERCENTILE.INC(student_scores[Total_Score], 0.8), "Yes", "No")</f>
        <v>No</v>
      </c>
    </row>
    <row r="830" spans="1:22" x14ac:dyDescent="0.35">
      <c r="A830">
        <v>829</v>
      </c>
      <c r="B830" t="s">
        <v>283</v>
      </c>
      <c r="C830" t="s">
        <v>1614</v>
      </c>
      <c r="D830" t="s">
        <v>1615</v>
      </c>
      <c r="E830" t="s">
        <v>20</v>
      </c>
      <c r="F830" t="b">
        <v>0</v>
      </c>
      <c r="G830">
        <v>5</v>
      </c>
      <c r="H830" t="b">
        <v>0</v>
      </c>
      <c r="I830">
        <v>31</v>
      </c>
      <c r="J830" t="s">
        <v>21</v>
      </c>
      <c r="K830">
        <v>71</v>
      </c>
      <c r="L830">
        <v>92</v>
      </c>
      <c r="M830">
        <v>60</v>
      </c>
      <c r="N830">
        <v>73</v>
      </c>
      <c r="O830">
        <v>74</v>
      </c>
      <c r="P830">
        <v>86</v>
      </c>
      <c r="Q830">
        <v>94</v>
      </c>
      <c r="R830">
        <f>SUM(student_scores[[#This Row],[math_score]:[geography_score]])</f>
        <v>550</v>
      </c>
      <c r="S830" s="3">
        <f>student_scores[[#This Row],[Total_Score]]/7</f>
        <v>78.571428571428569</v>
      </c>
      <c r="T830" s="3" t="str" cm="1">
        <f t="array" ref="T830">_xlfn.IFS(student_scores[[#This Row],[weekly_self_study_hours]]&lt;=5,   "0 - 5", student_scores[[#This Row],[weekly_self_study_hours]]&lt;=10,  "6 - 10", student_scores[[#This Row],[weekly_self_study_hours]]&lt;=20,  "11 - 20",student_scores[[#This Row],[weekly_self_study_hours]]&lt;=30, "21 - 30",TRUE, "31+")</f>
        <v>31+</v>
      </c>
      <c r="U830" t="str" cm="1">
        <f t="array" ref="U830">_xlfn.IFS(student_scores[[#This Row],[absence_days]]=0,"0", student_scores[[#This Row],[absence_days]]&lt;=3,"1-3", student_scores[[#This Row],[absence_days]]&lt;=6,"4-6", TRUE,"7-10")</f>
        <v>4-6</v>
      </c>
      <c r="V830" t="str">
        <f>IF(student_scores[[#This Row],[Total_Score]] &gt;= _xlfn.PERCENTILE.INC(student_scores[Total_Score], 0.8), "Yes", "No")</f>
        <v>No</v>
      </c>
    </row>
    <row r="831" spans="1:22" x14ac:dyDescent="0.35">
      <c r="A831">
        <v>830</v>
      </c>
      <c r="B831" t="s">
        <v>145</v>
      </c>
      <c r="C831" t="s">
        <v>381</v>
      </c>
      <c r="D831" t="s">
        <v>1616</v>
      </c>
      <c r="E831" t="s">
        <v>20</v>
      </c>
      <c r="F831" t="b">
        <v>0</v>
      </c>
      <c r="G831">
        <v>5</v>
      </c>
      <c r="H831" t="b">
        <v>0</v>
      </c>
      <c r="I831">
        <v>3</v>
      </c>
      <c r="J831" t="s">
        <v>123</v>
      </c>
      <c r="K831">
        <v>76</v>
      </c>
      <c r="L831">
        <v>77</v>
      </c>
      <c r="M831">
        <v>99</v>
      </c>
      <c r="N831">
        <v>87</v>
      </c>
      <c r="O831">
        <v>95</v>
      </c>
      <c r="P831">
        <v>94</v>
      </c>
      <c r="Q831">
        <v>85</v>
      </c>
      <c r="R831">
        <f>SUM(student_scores[[#This Row],[math_score]:[geography_score]])</f>
        <v>613</v>
      </c>
      <c r="S831" s="3">
        <f>student_scores[[#This Row],[Total_Score]]/7</f>
        <v>87.571428571428569</v>
      </c>
      <c r="T831" s="3" t="str" cm="1">
        <f t="array" ref="T831">_xlfn.IFS(student_scores[[#This Row],[weekly_self_study_hours]]&lt;=5,   "0 - 5", student_scores[[#This Row],[weekly_self_study_hours]]&lt;=10,  "6 - 10", student_scores[[#This Row],[weekly_self_study_hours]]&lt;=20,  "11 - 20",student_scores[[#This Row],[weekly_self_study_hours]]&lt;=30, "21 - 30",TRUE, "31+")</f>
        <v>0 - 5</v>
      </c>
      <c r="U831" t="str" cm="1">
        <f t="array" ref="U831">_xlfn.IFS(student_scores[[#This Row],[absence_days]]=0,"0", student_scores[[#This Row],[absence_days]]&lt;=3,"1-3", student_scores[[#This Row],[absence_days]]&lt;=6,"4-6", TRUE,"7-10")</f>
        <v>4-6</v>
      </c>
      <c r="V831" t="str">
        <f>IF(student_scores[[#This Row],[Total_Score]] &gt;= _xlfn.PERCENTILE.INC(student_scores[Total_Score], 0.8), "Yes", "No")</f>
        <v>Yes</v>
      </c>
    </row>
    <row r="832" spans="1:22" x14ac:dyDescent="0.35">
      <c r="A832">
        <v>831</v>
      </c>
      <c r="B832" t="s">
        <v>97</v>
      </c>
      <c r="C832" t="s">
        <v>1617</v>
      </c>
      <c r="D832" t="s">
        <v>1618</v>
      </c>
      <c r="E832" t="s">
        <v>25</v>
      </c>
      <c r="F832" t="b">
        <v>0</v>
      </c>
      <c r="G832">
        <v>5</v>
      </c>
      <c r="H832" t="b">
        <v>0</v>
      </c>
      <c r="I832">
        <v>12</v>
      </c>
      <c r="J832" t="s">
        <v>123</v>
      </c>
      <c r="K832">
        <v>78</v>
      </c>
      <c r="L832">
        <v>95</v>
      </c>
      <c r="M832">
        <v>66</v>
      </c>
      <c r="N832">
        <v>70</v>
      </c>
      <c r="O832">
        <v>75</v>
      </c>
      <c r="P832">
        <v>99</v>
      </c>
      <c r="Q832">
        <v>84</v>
      </c>
      <c r="R832">
        <f>SUM(student_scores[[#This Row],[math_score]:[geography_score]])</f>
        <v>567</v>
      </c>
      <c r="S832" s="3">
        <f>student_scores[[#This Row],[Total_Score]]/7</f>
        <v>81</v>
      </c>
      <c r="T832" s="3" t="str" cm="1">
        <f t="array" ref="T832">_xlfn.IFS(student_scores[[#This Row],[weekly_self_study_hours]]&lt;=5,   "0 - 5", student_scores[[#This Row],[weekly_self_study_hours]]&lt;=10,  "6 - 10", student_scores[[#This Row],[weekly_self_study_hours]]&lt;=20,  "11 - 20",student_scores[[#This Row],[weekly_self_study_hours]]&lt;=30, "21 - 30",TRUE, "31+")</f>
        <v>11 - 20</v>
      </c>
      <c r="U832" t="str" cm="1">
        <f t="array" ref="U832">_xlfn.IFS(student_scores[[#This Row],[absence_days]]=0,"0", student_scores[[#This Row],[absence_days]]&lt;=3,"1-3", student_scores[[#This Row],[absence_days]]&lt;=6,"4-6", TRUE,"7-10")</f>
        <v>4-6</v>
      </c>
      <c r="V832" t="str">
        <f>IF(student_scores[[#This Row],[Total_Score]] &gt;= _xlfn.PERCENTILE.INC(student_scores[Total_Score], 0.8), "Yes", "No")</f>
        <v>No</v>
      </c>
    </row>
    <row r="833" spans="1:22" x14ac:dyDescent="0.35">
      <c r="A833">
        <v>832</v>
      </c>
      <c r="B833" t="s">
        <v>463</v>
      </c>
      <c r="C833" t="s">
        <v>1016</v>
      </c>
      <c r="D833" t="s">
        <v>1619</v>
      </c>
      <c r="E833" t="s">
        <v>20</v>
      </c>
      <c r="F833" t="b">
        <v>0</v>
      </c>
      <c r="G833">
        <v>5</v>
      </c>
      <c r="H833" t="b">
        <v>0</v>
      </c>
      <c r="I833">
        <v>5</v>
      </c>
      <c r="J833" t="s">
        <v>64</v>
      </c>
      <c r="K833">
        <v>100</v>
      </c>
      <c r="L833">
        <v>54</v>
      </c>
      <c r="M833">
        <v>70</v>
      </c>
      <c r="N833">
        <v>58</v>
      </c>
      <c r="O833">
        <v>50</v>
      </c>
      <c r="P833">
        <v>95</v>
      </c>
      <c r="Q833">
        <v>92</v>
      </c>
      <c r="R833">
        <f>SUM(student_scores[[#This Row],[math_score]:[geography_score]])</f>
        <v>519</v>
      </c>
      <c r="S833" s="3">
        <f>student_scores[[#This Row],[Total_Score]]/7</f>
        <v>74.142857142857139</v>
      </c>
      <c r="T833" s="3" t="str" cm="1">
        <f t="array" ref="T833">_xlfn.IFS(student_scores[[#This Row],[weekly_self_study_hours]]&lt;=5,   "0 - 5", student_scores[[#This Row],[weekly_self_study_hours]]&lt;=10,  "6 - 10", student_scores[[#This Row],[weekly_self_study_hours]]&lt;=20,  "11 - 20",student_scores[[#This Row],[weekly_self_study_hours]]&lt;=30, "21 - 30",TRUE, "31+")</f>
        <v>0 - 5</v>
      </c>
      <c r="U833" t="str" cm="1">
        <f t="array" ref="U833">_xlfn.IFS(student_scores[[#This Row],[absence_days]]=0,"0", student_scores[[#This Row],[absence_days]]&lt;=3,"1-3", student_scores[[#This Row],[absence_days]]&lt;=6,"4-6", TRUE,"7-10")</f>
        <v>4-6</v>
      </c>
      <c r="V833" t="str">
        <f>IF(student_scores[[#This Row],[Total_Score]] &gt;= _xlfn.PERCENTILE.INC(student_scores[Total_Score], 0.8), "Yes", "No")</f>
        <v>No</v>
      </c>
    </row>
    <row r="834" spans="1:22" x14ac:dyDescent="0.35">
      <c r="A834">
        <v>833</v>
      </c>
      <c r="B834" t="s">
        <v>205</v>
      </c>
      <c r="C834" t="s">
        <v>1620</v>
      </c>
      <c r="D834" t="s">
        <v>1621</v>
      </c>
      <c r="E834" t="s">
        <v>25</v>
      </c>
      <c r="F834" t="b">
        <v>0</v>
      </c>
      <c r="G834">
        <v>10</v>
      </c>
      <c r="H834" t="b">
        <v>0</v>
      </c>
      <c r="I834">
        <v>11</v>
      </c>
      <c r="J834" t="s">
        <v>30</v>
      </c>
      <c r="K834">
        <v>73</v>
      </c>
      <c r="L834">
        <v>97</v>
      </c>
      <c r="M834">
        <v>87</v>
      </c>
      <c r="N834">
        <v>93</v>
      </c>
      <c r="O834">
        <v>78</v>
      </c>
      <c r="P834">
        <v>99</v>
      </c>
      <c r="Q834">
        <v>86</v>
      </c>
      <c r="R834">
        <f>SUM(student_scores[[#This Row],[math_score]:[geography_score]])</f>
        <v>613</v>
      </c>
      <c r="S834" s="3">
        <f>student_scores[[#This Row],[Total_Score]]/7</f>
        <v>87.571428571428569</v>
      </c>
      <c r="T834" s="3" t="str" cm="1">
        <f t="array" ref="T834">_xlfn.IFS(student_scores[[#This Row],[weekly_self_study_hours]]&lt;=5,   "0 - 5", student_scores[[#This Row],[weekly_self_study_hours]]&lt;=10,  "6 - 10", student_scores[[#This Row],[weekly_self_study_hours]]&lt;=20,  "11 - 20",student_scores[[#This Row],[weekly_self_study_hours]]&lt;=30, "21 - 30",TRUE, "31+")</f>
        <v>11 - 20</v>
      </c>
      <c r="U834" t="str" cm="1">
        <f t="array" ref="U834">_xlfn.IFS(student_scores[[#This Row],[absence_days]]=0,"0", student_scores[[#This Row],[absence_days]]&lt;=3,"1-3", student_scores[[#This Row],[absence_days]]&lt;=6,"4-6", TRUE,"7-10")</f>
        <v>7-10</v>
      </c>
      <c r="V834" t="str">
        <f>IF(student_scores[[#This Row],[Total_Score]] &gt;= _xlfn.PERCENTILE.INC(student_scores[Total_Score], 0.8), "Yes", "No")</f>
        <v>Yes</v>
      </c>
    </row>
    <row r="835" spans="1:22" x14ac:dyDescent="0.35">
      <c r="A835">
        <v>834</v>
      </c>
      <c r="B835" t="s">
        <v>266</v>
      </c>
      <c r="C835" t="s">
        <v>275</v>
      </c>
      <c r="D835" t="s">
        <v>1622</v>
      </c>
      <c r="E835" t="s">
        <v>20</v>
      </c>
      <c r="F835" t="b">
        <v>0</v>
      </c>
      <c r="G835">
        <v>2</v>
      </c>
      <c r="H835" t="b">
        <v>0</v>
      </c>
      <c r="I835">
        <v>4</v>
      </c>
      <c r="J835" t="s">
        <v>159</v>
      </c>
      <c r="K835">
        <v>96</v>
      </c>
      <c r="L835">
        <v>63</v>
      </c>
      <c r="M835">
        <v>85</v>
      </c>
      <c r="N835">
        <v>77</v>
      </c>
      <c r="O835">
        <v>82</v>
      </c>
      <c r="P835">
        <v>65</v>
      </c>
      <c r="Q835">
        <v>88</v>
      </c>
      <c r="R835">
        <f>SUM(student_scores[[#This Row],[math_score]:[geography_score]])</f>
        <v>556</v>
      </c>
      <c r="S835" s="3">
        <f>student_scores[[#This Row],[Total_Score]]/7</f>
        <v>79.428571428571431</v>
      </c>
      <c r="T835" s="3" t="str" cm="1">
        <f t="array" ref="T835">_xlfn.IFS(student_scores[[#This Row],[weekly_self_study_hours]]&lt;=5,   "0 - 5", student_scores[[#This Row],[weekly_self_study_hours]]&lt;=10,  "6 - 10", student_scores[[#This Row],[weekly_self_study_hours]]&lt;=20,  "11 - 20",student_scores[[#This Row],[weekly_self_study_hours]]&lt;=30, "21 - 30",TRUE, "31+")</f>
        <v>0 - 5</v>
      </c>
      <c r="U835" t="str" cm="1">
        <f t="array" ref="U835">_xlfn.IFS(student_scores[[#This Row],[absence_days]]=0,"0", student_scores[[#This Row],[absence_days]]&lt;=3,"1-3", student_scores[[#This Row],[absence_days]]&lt;=6,"4-6", TRUE,"7-10")</f>
        <v>1-3</v>
      </c>
      <c r="V835" t="str">
        <f>IF(student_scores[[#This Row],[Total_Score]] &gt;= _xlfn.PERCENTILE.INC(student_scores[Total_Score], 0.8), "Yes", "No")</f>
        <v>No</v>
      </c>
    </row>
    <row r="836" spans="1:22" x14ac:dyDescent="0.35">
      <c r="A836">
        <v>835</v>
      </c>
      <c r="B836" t="s">
        <v>1167</v>
      </c>
      <c r="C836" t="s">
        <v>1623</v>
      </c>
      <c r="D836" t="s">
        <v>1624</v>
      </c>
      <c r="E836" t="s">
        <v>20</v>
      </c>
      <c r="F836" t="b">
        <v>0</v>
      </c>
      <c r="G836">
        <v>2</v>
      </c>
      <c r="H836" t="b">
        <v>0</v>
      </c>
      <c r="I836">
        <v>25</v>
      </c>
      <c r="J836" t="s">
        <v>38</v>
      </c>
      <c r="K836">
        <v>82</v>
      </c>
      <c r="L836">
        <v>84</v>
      </c>
      <c r="M836">
        <v>93</v>
      </c>
      <c r="N836">
        <v>70</v>
      </c>
      <c r="O836">
        <v>99</v>
      </c>
      <c r="P836">
        <v>66</v>
      </c>
      <c r="Q836">
        <v>80</v>
      </c>
      <c r="R836">
        <f>SUM(student_scores[[#This Row],[math_score]:[geography_score]])</f>
        <v>574</v>
      </c>
      <c r="S836" s="3">
        <f>student_scores[[#This Row],[Total_Score]]/7</f>
        <v>82</v>
      </c>
      <c r="T836" s="3" t="str" cm="1">
        <f t="array" ref="T836">_xlfn.IFS(student_scores[[#This Row],[weekly_self_study_hours]]&lt;=5,   "0 - 5", student_scores[[#This Row],[weekly_self_study_hours]]&lt;=10,  "6 - 10", student_scores[[#This Row],[weekly_self_study_hours]]&lt;=20,  "11 - 20",student_scores[[#This Row],[weekly_self_study_hours]]&lt;=30, "21 - 30",TRUE, "31+")</f>
        <v>21 - 30</v>
      </c>
      <c r="U836" t="str" cm="1">
        <f t="array" ref="U836">_xlfn.IFS(student_scores[[#This Row],[absence_days]]=0,"0", student_scores[[#This Row],[absence_days]]&lt;=3,"1-3", student_scores[[#This Row],[absence_days]]&lt;=6,"4-6", TRUE,"7-10")</f>
        <v>1-3</v>
      </c>
      <c r="V836" t="str">
        <f>IF(student_scores[[#This Row],[Total_Score]] &gt;= _xlfn.PERCENTILE.INC(student_scores[Total_Score], 0.8), "Yes", "No")</f>
        <v>No</v>
      </c>
    </row>
    <row r="837" spans="1:22" x14ac:dyDescent="0.35">
      <c r="A837">
        <v>836</v>
      </c>
      <c r="B837" t="s">
        <v>348</v>
      </c>
      <c r="C837" t="s">
        <v>1625</v>
      </c>
      <c r="D837" t="s">
        <v>1626</v>
      </c>
      <c r="E837" t="s">
        <v>20</v>
      </c>
      <c r="F837" t="b">
        <v>0</v>
      </c>
      <c r="G837">
        <v>1</v>
      </c>
      <c r="H837" t="b">
        <v>0</v>
      </c>
      <c r="I837">
        <v>33</v>
      </c>
      <c r="J837" t="s">
        <v>38</v>
      </c>
      <c r="K837">
        <v>81</v>
      </c>
      <c r="L837">
        <v>91</v>
      </c>
      <c r="M837">
        <v>71</v>
      </c>
      <c r="N837">
        <v>79</v>
      </c>
      <c r="O837">
        <v>98</v>
      </c>
      <c r="P837">
        <v>69</v>
      </c>
      <c r="Q837">
        <v>75</v>
      </c>
      <c r="R837">
        <f>SUM(student_scores[[#This Row],[math_score]:[geography_score]])</f>
        <v>564</v>
      </c>
      <c r="S837" s="3">
        <f>student_scores[[#This Row],[Total_Score]]/7</f>
        <v>80.571428571428569</v>
      </c>
      <c r="T837" s="3" t="str" cm="1">
        <f t="array" ref="T837">_xlfn.IFS(student_scores[[#This Row],[weekly_self_study_hours]]&lt;=5,   "0 - 5", student_scores[[#This Row],[weekly_self_study_hours]]&lt;=10,  "6 - 10", student_scores[[#This Row],[weekly_self_study_hours]]&lt;=20,  "11 - 20",student_scores[[#This Row],[weekly_self_study_hours]]&lt;=30, "21 - 30",TRUE, "31+")</f>
        <v>31+</v>
      </c>
      <c r="U837" t="str" cm="1">
        <f t="array" ref="U837">_xlfn.IFS(student_scores[[#This Row],[absence_days]]=0,"0", student_scores[[#This Row],[absence_days]]&lt;=3,"1-3", student_scores[[#This Row],[absence_days]]&lt;=6,"4-6", TRUE,"7-10")</f>
        <v>1-3</v>
      </c>
      <c r="V837" t="str">
        <f>IF(student_scores[[#This Row],[Total_Score]] &gt;= _xlfn.PERCENTILE.INC(student_scores[Total_Score], 0.8), "Yes", "No")</f>
        <v>No</v>
      </c>
    </row>
    <row r="838" spans="1:22" x14ac:dyDescent="0.35">
      <c r="A838">
        <v>837</v>
      </c>
      <c r="B838" t="s">
        <v>1627</v>
      </c>
      <c r="C838" t="s">
        <v>635</v>
      </c>
      <c r="D838" t="s">
        <v>1628</v>
      </c>
      <c r="E838" t="s">
        <v>20</v>
      </c>
      <c r="F838" t="b">
        <v>1</v>
      </c>
      <c r="G838">
        <v>1</v>
      </c>
      <c r="H838" t="b">
        <v>0</v>
      </c>
      <c r="I838">
        <v>24</v>
      </c>
      <c r="J838" t="s">
        <v>38</v>
      </c>
      <c r="K838">
        <v>97</v>
      </c>
      <c r="L838">
        <v>80</v>
      </c>
      <c r="M838">
        <v>67</v>
      </c>
      <c r="N838">
        <v>71</v>
      </c>
      <c r="O838">
        <v>75</v>
      </c>
      <c r="P838">
        <v>96</v>
      </c>
      <c r="Q838">
        <v>100</v>
      </c>
      <c r="R838">
        <f>SUM(student_scores[[#This Row],[math_score]:[geography_score]])</f>
        <v>586</v>
      </c>
      <c r="S838" s="3">
        <f>student_scores[[#This Row],[Total_Score]]/7</f>
        <v>83.714285714285708</v>
      </c>
      <c r="T838" s="3" t="str" cm="1">
        <f t="array" ref="T838">_xlfn.IFS(student_scores[[#This Row],[weekly_self_study_hours]]&lt;=5,   "0 - 5", student_scores[[#This Row],[weekly_self_study_hours]]&lt;=10,  "6 - 10", student_scores[[#This Row],[weekly_self_study_hours]]&lt;=20,  "11 - 20",student_scores[[#This Row],[weekly_self_study_hours]]&lt;=30, "21 - 30",TRUE, "31+")</f>
        <v>21 - 30</v>
      </c>
      <c r="U838" t="str" cm="1">
        <f t="array" ref="U838">_xlfn.IFS(student_scores[[#This Row],[absence_days]]=0,"0", student_scores[[#This Row],[absence_days]]&lt;=3,"1-3", student_scores[[#This Row],[absence_days]]&lt;=6,"4-6", TRUE,"7-10")</f>
        <v>1-3</v>
      </c>
      <c r="V838" t="str">
        <f>IF(student_scores[[#This Row],[Total_Score]] &gt;= _xlfn.PERCENTILE.INC(student_scores[Total_Score], 0.8), "Yes", "No")</f>
        <v>No</v>
      </c>
    </row>
    <row r="839" spans="1:22" x14ac:dyDescent="0.35">
      <c r="A839">
        <v>838</v>
      </c>
      <c r="B839" t="s">
        <v>1267</v>
      </c>
      <c r="C839" t="s">
        <v>1629</v>
      </c>
      <c r="D839" t="s">
        <v>1630</v>
      </c>
      <c r="E839" t="s">
        <v>25</v>
      </c>
      <c r="F839" t="b">
        <v>0</v>
      </c>
      <c r="G839">
        <v>3</v>
      </c>
      <c r="H839" t="b">
        <v>0</v>
      </c>
      <c r="I839">
        <v>0</v>
      </c>
      <c r="J839" t="s">
        <v>34</v>
      </c>
      <c r="K839">
        <v>92</v>
      </c>
      <c r="L839">
        <v>65</v>
      </c>
      <c r="M839">
        <v>95</v>
      </c>
      <c r="N839">
        <v>60</v>
      </c>
      <c r="O839">
        <v>93</v>
      </c>
      <c r="P839">
        <v>69</v>
      </c>
      <c r="Q839">
        <v>82</v>
      </c>
      <c r="R839">
        <f>SUM(student_scores[[#This Row],[math_score]:[geography_score]])</f>
        <v>556</v>
      </c>
      <c r="S839" s="3">
        <f>student_scores[[#This Row],[Total_Score]]/7</f>
        <v>79.428571428571431</v>
      </c>
      <c r="T839" s="3" t="str" cm="1">
        <f t="array" ref="T839">_xlfn.IFS(student_scores[[#This Row],[weekly_self_study_hours]]&lt;=5,   "0 - 5", student_scores[[#This Row],[weekly_self_study_hours]]&lt;=10,  "6 - 10", student_scores[[#This Row],[weekly_self_study_hours]]&lt;=20,  "11 - 20",student_scores[[#This Row],[weekly_self_study_hours]]&lt;=30, "21 - 30",TRUE, "31+")</f>
        <v>0 - 5</v>
      </c>
      <c r="U839" t="str" cm="1">
        <f t="array" ref="U839">_xlfn.IFS(student_scores[[#This Row],[absence_days]]=0,"0", student_scores[[#This Row],[absence_days]]&lt;=3,"1-3", student_scores[[#This Row],[absence_days]]&lt;=6,"4-6", TRUE,"7-10")</f>
        <v>1-3</v>
      </c>
      <c r="V839" t="str">
        <f>IF(student_scores[[#This Row],[Total_Score]] &gt;= _xlfn.PERCENTILE.INC(student_scores[Total_Score], 0.8), "Yes", "No")</f>
        <v>No</v>
      </c>
    </row>
    <row r="840" spans="1:22" x14ac:dyDescent="0.35">
      <c r="A840">
        <v>839</v>
      </c>
      <c r="B840" t="s">
        <v>348</v>
      </c>
      <c r="C840" t="s">
        <v>423</v>
      </c>
      <c r="D840" t="s">
        <v>1631</v>
      </c>
      <c r="E840" t="s">
        <v>20</v>
      </c>
      <c r="F840" t="b">
        <v>1</v>
      </c>
      <c r="G840">
        <v>6</v>
      </c>
      <c r="H840" t="b">
        <v>0</v>
      </c>
      <c r="I840">
        <v>0</v>
      </c>
      <c r="J840" t="s">
        <v>64</v>
      </c>
      <c r="K840">
        <v>81</v>
      </c>
      <c r="L840">
        <v>77</v>
      </c>
      <c r="M840">
        <v>92</v>
      </c>
      <c r="N840">
        <v>97</v>
      </c>
      <c r="O840">
        <v>62</v>
      </c>
      <c r="P840">
        <v>65</v>
      </c>
      <c r="Q840">
        <v>92</v>
      </c>
      <c r="R840">
        <f>SUM(student_scores[[#This Row],[math_score]:[geography_score]])</f>
        <v>566</v>
      </c>
      <c r="S840" s="3">
        <f>student_scores[[#This Row],[Total_Score]]/7</f>
        <v>80.857142857142861</v>
      </c>
      <c r="T840" s="3" t="str" cm="1">
        <f t="array" ref="T840">_xlfn.IFS(student_scores[[#This Row],[weekly_self_study_hours]]&lt;=5,   "0 - 5", student_scores[[#This Row],[weekly_self_study_hours]]&lt;=10,  "6 - 10", student_scores[[#This Row],[weekly_self_study_hours]]&lt;=20,  "11 - 20",student_scores[[#This Row],[weekly_self_study_hours]]&lt;=30, "21 - 30",TRUE, "31+")</f>
        <v>0 - 5</v>
      </c>
      <c r="U840" t="str" cm="1">
        <f t="array" ref="U840">_xlfn.IFS(student_scores[[#This Row],[absence_days]]=0,"0", student_scores[[#This Row],[absence_days]]&lt;=3,"1-3", student_scores[[#This Row],[absence_days]]&lt;=6,"4-6", TRUE,"7-10")</f>
        <v>4-6</v>
      </c>
      <c r="V840" t="str">
        <f>IF(student_scores[[#This Row],[Total_Score]] &gt;= _xlfn.PERCENTILE.INC(student_scores[Total_Score], 0.8), "Yes", "No")</f>
        <v>No</v>
      </c>
    </row>
    <row r="841" spans="1:22" x14ac:dyDescent="0.35">
      <c r="A841">
        <v>840</v>
      </c>
      <c r="B841" t="s">
        <v>1229</v>
      </c>
      <c r="C841" t="s">
        <v>1420</v>
      </c>
      <c r="D841" t="s">
        <v>1632</v>
      </c>
      <c r="E841" t="s">
        <v>25</v>
      </c>
      <c r="F841" t="b">
        <v>0</v>
      </c>
      <c r="G841">
        <v>2</v>
      </c>
      <c r="H841" t="b">
        <v>0</v>
      </c>
      <c r="I841">
        <v>3</v>
      </c>
      <c r="J841" t="s">
        <v>30</v>
      </c>
      <c r="K841">
        <v>99</v>
      </c>
      <c r="L841">
        <v>69</v>
      </c>
      <c r="M841">
        <v>71</v>
      </c>
      <c r="N841">
        <v>84</v>
      </c>
      <c r="O841">
        <v>96</v>
      </c>
      <c r="P841">
        <v>84</v>
      </c>
      <c r="Q841">
        <v>69</v>
      </c>
      <c r="R841">
        <f>SUM(student_scores[[#This Row],[math_score]:[geography_score]])</f>
        <v>572</v>
      </c>
      <c r="S841" s="3">
        <f>student_scores[[#This Row],[Total_Score]]/7</f>
        <v>81.714285714285708</v>
      </c>
      <c r="T841" s="3" t="str" cm="1">
        <f t="array" ref="T841">_xlfn.IFS(student_scores[[#This Row],[weekly_self_study_hours]]&lt;=5,   "0 - 5", student_scores[[#This Row],[weekly_self_study_hours]]&lt;=10,  "6 - 10", student_scores[[#This Row],[weekly_self_study_hours]]&lt;=20,  "11 - 20",student_scores[[#This Row],[weekly_self_study_hours]]&lt;=30, "21 - 30",TRUE, "31+")</f>
        <v>0 - 5</v>
      </c>
      <c r="U841" t="str" cm="1">
        <f t="array" ref="U841">_xlfn.IFS(student_scores[[#This Row],[absence_days]]=0,"0", student_scores[[#This Row],[absence_days]]&lt;=3,"1-3", student_scores[[#This Row],[absence_days]]&lt;=6,"4-6", TRUE,"7-10")</f>
        <v>1-3</v>
      </c>
      <c r="V841" t="str">
        <f>IF(student_scores[[#This Row],[Total_Score]] &gt;= _xlfn.PERCENTILE.INC(student_scores[Total_Score], 0.8), "Yes", "No")</f>
        <v>No</v>
      </c>
    </row>
    <row r="842" spans="1:22" x14ac:dyDescent="0.35">
      <c r="A842">
        <v>841</v>
      </c>
      <c r="B842" t="s">
        <v>680</v>
      </c>
      <c r="C842" t="s">
        <v>501</v>
      </c>
      <c r="D842" t="s">
        <v>1633</v>
      </c>
      <c r="E842" t="s">
        <v>20</v>
      </c>
      <c r="F842" t="b">
        <v>0</v>
      </c>
      <c r="G842">
        <v>2</v>
      </c>
      <c r="H842" t="b">
        <v>0</v>
      </c>
      <c r="I842">
        <v>26</v>
      </c>
      <c r="J842" t="s">
        <v>21</v>
      </c>
      <c r="K842">
        <v>97</v>
      </c>
      <c r="L842">
        <v>100</v>
      </c>
      <c r="M842">
        <v>87</v>
      </c>
      <c r="N842">
        <v>90</v>
      </c>
      <c r="O842">
        <v>96</v>
      </c>
      <c r="P842">
        <v>86</v>
      </c>
      <c r="Q842">
        <v>93</v>
      </c>
      <c r="R842">
        <f>SUM(student_scores[[#This Row],[math_score]:[geography_score]])</f>
        <v>649</v>
      </c>
      <c r="S842" s="3">
        <f>student_scores[[#This Row],[Total_Score]]/7</f>
        <v>92.714285714285708</v>
      </c>
      <c r="T842" s="3" t="str" cm="1">
        <f t="array" ref="T842">_xlfn.IFS(student_scores[[#This Row],[weekly_self_study_hours]]&lt;=5,   "0 - 5", student_scores[[#This Row],[weekly_self_study_hours]]&lt;=10,  "6 - 10", student_scores[[#This Row],[weekly_self_study_hours]]&lt;=20,  "11 - 20",student_scores[[#This Row],[weekly_self_study_hours]]&lt;=30, "21 - 30",TRUE, "31+")</f>
        <v>21 - 30</v>
      </c>
      <c r="U842" t="str" cm="1">
        <f t="array" ref="U842">_xlfn.IFS(student_scores[[#This Row],[absence_days]]=0,"0", student_scores[[#This Row],[absence_days]]&lt;=3,"1-3", student_scores[[#This Row],[absence_days]]&lt;=6,"4-6", TRUE,"7-10")</f>
        <v>1-3</v>
      </c>
      <c r="V842" t="str">
        <f>IF(student_scores[[#This Row],[Total_Score]] &gt;= _xlfn.PERCENTILE.INC(student_scores[Total_Score], 0.8), "Yes", "No")</f>
        <v>Yes</v>
      </c>
    </row>
    <row r="843" spans="1:22" x14ac:dyDescent="0.35">
      <c r="A843">
        <v>842</v>
      </c>
      <c r="B843" t="s">
        <v>160</v>
      </c>
      <c r="C843" t="s">
        <v>157</v>
      </c>
      <c r="D843" t="s">
        <v>1634</v>
      </c>
      <c r="E843" t="s">
        <v>20</v>
      </c>
      <c r="F843" t="b">
        <v>0</v>
      </c>
      <c r="G843">
        <v>7</v>
      </c>
      <c r="H843" t="b">
        <v>0</v>
      </c>
      <c r="I843">
        <v>31</v>
      </c>
      <c r="J843" t="s">
        <v>138</v>
      </c>
      <c r="K843">
        <v>80</v>
      </c>
      <c r="L843">
        <v>87</v>
      </c>
      <c r="M843">
        <v>94</v>
      </c>
      <c r="N843">
        <v>68</v>
      </c>
      <c r="O843">
        <v>89</v>
      </c>
      <c r="P843">
        <v>82</v>
      </c>
      <c r="Q843">
        <v>76</v>
      </c>
      <c r="R843">
        <f>SUM(student_scores[[#This Row],[math_score]:[geography_score]])</f>
        <v>576</v>
      </c>
      <c r="S843" s="3">
        <f>student_scores[[#This Row],[Total_Score]]/7</f>
        <v>82.285714285714292</v>
      </c>
      <c r="T843" s="3" t="str" cm="1">
        <f t="array" ref="T843">_xlfn.IFS(student_scores[[#This Row],[weekly_self_study_hours]]&lt;=5,   "0 - 5", student_scores[[#This Row],[weekly_self_study_hours]]&lt;=10,  "6 - 10", student_scores[[#This Row],[weekly_self_study_hours]]&lt;=20,  "11 - 20",student_scores[[#This Row],[weekly_self_study_hours]]&lt;=30, "21 - 30",TRUE, "31+")</f>
        <v>31+</v>
      </c>
      <c r="U843" t="str" cm="1">
        <f t="array" ref="U843">_xlfn.IFS(student_scores[[#This Row],[absence_days]]=0,"0", student_scores[[#This Row],[absence_days]]&lt;=3,"1-3", student_scores[[#This Row],[absence_days]]&lt;=6,"4-6", TRUE,"7-10")</f>
        <v>7-10</v>
      </c>
      <c r="V843" t="str">
        <f>IF(student_scores[[#This Row],[Total_Score]] &gt;= _xlfn.PERCENTILE.INC(student_scores[Total_Score], 0.8), "Yes", "No")</f>
        <v>No</v>
      </c>
    </row>
    <row r="844" spans="1:22" x14ac:dyDescent="0.35">
      <c r="A844">
        <v>843</v>
      </c>
      <c r="B844" t="s">
        <v>190</v>
      </c>
      <c r="C844" t="s">
        <v>735</v>
      </c>
      <c r="D844" t="s">
        <v>1635</v>
      </c>
      <c r="E844" t="s">
        <v>25</v>
      </c>
      <c r="F844" t="b">
        <v>0</v>
      </c>
      <c r="G844">
        <v>4</v>
      </c>
      <c r="H844" t="b">
        <v>0</v>
      </c>
      <c r="I844">
        <v>20</v>
      </c>
      <c r="J844" t="s">
        <v>44</v>
      </c>
      <c r="K844">
        <v>88</v>
      </c>
      <c r="L844">
        <v>62</v>
      </c>
      <c r="M844">
        <v>91</v>
      </c>
      <c r="N844">
        <v>83</v>
      </c>
      <c r="O844">
        <v>97</v>
      </c>
      <c r="P844">
        <v>83</v>
      </c>
      <c r="Q844">
        <v>63</v>
      </c>
      <c r="R844">
        <f>SUM(student_scores[[#This Row],[math_score]:[geography_score]])</f>
        <v>567</v>
      </c>
      <c r="S844" s="3">
        <f>student_scores[[#This Row],[Total_Score]]/7</f>
        <v>81</v>
      </c>
      <c r="T844" s="3" t="str" cm="1">
        <f t="array" ref="T844">_xlfn.IFS(student_scores[[#This Row],[weekly_self_study_hours]]&lt;=5,   "0 - 5", student_scores[[#This Row],[weekly_self_study_hours]]&lt;=10,  "6 - 10", student_scores[[#This Row],[weekly_self_study_hours]]&lt;=20,  "11 - 20",student_scores[[#This Row],[weekly_self_study_hours]]&lt;=30, "21 - 30",TRUE, "31+")</f>
        <v>11 - 20</v>
      </c>
      <c r="U844" t="str" cm="1">
        <f t="array" ref="U844">_xlfn.IFS(student_scores[[#This Row],[absence_days]]=0,"0", student_scores[[#This Row],[absence_days]]&lt;=3,"1-3", student_scores[[#This Row],[absence_days]]&lt;=6,"4-6", TRUE,"7-10")</f>
        <v>4-6</v>
      </c>
      <c r="V844" t="str">
        <f>IF(student_scores[[#This Row],[Total_Score]] &gt;= _xlfn.PERCENTILE.INC(student_scores[Total_Score], 0.8), "Yes", "No")</f>
        <v>No</v>
      </c>
    </row>
    <row r="845" spans="1:22" x14ac:dyDescent="0.35">
      <c r="A845">
        <v>844</v>
      </c>
      <c r="B845" t="s">
        <v>92</v>
      </c>
      <c r="C845" t="s">
        <v>1561</v>
      </c>
      <c r="D845" t="s">
        <v>1636</v>
      </c>
      <c r="E845" t="s">
        <v>25</v>
      </c>
      <c r="F845" t="b">
        <v>0</v>
      </c>
      <c r="G845">
        <v>1</v>
      </c>
      <c r="H845" t="b">
        <v>0</v>
      </c>
      <c r="I845">
        <v>9</v>
      </c>
      <c r="J845" t="s">
        <v>38</v>
      </c>
      <c r="K845">
        <v>95</v>
      </c>
      <c r="L845">
        <v>72</v>
      </c>
      <c r="M845">
        <v>99</v>
      </c>
      <c r="N845">
        <v>67</v>
      </c>
      <c r="O845">
        <v>83</v>
      </c>
      <c r="P845">
        <v>78</v>
      </c>
      <c r="Q845">
        <v>65</v>
      </c>
      <c r="R845">
        <f>SUM(student_scores[[#This Row],[math_score]:[geography_score]])</f>
        <v>559</v>
      </c>
      <c r="S845" s="3">
        <f>student_scores[[#This Row],[Total_Score]]/7</f>
        <v>79.857142857142861</v>
      </c>
      <c r="T845" s="3" t="str" cm="1">
        <f t="array" ref="T845">_xlfn.IFS(student_scores[[#This Row],[weekly_self_study_hours]]&lt;=5,   "0 - 5", student_scores[[#This Row],[weekly_self_study_hours]]&lt;=10,  "6 - 10", student_scores[[#This Row],[weekly_self_study_hours]]&lt;=20,  "11 - 20",student_scores[[#This Row],[weekly_self_study_hours]]&lt;=30, "21 - 30",TRUE, "31+")</f>
        <v>6 - 10</v>
      </c>
      <c r="U845" t="str" cm="1">
        <f t="array" ref="U845">_xlfn.IFS(student_scores[[#This Row],[absence_days]]=0,"0", student_scores[[#This Row],[absence_days]]&lt;=3,"1-3", student_scores[[#This Row],[absence_days]]&lt;=6,"4-6", TRUE,"7-10")</f>
        <v>1-3</v>
      </c>
      <c r="V845" t="str">
        <f>IF(student_scores[[#This Row],[Total_Score]] &gt;= _xlfn.PERCENTILE.INC(student_scores[Total_Score], 0.8), "Yes", "No")</f>
        <v>No</v>
      </c>
    </row>
    <row r="846" spans="1:22" x14ac:dyDescent="0.35">
      <c r="A846">
        <v>845</v>
      </c>
      <c r="B846" t="s">
        <v>1034</v>
      </c>
      <c r="C846" t="s">
        <v>1637</v>
      </c>
      <c r="D846" t="s">
        <v>1638</v>
      </c>
      <c r="E846" t="s">
        <v>25</v>
      </c>
      <c r="F846" t="b">
        <v>0</v>
      </c>
      <c r="G846">
        <v>10</v>
      </c>
      <c r="H846" t="b">
        <v>1</v>
      </c>
      <c r="I846">
        <v>15</v>
      </c>
      <c r="J846" t="s">
        <v>44</v>
      </c>
      <c r="K846">
        <v>90</v>
      </c>
      <c r="L846">
        <v>81</v>
      </c>
      <c r="M846">
        <v>69</v>
      </c>
      <c r="N846">
        <v>70</v>
      </c>
      <c r="O846">
        <v>95</v>
      </c>
      <c r="P846">
        <v>97</v>
      </c>
      <c r="Q846">
        <v>62</v>
      </c>
      <c r="R846">
        <f>SUM(student_scores[[#This Row],[math_score]:[geography_score]])</f>
        <v>564</v>
      </c>
      <c r="S846" s="3">
        <f>student_scores[[#This Row],[Total_Score]]/7</f>
        <v>80.571428571428569</v>
      </c>
      <c r="T846" s="3" t="str" cm="1">
        <f t="array" ref="T846">_xlfn.IFS(student_scores[[#This Row],[weekly_self_study_hours]]&lt;=5,   "0 - 5", student_scores[[#This Row],[weekly_self_study_hours]]&lt;=10,  "6 - 10", student_scores[[#This Row],[weekly_self_study_hours]]&lt;=20,  "11 - 20",student_scores[[#This Row],[weekly_self_study_hours]]&lt;=30, "21 - 30",TRUE, "31+")</f>
        <v>11 - 20</v>
      </c>
      <c r="U846" t="str" cm="1">
        <f t="array" ref="U846">_xlfn.IFS(student_scores[[#This Row],[absence_days]]=0,"0", student_scores[[#This Row],[absence_days]]&lt;=3,"1-3", student_scores[[#This Row],[absence_days]]&lt;=6,"4-6", TRUE,"7-10")</f>
        <v>7-10</v>
      </c>
      <c r="V846" t="str">
        <f>IF(student_scores[[#This Row],[Total_Score]] &gt;= _xlfn.PERCENTILE.INC(student_scores[Total_Score], 0.8), "Yes", "No")</f>
        <v>No</v>
      </c>
    </row>
    <row r="847" spans="1:22" x14ac:dyDescent="0.35">
      <c r="A847">
        <v>846</v>
      </c>
      <c r="B847" t="s">
        <v>596</v>
      </c>
      <c r="C847" t="s">
        <v>1639</v>
      </c>
      <c r="D847" t="s">
        <v>1640</v>
      </c>
      <c r="E847" t="s">
        <v>20</v>
      </c>
      <c r="F847" t="b">
        <v>0</v>
      </c>
      <c r="G847">
        <v>10</v>
      </c>
      <c r="H847" t="b">
        <v>0</v>
      </c>
      <c r="I847">
        <v>1</v>
      </c>
      <c r="J847" t="s">
        <v>64</v>
      </c>
      <c r="K847">
        <v>77</v>
      </c>
      <c r="L847">
        <v>89</v>
      </c>
      <c r="M847">
        <v>50</v>
      </c>
      <c r="N847">
        <v>82</v>
      </c>
      <c r="O847">
        <v>71</v>
      </c>
      <c r="P847">
        <v>78</v>
      </c>
      <c r="Q847">
        <v>70</v>
      </c>
      <c r="R847">
        <f>SUM(student_scores[[#This Row],[math_score]:[geography_score]])</f>
        <v>517</v>
      </c>
      <c r="S847" s="3">
        <f>student_scores[[#This Row],[Total_Score]]/7</f>
        <v>73.857142857142861</v>
      </c>
      <c r="T847" s="3" t="str" cm="1">
        <f t="array" ref="T847">_xlfn.IFS(student_scores[[#This Row],[weekly_self_study_hours]]&lt;=5,   "0 - 5", student_scores[[#This Row],[weekly_self_study_hours]]&lt;=10,  "6 - 10", student_scores[[#This Row],[weekly_self_study_hours]]&lt;=20,  "11 - 20",student_scores[[#This Row],[weekly_self_study_hours]]&lt;=30, "21 - 30",TRUE, "31+")</f>
        <v>0 - 5</v>
      </c>
      <c r="U847" t="str" cm="1">
        <f t="array" ref="U847">_xlfn.IFS(student_scores[[#This Row],[absence_days]]=0,"0", student_scores[[#This Row],[absence_days]]&lt;=3,"1-3", student_scores[[#This Row],[absence_days]]&lt;=6,"4-6", TRUE,"7-10")</f>
        <v>7-10</v>
      </c>
      <c r="V847" t="str">
        <f>IF(student_scores[[#This Row],[Total_Score]] &gt;= _xlfn.PERCENTILE.INC(student_scores[Total_Score], 0.8), "Yes", "No")</f>
        <v>No</v>
      </c>
    </row>
    <row r="848" spans="1:22" x14ac:dyDescent="0.35">
      <c r="A848">
        <v>847</v>
      </c>
      <c r="B848" t="s">
        <v>277</v>
      </c>
      <c r="C848" t="s">
        <v>782</v>
      </c>
      <c r="D848" t="s">
        <v>1641</v>
      </c>
      <c r="E848" t="s">
        <v>20</v>
      </c>
      <c r="F848" t="b">
        <v>1</v>
      </c>
      <c r="G848">
        <v>1</v>
      </c>
      <c r="H848" t="b">
        <v>1</v>
      </c>
      <c r="I848">
        <v>4</v>
      </c>
      <c r="J848" t="s">
        <v>64</v>
      </c>
      <c r="K848">
        <v>82</v>
      </c>
      <c r="L848">
        <v>69</v>
      </c>
      <c r="M848">
        <v>91</v>
      </c>
      <c r="N848">
        <v>95</v>
      </c>
      <c r="O848">
        <v>82</v>
      </c>
      <c r="P848">
        <v>85</v>
      </c>
      <c r="Q848">
        <v>60</v>
      </c>
      <c r="R848">
        <f>SUM(student_scores[[#This Row],[math_score]:[geography_score]])</f>
        <v>564</v>
      </c>
      <c r="S848" s="3">
        <f>student_scores[[#This Row],[Total_Score]]/7</f>
        <v>80.571428571428569</v>
      </c>
      <c r="T848" s="3" t="str" cm="1">
        <f t="array" ref="T848">_xlfn.IFS(student_scores[[#This Row],[weekly_self_study_hours]]&lt;=5,   "0 - 5", student_scores[[#This Row],[weekly_self_study_hours]]&lt;=10,  "6 - 10", student_scores[[#This Row],[weekly_self_study_hours]]&lt;=20,  "11 - 20",student_scores[[#This Row],[weekly_self_study_hours]]&lt;=30, "21 - 30",TRUE, "31+")</f>
        <v>0 - 5</v>
      </c>
      <c r="U848" t="str" cm="1">
        <f t="array" ref="U848">_xlfn.IFS(student_scores[[#This Row],[absence_days]]=0,"0", student_scores[[#This Row],[absence_days]]&lt;=3,"1-3", student_scores[[#This Row],[absence_days]]&lt;=6,"4-6", TRUE,"7-10")</f>
        <v>1-3</v>
      </c>
      <c r="V848" t="str">
        <f>IF(student_scores[[#This Row],[Total_Score]] &gt;= _xlfn.PERCENTILE.INC(student_scores[Total_Score], 0.8), "Yes", "No")</f>
        <v>No</v>
      </c>
    </row>
    <row r="849" spans="1:22" x14ac:dyDescent="0.35">
      <c r="A849">
        <v>848</v>
      </c>
      <c r="B849" t="s">
        <v>413</v>
      </c>
      <c r="C849" t="s">
        <v>1642</v>
      </c>
      <c r="D849" t="s">
        <v>1643</v>
      </c>
      <c r="E849" t="s">
        <v>20</v>
      </c>
      <c r="F849" t="b">
        <v>0</v>
      </c>
      <c r="G849">
        <v>3</v>
      </c>
      <c r="H849" t="b">
        <v>1</v>
      </c>
      <c r="I849">
        <v>2</v>
      </c>
      <c r="J849" t="s">
        <v>224</v>
      </c>
      <c r="K849">
        <v>90</v>
      </c>
      <c r="L849">
        <v>74</v>
      </c>
      <c r="M849">
        <v>88</v>
      </c>
      <c r="N849">
        <v>97</v>
      </c>
      <c r="O849">
        <v>88</v>
      </c>
      <c r="P849">
        <v>73</v>
      </c>
      <c r="Q849">
        <v>66</v>
      </c>
      <c r="R849">
        <f>SUM(student_scores[[#This Row],[math_score]:[geography_score]])</f>
        <v>576</v>
      </c>
      <c r="S849" s="3">
        <f>student_scores[[#This Row],[Total_Score]]/7</f>
        <v>82.285714285714292</v>
      </c>
      <c r="T849" s="3" t="str" cm="1">
        <f t="array" ref="T849">_xlfn.IFS(student_scores[[#This Row],[weekly_self_study_hours]]&lt;=5,   "0 - 5", student_scores[[#This Row],[weekly_self_study_hours]]&lt;=10,  "6 - 10", student_scores[[#This Row],[weekly_self_study_hours]]&lt;=20,  "11 - 20",student_scores[[#This Row],[weekly_self_study_hours]]&lt;=30, "21 - 30",TRUE, "31+")</f>
        <v>0 - 5</v>
      </c>
      <c r="U849" t="str" cm="1">
        <f t="array" ref="U849">_xlfn.IFS(student_scores[[#This Row],[absence_days]]=0,"0", student_scores[[#This Row],[absence_days]]&lt;=3,"1-3", student_scores[[#This Row],[absence_days]]&lt;=6,"4-6", TRUE,"7-10")</f>
        <v>1-3</v>
      </c>
      <c r="V849" t="str">
        <f>IF(student_scores[[#This Row],[Total_Score]] &gt;= _xlfn.PERCENTILE.INC(student_scores[Total_Score], 0.8), "Yes", "No")</f>
        <v>No</v>
      </c>
    </row>
    <row r="850" spans="1:22" x14ac:dyDescent="0.35">
      <c r="A850">
        <v>849</v>
      </c>
      <c r="B850" t="s">
        <v>731</v>
      </c>
      <c r="C850" t="s">
        <v>515</v>
      </c>
      <c r="D850" t="s">
        <v>1644</v>
      </c>
      <c r="E850" t="s">
        <v>25</v>
      </c>
      <c r="F850" t="b">
        <v>0</v>
      </c>
      <c r="G850">
        <v>5</v>
      </c>
      <c r="H850" t="b">
        <v>0</v>
      </c>
      <c r="I850">
        <v>32</v>
      </c>
      <c r="J850" t="s">
        <v>44</v>
      </c>
      <c r="K850">
        <v>94</v>
      </c>
      <c r="L850">
        <v>90</v>
      </c>
      <c r="M850">
        <v>81</v>
      </c>
      <c r="N850">
        <v>82</v>
      </c>
      <c r="O850">
        <v>100</v>
      </c>
      <c r="P850">
        <v>82</v>
      </c>
      <c r="Q850">
        <v>98</v>
      </c>
      <c r="R850">
        <f>SUM(student_scores[[#This Row],[math_score]:[geography_score]])</f>
        <v>627</v>
      </c>
      <c r="S850" s="3">
        <f>student_scores[[#This Row],[Total_Score]]/7</f>
        <v>89.571428571428569</v>
      </c>
      <c r="T850" s="3" t="str" cm="1">
        <f t="array" ref="T850">_xlfn.IFS(student_scores[[#This Row],[weekly_self_study_hours]]&lt;=5,   "0 - 5", student_scores[[#This Row],[weekly_self_study_hours]]&lt;=10,  "6 - 10", student_scores[[#This Row],[weekly_self_study_hours]]&lt;=20,  "11 - 20",student_scores[[#This Row],[weekly_self_study_hours]]&lt;=30, "21 - 30",TRUE, "31+")</f>
        <v>31+</v>
      </c>
      <c r="U850" t="str" cm="1">
        <f t="array" ref="U850">_xlfn.IFS(student_scores[[#This Row],[absence_days]]=0,"0", student_scores[[#This Row],[absence_days]]&lt;=3,"1-3", student_scores[[#This Row],[absence_days]]&lt;=6,"4-6", TRUE,"7-10")</f>
        <v>4-6</v>
      </c>
      <c r="V850" t="str">
        <f>IF(student_scores[[#This Row],[Total_Score]] &gt;= _xlfn.PERCENTILE.INC(student_scores[Total_Score], 0.8), "Yes", "No")</f>
        <v>Yes</v>
      </c>
    </row>
    <row r="851" spans="1:22" x14ac:dyDescent="0.35">
      <c r="A851">
        <v>850</v>
      </c>
      <c r="B851" t="s">
        <v>136</v>
      </c>
      <c r="C851" t="s">
        <v>146</v>
      </c>
      <c r="D851" t="s">
        <v>1645</v>
      </c>
      <c r="E851" t="s">
        <v>20</v>
      </c>
      <c r="F851" t="b">
        <v>1</v>
      </c>
      <c r="G851">
        <v>7</v>
      </c>
      <c r="H851" t="b">
        <v>0</v>
      </c>
      <c r="I851">
        <v>2</v>
      </c>
      <c r="J851" t="s">
        <v>64</v>
      </c>
      <c r="K851">
        <v>87</v>
      </c>
      <c r="L851">
        <v>84</v>
      </c>
      <c r="M851">
        <v>76</v>
      </c>
      <c r="N851">
        <v>87</v>
      </c>
      <c r="O851">
        <v>65</v>
      </c>
      <c r="P851">
        <v>80</v>
      </c>
      <c r="Q851">
        <v>72</v>
      </c>
      <c r="R851">
        <f>SUM(student_scores[[#This Row],[math_score]:[geography_score]])</f>
        <v>551</v>
      </c>
      <c r="S851" s="3">
        <f>student_scores[[#This Row],[Total_Score]]/7</f>
        <v>78.714285714285708</v>
      </c>
      <c r="T851" s="3" t="str" cm="1">
        <f t="array" ref="T851">_xlfn.IFS(student_scores[[#This Row],[weekly_self_study_hours]]&lt;=5,   "0 - 5", student_scores[[#This Row],[weekly_self_study_hours]]&lt;=10,  "6 - 10", student_scores[[#This Row],[weekly_self_study_hours]]&lt;=20,  "11 - 20",student_scores[[#This Row],[weekly_self_study_hours]]&lt;=30, "21 - 30",TRUE, "31+")</f>
        <v>0 - 5</v>
      </c>
      <c r="U851" t="str" cm="1">
        <f t="array" ref="U851">_xlfn.IFS(student_scores[[#This Row],[absence_days]]=0,"0", student_scores[[#This Row],[absence_days]]&lt;=3,"1-3", student_scores[[#This Row],[absence_days]]&lt;=6,"4-6", TRUE,"7-10")</f>
        <v>7-10</v>
      </c>
      <c r="V851" t="str">
        <f>IF(student_scores[[#This Row],[Total_Score]] &gt;= _xlfn.PERCENTILE.INC(student_scores[Total_Score], 0.8), "Yes", "No")</f>
        <v>No</v>
      </c>
    </row>
    <row r="852" spans="1:22" x14ac:dyDescent="0.35">
      <c r="A852">
        <v>851</v>
      </c>
      <c r="B852" t="s">
        <v>388</v>
      </c>
      <c r="C852" t="s">
        <v>103</v>
      </c>
      <c r="D852" t="s">
        <v>1646</v>
      </c>
      <c r="E852" t="s">
        <v>25</v>
      </c>
      <c r="F852" t="b">
        <v>1</v>
      </c>
      <c r="G852">
        <v>1</v>
      </c>
      <c r="H852" t="b">
        <v>0</v>
      </c>
      <c r="I852">
        <v>2</v>
      </c>
      <c r="J852" t="s">
        <v>159</v>
      </c>
      <c r="K852">
        <v>86</v>
      </c>
      <c r="L852">
        <v>66</v>
      </c>
      <c r="M852">
        <v>88</v>
      </c>
      <c r="N852">
        <v>98</v>
      </c>
      <c r="O852">
        <v>68</v>
      </c>
      <c r="P852">
        <v>79</v>
      </c>
      <c r="Q852">
        <v>77</v>
      </c>
      <c r="R852">
        <f>SUM(student_scores[[#This Row],[math_score]:[geography_score]])</f>
        <v>562</v>
      </c>
      <c r="S852" s="3">
        <f>student_scores[[#This Row],[Total_Score]]/7</f>
        <v>80.285714285714292</v>
      </c>
      <c r="T852" s="3" t="str" cm="1">
        <f t="array" ref="T852">_xlfn.IFS(student_scores[[#This Row],[weekly_self_study_hours]]&lt;=5,   "0 - 5", student_scores[[#This Row],[weekly_self_study_hours]]&lt;=10,  "6 - 10", student_scores[[#This Row],[weekly_self_study_hours]]&lt;=20,  "11 - 20",student_scores[[#This Row],[weekly_self_study_hours]]&lt;=30, "21 - 30",TRUE, "31+")</f>
        <v>0 - 5</v>
      </c>
      <c r="U852" t="str" cm="1">
        <f t="array" ref="U852">_xlfn.IFS(student_scores[[#This Row],[absence_days]]=0,"0", student_scores[[#This Row],[absence_days]]&lt;=3,"1-3", student_scores[[#This Row],[absence_days]]&lt;=6,"4-6", TRUE,"7-10")</f>
        <v>1-3</v>
      </c>
      <c r="V852" t="str">
        <f>IF(student_scores[[#This Row],[Total_Score]] &gt;= _xlfn.PERCENTILE.INC(student_scores[Total_Score], 0.8), "Yes", "No")</f>
        <v>No</v>
      </c>
    </row>
    <row r="853" spans="1:22" x14ac:dyDescent="0.35">
      <c r="A853">
        <v>852</v>
      </c>
      <c r="B853" t="s">
        <v>631</v>
      </c>
      <c r="C853" t="s">
        <v>435</v>
      </c>
      <c r="D853" t="s">
        <v>1647</v>
      </c>
      <c r="E853" t="s">
        <v>25</v>
      </c>
      <c r="F853" t="b">
        <v>0</v>
      </c>
      <c r="G853">
        <v>6</v>
      </c>
      <c r="H853" t="b">
        <v>0</v>
      </c>
      <c r="I853">
        <v>19</v>
      </c>
      <c r="J853" t="s">
        <v>105</v>
      </c>
      <c r="K853">
        <v>84</v>
      </c>
      <c r="L853">
        <v>85</v>
      </c>
      <c r="M853">
        <v>83</v>
      </c>
      <c r="N853">
        <v>69</v>
      </c>
      <c r="O853">
        <v>82</v>
      </c>
      <c r="P853">
        <v>91</v>
      </c>
      <c r="Q853">
        <v>69</v>
      </c>
      <c r="R853">
        <f>SUM(student_scores[[#This Row],[math_score]:[geography_score]])</f>
        <v>563</v>
      </c>
      <c r="S853" s="3">
        <f>student_scores[[#This Row],[Total_Score]]/7</f>
        <v>80.428571428571431</v>
      </c>
      <c r="T853" s="3" t="str" cm="1">
        <f t="array" ref="T853">_xlfn.IFS(student_scores[[#This Row],[weekly_self_study_hours]]&lt;=5,   "0 - 5", student_scores[[#This Row],[weekly_self_study_hours]]&lt;=10,  "6 - 10", student_scores[[#This Row],[weekly_self_study_hours]]&lt;=20,  "11 - 20",student_scores[[#This Row],[weekly_self_study_hours]]&lt;=30, "21 - 30",TRUE, "31+")</f>
        <v>11 - 20</v>
      </c>
      <c r="U853" t="str" cm="1">
        <f t="array" ref="U853">_xlfn.IFS(student_scores[[#This Row],[absence_days]]=0,"0", student_scores[[#This Row],[absence_days]]&lt;=3,"1-3", student_scores[[#This Row],[absence_days]]&lt;=6,"4-6", TRUE,"7-10")</f>
        <v>4-6</v>
      </c>
      <c r="V853" t="str">
        <f>IF(student_scores[[#This Row],[Total_Score]] &gt;= _xlfn.PERCENTILE.INC(student_scores[Total_Score], 0.8), "Yes", "No")</f>
        <v>No</v>
      </c>
    </row>
    <row r="854" spans="1:22" x14ac:dyDescent="0.35">
      <c r="A854">
        <v>853</v>
      </c>
      <c r="B854" t="s">
        <v>266</v>
      </c>
      <c r="C854" t="s">
        <v>1110</v>
      </c>
      <c r="D854" t="s">
        <v>1648</v>
      </c>
      <c r="E854" t="s">
        <v>20</v>
      </c>
      <c r="F854" t="b">
        <v>0</v>
      </c>
      <c r="G854">
        <v>4</v>
      </c>
      <c r="H854" t="b">
        <v>0</v>
      </c>
      <c r="I854">
        <v>12</v>
      </c>
      <c r="J854" t="s">
        <v>113</v>
      </c>
      <c r="K854">
        <v>86</v>
      </c>
      <c r="L854">
        <v>63</v>
      </c>
      <c r="M854">
        <v>85</v>
      </c>
      <c r="N854">
        <v>64</v>
      </c>
      <c r="O854">
        <v>98</v>
      </c>
      <c r="P854">
        <v>97</v>
      </c>
      <c r="Q854">
        <v>86</v>
      </c>
      <c r="R854">
        <f>SUM(student_scores[[#This Row],[math_score]:[geography_score]])</f>
        <v>579</v>
      </c>
      <c r="S854" s="3">
        <f>student_scores[[#This Row],[Total_Score]]/7</f>
        <v>82.714285714285708</v>
      </c>
      <c r="T854" s="3" t="str" cm="1">
        <f t="array" ref="T854">_xlfn.IFS(student_scores[[#This Row],[weekly_self_study_hours]]&lt;=5,   "0 - 5", student_scores[[#This Row],[weekly_self_study_hours]]&lt;=10,  "6 - 10", student_scores[[#This Row],[weekly_self_study_hours]]&lt;=20,  "11 - 20",student_scores[[#This Row],[weekly_self_study_hours]]&lt;=30, "21 - 30",TRUE, "31+")</f>
        <v>11 - 20</v>
      </c>
      <c r="U854" t="str" cm="1">
        <f t="array" ref="U854">_xlfn.IFS(student_scores[[#This Row],[absence_days]]=0,"0", student_scores[[#This Row],[absence_days]]&lt;=3,"1-3", student_scores[[#This Row],[absence_days]]&lt;=6,"4-6", TRUE,"7-10")</f>
        <v>4-6</v>
      </c>
      <c r="V854" t="str">
        <f>IF(student_scores[[#This Row],[Total_Score]] &gt;= _xlfn.PERCENTILE.INC(student_scores[Total_Score], 0.8), "Yes", "No")</f>
        <v>No</v>
      </c>
    </row>
    <row r="855" spans="1:22" x14ac:dyDescent="0.35">
      <c r="A855">
        <v>854</v>
      </c>
      <c r="B855" t="s">
        <v>280</v>
      </c>
      <c r="C855" t="s">
        <v>518</v>
      </c>
      <c r="D855" t="s">
        <v>1649</v>
      </c>
      <c r="E855" t="s">
        <v>20</v>
      </c>
      <c r="F855" t="b">
        <v>0</v>
      </c>
      <c r="G855">
        <v>10</v>
      </c>
      <c r="H855" t="b">
        <v>0</v>
      </c>
      <c r="I855">
        <v>5</v>
      </c>
      <c r="J855" t="s">
        <v>64</v>
      </c>
      <c r="K855">
        <v>70</v>
      </c>
      <c r="L855">
        <v>66</v>
      </c>
      <c r="M855">
        <v>98</v>
      </c>
      <c r="N855">
        <v>96</v>
      </c>
      <c r="O855">
        <v>64</v>
      </c>
      <c r="P855">
        <v>65</v>
      </c>
      <c r="Q855">
        <v>91</v>
      </c>
      <c r="R855">
        <f>SUM(student_scores[[#This Row],[math_score]:[geography_score]])</f>
        <v>550</v>
      </c>
      <c r="S855" s="3">
        <f>student_scores[[#This Row],[Total_Score]]/7</f>
        <v>78.571428571428569</v>
      </c>
      <c r="T855" s="3" t="str" cm="1">
        <f t="array" ref="T855">_xlfn.IFS(student_scores[[#This Row],[weekly_self_study_hours]]&lt;=5,   "0 - 5", student_scores[[#This Row],[weekly_self_study_hours]]&lt;=10,  "6 - 10", student_scores[[#This Row],[weekly_self_study_hours]]&lt;=20,  "11 - 20",student_scores[[#This Row],[weekly_self_study_hours]]&lt;=30, "21 - 30",TRUE, "31+")</f>
        <v>0 - 5</v>
      </c>
      <c r="U855" t="str" cm="1">
        <f t="array" ref="U855">_xlfn.IFS(student_scores[[#This Row],[absence_days]]=0,"0", student_scores[[#This Row],[absence_days]]&lt;=3,"1-3", student_scores[[#This Row],[absence_days]]&lt;=6,"4-6", TRUE,"7-10")</f>
        <v>7-10</v>
      </c>
      <c r="V855" t="str">
        <f>IF(student_scores[[#This Row],[Total_Score]] &gt;= _xlfn.PERCENTILE.INC(student_scores[Total_Score], 0.8), "Yes", "No")</f>
        <v>No</v>
      </c>
    </row>
    <row r="856" spans="1:22" x14ac:dyDescent="0.35">
      <c r="A856">
        <v>855</v>
      </c>
      <c r="B856" t="s">
        <v>130</v>
      </c>
      <c r="C856" t="s">
        <v>281</v>
      </c>
      <c r="D856" t="s">
        <v>1650</v>
      </c>
      <c r="E856" t="s">
        <v>25</v>
      </c>
      <c r="F856" t="b">
        <v>0</v>
      </c>
      <c r="G856">
        <v>4</v>
      </c>
      <c r="H856" t="b">
        <v>0</v>
      </c>
      <c r="I856">
        <v>22</v>
      </c>
      <c r="J856" t="s">
        <v>113</v>
      </c>
      <c r="K856">
        <v>87</v>
      </c>
      <c r="L856">
        <v>94</v>
      </c>
      <c r="M856">
        <v>72</v>
      </c>
      <c r="N856">
        <v>93</v>
      </c>
      <c r="O856">
        <v>44</v>
      </c>
      <c r="P856">
        <v>92</v>
      </c>
      <c r="Q856">
        <v>83</v>
      </c>
      <c r="R856">
        <f>SUM(student_scores[[#This Row],[math_score]:[geography_score]])</f>
        <v>565</v>
      </c>
      <c r="S856" s="3">
        <f>student_scores[[#This Row],[Total_Score]]/7</f>
        <v>80.714285714285708</v>
      </c>
      <c r="T856" s="3" t="str" cm="1">
        <f t="array" ref="T856">_xlfn.IFS(student_scores[[#This Row],[weekly_self_study_hours]]&lt;=5,   "0 - 5", student_scores[[#This Row],[weekly_self_study_hours]]&lt;=10,  "6 - 10", student_scores[[#This Row],[weekly_self_study_hours]]&lt;=20,  "11 - 20",student_scores[[#This Row],[weekly_self_study_hours]]&lt;=30, "21 - 30",TRUE, "31+")</f>
        <v>21 - 30</v>
      </c>
      <c r="U856" t="str" cm="1">
        <f t="array" ref="U856">_xlfn.IFS(student_scores[[#This Row],[absence_days]]=0,"0", student_scores[[#This Row],[absence_days]]&lt;=3,"1-3", student_scores[[#This Row],[absence_days]]&lt;=6,"4-6", TRUE,"7-10")</f>
        <v>4-6</v>
      </c>
      <c r="V856" t="str">
        <f>IF(student_scores[[#This Row],[Total_Score]] &gt;= _xlfn.PERCENTILE.INC(student_scores[Total_Score], 0.8), "Yes", "No")</f>
        <v>No</v>
      </c>
    </row>
    <row r="857" spans="1:22" x14ac:dyDescent="0.35">
      <c r="A857">
        <v>856</v>
      </c>
      <c r="B857" t="s">
        <v>676</v>
      </c>
      <c r="C857" t="s">
        <v>576</v>
      </c>
      <c r="D857" t="s">
        <v>1651</v>
      </c>
      <c r="E857" t="s">
        <v>20</v>
      </c>
      <c r="F857" t="b">
        <v>1</v>
      </c>
      <c r="G857">
        <v>7</v>
      </c>
      <c r="H857" t="b">
        <v>0</v>
      </c>
      <c r="I857">
        <v>1</v>
      </c>
      <c r="J857" t="s">
        <v>64</v>
      </c>
      <c r="K857">
        <v>47</v>
      </c>
      <c r="L857">
        <v>78</v>
      </c>
      <c r="M857">
        <v>75</v>
      </c>
      <c r="N857">
        <v>62</v>
      </c>
      <c r="O857">
        <v>61</v>
      </c>
      <c r="P857">
        <v>55</v>
      </c>
      <c r="Q857">
        <v>93</v>
      </c>
      <c r="R857">
        <f>SUM(student_scores[[#This Row],[math_score]:[geography_score]])</f>
        <v>471</v>
      </c>
      <c r="S857" s="3">
        <f>student_scores[[#This Row],[Total_Score]]/7</f>
        <v>67.285714285714292</v>
      </c>
      <c r="T857" s="3" t="str" cm="1">
        <f t="array" ref="T857">_xlfn.IFS(student_scores[[#This Row],[weekly_self_study_hours]]&lt;=5,   "0 - 5", student_scores[[#This Row],[weekly_self_study_hours]]&lt;=10,  "6 - 10", student_scores[[#This Row],[weekly_self_study_hours]]&lt;=20,  "11 - 20",student_scores[[#This Row],[weekly_self_study_hours]]&lt;=30, "21 - 30",TRUE, "31+")</f>
        <v>0 - 5</v>
      </c>
      <c r="U857" t="str" cm="1">
        <f t="array" ref="U857">_xlfn.IFS(student_scores[[#This Row],[absence_days]]=0,"0", student_scores[[#This Row],[absence_days]]&lt;=3,"1-3", student_scores[[#This Row],[absence_days]]&lt;=6,"4-6", TRUE,"7-10")</f>
        <v>7-10</v>
      </c>
      <c r="V857" t="str">
        <f>IF(student_scores[[#This Row],[Total_Score]] &gt;= _xlfn.PERCENTILE.INC(student_scores[Total_Score], 0.8), "Yes", "No")</f>
        <v>No</v>
      </c>
    </row>
    <row r="858" spans="1:22" x14ac:dyDescent="0.35">
      <c r="A858">
        <v>857</v>
      </c>
      <c r="B858" t="s">
        <v>322</v>
      </c>
      <c r="C858" t="s">
        <v>164</v>
      </c>
      <c r="D858" t="s">
        <v>1652</v>
      </c>
      <c r="E858" t="s">
        <v>20</v>
      </c>
      <c r="F858" t="b">
        <v>0</v>
      </c>
      <c r="G858">
        <v>0</v>
      </c>
      <c r="H858" t="b">
        <v>0</v>
      </c>
      <c r="I858">
        <v>21</v>
      </c>
      <c r="J858" t="s">
        <v>44</v>
      </c>
      <c r="K858">
        <v>96</v>
      </c>
      <c r="L858">
        <v>63</v>
      </c>
      <c r="M858">
        <v>77</v>
      </c>
      <c r="N858">
        <v>93</v>
      </c>
      <c r="O858">
        <v>61</v>
      </c>
      <c r="P858">
        <v>86</v>
      </c>
      <c r="Q858">
        <v>83</v>
      </c>
      <c r="R858">
        <f>SUM(student_scores[[#This Row],[math_score]:[geography_score]])</f>
        <v>559</v>
      </c>
      <c r="S858" s="3">
        <f>student_scores[[#This Row],[Total_Score]]/7</f>
        <v>79.857142857142861</v>
      </c>
      <c r="T858" s="3" t="str" cm="1">
        <f t="array" ref="T858">_xlfn.IFS(student_scores[[#This Row],[weekly_self_study_hours]]&lt;=5,   "0 - 5", student_scores[[#This Row],[weekly_self_study_hours]]&lt;=10,  "6 - 10", student_scores[[#This Row],[weekly_self_study_hours]]&lt;=20,  "11 - 20",student_scores[[#This Row],[weekly_self_study_hours]]&lt;=30, "21 - 30",TRUE, "31+")</f>
        <v>21 - 30</v>
      </c>
      <c r="U858" t="str" cm="1">
        <f t="array" ref="U858">_xlfn.IFS(student_scores[[#This Row],[absence_days]]=0,"0", student_scores[[#This Row],[absence_days]]&lt;=3,"1-3", student_scores[[#This Row],[absence_days]]&lt;=6,"4-6", TRUE,"7-10")</f>
        <v>0</v>
      </c>
      <c r="V858" t="str">
        <f>IF(student_scores[[#This Row],[Total_Score]] &gt;= _xlfn.PERCENTILE.INC(student_scores[Total_Score], 0.8), "Yes", "No")</f>
        <v>No</v>
      </c>
    </row>
    <row r="859" spans="1:22" x14ac:dyDescent="0.35">
      <c r="A859">
        <v>858</v>
      </c>
      <c r="B859" t="s">
        <v>655</v>
      </c>
      <c r="C859" t="s">
        <v>1653</v>
      </c>
      <c r="D859" t="s">
        <v>1654</v>
      </c>
      <c r="E859" t="s">
        <v>25</v>
      </c>
      <c r="F859" t="b">
        <v>1</v>
      </c>
      <c r="G859">
        <v>4</v>
      </c>
      <c r="H859" t="b">
        <v>0</v>
      </c>
      <c r="I859">
        <v>5</v>
      </c>
      <c r="J859" t="s">
        <v>64</v>
      </c>
      <c r="K859">
        <v>54</v>
      </c>
      <c r="L859">
        <v>93</v>
      </c>
      <c r="M859">
        <v>96</v>
      </c>
      <c r="N859">
        <v>59</v>
      </c>
      <c r="O859">
        <v>84</v>
      </c>
      <c r="P859">
        <v>79</v>
      </c>
      <c r="Q859">
        <v>93</v>
      </c>
      <c r="R859">
        <f>SUM(student_scores[[#This Row],[math_score]:[geography_score]])</f>
        <v>558</v>
      </c>
      <c r="S859" s="3">
        <f>student_scores[[#This Row],[Total_Score]]/7</f>
        <v>79.714285714285708</v>
      </c>
      <c r="T859" s="3" t="str" cm="1">
        <f t="array" ref="T859">_xlfn.IFS(student_scores[[#This Row],[weekly_self_study_hours]]&lt;=5,   "0 - 5", student_scores[[#This Row],[weekly_self_study_hours]]&lt;=10,  "6 - 10", student_scores[[#This Row],[weekly_self_study_hours]]&lt;=20,  "11 - 20",student_scores[[#This Row],[weekly_self_study_hours]]&lt;=30, "21 - 30",TRUE, "31+")</f>
        <v>0 - 5</v>
      </c>
      <c r="U859" t="str" cm="1">
        <f t="array" ref="U859">_xlfn.IFS(student_scores[[#This Row],[absence_days]]=0,"0", student_scores[[#This Row],[absence_days]]&lt;=3,"1-3", student_scores[[#This Row],[absence_days]]&lt;=6,"4-6", TRUE,"7-10")</f>
        <v>4-6</v>
      </c>
      <c r="V859" t="str">
        <f>IF(student_scores[[#This Row],[Total_Score]] &gt;= _xlfn.PERCENTILE.INC(student_scores[Total_Score], 0.8), "Yes", "No")</f>
        <v>No</v>
      </c>
    </row>
    <row r="860" spans="1:22" x14ac:dyDescent="0.35">
      <c r="A860">
        <v>859</v>
      </c>
      <c r="B860" t="s">
        <v>166</v>
      </c>
      <c r="C860" t="s">
        <v>1655</v>
      </c>
      <c r="D860" t="s">
        <v>1656</v>
      </c>
      <c r="E860" t="s">
        <v>25</v>
      </c>
      <c r="F860" t="b">
        <v>0</v>
      </c>
      <c r="G860">
        <v>3</v>
      </c>
      <c r="H860" t="b">
        <v>1</v>
      </c>
      <c r="I860">
        <v>5</v>
      </c>
      <c r="J860" t="s">
        <v>224</v>
      </c>
      <c r="K860">
        <v>59</v>
      </c>
      <c r="L860">
        <v>100</v>
      </c>
      <c r="M860">
        <v>64</v>
      </c>
      <c r="N860">
        <v>68</v>
      </c>
      <c r="O860">
        <v>86</v>
      </c>
      <c r="P860">
        <v>89</v>
      </c>
      <c r="Q860">
        <v>91</v>
      </c>
      <c r="R860">
        <f>SUM(student_scores[[#This Row],[math_score]:[geography_score]])</f>
        <v>557</v>
      </c>
      <c r="S860" s="3">
        <f>student_scores[[#This Row],[Total_Score]]/7</f>
        <v>79.571428571428569</v>
      </c>
      <c r="T860" s="3" t="str" cm="1">
        <f t="array" ref="T860">_xlfn.IFS(student_scores[[#This Row],[weekly_self_study_hours]]&lt;=5,   "0 - 5", student_scores[[#This Row],[weekly_self_study_hours]]&lt;=10,  "6 - 10", student_scores[[#This Row],[weekly_self_study_hours]]&lt;=20,  "11 - 20",student_scores[[#This Row],[weekly_self_study_hours]]&lt;=30, "21 - 30",TRUE, "31+")</f>
        <v>0 - 5</v>
      </c>
      <c r="U860" t="str" cm="1">
        <f t="array" ref="U860">_xlfn.IFS(student_scores[[#This Row],[absence_days]]=0,"0", student_scores[[#This Row],[absence_days]]&lt;=3,"1-3", student_scores[[#This Row],[absence_days]]&lt;=6,"4-6", TRUE,"7-10")</f>
        <v>1-3</v>
      </c>
      <c r="V860" t="str">
        <f>IF(student_scores[[#This Row],[Total_Score]] &gt;= _xlfn.PERCENTILE.INC(student_scores[Total_Score], 0.8), "Yes", "No")</f>
        <v>No</v>
      </c>
    </row>
    <row r="861" spans="1:22" x14ac:dyDescent="0.35">
      <c r="A861">
        <v>860</v>
      </c>
      <c r="B861" t="s">
        <v>919</v>
      </c>
      <c r="C861" t="s">
        <v>429</v>
      </c>
      <c r="D861" t="s">
        <v>1657</v>
      </c>
      <c r="E861" t="s">
        <v>25</v>
      </c>
      <c r="F861" t="b">
        <v>0</v>
      </c>
      <c r="G861">
        <v>2</v>
      </c>
      <c r="H861" t="b">
        <v>0</v>
      </c>
      <c r="I861">
        <v>8</v>
      </c>
      <c r="J861" t="s">
        <v>38</v>
      </c>
      <c r="K861">
        <v>92</v>
      </c>
      <c r="L861">
        <v>99</v>
      </c>
      <c r="M861">
        <v>93</v>
      </c>
      <c r="N861">
        <v>82</v>
      </c>
      <c r="O861">
        <v>97</v>
      </c>
      <c r="P861">
        <v>70</v>
      </c>
      <c r="Q861">
        <v>79</v>
      </c>
      <c r="R861">
        <f>SUM(student_scores[[#This Row],[math_score]:[geography_score]])</f>
        <v>612</v>
      </c>
      <c r="S861" s="3">
        <f>student_scores[[#This Row],[Total_Score]]/7</f>
        <v>87.428571428571431</v>
      </c>
      <c r="T861" s="3" t="str" cm="1">
        <f t="array" ref="T861">_xlfn.IFS(student_scores[[#This Row],[weekly_self_study_hours]]&lt;=5,   "0 - 5", student_scores[[#This Row],[weekly_self_study_hours]]&lt;=10,  "6 - 10", student_scores[[#This Row],[weekly_self_study_hours]]&lt;=20,  "11 - 20",student_scores[[#This Row],[weekly_self_study_hours]]&lt;=30, "21 - 30",TRUE, "31+")</f>
        <v>6 - 10</v>
      </c>
      <c r="U861" t="str" cm="1">
        <f t="array" ref="U861">_xlfn.IFS(student_scores[[#This Row],[absence_days]]=0,"0", student_scores[[#This Row],[absence_days]]&lt;=3,"1-3", student_scores[[#This Row],[absence_days]]&lt;=6,"4-6", TRUE,"7-10")</f>
        <v>1-3</v>
      </c>
      <c r="V861" t="str">
        <f>IF(student_scores[[#This Row],[Total_Score]] &gt;= _xlfn.PERCENTILE.INC(student_scores[Total_Score], 0.8), "Yes", "No")</f>
        <v>Yes</v>
      </c>
    </row>
    <row r="862" spans="1:22" x14ac:dyDescent="0.35">
      <c r="A862">
        <v>861</v>
      </c>
      <c r="B862" t="s">
        <v>139</v>
      </c>
      <c r="C862" t="s">
        <v>782</v>
      </c>
      <c r="D862" t="s">
        <v>1658</v>
      </c>
      <c r="E862" t="s">
        <v>20</v>
      </c>
      <c r="F862" t="b">
        <v>0</v>
      </c>
      <c r="G862">
        <v>4</v>
      </c>
      <c r="H862" t="b">
        <v>0</v>
      </c>
      <c r="I862">
        <v>25</v>
      </c>
      <c r="J862" t="s">
        <v>44</v>
      </c>
      <c r="K862">
        <v>100</v>
      </c>
      <c r="L862">
        <v>62</v>
      </c>
      <c r="M862">
        <v>78</v>
      </c>
      <c r="N862">
        <v>74</v>
      </c>
      <c r="O862">
        <v>72</v>
      </c>
      <c r="P862">
        <v>73</v>
      </c>
      <c r="Q862">
        <v>78</v>
      </c>
      <c r="R862">
        <f>SUM(student_scores[[#This Row],[math_score]:[geography_score]])</f>
        <v>537</v>
      </c>
      <c r="S862" s="3">
        <f>student_scores[[#This Row],[Total_Score]]/7</f>
        <v>76.714285714285708</v>
      </c>
      <c r="T862" s="3" t="str" cm="1">
        <f t="array" ref="T862">_xlfn.IFS(student_scores[[#This Row],[weekly_self_study_hours]]&lt;=5,   "0 - 5", student_scores[[#This Row],[weekly_self_study_hours]]&lt;=10,  "6 - 10", student_scores[[#This Row],[weekly_self_study_hours]]&lt;=20,  "11 - 20",student_scores[[#This Row],[weekly_self_study_hours]]&lt;=30, "21 - 30",TRUE, "31+")</f>
        <v>21 - 30</v>
      </c>
      <c r="U862" t="str" cm="1">
        <f t="array" ref="U862">_xlfn.IFS(student_scores[[#This Row],[absence_days]]=0,"0", student_scores[[#This Row],[absence_days]]&lt;=3,"1-3", student_scores[[#This Row],[absence_days]]&lt;=6,"4-6", TRUE,"7-10")</f>
        <v>4-6</v>
      </c>
      <c r="V862" t="str">
        <f>IF(student_scores[[#This Row],[Total_Score]] &gt;= _xlfn.PERCENTILE.INC(student_scores[Total_Score], 0.8), "Yes", "No")</f>
        <v>No</v>
      </c>
    </row>
    <row r="863" spans="1:22" x14ac:dyDescent="0.35">
      <c r="A863">
        <v>862</v>
      </c>
      <c r="B863" t="s">
        <v>208</v>
      </c>
      <c r="C863" t="s">
        <v>600</v>
      </c>
      <c r="D863" t="s">
        <v>1659</v>
      </c>
      <c r="E863" t="s">
        <v>20</v>
      </c>
      <c r="F863" t="b">
        <v>0</v>
      </c>
      <c r="G863">
        <v>5</v>
      </c>
      <c r="H863" t="b">
        <v>0</v>
      </c>
      <c r="I863">
        <v>34</v>
      </c>
      <c r="J863" t="s">
        <v>76</v>
      </c>
      <c r="K863">
        <v>92</v>
      </c>
      <c r="L863">
        <v>81</v>
      </c>
      <c r="M863">
        <v>84</v>
      </c>
      <c r="N863">
        <v>84</v>
      </c>
      <c r="O863">
        <v>84</v>
      </c>
      <c r="P863">
        <v>66</v>
      </c>
      <c r="Q863">
        <v>74</v>
      </c>
      <c r="R863">
        <f>SUM(student_scores[[#This Row],[math_score]:[geography_score]])</f>
        <v>565</v>
      </c>
      <c r="S863" s="3">
        <f>student_scores[[#This Row],[Total_Score]]/7</f>
        <v>80.714285714285708</v>
      </c>
      <c r="T863" s="3" t="str" cm="1">
        <f t="array" ref="T863">_xlfn.IFS(student_scores[[#This Row],[weekly_self_study_hours]]&lt;=5,   "0 - 5", student_scores[[#This Row],[weekly_self_study_hours]]&lt;=10,  "6 - 10", student_scores[[#This Row],[weekly_self_study_hours]]&lt;=20,  "11 - 20",student_scores[[#This Row],[weekly_self_study_hours]]&lt;=30, "21 - 30",TRUE, "31+")</f>
        <v>31+</v>
      </c>
      <c r="U863" t="str" cm="1">
        <f t="array" ref="U863">_xlfn.IFS(student_scores[[#This Row],[absence_days]]=0,"0", student_scores[[#This Row],[absence_days]]&lt;=3,"1-3", student_scores[[#This Row],[absence_days]]&lt;=6,"4-6", TRUE,"7-10")</f>
        <v>4-6</v>
      </c>
      <c r="V863" t="str">
        <f>IF(student_scores[[#This Row],[Total_Score]] &gt;= _xlfn.PERCENTILE.INC(student_scores[Total_Score], 0.8), "Yes", "No")</f>
        <v>No</v>
      </c>
    </row>
    <row r="864" spans="1:22" x14ac:dyDescent="0.35">
      <c r="A864">
        <v>863</v>
      </c>
      <c r="B864" t="s">
        <v>35</v>
      </c>
      <c r="C864" t="s">
        <v>452</v>
      </c>
      <c r="D864" t="s">
        <v>1660</v>
      </c>
      <c r="E864" t="s">
        <v>20</v>
      </c>
      <c r="F864" t="b">
        <v>0</v>
      </c>
      <c r="G864">
        <v>3</v>
      </c>
      <c r="H864" t="b">
        <v>0</v>
      </c>
      <c r="I864">
        <v>0</v>
      </c>
      <c r="J864" t="s">
        <v>224</v>
      </c>
      <c r="K864">
        <v>75</v>
      </c>
      <c r="L864">
        <v>66</v>
      </c>
      <c r="M864">
        <v>91</v>
      </c>
      <c r="N864">
        <v>73</v>
      </c>
      <c r="O864">
        <v>100</v>
      </c>
      <c r="P864">
        <v>94</v>
      </c>
      <c r="Q864">
        <v>67</v>
      </c>
      <c r="R864">
        <f>SUM(student_scores[[#This Row],[math_score]:[geography_score]])</f>
        <v>566</v>
      </c>
      <c r="S864" s="3">
        <f>student_scores[[#This Row],[Total_Score]]/7</f>
        <v>80.857142857142861</v>
      </c>
      <c r="T864" s="3" t="str" cm="1">
        <f t="array" ref="T864">_xlfn.IFS(student_scores[[#This Row],[weekly_self_study_hours]]&lt;=5,   "0 - 5", student_scores[[#This Row],[weekly_self_study_hours]]&lt;=10,  "6 - 10", student_scores[[#This Row],[weekly_self_study_hours]]&lt;=20,  "11 - 20",student_scores[[#This Row],[weekly_self_study_hours]]&lt;=30, "21 - 30",TRUE, "31+")</f>
        <v>0 - 5</v>
      </c>
      <c r="U864" t="str" cm="1">
        <f t="array" ref="U864">_xlfn.IFS(student_scores[[#This Row],[absence_days]]=0,"0", student_scores[[#This Row],[absence_days]]&lt;=3,"1-3", student_scores[[#This Row],[absence_days]]&lt;=6,"4-6", TRUE,"7-10")</f>
        <v>1-3</v>
      </c>
      <c r="V864" t="str">
        <f>IF(student_scores[[#This Row],[Total_Score]] &gt;= _xlfn.PERCENTILE.INC(student_scores[Total_Score], 0.8), "Yes", "No")</f>
        <v>No</v>
      </c>
    </row>
    <row r="865" spans="1:22" x14ac:dyDescent="0.35">
      <c r="A865">
        <v>864</v>
      </c>
      <c r="B865" t="s">
        <v>1115</v>
      </c>
      <c r="C865" t="s">
        <v>1661</v>
      </c>
      <c r="D865" t="s">
        <v>1662</v>
      </c>
      <c r="E865" t="s">
        <v>25</v>
      </c>
      <c r="F865" t="b">
        <v>0</v>
      </c>
      <c r="G865">
        <v>0</v>
      </c>
      <c r="H865" t="b">
        <v>0</v>
      </c>
      <c r="I865">
        <v>34</v>
      </c>
      <c r="J865" t="s">
        <v>44</v>
      </c>
      <c r="K865">
        <v>93</v>
      </c>
      <c r="L865">
        <v>74</v>
      </c>
      <c r="M865">
        <v>63</v>
      </c>
      <c r="N865">
        <v>97</v>
      </c>
      <c r="O865">
        <v>64</v>
      </c>
      <c r="P865">
        <v>61</v>
      </c>
      <c r="Q865">
        <v>92</v>
      </c>
      <c r="R865">
        <f>SUM(student_scores[[#This Row],[math_score]:[geography_score]])</f>
        <v>544</v>
      </c>
      <c r="S865" s="3">
        <f>student_scores[[#This Row],[Total_Score]]/7</f>
        <v>77.714285714285708</v>
      </c>
      <c r="T865" s="3" t="str" cm="1">
        <f t="array" ref="T865">_xlfn.IFS(student_scores[[#This Row],[weekly_self_study_hours]]&lt;=5,   "0 - 5", student_scores[[#This Row],[weekly_self_study_hours]]&lt;=10,  "6 - 10", student_scores[[#This Row],[weekly_self_study_hours]]&lt;=20,  "11 - 20",student_scores[[#This Row],[weekly_self_study_hours]]&lt;=30, "21 - 30",TRUE, "31+")</f>
        <v>31+</v>
      </c>
      <c r="U865" t="str" cm="1">
        <f t="array" ref="U865">_xlfn.IFS(student_scores[[#This Row],[absence_days]]=0,"0", student_scores[[#This Row],[absence_days]]&lt;=3,"1-3", student_scores[[#This Row],[absence_days]]&lt;=6,"4-6", TRUE,"7-10")</f>
        <v>0</v>
      </c>
      <c r="V865" t="str">
        <f>IF(student_scores[[#This Row],[Total_Score]] &gt;= _xlfn.PERCENTILE.INC(student_scores[Total_Score], 0.8), "Yes", "No")</f>
        <v>No</v>
      </c>
    </row>
    <row r="866" spans="1:22" x14ac:dyDescent="0.35">
      <c r="A866">
        <v>865</v>
      </c>
      <c r="B866" t="s">
        <v>1663</v>
      </c>
      <c r="C866" t="s">
        <v>1664</v>
      </c>
      <c r="D866" t="s">
        <v>1665</v>
      </c>
      <c r="E866" t="s">
        <v>20</v>
      </c>
      <c r="F866" t="b">
        <v>0</v>
      </c>
      <c r="G866">
        <v>2</v>
      </c>
      <c r="H866" t="b">
        <v>0</v>
      </c>
      <c r="I866">
        <v>31</v>
      </c>
      <c r="J866" t="s">
        <v>21</v>
      </c>
      <c r="K866">
        <v>100</v>
      </c>
      <c r="L866">
        <v>96</v>
      </c>
      <c r="M866">
        <v>67</v>
      </c>
      <c r="N866">
        <v>63</v>
      </c>
      <c r="O866">
        <v>91</v>
      </c>
      <c r="P866">
        <v>96</v>
      </c>
      <c r="Q866">
        <v>84</v>
      </c>
      <c r="R866">
        <f>SUM(student_scores[[#This Row],[math_score]:[geography_score]])</f>
        <v>597</v>
      </c>
      <c r="S866" s="3">
        <f>student_scores[[#This Row],[Total_Score]]/7</f>
        <v>85.285714285714292</v>
      </c>
      <c r="T866" s="3" t="str" cm="1">
        <f t="array" ref="T866">_xlfn.IFS(student_scores[[#This Row],[weekly_self_study_hours]]&lt;=5,   "0 - 5", student_scores[[#This Row],[weekly_self_study_hours]]&lt;=10,  "6 - 10", student_scores[[#This Row],[weekly_self_study_hours]]&lt;=20,  "11 - 20",student_scores[[#This Row],[weekly_self_study_hours]]&lt;=30, "21 - 30",TRUE, "31+")</f>
        <v>31+</v>
      </c>
      <c r="U866" t="str" cm="1">
        <f t="array" ref="U866">_xlfn.IFS(student_scores[[#This Row],[absence_days]]=0,"0", student_scores[[#This Row],[absence_days]]&lt;=3,"1-3", student_scores[[#This Row],[absence_days]]&lt;=6,"4-6", TRUE,"7-10")</f>
        <v>1-3</v>
      </c>
      <c r="V866" t="str">
        <f>IF(student_scores[[#This Row],[Total_Score]] &gt;= _xlfn.PERCENTILE.INC(student_scores[Total_Score], 0.8), "Yes", "No")</f>
        <v>No</v>
      </c>
    </row>
    <row r="867" spans="1:22" x14ac:dyDescent="0.35">
      <c r="A867">
        <v>866</v>
      </c>
      <c r="B867" t="s">
        <v>510</v>
      </c>
      <c r="C867" t="s">
        <v>1353</v>
      </c>
      <c r="D867" t="s">
        <v>1666</v>
      </c>
      <c r="E867" t="s">
        <v>25</v>
      </c>
      <c r="F867" t="b">
        <v>1</v>
      </c>
      <c r="G867">
        <v>7</v>
      </c>
      <c r="H867" t="b">
        <v>0</v>
      </c>
      <c r="I867">
        <v>1</v>
      </c>
      <c r="J867" t="s">
        <v>64</v>
      </c>
      <c r="K867">
        <v>80</v>
      </c>
      <c r="L867">
        <v>84</v>
      </c>
      <c r="M867">
        <v>67</v>
      </c>
      <c r="N867">
        <v>96</v>
      </c>
      <c r="O867">
        <v>88</v>
      </c>
      <c r="P867">
        <v>94</v>
      </c>
      <c r="Q867">
        <v>86</v>
      </c>
      <c r="R867">
        <f>SUM(student_scores[[#This Row],[math_score]:[geography_score]])</f>
        <v>595</v>
      </c>
      <c r="S867" s="3">
        <f>student_scores[[#This Row],[Total_Score]]/7</f>
        <v>85</v>
      </c>
      <c r="T867" s="3" t="str" cm="1">
        <f t="array" ref="T867">_xlfn.IFS(student_scores[[#This Row],[weekly_self_study_hours]]&lt;=5,   "0 - 5", student_scores[[#This Row],[weekly_self_study_hours]]&lt;=10,  "6 - 10", student_scores[[#This Row],[weekly_self_study_hours]]&lt;=20,  "11 - 20",student_scores[[#This Row],[weekly_self_study_hours]]&lt;=30, "21 - 30",TRUE, "31+")</f>
        <v>0 - 5</v>
      </c>
      <c r="U867" t="str" cm="1">
        <f t="array" ref="U867">_xlfn.IFS(student_scores[[#This Row],[absence_days]]=0,"0", student_scores[[#This Row],[absence_days]]&lt;=3,"1-3", student_scores[[#This Row],[absence_days]]&lt;=6,"4-6", TRUE,"7-10")</f>
        <v>7-10</v>
      </c>
      <c r="V867" t="str">
        <f>IF(student_scores[[#This Row],[Total_Score]] &gt;= _xlfn.PERCENTILE.INC(student_scores[Total_Score], 0.8), "Yes", "No")</f>
        <v>No</v>
      </c>
    </row>
    <row r="868" spans="1:22" x14ac:dyDescent="0.35">
      <c r="A868">
        <v>867</v>
      </c>
      <c r="B868" t="s">
        <v>1034</v>
      </c>
      <c r="C868" t="s">
        <v>518</v>
      </c>
      <c r="D868" t="s">
        <v>1667</v>
      </c>
      <c r="E868" t="s">
        <v>25</v>
      </c>
      <c r="F868" t="b">
        <v>0</v>
      </c>
      <c r="G868">
        <v>1</v>
      </c>
      <c r="H868" t="b">
        <v>1</v>
      </c>
      <c r="I868">
        <v>28</v>
      </c>
      <c r="J868" t="s">
        <v>21</v>
      </c>
      <c r="K868">
        <v>100</v>
      </c>
      <c r="L868">
        <v>92</v>
      </c>
      <c r="M868">
        <v>66</v>
      </c>
      <c r="N868">
        <v>96</v>
      </c>
      <c r="O868">
        <v>76</v>
      </c>
      <c r="P868">
        <v>88</v>
      </c>
      <c r="Q868">
        <v>77</v>
      </c>
      <c r="R868">
        <f>SUM(student_scores[[#This Row],[math_score]:[geography_score]])</f>
        <v>595</v>
      </c>
      <c r="S868" s="3">
        <f>student_scores[[#This Row],[Total_Score]]/7</f>
        <v>85</v>
      </c>
      <c r="T868" s="3" t="str" cm="1">
        <f t="array" ref="T868">_xlfn.IFS(student_scores[[#This Row],[weekly_self_study_hours]]&lt;=5,   "0 - 5", student_scores[[#This Row],[weekly_self_study_hours]]&lt;=10,  "6 - 10", student_scores[[#This Row],[weekly_self_study_hours]]&lt;=20,  "11 - 20",student_scores[[#This Row],[weekly_self_study_hours]]&lt;=30, "21 - 30",TRUE, "31+")</f>
        <v>21 - 30</v>
      </c>
      <c r="U868" t="str" cm="1">
        <f t="array" ref="U868">_xlfn.IFS(student_scores[[#This Row],[absence_days]]=0,"0", student_scores[[#This Row],[absence_days]]&lt;=3,"1-3", student_scores[[#This Row],[absence_days]]&lt;=6,"4-6", TRUE,"7-10")</f>
        <v>1-3</v>
      </c>
      <c r="V868" t="str">
        <f>IF(student_scores[[#This Row],[Total_Score]] &gt;= _xlfn.PERCENTILE.INC(student_scores[Total_Score], 0.8), "Yes", "No")</f>
        <v>No</v>
      </c>
    </row>
    <row r="869" spans="1:22" x14ac:dyDescent="0.35">
      <c r="A869">
        <v>868</v>
      </c>
      <c r="B869" t="s">
        <v>124</v>
      </c>
      <c r="C869" t="s">
        <v>160</v>
      </c>
      <c r="D869" t="s">
        <v>1668</v>
      </c>
      <c r="E869" t="s">
        <v>20</v>
      </c>
      <c r="F869" t="b">
        <v>1</v>
      </c>
      <c r="G869">
        <v>4</v>
      </c>
      <c r="H869" t="b">
        <v>0</v>
      </c>
      <c r="I869">
        <v>5</v>
      </c>
      <c r="J869" t="s">
        <v>64</v>
      </c>
      <c r="K869">
        <v>52</v>
      </c>
      <c r="L869">
        <v>65</v>
      </c>
      <c r="M869">
        <v>74</v>
      </c>
      <c r="N869">
        <v>71</v>
      </c>
      <c r="O869">
        <v>63</v>
      </c>
      <c r="P869">
        <v>59</v>
      </c>
      <c r="Q869">
        <v>67</v>
      </c>
      <c r="R869">
        <f>SUM(student_scores[[#This Row],[math_score]:[geography_score]])</f>
        <v>451</v>
      </c>
      <c r="S869" s="3">
        <f>student_scores[[#This Row],[Total_Score]]/7</f>
        <v>64.428571428571431</v>
      </c>
      <c r="T869" s="3" t="str" cm="1">
        <f t="array" ref="T869">_xlfn.IFS(student_scores[[#This Row],[weekly_self_study_hours]]&lt;=5,   "0 - 5", student_scores[[#This Row],[weekly_self_study_hours]]&lt;=10,  "6 - 10", student_scores[[#This Row],[weekly_self_study_hours]]&lt;=20,  "11 - 20",student_scores[[#This Row],[weekly_self_study_hours]]&lt;=30, "21 - 30",TRUE, "31+")</f>
        <v>0 - 5</v>
      </c>
      <c r="U869" t="str" cm="1">
        <f t="array" ref="U869">_xlfn.IFS(student_scores[[#This Row],[absence_days]]=0,"0", student_scores[[#This Row],[absence_days]]&lt;=3,"1-3", student_scores[[#This Row],[absence_days]]&lt;=6,"4-6", TRUE,"7-10")</f>
        <v>4-6</v>
      </c>
      <c r="V869" t="str">
        <f>IF(student_scores[[#This Row],[Total_Score]] &gt;= _xlfn.PERCENTILE.INC(student_scores[Total_Score], 0.8), "Yes", "No")</f>
        <v>No</v>
      </c>
    </row>
    <row r="870" spans="1:22" x14ac:dyDescent="0.35">
      <c r="A870">
        <v>869</v>
      </c>
      <c r="B870" t="s">
        <v>114</v>
      </c>
      <c r="C870" t="s">
        <v>1669</v>
      </c>
      <c r="D870" t="s">
        <v>1670</v>
      </c>
      <c r="E870" t="s">
        <v>25</v>
      </c>
      <c r="F870" t="b">
        <v>0</v>
      </c>
      <c r="G870">
        <v>1</v>
      </c>
      <c r="H870" t="b">
        <v>0</v>
      </c>
      <c r="I870">
        <v>26</v>
      </c>
      <c r="J870" t="s">
        <v>44</v>
      </c>
      <c r="K870">
        <v>95</v>
      </c>
      <c r="L870">
        <v>69</v>
      </c>
      <c r="M870">
        <v>91</v>
      </c>
      <c r="N870">
        <v>67</v>
      </c>
      <c r="O870">
        <v>67</v>
      </c>
      <c r="P870">
        <v>70</v>
      </c>
      <c r="Q870">
        <v>71</v>
      </c>
      <c r="R870">
        <f>SUM(student_scores[[#This Row],[math_score]:[geography_score]])</f>
        <v>530</v>
      </c>
      <c r="S870" s="3">
        <f>student_scores[[#This Row],[Total_Score]]/7</f>
        <v>75.714285714285708</v>
      </c>
      <c r="T870" s="3" t="str" cm="1">
        <f t="array" ref="T870">_xlfn.IFS(student_scores[[#This Row],[weekly_self_study_hours]]&lt;=5,   "0 - 5", student_scores[[#This Row],[weekly_self_study_hours]]&lt;=10,  "6 - 10", student_scores[[#This Row],[weekly_self_study_hours]]&lt;=20,  "11 - 20",student_scores[[#This Row],[weekly_self_study_hours]]&lt;=30, "21 - 30",TRUE, "31+")</f>
        <v>21 - 30</v>
      </c>
      <c r="U870" t="str" cm="1">
        <f t="array" ref="U870">_xlfn.IFS(student_scores[[#This Row],[absence_days]]=0,"0", student_scores[[#This Row],[absence_days]]&lt;=3,"1-3", student_scores[[#This Row],[absence_days]]&lt;=6,"4-6", TRUE,"7-10")</f>
        <v>1-3</v>
      </c>
      <c r="V870" t="str">
        <f>IF(student_scores[[#This Row],[Total_Score]] &gt;= _xlfn.PERCENTILE.INC(student_scores[Total_Score], 0.8), "Yes", "No")</f>
        <v>No</v>
      </c>
    </row>
    <row r="871" spans="1:22" x14ac:dyDescent="0.35">
      <c r="A871">
        <v>870</v>
      </c>
      <c r="B871" t="s">
        <v>1171</v>
      </c>
      <c r="C871" t="s">
        <v>39</v>
      </c>
      <c r="D871" t="s">
        <v>1671</v>
      </c>
      <c r="E871" t="s">
        <v>20</v>
      </c>
      <c r="F871" t="b">
        <v>0</v>
      </c>
      <c r="G871">
        <v>1</v>
      </c>
      <c r="H871" t="b">
        <v>0</v>
      </c>
      <c r="I871">
        <v>21</v>
      </c>
      <c r="J871" t="s">
        <v>38</v>
      </c>
      <c r="K871">
        <v>100</v>
      </c>
      <c r="L871">
        <v>67</v>
      </c>
      <c r="M871">
        <v>100</v>
      </c>
      <c r="N871">
        <v>65</v>
      </c>
      <c r="O871">
        <v>67</v>
      </c>
      <c r="P871">
        <v>92</v>
      </c>
      <c r="Q871">
        <v>67</v>
      </c>
      <c r="R871">
        <f>SUM(student_scores[[#This Row],[math_score]:[geography_score]])</f>
        <v>558</v>
      </c>
      <c r="S871" s="3">
        <f>student_scores[[#This Row],[Total_Score]]/7</f>
        <v>79.714285714285708</v>
      </c>
      <c r="T871" s="3" t="str" cm="1">
        <f t="array" ref="T871">_xlfn.IFS(student_scores[[#This Row],[weekly_self_study_hours]]&lt;=5,   "0 - 5", student_scores[[#This Row],[weekly_self_study_hours]]&lt;=10,  "6 - 10", student_scores[[#This Row],[weekly_self_study_hours]]&lt;=20,  "11 - 20",student_scores[[#This Row],[weekly_self_study_hours]]&lt;=30, "21 - 30",TRUE, "31+")</f>
        <v>21 - 30</v>
      </c>
      <c r="U871" t="str" cm="1">
        <f t="array" ref="U871">_xlfn.IFS(student_scores[[#This Row],[absence_days]]=0,"0", student_scores[[#This Row],[absence_days]]&lt;=3,"1-3", student_scores[[#This Row],[absence_days]]&lt;=6,"4-6", TRUE,"7-10")</f>
        <v>1-3</v>
      </c>
      <c r="V871" t="str">
        <f>IF(student_scores[[#This Row],[Total_Score]] &gt;= _xlfn.PERCENTILE.INC(student_scores[Total_Score], 0.8), "Yes", "No")</f>
        <v>No</v>
      </c>
    </row>
    <row r="872" spans="1:22" x14ac:dyDescent="0.35">
      <c r="A872">
        <v>871</v>
      </c>
      <c r="B872" t="s">
        <v>45</v>
      </c>
      <c r="C872" t="s">
        <v>1300</v>
      </c>
      <c r="D872" t="s">
        <v>1672</v>
      </c>
      <c r="E872" t="s">
        <v>20</v>
      </c>
      <c r="F872" t="b">
        <v>0</v>
      </c>
      <c r="G872">
        <v>4</v>
      </c>
      <c r="H872" t="b">
        <v>0</v>
      </c>
      <c r="I872">
        <v>22</v>
      </c>
      <c r="J872" t="s">
        <v>44</v>
      </c>
      <c r="K872">
        <v>96</v>
      </c>
      <c r="L872">
        <v>73</v>
      </c>
      <c r="M872">
        <v>90</v>
      </c>
      <c r="N872">
        <v>84</v>
      </c>
      <c r="O872">
        <v>64</v>
      </c>
      <c r="P872">
        <v>75</v>
      </c>
      <c r="Q872">
        <v>62</v>
      </c>
      <c r="R872">
        <f>SUM(student_scores[[#This Row],[math_score]:[geography_score]])</f>
        <v>544</v>
      </c>
      <c r="S872" s="3">
        <f>student_scores[[#This Row],[Total_Score]]/7</f>
        <v>77.714285714285708</v>
      </c>
      <c r="T872" s="3" t="str" cm="1">
        <f t="array" ref="T872">_xlfn.IFS(student_scores[[#This Row],[weekly_self_study_hours]]&lt;=5,   "0 - 5", student_scores[[#This Row],[weekly_self_study_hours]]&lt;=10,  "6 - 10", student_scores[[#This Row],[weekly_self_study_hours]]&lt;=20,  "11 - 20",student_scores[[#This Row],[weekly_self_study_hours]]&lt;=30, "21 - 30",TRUE, "31+")</f>
        <v>21 - 30</v>
      </c>
      <c r="U872" t="str" cm="1">
        <f t="array" ref="U872">_xlfn.IFS(student_scores[[#This Row],[absence_days]]=0,"0", student_scores[[#This Row],[absence_days]]&lt;=3,"1-3", student_scores[[#This Row],[absence_days]]&lt;=6,"4-6", TRUE,"7-10")</f>
        <v>4-6</v>
      </c>
      <c r="V872" t="str">
        <f>IF(student_scores[[#This Row],[Total_Score]] &gt;= _xlfn.PERCENTILE.INC(student_scores[Total_Score], 0.8), "Yes", "No")</f>
        <v>No</v>
      </c>
    </row>
    <row r="873" spans="1:22" x14ac:dyDescent="0.35">
      <c r="A873">
        <v>872</v>
      </c>
      <c r="B873" t="s">
        <v>746</v>
      </c>
      <c r="C873" t="s">
        <v>252</v>
      </c>
      <c r="D873" t="s">
        <v>1673</v>
      </c>
      <c r="E873" t="s">
        <v>25</v>
      </c>
      <c r="F873" t="b">
        <v>0</v>
      </c>
      <c r="G873">
        <v>3</v>
      </c>
      <c r="H873" t="b">
        <v>0</v>
      </c>
      <c r="I873">
        <v>30</v>
      </c>
      <c r="J873" t="s">
        <v>38</v>
      </c>
      <c r="K873">
        <v>60</v>
      </c>
      <c r="L873">
        <v>67</v>
      </c>
      <c r="M873">
        <v>94</v>
      </c>
      <c r="N873">
        <v>74</v>
      </c>
      <c r="O873">
        <v>71</v>
      </c>
      <c r="P873">
        <v>98</v>
      </c>
      <c r="Q873">
        <v>74</v>
      </c>
      <c r="R873">
        <f>SUM(student_scores[[#This Row],[math_score]:[geography_score]])</f>
        <v>538</v>
      </c>
      <c r="S873" s="3">
        <f>student_scores[[#This Row],[Total_Score]]/7</f>
        <v>76.857142857142861</v>
      </c>
      <c r="T873" s="3" t="str" cm="1">
        <f t="array" ref="T873">_xlfn.IFS(student_scores[[#This Row],[weekly_self_study_hours]]&lt;=5,   "0 - 5", student_scores[[#This Row],[weekly_self_study_hours]]&lt;=10,  "6 - 10", student_scores[[#This Row],[weekly_self_study_hours]]&lt;=20,  "11 - 20",student_scores[[#This Row],[weekly_self_study_hours]]&lt;=30, "21 - 30",TRUE, "31+")</f>
        <v>21 - 30</v>
      </c>
      <c r="U873" t="str" cm="1">
        <f t="array" ref="U873">_xlfn.IFS(student_scores[[#This Row],[absence_days]]=0,"0", student_scores[[#This Row],[absence_days]]&lt;=3,"1-3", student_scores[[#This Row],[absence_days]]&lt;=6,"4-6", TRUE,"7-10")</f>
        <v>1-3</v>
      </c>
      <c r="V873" t="str">
        <f>IF(student_scores[[#This Row],[Total_Score]] &gt;= _xlfn.PERCENTILE.INC(student_scores[Total_Score], 0.8), "Yes", "No")</f>
        <v>No</v>
      </c>
    </row>
    <row r="874" spans="1:22" x14ac:dyDescent="0.35">
      <c r="A874">
        <v>873</v>
      </c>
      <c r="B874" t="s">
        <v>61</v>
      </c>
      <c r="C874" t="s">
        <v>441</v>
      </c>
      <c r="D874" t="s">
        <v>1674</v>
      </c>
      <c r="E874" t="s">
        <v>25</v>
      </c>
      <c r="F874" t="b">
        <v>1</v>
      </c>
      <c r="G874">
        <v>7</v>
      </c>
      <c r="H874" t="b">
        <v>0</v>
      </c>
      <c r="I874">
        <v>2</v>
      </c>
      <c r="J874" t="s">
        <v>64</v>
      </c>
      <c r="K874">
        <v>51</v>
      </c>
      <c r="L874">
        <v>98</v>
      </c>
      <c r="M874">
        <v>90</v>
      </c>
      <c r="N874">
        <v>54</v>
      </c>
      <c r="O874">
        <v>77</v>
      </c>
      <c r="P874">
        <v>80</v>
      </c>
      <c r="Q874">
        <v>71</v>
      </c>
      <c r="R874">
        <f>SUM(student_scores[[#This Row],[math_score]:[geography_score]])</f>
        <v>521</v>
      </c>
      <c r="S874" s="3">
        <f>student_scores[[#This Row],[Total_Score]]/7</f>
        <v>74.428571428571431</v>
      </c>
      <c r="T874" s="3" t="str" cm="1">
        <f t="array" ref="T874">_xlfn.IFS(student_scores[[#This Row],[weekly_self_study_hours]]&lt;=5,   "0 - 5", student_scores[[#This Row],[weekly_self_study_hours]]&lt;=10,  "6 - 10", student_scores[[#This Row],[weekly_self_study_hours]]&lt;=20,  "11 - 20",student_scores[[#This Row],[weekly_self_study_hours]]&lt;=30, "21 - 30",TRUE, "31+")</f>
        <v>0 - 5</v>
      </c>
      <c r="U874" t="str" cm="1">
        <f t="array" ref="U874">_xlfn.IFS(student_scores[[#This Row],[absence_days]]=0,"0", student_scores[[#This Row],[absence_days]]&lt;=3,"1-3", student_scores[[#This Row],[absence_days]]&lt;=6,"4-6", TRUE,"7-10")</f>
        <v>7-10</v>
      </c>
      <c r="V874" t="str">
        <f>IF(student_scores[[#This Row],[Total_Score]] &gt;= _xlfn.PERCENTILE.INC(student_scores[Total_Score], 0.8), "Yes", "No")</f>
        <v>No</v>
      </c>
    </row>
    <row r="875" spans="1:22" x14ac:dyDescent="0.35">
      <c r="A875">
        <v>874</v>
      </c>
      <c r="B875" t="s">
        <v>160</v>
      </c>
      <c r="C875" t="s">
        <v>295</v>
      </c>
      <c r="D875" t="s">
        <v>1675</v>
      </c>
      <c r="E875" t="s">
        <v>20</v>
      </c>
      <c r="F875" t="b">
        <v>0</v>
      </c>
      <c r="G875">
        <v>5</v>
      </c>
      <c r="H875" t="b">
        <v>0</v>
      </c>
      <c r="I875">
        <v>24</v>
      </c>
      <c r="J875" t="s">
        <v>44</v>
      </c>
      <c r="K875">
        <v>85</v>
      </c>
      <c r="L875">
        <v>100</v>
      </c>
      <c r="M875">
        <v>93</v>
      </c>
      <c r="N875">
        <v>64</v>
      </c>
      <c r="O875">
        <v>81</v>
      </c>
      <c r="P875">
        <v>78</v>
      </c>
      <c r="Q875">
        <v>64</v>
      </c>
      <c r="R875">
        <f>SUM(student_scores[[#This Row],[math_score]:[geography_score]])</f>
        <v>565</v>
      </c>
      <c r="S875" s="3">
        <f>student_scores[[#This Row],[Total_Score]]/7</f>
        <v>80.714285714285708</v>
      </c>
      <c r="T875" s="3" t="str" cm="1">
        <f t="array" ref="T875">_xlfn.IFS(student_scores[[#This Row],[weekly_self_study_hours]]&lt;=5,   "0 - 5", student_scores[[#This Row],[weekly_self_study_hours]]&lt;=10,  "6 - 10", student_scores[[#This Row],[weekly_self_study_hours]]&lt;=20,  "11 - 20",student_scores[[#This Row],[weekly_self_study_hours]]&lt;=30, "21 - 30",TRUE, "31+")</f>
        <v>21 - 30</v>
      </c>
      <c r="U875" t="str" cm="1">
        <f t="array" ref="U875">_xlfn.IFS(student_scores[[#This Row],[absence_days]]=0,"0", student_scores[[#This Row],[absence_days]]&lt;=3,"1-3", student_scores[[#This Row],[absence_days]]&lt;=6,"4-6", TRUE,"7-10")</f>
        <v>4-6</v>
      </c>
      <c r="V875" t="str">
        <f>IF(student_scores[[#This Row],[Total_Score]] &gt;= _xlfn.PERCENTILE.INC(student_scores[Total_Score], 0.8), "Yes", "No")</f>
        <v>No</v>
      </c>
    </row>
    <row r="876" spans="1:22" x14ac:dyDescent="0.35">
      <c r="A876">
        <v>875</v>
      </c>
      <c r="B876" t="s">
        <v>799</v>
      </c>
      <c r="C876" t="s">
        <v>42</v>
      </c>
      <c r="D876" t="s">
        <v>1676</v>
      </c>
      <c r="E876" t="s">
        <v>20</v>
      </c>
      <c r="F876" t="b">
        <v>0</v>
      </c>
      <c r="G876">
        <v>10</v>
      </c>
      <c r="H876" t="b">
        <v>0</v>
      </c>
      <c r="I876">
        <v>15</v>
      </c>
      <c r="J876" t="s">
        <v>113</v>
      </c>
      <c r="K876">
        <v>76</v>
      </c>
      <c r="L876">
        <v>86</v>
      </c>
      <c r="M876">
        <v>68</v>
      </c>
      <c r="N876">
        <v>83</v>
      </c>
      <c r="O876">
        <v>82</v>
      </c>
      <c r="P876">
        <v>67</v>
      </c>
      <c r="Q876">
        <v>69</v>
      </c>
      <c r="R876">
        <f>SUM(student_scores[[#This Row],[math_score]:[geography_score]])</f>
        <v>531</v>
      </c>
      <c r="S876" s="3">
        <f>student_scores[[#This Row],[Total_Score]]/7</f>
        <v>75.857142857142861</v>
      </c>
      <c r="T876" s="3" t="str" cm="1">
        <f t="array" ref="T876">_xlfn.IFS(student_scores[[#This Row],[weekly_self_study_hours]]&lt;=5,   "0 - 5", student_scores[[#This Row],[weekly_self_study_hours]]&lt;=10,  "6 - 10", student_scores[[#This Row],[weekly_self_study_hours]]&lt;=20,  "11 - 20",student_scores[[#This Row],[weekly_self_study_hours]]&lt;=30, "21 - 30",TRUE, "31+")</f>
        <v>11 - 20</v>
      </c>
      <c r="U876" t="str" cm="1">
        <f t="array" ref="U876">_xlfn.IFS(student_scores[[#This Row],[absence_days]]=0,"0", student_scores[[#This Row],[absence_days]]&lt;=3,"1-3", student_scores[[#This Row],[absence_days]]&lt;=6,"4-6", TRUE,"7-10")</f>
        <v>7-10</v>
      </c>
      <c r="V876" t="str">
        <f>IF(student_scores[[#This Row],[Total_Score]] &gt;= _xlfn.PERCENTILE.INC(student_scores[Total_Score], 0.8), "Yes", "No")</f>
        <v>No</v>
      </c>
    </row>
    <row r="877" spans="1:22" x14ac:dyDescent="0.35">
      <c r="A877">
        <v>876</v>
      </c>
      <c r="B877" t="s">
        <v>568</v>
      </c>
      <c r="C877" t="s">
        <v>66</v>
      </c>
      <c r="D877" t="s">
        <v>1677</v>
      </c>
      <c r="E877" t="s">
        <v>20</v>
      </c>
      <c r="F877" t="b">
        <v>0</v>
      </c>
      <c r="G877">
        <v>1</v>
      </c>
      <c r="H877" t="b">
        <v>0</v>
      </c>
      <c r="I877">
        <v>24</v>
      </c>
      <c r="J877" t="s">
        <v>44</v>
      </c>
      <c r="K877">
        <v>92</v>
      </c>
      <c r="L877">
        <v>63</v>
      </c>
      <c r="M877">
        <v>87</v>
      </c>
      <c r="N877">
        <v>92</v>
      </c>
      <c r="O877">
        <v>81</v>
      </c>
      <c r="P877">
        <v>78</v>
      </c>
      <c r="Q877">
        <v>74</v>
      </c>
      <c r="R877">
        <f>SUM(student_scores[[#This Row],[math_score]:[geography_score]])</f>
        <v>567</v>
      </c>
      <c r="S877" s="3">
        <f>student_scores[[#This Row],[Total_Score]]/7</f>
        <v>81</v>
      </c>
      <c r="T877" s="3" t="str" cm="1">
        <f t="array" ref="T877">_xlfn.IFS(student_scores[[#This Row],[weekly_self_study_hours]]&lt;=5,   "0 - 5", student_scores[[#This Row],[weekly_self_study_hours]]&lt;=10,  "6 - 10", student_scores[[#This Row],[weekly_self_study_hours]]&lt;=20,  "11 - 20",student_scores[[#This Row],[weekly_self_study_hours]]&lt;=30, "21 - 30",TRUE, "31+")</f>
        <v>21 - 30</v>
      </c>
      <c r="U877" t="str" cm="1">
        <f t="array" ref="U877">_xlfn.IFS(student_scores[[#This Row],[absence_days]]=0,"0", student_scores[[#This Row],[absence_days]]&lt;=3,"1-3", student_scores[[#This Row],[absence_days]]&lt;=6,"4-6", TRUE,"7-10")</f>
        <v>1-3</v>
      </c>
      <c r="V877" t="str">
        <f>IF(student_scores[[#This Row],[Total_Score]] &gt;= _xlfn.PERCENTILE.INC(student_scores[Total_Score], 0.8), "Yes", "No")</f>
        <v>No</v>
      </c>
    </row>
    <row r="878" spans="1:22" x14ac:dyDescent="0.35">
      <c r="A878">
        <v>877</v>
      </c>
      <c r="B878" t="s">
        <v>402</v>
      </c>
      <c r="C878" t="s">
        <v>236</v>
      </c>
      <c r="D878" t="s">
        <v>1678</v>
      </c>
      <c r="E878" t="s">
        <v>20</v>
      </c>
      <c r="F878" t="b">
        <v>0</v>
      </c>
      <c r="G878">
        <v>5</v>
      </c>
      <c r="H878" t="b">
        <v>0</v>
      </c>
      <c r="I878">
        <v>3</v>
      </c>
      <c r="J878" t="s">
        <v>30</v>
      </c>
      <c r="K878">
        <v>90</v>
      </c>
      <c r="L878">
        <v>89</v>
      </c>
      <c r="M878">
        <v>95</v>
      </c>
      <c r="N878">
        <v>73</v>
      </c>
      <c r="O878">
        <v>79</v>
      </c>
      <c r="P878">
        <v>98</v>
      </c>
      <c r="Q878">
        <v>68</v>
      </c>
      <c r="R878">
        <f>SUM(student_scores[[#This Row],[math_score]:[geography_score]])</f>
        <v>592</v>
      </c>
      <c r="S878" s="3">
        <f>student_scores[[#This Row],[Total_Score]]/7</f>
        <v>84.571428571428569</v>
      </c>
      <c r="T878" s="3" t="str" cm="1">
        <f t="array" ref="T878">_xlfn.IFS(student_scores[[#This Row],[weekly_self_study_hours]]&lt;=5,   "0 - 5", student_scores[[#This Row],[weekly_self_study_hours]]&lt;=10,  "6 - 10", student_scores[[#This Row],[weekly_self_study_hours]]&lt;=20,  "11 - 20",student_scores[[#This Row],[weekly_self_study_hours]]&lt;=30, "21 - 30",TRUE, "31+")</f>
        <v>0 - 5</v>
      </c>
      <c r="U878" t="str" cm="1">
        <f t="array" ref="U878">_xlfn.IFS(student_scores[[#This Row],[absence_days]]=0,"0", student_scores[[#This Row],[absence_days]]&lt;=3,"1-3", student_scores[[#This Row],[absence_days]]&lt;=6,"4-6", TRUE,"7-10")</f>
        <v>4-6</v>
      </c>
      <c r="V878" t="str">
        <f>IF(student_scores[[#This Row],[Total_Score]] &gt;= _xlfn.PERCENTILE.INC(student_scores[Total_Score], 0.8), "Yes", "No")</f>
        <v>No</v>
      </c>
    </row>
    <row r="879" spans="1:22" x14ac:dyDescent="0.35">
      <c r="A879">
        <v>878</v>
      </c>
      <c r="B879" t="s">
        <v>208</v>
      </c>
      <c r="C879" t="s">
        <v>1244</v>
      </c>
      <c r="D879" t="s">
        <v>1679</v>
      </c>
      <c r="E879" t="s">
        <v>20</v>
      </c>
      <c r="F879" t="b">
        <v>1</v>
      </c>
      <c r="G879">
        <v>6</v>
      </c>
      <c r="H879" t="b">
        <v>1</v>
      </c>
      <c r="I879">
        <v>4</v>
      </c>
      <c r="J879" t="s">
        <v>64</v>
      </c>
      <c r="K879">
        <v>73</v>
      </c>
      <c r="L879">
        <v>53</v>
      </c>
      <c r="M879">
        <v>68</v>
      </c>
      <c r="N879">
        <v>60</v>
      </c>
      <c r="O879">
        <v>95</v>
      </c>
      <c r="P879">
        <v>96</v>
      </c>
      <c r="Q879">
        <v>99</v>
      </c>
      <c r="R879">
        <f>SUM(student_scores[[#This Row],[math_score]:[geography_score]])</f>
        <v>544</v>
      </c>
      <c r="S879" s="3">
        <f>student_scores[[#This Row],[Total_Score]]/7</f>
        <v>77.714285714285708</v>
      </c>
      <c r="T879" s="3" t="str" cm="1">
        <f t="array" ref="T879">_xlfn.IFS(student_scores[[#This Row],[weekly_self_study_hours]]&lt;=5,   "0 - 5", student_scores[[#This Row],[weekly_self_study_hours]]&lt;=10,  "6 - 10", student_scores[[#This Row],[weekly_self_study_hours]]&lt;=20,  "11 - 20",student_scores[[#This Row],[weekly_self_study_hours]]&lt;=30, "21 - 30",TRUE, "31+")</f>
        <v>0 - 5</v>
      </c>
      <c r="U879" t="str" cm="1">
        <f t="array" ref="U879">_xlfn.IFS(student_scores[[#This Row],[absence_days]]=0,"0", student_scores[[#This Row],[absence_days]]&lt;=3,"1-3", student_scores[[#This Row],[absence_days]]&lt;=6,"4-6", TRUE,"7-10")</f>
        <v>4-6</v>
      </c>
      <c r="V879" t="str">
        <f>IF(student_scores[[#This Row],[Total_Score]] &gt;= _xlfn.PERCENTILE.INC(student_scores[Total_Score], 0.8), "Yes", "No")</f>
        <v>No</v>
      </c>
    </row>
    <row r="880" spans="1:22" x14ac:dyDescent="0.35">
      <c r="A880">
        <v>879</v>
      </c>
      <c r="B880" t="s">
        <v>193</v>
      </c>
      <c r="C880" t="s">
        <v>1680</v>
      </c>
      <c r="D880" t="s">
        <v>1681</v>
      </c>
      <c r="E880" t="s">
        <v>25</v>
      </c>
      <c r="F880" t="b">
        <v>0</v>
      </c>
      <c r="G880">
        <v>5</v>
      </c>
      <c r="H880" t="b">
        <v>0</v>
      </c>
      <c r="I880">
        <v>42</v>
      </c>
      <c r="J880" t="s">
        <v>26</v>
      </c>
      <c r="K880">
        <v>90</v>
      </c>
      <c r="L880">
        <v>89</v>
      </c>
      <c r="M880">
        <v>92</v>
      </c>
      <c r="N880">
        <v>93</v>
      </c>
      <c r="O880">
        <v>97</v>
      </c>
      <c r="P880">
        <v>92</v>
      </c>
      <c r="Q880">
        <v>100</v>
      </c>
      <c r="R880">
        <f>SUM(student_scores[[#This Row],[math_score]:[geography_score]])</f>
        <v>653</v>
      </c>
      <c r="S880" s="3">
        <f>student_scores[[#This Row],[Total_Score]]/7</f>
        <v>93.285714285714292</v>
      </c>
      <c r="T880" s="3" t="str" cm="1">
        <f t="array" ref="T880">_xlfn.IFS(student_scores[[#This Row],[weekly_self_study_hours]]&lt;=5,   "0 - 5", student_scores[[#This Row],[weekly_self_study_hours]]&lt;=10,  "6 - 10", student_scores[[#This Row],[weekly_self_study_hours]]&lt;=20,  "11 - 20",student_scores[[#This Row],[weekly_self_study_hours]]&lt;=30, "21 - 30",TRUE, "31+")</f>
        <v>31+</v>
      </c>
      <c r="U880" t="str" cm="1">
        <f t="array" ref="U880">_xlfn.IFS(student_scores[[#This Row],[absence_days]]=0,"0", student_scores[[#This Row],[absence_days]]&lt;=3,"1-3", student_scores[[#This Row],[absence_days]]&lt;=6,"4-6", TRUE,"7-10")</f>
        <v>4-6</v>
      </c>
      <c r="V880" t="str">
        <f>IF(student_scores[[#This Row],[Total_Score]] &gt;= _xlfn.PERCENTILE.INC(student_scores[Total_Score], 0.8), "Yes", "No")</f>
        <v>Yes</v>
      </c>
    </row>
    <row r="881" spans="1:22" x14ac:dyDescent="0.35">
      <c r="A881">
        <v>880</v>
      </c>
      <c r="B881" t="s">
        <v>1001</v>
      </c>
      <c r="C881" t="s">
        <v>1682</v>
      </c>
      <c r="D881" t="s">
        <v>1683</v>
      </c>
      <c r="E881" t="s">
        <v>25</v>
      </c>
      <c r="F881" t="b">
        <v>0</v>
      </c>
      <c r="G881">
        <v>6</v>
      </c>
      <c r="H881" t="b">
        <v>0</v>
      </c>
      <c r="I881">
        <v>24</v>
      </c>
      <c r="J881" t="s">
        <v>113</v>
      </c>
      <c r="K881">
        <v>87</v>
      </c>
      <c r="L881">
        <v>87</v>
      </c>
      <c r="M881">
        <v>86</v>
      </c>
      <c r="N881">
        <v>91</v>
      </c>
      <c r="O881">
        <v>90</v>
      </c>
      <c r="P881">
        <v>75</v>
      </c>
      <c r="Q881">
        <v>79</v>
      </c>
      <c r="R881">
        <f>SUM(student_scores[[#This Row],[math_score]:[geography_score]])</f>
        <v>595</v>
      </c>
      <c r="S881" s="3">
        <f>student_scores[[#This Row],[Total_Score]]/7</f>
        <v>85</v>
      </c>
      <c r="T881" s="3" t="str" cm="1">
        <f t="array" ref="T881">_xlfn.IFS(student_scores[[#This Row],[weekly_self_study_hours]]&lt;=5,   "0 - 5", student_scores[[#This Row],[weekly_self_study_hours]]&lt;=10,  "6 - 10", student_scores[[#This Row],[weekly_self_study_hours]]&lt;=20,  "11 - 20",student_scores[[#This Row],[weekly_self_study_hours]]&lt;=30, "21 - 30",TRUE, "31+")</f>
        <v>21 - 30</v>
      </c>
      <c r="U881" t="str" cm="1">
        <f t="array" ref="U881">_xlfn.IFS(student_scores[[#This Row],[absence_days]]=0,"0", student_scores[[#This Row],[absence_days]]&lt;=3,"1-3", student_scores[[#This Row],[absence_days]]&lt;=6,"4-6", TRUE,"7-10")</f>
        <v>4-6</v>
      </c>
      <c r="V881" t="str">
        <f>IF(student_scores[[#This Row],[Total_Score]] &gt;= _xlfn.PERCENTILE.INC(student_scores[Total_Score], 0.8), "Yes", "No")</f>
        <v>No</v>
      </c>
    </row>
    <row r="882" spans="1:22" x14ac:dyDescent="0.35">
      <c r="A882">
        <v>881</v>
      </c>
      <c r="B882" t="s">
        <v>388</v>
      </c>
      <c r="C882" t="s">
        <v>92</v>
      </c>
      <c r="D882" t="s">
        <v>1684</v>
      </c>
      <c r="E882" t="s">
        <v>25</v>
      </c>
      <c r="F882" t="b">
        <v>0</v>
      </c>
      <c r="G882">
        <v>1</v>
      </c>
      <c r="H882" t="b">
        <v>0</v>
      </c>
      <c r="I882">
        <v>0</v>
      </c>
      <c r="J882" t="s">
        <v>224</v>
      </c>
      <c r="K882">
        <v>93</v>
      </c>
      <c r="L882">
        <v>96</v>
      </c>
      <c r="M882">
        <v>70</v>
      </c>
      <c r="N882">
        <v>92</v>
      </c>
      <c r="O882">
        <v>65</v>
      </c>
      <c r="P882">
        <v>90</v>
      </c>
      <c r="Q882">
        <v>84</v>
      </c>
      <c r="R882">
        <f>SUM(student_scores[[#This Row],[math_score]:[geography_score]])</f>
        <v>590</v>
      </c>
      <c r="S882" s="3">
        <f>student_scores[[#This Row],[Total_Score]]/7</f>
        <v>84.285714285714292</v>
      </c>
      <c r="T882" s="3" t="str" cm="1">
        <f t="array" ref="T882">_xlfn.IFS(student_scores[[#This Row],[weekly_self_study_hours]]&lt;=5,   "0 - 5", student_scores[[#This Row],[weekly_self_study_hours]]&lt;=10,  "6 - 10", student_scores[[#This Row],[weekly_self_study_hours]]&lt;=20,  "11 - 20",student_scores[[#This Row],[weekly_self_study_hours]]&lt;=30, "21 - 30",TRUE, "31+")</f>
        <v>0 - 5</v>
      </c>
      <c r="U882" t="str" cm="1">
        <f t="array" ref="U882">_xlfn.IFS(student_scores[[#This Row],[absence_days]]=0,"0", student_scores[[#This Row],[absence_days]]&lt;=3,"1-3", student_scores[[#This Row],[absence_days]]&lt;=6,"4-6", TRUE,"7-10")</f>
        <v>1-3</v>
      </c>
      <c r="V882" t="str">
        <f>IF(student_scores[[#This Row],[Total_Score]] &gt;= _xlfn.PERCENTILE.INC(student_scores[Total_Score], 0.8), "Yes", "No")</f>
        <v>No</v>
      </c>
    </row>
    <row r="883" spans="1:22" x14ac:dyDescent="0.35">
      <c r="A883">
        <v>882</v>
      </c>
      <c r="B883" t="s">
        <v>1036</v>
      </c>
      <c r="C883" t="s">
        <v>1202</v>
      </c>
      <c r="D883" t="s">
        <v>1685</v>
      </c>
      <c r="E883" t="s">
        <v>25</v>
      </c>
      <c r="F883" t="b">
        <v>0</v>
      </c>
      <c r="G883">
        <v>3</v>
      </c>
      <c r="H883" t="b">
        <v>0</v>
      </c>
      <c r="I883">
        <v>4</v>
      </c>
      <c r="J883" t="s">
        <v>224</v>
      </c>
      <c r="K883">
        <v>75</v>
      </c>
      <c r="L883">
        <v>91</v>
      </c>
      <c r="M883">
        <v>68</v>
      </c>
      <c r="N883">
        <v>86</v>
      </c>
      <c r="O883">
        <v>81</v>
      </c>
      <c r="P883">
        <v>72</v>
      </c>
      <c r="Q883">
        <v>89</v>
      </c>
      <c r="R883">
        <f>SUM(student_scores[[#This Row],[math_score]:[geography_score]])</f>
        <v>562</v>
      </c>
      <c r="S883" s="3">
        <f>student_scores[[#This Row],[Total_Score]]/7</f>
        <v>80.285714285714292</v>
      </c>
      <c r="T883" s="3" t="str" cm="1">
        <f t="array" ref="T883">_xlfn.IFS(student_scores[[#This Row],[weekly_self_study_hours]]&lt;=5,   "0 - 5", student_scores[[#This Row],[weekly_self_study_hours]]&lt;=10,  "6 - 10", student_scores[[#This Row],[weekly_self_study_hours]]&lt;=20,  "11 - 20",student_scores[[#This Row],[weekly_self_study_hours]]&lt;=30, "21 - 30",TRUE, "31+")</f>
        <v>0 - 5</v>
      </c>
      <c r="U883" t="str" cm="1">
        <f t="array" ref="U883">_xlfn.IFS(student_scores[[#This Row],[absence_days]]=0,"0", student_scores[[#This Row],[absence_days]]&lt;=3,"1-3", student_scores[[#This Row],[absence_days]]&lt;=6,"4-6", TRUE,"7-10")</f>
        <v>1-3</v>
      </c>
      <c r="V883" t="str">
        <f>IF(student_scores[[#This Row],[Total_Score]] &gt;= _xlfn.PERCENTILE.INC(student_scores[Total_Score], 0.8), "Yes", "No")</f>
        <v>No</v>
      </c>
    </row>
    <row r="884" spans="1:22" x14ac:dyDescent="0.35">
      <c r="A884">
        <v>883</v>
      </c>
      <c r="B884" t="s">
        <v>845</v>
      </c>
      <c r="C884" t="s">
        <v>814</v>
      </c>
      <c r="D884" t="s">
        <v>1686</v>
      </c>
      <c r="E884" t="s">
        <v>25</v>
      </c>
      <c r="F884" t="b">
        <v>0</v>
      </c>
      <c r="G884">
        <v>3</v>
      </c>
      <c r="H884" t="b">
        <v>0</v>
      </c>
      <c r="I884">
        <v>25</v>
      </c>
      <c r="J884" t="s">
        <v>44</v>
      </c>
      <c r="K884">
        <v>96</v>
      </c>
      <c r="L884">
        <v>100</v>
      </c>
      <c r="M884">
        <v>99</v>
      </c>
      <c r="N884">
        <v>82</v>
      </c>
      <c r="O884">
        <v>79</v>
      </c>
      <c r="P884">
        <v>95</v>
      </c>
      <c r="Q884">
        <v>89</v>
      </c>
      <c r="R884">
        <f>SUM(student_scores[[#This Row],[math_score]:[geography_score]])</f>
        <v>640</v>
      </c>
      <c r="S884" s="3">
        <f>student_scores[[#This Row],[Total_Score]]/7</f>
        <v>91.428571428571431</v>
      </c>
      <c r="T884" s="3" t="str" cm="1">
        <f t="array" ref="T884">_xlfn.IFS(student_scores[[#This Row],[weekly_self_study_hours]]&lt;=5,   "0 - 5", student_scores[[#This Row],[weekly_self_study_hours]]&lt;=10,  "6 - 10", student_scores[[#This Row],[weekly_self_study_hours]]&lt;=20,  "11 - 20",student_scores[[#This Row],[weekly_self_study_hours]]&lt;=30, "21 - 30",TRUE, "31+")</f>
        <v>21 - 30</v>
      </c>
      <c r="U884" t="str" cm="1">
        <f t="array" ref="U884">_xlfn.IFS(student_scores[[#This Row],[absence_days]]=0,"0", student_scores[[#This Row],[absence_days]]&lt;=3,"1-3", student_scores[[#This Row],[absence_days]]&lt;=6,"4-6", TRUE,"7-10")</f>
        <v>1-3</v>
      </c>
      <c r="V884" t="str">
        <f>IF(student_scores[[#This Row],[Total_Score]] &gt;= _xlfn.PERCENTILE.INC(student_scores[Total_Score], 0.8), "Yes", "No")</f>
        <v>Yes</v>
      </c>
    </row>
    <row r="885" spans="1:22" x14ac:dyDescent="0.35">
      <c r="A885">
        <v>884</v>
      </c>
      <c r="B885" t="s">
        <v>1687</v>
      </c>
      <c r="C885" t="s">
        <v>471</v>
      </c>
      <c r="D885" t="s">
        <v>1688</v>
      </c>
      <c r="E885" t="s">
        <v>25</v>
      </c>
      <c r="F885" t="b">
        <v>1</v>
      </c>
      <c r="G885">
        <v>1</v>
      </c>
      <c r="H885" t="b">
        <v>1</v>
      </c>
      <c r="I885">
        <v>1</v>
      </c>
      <c r="J885" t="s">
        <v>34</v>
      </c>
      <c r="K885">
        <v>63</v>
      </c>
      <c r="L885">
        <v>75</v>
      </c>
      <c r="M885">
        <v>68</v>
      </c>
      <c r="N885">
        <v>63</v>
      </c>
      <c r="O885">
        <v>63</v>
      </c>
      <c r="P885">
        <v>73</v>
      </c>
      <c r="Q885">
        <v>79</v>
      </c>
      <c r="R885">
        <f>SUM(student_scores[[#This Row],[math_score]:[geography_score]])</f>
        <v>484</v>
      </c>
      <c r="S885" s="3">
        <f>student_scores[[#This Row],[Total_Score]]/7</f>
        <v>69.142857142857139</v>
      </c>
      <c r="T885" s="3" t="str" cm="1">
        <f t="array" ref="T885">_xlfn.IFS(student_scores[[#This Row],[weekly_self_study_hours]]&lt;=5,   "0 - 5", student_scores[[#This Row],[weekly_self_study_hours]]&lt;=10,  "6 - 10", student_scores[[#This Row],[weekly_self_study_hours]]&lt;=20,  "11 - 20",student_scores[[#This Row],[weekly_self_study_hours]]&lt;=30, "21 - 30",TRUE, "31+")</f>
        <v>0 - 5</v>
      </c>
      <c r="U885" t="str" cm="1">
        <f t="array" ref="U885">_xlfn.IFS(student_scores[[#This Row],[absence_days]]=0,"0", student_scores[[#This Row],[absence_days]]&lt;=3,"1-3", student_scores[[#This Row],[absence_days]]&lt;=6,"4-6", TRUE,"7-10")</f>
        <v>1-3</v>
      </c>
      <c r="V885" t="str">
        <f>IF(student_scores[[#This Row],[Total_Score]] &gt;= _xlfn.PERCENTILE.INC(student_scores[Total_Score], 0.8), "Yes", "No")</f>
        <v>No</v>
      </c>
    </row>
    <row r="886" spans="1:22" x14ac:dyDescent="0.35">
      <c r="A886">
        <v>885</v>
      </c>
      <c r="B886" t="s">
        <v>1167</v>
      </c>
      <c r="C886" t="s">
        <v>403</v>
      </c>
      <c r="D886" t="s">
        <v>1689</v>
      </c>
      <c r="E886" t="s">
        <v>20</v>
      </c>
      <c r="F886" t="b">
        <v>0</v>
      </c>
      <c r="G886">
        <v>5</v>
      </c>
      <c r="H886" t="b">
        <v>0</v>
      </c>
      <c r="I886">
        <v>35</v>
      </c>
      <c r="J886" t="s">
        <v>21</v>
      </c>
      <c r="K886">
        <v>85</v>
      </c>
      <c r="L886">
        <v>90</v>
      </c>
      <c r="M886">
        <v>89</v>
      </c>
      <c r="N886">
        <v>98</v>
      </c>
      <c r="O886">
        <v>100</v>
      </c>
      <c r="P886">
        <v>97</v>
      </c>
      <c r="Q886">
        <v>95</v>
      </c>
      <c r="R886">
        <f>SUM(student_scores[[#This Row],[math_score]:[geography_score]])</f>
        <v>654</v>
      </c>
      <c r="S886" s="3">
        <f>student_scores[[#This Row],[Total_Score]]/7</f>
        <v>93.428571428571431</v>
      </c>
      <c r="T886" s="3" t="str" cm="1">
        <f t="array" ref="T886">_xlfn.IFS(student_scores[[#This Row],[weekly_self_study_hours]]&lt;=5,   "0 - 5", student_scores[[#This Row],[weekly_self_study_hours]]&lt;=10,  "6 - 10", student_scores[[#This Row],[weekly_self_study_hours]]&lt;=20,  "11 - 20",student_scores[[#This Row],[weekly_self_study_hours]]&lt;=30, "21 - 30",TRUE, "31+")</f>
        <v>31+</v>
      </c>
      <c r="U886" t="str" cm="1">
        <f t="array" ref="U886">_xlfn.IFS(student_scores[[#This Row],[absence_days]]=0,"0", student_scores[[#This Row],[absence_days]]&lt;=3,"1-3", student_scores[[#This Row],[absence_days]]&lt;=6,"4-6", TRUE,"7-10")</f>
        <v>4-6</v>
      </c>
      <c r="V886" t="str">
        <f>IF(student_scores[[#This Row],[Total_Score]] &gt;= _xlfn.PERCENTILE.INC(student_scores[Total_Score], 0.8), "Yes", "No")</f>
        <v>Yes</v>
      </c>
    </row>
    <row r="887" spans="1:22" x14ac:dyDescent="0.35">
      <c r="A887">
        <v>886</v>
      </c>
      <c r="B887" t="s">
        <v>1227</v>
      </c>
      <c r="C887" t="s">
        <v>1690</v>
      </c>
      <c r="D887" t="s">
        <v>1691</v>
      </c>
      <c r="E887" t="s">
        <v>20</v>
      </c>
      <c r="F887" t="b">
        <v>0</v>
      </c>
      <c r="G887">
        <v>7</v>
      </c>
      <c r="H887" t="b">
        <v>0</v>
      </c>
      <c r="I887">
        <v>20</v>
      </c>
      <c r="J887" t="s">
        <v>44</v>
      </c>
      <c r="K887">
        <v>93</v>
      </c>
      <c r="L887">
        <v>61</v>
      </c>
      <c r="M887">
        <v>65</v>
      </c>
      <c r="N887">
        <v>77</v>
      </c>
      <c r="O887">
        <v>97</v>
      </c>
      <c r="P887">
        <v>90</v>
      </c>
      <c r="Q887">
        <v>90</v>
      </c>
      <c r="R887">
        <f>SUM(student_scores[[#This Row],[math_score]:[geography_score]])</f>
        <v>573</v>
      </c>
      <c r="S887" s="3">
        <f>student_scores[[#This Row],[Total_Score]]/7</f>
        <v>81.857142857142861</v>
      </c>
      <c r="T887" s="3" t="str" cm="1">
        <f t="array" ref="T887">_xlfn.IFS(student_scores[[#This Row],[weekly_self_study_hours]]&lt;=5,   "0 - 5", student_scores[[#This Row],[weekly_self_study_hours]]&lt;=10,  "6 - 10", student_scores[[#This Row],[weekly_self_study_hours]]&lt;=20,  "11 - 20",student_scores[[#This Row],[weekly_self_study_hours]]&lt;=30, "21 - 30",TRUE, "31+")</f>
        <v>11 - 20</v>
      </c>
      <c r="U887" t="str" cm="1">
        <f t="array" ref="U887">_xlfn.IFS(student_scores[[#This Row],[absence_days]]=0,"0", student_scores[[#This Row],[absence_days]]&lt;=3,"1-3", student_scores[[#This Row],[absence_days]]&lt;=6,"4-6", TRUE,"7-10")</f>
        <v>7-10</v>
      </c>
      <c r="V887" t="str">
        <f>IF(student_scores[[#This Row],[Total_Score]] &gt;= _xlfn.PERCENTILE.INC(student_scores[Total_Score], 0.8), "Yes", "No")</f>
        <v>No</v>
      </c>
    </row>
    <row r="888" spans="1:22" x14ac:dyDescent="0.35">
      <c r="A888">
        <v>887</v>
      </c>
      <c r="B888" t="s">
        <v>845</v>
      </c>
      <c r="C888" t="s">
        <v>1692</v>
      </c>
      <c r="D888" t="s">
        <v>1693</v>
      </c>
      <c r="E888" t="s">
        <v>25</v>
      </c>
      <c r="F888" t="b">
        <v>0</v>
      </c>
      <c r="G888">
        <v>7</v>
      </c>
      <c r="H888" t="b">
        <v>0</v>
      </c>
      <c r="I888">
        <v>11</v>
      </c>
      <c r="J888" t="s">
        <v>38</v>
      </c>
      <c r="K888">
        <v>60</v>
      </c>
      <c r="L888">
        <v>92</v>
      </c>
      <c r="M888">
        <v>82</v>
      </c>
      <c r="N888">
        <v>65</v>
      </c>
      <c r="O888">
        <v>82</v>
      </c>
      <c r="P888">
        <v>91</v>
      </c>
      <c r="Q888">
        <v>67</v>
      </c>
      <c r="R888">
        <f>SUM(student_scores[[#This Row],[math_score]:[geography_score]])</f>
        <v>539</v>
      </c>
      <c r="S888" s="3">
        <f>student_scores[[#This Row],[Total_Score]]/7</f>
        <v>77</v>
      </c>
      <c r="T888" s="3" t="str" cm="1">
        <f t="array" ref="T888">_xlfn.IFS(student_scores[[#This Row],[weekly_self_study_hours]]&lt;=5,   "0 - 5", student_scores[[#This Row],[weekly_self_study_hours]]&lt;=10,  "6 - 10", student_scores[[#This Row],[weekly_self_study_hours]]&lt;=20,  "11 - 20",student_scores[[#This Row],[weekly_self_study_hours]]&lt;=30, "21 - 30",TRUE, "31+")</f>
        <v>11 - 20</v>
      </c>
      <c r="U888" t="str" cm="1">
        <f t="array" ref="U888">_xlfn.IFS(student_scores[[#This Row],[absence_days]]=0,"0", student_scores[[#This Row],[absence_days]]&lt;=3,"1-3", student_scores[[#This Row],[absence_days]]&lt;=6,"4-6", TRUE,"7-10")</f>
        <v>7-10</v>
      </c>
      <c r="V888" t="str">
        <f>IF(student_scores[[#This Row],[Total_Score]] &gt;= _xlfn.PERCENTILE.INC(student_scores[Total_Score], 0.8), "Yes", "No")</f>
        <v>No</v>
      </c>
    </row>
    <row r="889" spans="1:22" x14ac:dyDescent="0.35">
      <c r="A889">
        <v>888</v>
      </c>
      <c r="B889" t="s">
        <v>145</v>
      </c>
      <c r="C889" t="s">
        <v>1202</v>
      </c>
      <c r="D889" t="s">
        <v>1694</v>
      </c>
      <c r="E889" t="s">
        <v>20</v>
      </c>
      <c r="F889" t="b">
        <v>1</v>
      </c>
      <c r="G889">
        <v>3</v>
      </c>
      <c r="H889" t="b">
        <v>0</v>
      </c>
      <c r="I889">
        <v>21</v>
      </c>
      <c r="J889" t="s">
        <v>38</v>
      </c>
      <c r="K889">
        <v>95</v>
      </c>
      <c r="L889">
        <v>91</v>
      </c>
      <c r="M889">
        <v>63</v>
      </c>
      <c r="N889">
        <v>83</v>
      </c>
      <c r="O889">
        <v>75</v>
      </c>
      <c r="P889">
        <v>73</v>
      </c>
      <c r="Q889">
        <v>74</v>
      </c>
      <c r="R889">
        <f>SUM(student_scores[[#This Row],[math_score]:[geography_score]])</f>
        <v>554</v>
      </c>
      <c r="S889" s="3">
        <f>student_scores[[#This Row],[Total_Score]]/7</f>
        <v>79.142857142857139</v>
      </c>
      <c r="T889" s="3" t="str" cm="1">
        <f t="array" ref="T889">_xlfn.IFS(student_scores[[#This Row],[weekly_self_study_hours]]&lt;=5,   "0 - 5", student_scores[[#This Row],[weekly_self_study_hours]]&lt;=10,  "6 - 10", student_scores[[#This Row],[weekly_self_study_hours]]&lt;=20,  "11 - 20",student_scores[[#This Row],[weekly_self_study_hours]]&lt;=30, "21 - 30",TRUE, "31+")</f>
        <v>21 - 30</v>
      </c>
      <c r="U889" t="str" cm="1">
        <f t="array" ref="U889">_xlfn.IFS(student_scores[[#This Row],[absence_days]]=0,"0", student_scores[[#This Row],[absence_days]]&lt;=3,"1-3", student_scores[[#This Row],[absence_days]]&lt;=6,"4-6", TRUE,"7-10")</f>
        <v>1-3</v>
      </c>
      <c r="V889" t="str">
        <f>IF(student_scores[[#This Row],[Total_Score]] &gt;= _xlfn.PERCENTILE.INC(student_scores[Total_Score], 0.8), "Yes", "No")</f>
        <v>No</v>
      </c>
    </row>
    <row r="890" spans="1:22" x14ac:dyDescent="0.35">
      <c r="A890">
        <v>889</v>
      </c>
      <c r="B890" t="s">
        <v>391</v>
      </c>
      <c r="C890" t="s">
        <v>1068</v>
      </c>
      <c r="D890" t="s">
        <v>1695</v>
      </c>
      <c r="E890" t="s">
        <v>20</v>
      </c>
      <c r="F890" t="b">
        <v>1</v>
      </c>
      <c r="G890">
        <v>9</v>
      </c>
      <c r="H890" t="b">
        <v>0</v>
      </c>
      <c r="I890">
        <v>1</v>
      </c>
      <c r="J890" t="s">
        <v>64</v>
      </c>
      <c r="K890">
        <v>61</v>
      </c>
      <c r="L890">
        <v>73</v>
      </c>
      <c r="M890">
        <v>76</v>
      </c>
      <c r="N890">
        <v>51</v>
      </c>
      <c r="O890">
        <v>76</v>
      </c>
      <c r="P890">
        <v>50</v>
      </c>
      <c r="Q890">
        <v>77</v>
      </c>
      <c r="R890">
        <f>SUM(student_scores[[#This Row],[math_score]:[geography_score]])</f>
        <v>464</v>
      </c>
      <c r="S890" s="3">
        <f>student_scores[[#This Row],[Total_Score]]/7</f>
        <v>66.285714285714292</v>
      </c>
      <c r="T890" s="3" t="str" cm="1">
        <f t="array" ref="T890">_xlfn.IFS(student_scores[[#This Row],[weekly_self_study_hours]]&lt;=5,   "0 - 5", student_scores[[#This Row],[weekly_self_study_hours]]&lt;=10,  "6 - 10", student_scores[[#This Row],[weekly_self_study_hours]]&lt;=20,  "11 - 20",student_scores[[#This Row],[weekly_self_study_hours]]&lt;=30, "21 - 30",TRUE, "31+")</f>
        <v>0 - 5</v>
      </c>
      <c r="U890" t="str" cm="1">
        <f t="array" ref="U890">_xlfn.IFS(student_scores[[#This Row],[absence_days]]=0,"0", student_scores[[#This Row],[absence_days]]&lt;=3,"1-3", student_scores[[#This Row],[absence_days]]&lt;=6,"4-6", TRUE,"7-10")</f>
        <v>7-10</v>
      </c>
      <c r="V890" t="str">
        <f>IF(student_scores[[#This Row],[Total_Score]] &gt;= _xlfn.PERCENTILE.INC(student_scores[Total_Score], 0.8), "Yes", "No")</f>
        <v>No</v>
      </c>
    </row>
    <row r="891" spans="1:22" x14ac:dyDescent="0.35">
      <c r="A891">
        <v>890</v>
      </c>
      <c r="B891" t="s">
        <v>465</v>
      </c>
      <c r="C891" t="s">
        <v>1696</v>
      </c>
      <c r="D891" t="s">
        <v>1697</v>
      </c>
      <c r="E891" t="s">
        <v>25</v>
      </c>
      <c r="F891" t="b">
        <v>0</v>
      </c>
      <c r="G891">
        <v>3</v>
      </c>
      <c r="H891" t="b">
        <v>0</v>
      </c>
      <c r="I891">
        <v>15</v>
      </c>
      <c r="J891" t="s">
        <v>44</v>
      </c>
      <c r="K891">
        <v>97</v>
      </c>
      <c r="L891">
        <v>81</v>
      </c>
      <c r="M891">
        <v>65</v>
      </c>
      <c r="N891">
        <v>70</v>
      </c>
      <c r="O891">
        <v>62</v>
      </c>
      <c r="P891">
        <v>96</v>
      </c>
      <c r="Q891">
        <v>75</v>
      </c>
      <c r="R891">
        <f>SUM(student_scores[[#This Row],[math_score]:[geography_score]])</f>
        <v>546</v>
      </c>
      <c r="S891" s="3">
        <f>student_scores[[#This Row],[Total_Score]]/7</f>
        <v>78</v>
      </c>
      <c r="T891" s="3" t="str" cm="1">
        <f t="array" ref="T891">_xlfn.IFS(student_scores[[#This Row],[weekly_self_study_hours]]&lt;=5,   "0 - 5", student_scores[[#This Row],[weekly_self_study_hours]]&lt;=10,  "6 - 10", student_scores[[#This Row],[weekly_self_study_hours]]&lt;=20,  "11 - 20",student_scores[[#This Row],[weekly_self_study_hours]]&lt;=30, "21 - 30",TRUE, "31+")</f>
        <v>11 - 20</v>
      </c>
      <c r="U891" t="str" cm="1">
        <f t="array" ref="U891">_xlfn.IFS(student_scores[[#This Row],[absence_days]]=0,"0", student_scores[[#This Row],[absence_days]]&lt;=3,"1-3", student_scores[[#This Row],[absence_days]]&lt;=6,"4-6", TRUE,"7-10")</f>
        <v>1-3</v>
      </c>
      <c r="V891" t="str">
        <f>IF(student_scores[[#This Row],[Total_Score]] &gt;= _xlfn.PERCENTILE.INC(student_scores[Total_Score], 0.8), "Yes", "No")</f>
        <v>No</v>
      </c>
    </row>
    <row r="892" spans="1:22" x14ac:dyDescent="0.35">
      <c r="A892">
        <v>891</v>
      </c>
      <c r="B892" t="s">
        <v>473</v>
      </c>
      <c r="C892" t="s">
        <v>1698</v>
      </c>
      <c r="D892" t="s">
        <v>1699</v>
      </c>
      <c r="E892" t="s">
        <v>20</v>
      </c>
      <c r="F892" t="b">
        <v>0</v>
      </c>
      <c r="G892">
        <v>1</v>
      </c>
      <c r="H892" t="b">
        <v>0</v>
      </c>
      <c r="I892">
        <v>33</v>
      </c>
      <c r="J892" t="s">
        <v>44</v>
      </c>
      <c r="K892">
        <v>90</v>
      </c>
      <c r="L892">
        <v>64</v>
      </c>
      <c r="M892">
        <v>91</v>
      </c>
      <c r="N892">
        <v>93</v>
      </c>
      <c r="O892">
        <v>86</v>
      </c>
      <c r="P892">
        <v>91</v>
      </c>
      <c r="Q892">
        <v>97</v>
      </c>
      <c r="R892">
        <f>SUM(student_scores[[#This Row],[math_score]:[geography_score]])</f>
        <v>612</v>
      </c>
      <c r="S892" s="3">
        <f>student_scores[[#This Row],[Total_Score]]/7</f>
        <v>87.428571428571431</v>
      </c>
      <c r="T892" s="3" t="str" cm="1">
        <f t="array" ref="T892">_xlfn.IFS(student_scores[[#This Row],[weekly_self_study_hours]]&lt;=5,   "0 - 5", student_scores[[#This Row],[weekly_self_study_hours]]&lt;=10,  "6 - 10", student_scores[[#This Row],[weekly_self_study_hours]]&lt;=20,  "11 - 20",student_scores[[#This Row],[weekly_self_study_hours]]&lt;=30, "21 - 30",TRUE, "31+")</f>
        <v>31+</v>
      </c>
      <c r="U892" t="str" cm="1">
        <f t="array" ref="U892">_xlfn.IFS(student_scores[[#This Row],[absence_days]]=0,"0", student_scores[[#This Row],[absence_days]]&lt;=3,"1-3", student_scores[[#This Row],[absence_days]]&lt;=6,"4-6", TRUE,"7-10")</f>
        <v>1-3</v>
      </c>
      <c r="V892" t="str">
        <f>IF(student_scores[[#This Row],[Total_Score]] &gt;= _xlfn.PERCENTILE.INC(student_scores[Total_Score], 0.8), "Yes", "No")</f>
        <v>Yes</v>
      </c>
    </row>
    <row r="893" spans="1:22" x14ac:dyDescent="0.35">
      <c r="A893">
        <v>892</v>
      </c>
      <c r="B893" t="s">
        <v>180</v>
      </c>
      <c r="C893" t="s">
        <v>164</v>
      </c>
      <c r="D893" t="s">
        <v>1700</v>
      </c>
      <c r="E893" t="s">
        <v>25</v>
      </c>
      <c r="F893" t="b">
        <v>1</v>
      </c>
      <c r="G893">
        <v>10</v>
      </c>
      <c r="H893" t="b">
        <v>0</v>
      </c>
      <c r="I893">
        <v>4</v>
      </c>
      <c r="J893" t="s">
        <v>64</v>
      </c>
      <c r="K893">
        <v>90</v>
      </c>
      <c r="L893">
        <v>100</v>
      </c>
      <c r="M893">
        <v>80</v>
      </c>
      <c r="N893">
        <v>66</v>
      </c>
      <c r="O893">
        <v>63</v>
      </c>
      <c r="P893">
        <v>69</v>
      </c>
      <c r="Q893">
        <v>66</v>
      </c>
      <c r="R893">
        <f>SUM(student_scores[[#This Row],[math_score]:[geography_score]])</f>
        <v>534</v>
      </c>
      <c r="S893" s="3">
        <f>student_scores[[#This Row],[Total_Score]]/7</f>
        <v>76.285714285714292</v>
      </c>
      <c r="T893" s="3" t="str" cm="1">
        <f t="array" ref="T893">_xlfn.IFS(student_scores[[#This Row],[weekly_self_study_hours]]&lt;=5,   "0 - 5", student_scores[[#This Row],[weekly_self_study_hours]]&lt;=10,  "6 - 10", student_scores[[#This Row],[weekly_self_study_hours]]&lt;=20,  "11 - 20",student_scores[[#This Row],[weekly_self_study_hours]]&lt;=30, "21 - 30",TRUE, "31+")</f>
        <v>0 - 5</v>
      </c>
      <c r="U893" t="str" cm="1">
        <f t="array" ref="U893">_xlfn.IFS(student_scores[[#This Row],[absence_days]]=0,"0", student_scores[[#This Row],[absence_days]]&lt;=3,"1-3", student_scores[[#This Row],[absence_days]]&lt;=6,"4-6", TRUE,"7-10")</f>
        <v>7-10</v>
      </c>
      <c r="V893" t="str">
        <f>IF(student_scores[[#This Row],[Total_Score]] &gt;= _xlfn.PERCENTILE.INC(student_scores[Total_Score], 0.8), "Yes", "No")</f>
        <v>No</v>
      </c>
    </row>
    <row r="894" spans="1:22" x14ac:dyDescent="0.35">
      <c r="A894">
        <v>893</v>
      </c>
      <c r="B894" t="s">
        <v>348</v>
      </c>
      <c r="C894" t="s">
        <v>42</v>
      </c>
      <c r="D894" t="s">
        <v>1701</v>
      </c>
      <c r="E894" t="s">
        <v>20</v>
      </c>
      <c r="F894" t="b">
        <v>0</v>
      </c>
      <c r="G894">
        <v>2</v>
      </c>
      <c r="H894" t="b">
        <v>1</v>
      </c>
      <c r="I894">
        <v>24</v>
      </c>
      <c r="J894" t="s">
        <v>44</v>
      </c>
      <c r="K894">
        <v>85</v>
      </c>
      <c r="L894">
        <v>74</v>
      </c>
      <c r="M894">
        <v>68</v>
      </c>
      <c r="N894">
        <v>68</v>
      </c>
      <c r="O894">
        <v>75</v>
      </c>
      <c r="P894">
        <v>78</v>
      </c>
      <c r="Q894">
        <v>95</v>
      </c>
      <c r="R894">
        <f>SUM(student_scores[[#This Row],[math_score]:[geography_score]])</f>
        <v>543</v>
      </c>
      <c r="S894" s="3">
        <f>student_scores[[#This Row],[Total_Score]]/7</f>
        <v>77.571428571428569</v>
      </c>
      <c r="T894" s="3" t="str" cm="1">
        <f t="array" ref="T894">_xlfn.IFS(student_scores[[#This Row],[weekly_self_study_hours]]&lt;=5,   "0 - 5", student_scores[[#This Row],[weekly_self_study_hours]]&lt;=10,  "6 - 10", student_scores[[#This Row],[weekly_self_study_hours]]&lt;=20,  "11 - 20",student_scores[[#This Row],[weekly_self_study_hours]]&lt;=30, "21 - 30",TRUE, "31+")</f>
        <v>21 - 30</v>
      </c>
      <c r="U894" t="str" cm="1">
        <f t="array" ref="U894">_xlfn.IFS(student_scores[[#This Row],[absence_days]]=0,"0", student_scores[[#This Row],[absence_days]]&lt;=3,"1-3", student_scores[[#This Row],[absence_days]]&lt;=6,"4-6", TRUE,"7-10")</f>
        <v>1-3</v>
      </c>
      <c r="V894" t="str">
        <f>IF(student_scores[[#This Row],[Total_Score]] &gt;= _xlfn.PERCENTILE.INC(student_scores[Total_Score], 0.8), "Yes", "No")</f>
        <v>No</v>
      </c>
    </row>
    <row r="895" spans="1:22" x14ac:dyDescent="0.35">
      <c r="A895">
        <v>894</v>
      </c>
      <c r="B895" t="s">
        <v>166</v>
      </c>
      <c r="C895" t="s">
        <v>42</v>
      </c>
      <c r="D895" t="s">
        <v>1702</v>
      </c>
      <c r="E895" t="s">
        <v>25</v>
      </c>
      <c r="F895" t="b">
        <v>0</v>
      </c>
      <c r="G895">
        <v>1</v>
      </c>
      <c r="H895" t="b">
        <v>0</v>
      </c>
      <c r="I895">
        <v>13</v>
      </c>
      <c r="J895" t="s">
        <v>105</v>
      </c>
      <c r="K895">
        <v>82</v>
      </c>
      <c r="L895">
        <v>87</v>
      </c>
      <c r="M895">
        <v>98</v>
      </c>
      <c r="N895">
        <v>73</v>
      </c>
      <c r="O895">
        <v>74</v>
      </c>
      <c r="P895">
        <v>89</v>
      </c>
      <c r="Q895">
        <v>66</v>
      </c>
      <c r="R895">
        <f>SUM(student_scores[[#This Row],[math_score]:[geography_score]])</f>
        <v>569</v>
      </c>
      <c r="S895" s="3">
        <f>student_scores[[#This Row],[Total_Score]]/7</f>
        <v>81.285714285714292</v>
      </c>
      <c r="T895" s="3" t="str" cm="1">
        <f t="array" ref="T895">_xlfn.IFS(student_scores[[#This Row],[weekly_self_study_hours]]&lt;=5,   "0 - 5", student_scores[[#This Row],[weekly_self_study_hours]]&lt;=10,  "6 - 10", student_scores[[#This Row],[weekly_self_study_hours]]&lt;=20,  "11 - 20",student_scores[[#This Row],[weekly_self_study_hours]]&lt;=30, "21 - 30",TRUE, "31+")</f>
        <v>11 - 20</v>
      </c>
      <c r="U895" t="str" cm="1">
        <f t="array" ref="U895">_xlfn.IFS(student_scores[[#This Row],[absence_days]]=0,"0", student_scores[[#This Row],[absence_days]]&lt;=3,"1-3", student_scores[[#This Row],[absence_days]]&lt;=6,"4-6", TRUE,"7-10")</f>
        <v>1-3</v>
      </c>
      <c r="V895" t="str">
        <f>IF(student_scores[[#This Row],[Total_Score]] &gt;= _xlfn.PERCENTILE.INC(student_scores[Total_Score], 0.8), "Yes", "No")</f>
        <v>No</v>
      </c>
    </row>
    <row r="896" spans="1:22" x14ac:dyDescent="0.35">
      <c r="A896">
        <v>895</v>
      </c>
      <c r="B896" t="s">
        <v>796</v>
      </c>
      <c r="C896" t="s">
        <v>1314</v>
      </c>
      <c r="D896" t="s">
        <v>1703</v>
      </c>
      <c r="E896" t="s">
        <v>20</v>
      </c>
      <c r="F896" t="b">
        <v>1</v>
      </c>
      <c r="G896">
        <v>6</v>
      </c>
      <c r="H896" t="b">
        <v>0</v>
      </c>
      <c r="I896">
        <v>5</v>
      </c>
      <c r="J896" t="s">
        <v>64</v>
      </c>
      <c r="K896">
        <v>95</v>
      </c>
      <c r="L896">
        <v>88</v>
      </c>
      <c r="M896">
        <v>66</v>
      </c>
      <c r="N896">
        <v>72</v>
      </c>
      <c r="O896">
        <v>92</v>
      </c>
      <c r="P896">
        <v>52</v>
      </c>
      <c r="Q896">
        <v>70</v>
      </c>
      <c r="R896">
        <f>SUM(student_scores[[#This Row],[math_score]:[geography_score]])</f>
        <v>535</v>
      </c>
      <c r="S896" s="3">
        <f>student_scores[[#This Row],[Total_Score]]/7</f>
        <v>76.428571428571431</v>
      </c>
      <c r="T896" s="3" t="str" cm="1">
        <f t="array" ref="T896">_xlfn.IFS(student_scores[[#This Row],[weekly_self_study_hours]]&lt;=5,   "0 - 5", student_scores[[#This Row],[weekly_self_study_hours]]&lt;=10,  "6 - 10", student_scores[[#This Row],[weekly_self_study_hours]]&lt;=20,  "11 - 20",student_scores[[#This Row],[weekly_self_study_hours]]&lt;=30, "21 - 30",TRUE, "31+")</f>
        <v>0 - 5</v>
      </c>
      <c r="U896" t="str" cm="1">
        <f t="array" ref="U896">_xlfn.IFS(student_scores[[#This Row],[absence_days]]=0,"0", student_scores[[#This Row],[absence_days]]&lt;=3,"1-3", student_scores[[#This Row],[absence_days]]&lt;=6,"4-6", TRUE,"7-10")</f>
        <v>4-6</v>
      </c>
      <c r="V896" t="str">
        <f>IF(student_scores[[#This Row],[Total_Score]] &gt;= _xlfn.PERCENTILE.INC(student_scores[Total_Score], 0.8), "Yes", "No")</f>
        <v>No</v>
      </c>
    </row>
    <row r="897" spans="1:22" x14ac:dyDescent="0.35">
      <c r="A897">
        <v>896</v>
      </c>
      <c r="B897" t="s">
        <v>568</v>
      </c>
      <c r="C897" t="s">
        <v>1704</v>
      </c>
      <c r="D897" t="s">
        <v>1705</v>
      </c>
      <c r="E897" t="s">
        <v>20</v>
      </c>
      <c r="F897" t="b">
        <v>0</v>
      </c>
      <c r="G897">
        <v>1</v>
      </c>
      <c r="H897" t="b">
        <v>1</v>
      </c>
      <c r="I897">
        <v>12</v>
      </c>
      <c r="J897" t="s">
        <v>30</v>
      </c>
      <c r="K897">
        <v>95</v>
      </c>
      <c r="L897">
        <v>96</v>
      </c>
      <c r="M897">
        <v>66</v>
      </c>
      <c r="N897">
        <v>68</v>
      </c>
      <c r="O897">
        <v>90</v>
      </c>
      <c r="P897">
        <v>91</v>
      </c>
      <c r="Q897">
        <v>99</v>
      </c>
      <c r="R897">
        <f>SUM(student_scores[[#This Row],[math_score]:[geography_score]])</f>
        <v>605</v>
      </c>
      <c r="S897" s="3">
        <f>student_scores[[#This Row],[Total_Score]]/7</f>
        <v>86.428571428571431</v>
      </c>
      <c r="T897" s="3" t="str" cm="1">
        <f t="array" ref="T897">_xlfn.IFS(student_scores[[#This Row],[weekly_self_study_hours]]&lt;=5,   "0 - 5", student_scores[[#This Row],[weekly_self_study_hours]]&lt;=10,  "6 - 10", student_scores[[#This Row],[weekly_self_study_hours]]&lt;=20,  "11 - 20",student_scores[[#This Row],[weekly_self_study_hours]]&lt;=30, "21 - 30",TRUE, "31+")</f>
        <v>11 - 20</v>
      </c>
      <c r="U897" t="str" cm="1">
        <f t="array" ref="U897">_xlfn.IFS(student_scores[[#This Row],[absence_days]]=0,"0", student_scores[[#This Row],[absence_days]]&lt;=3,"1-3", student_scores[[#This Row],[absence_days]]&lt;=6,"4-6", TRUE,"7-10")</f>
        <v>1-3</v>
      </c>
      <c r="V897" t="str">
        <f>IF(student_scores[[#This Row],[Total_Score]] &gt;= _xlfn.PERCENTILE.INC(student_scores[Total_Score], 0.8), "Yes", "No")</f>
        <v>Yes</v>
      </c>
    </row>
    <row r="898" spans="1:22" x14ac:dyDescent="0.35">
      <c r="A898">
        <v>897</v>
      </c>
      <c r="B898" t="s">
        <v>135</v>
      </c>
      <c r="C898" t="s">
        <v>686</v>
      </c>
      <c r="D898" t="s">
        <v>1706</v>
      </c>
      <c r="E898" t="s">
        <v>20</v>
      </c>
      <c r="F898" t="b">
        <v>0</v>
      </c>
      <c r="G898">
        <v>4</v>
      </c>
      <c r="H898" t="b">
        <v>1</v>
      </c>
      <c r="I898">
        <v>8</v>
      </c>
      <c r="J898" t="s">
        <v>224</v>
      </c>
      <c r="K898">
        <v>81</v>
      </c>
      <c r="L898">
        <v>90</v>
      </c>
      <c r="M898">
        <v>71</v>
      </c>
      <c r="N898">
        <v>97</v>
      </c>
      <c r="O898">
        <v>81</v>
      </c>
      <c r="P898">
        <v>86</v>
      </c>
      <c r="Q898">
        <v>73</v>
      </c>
      <c r="R898">
        <f>SUM(student_scores[[#This Row],[math_score]:[geography_score]])</f>
        <v>579</v>
      </c>
      <c r="S898" s="3">
        <f>student_scores[[#This Row],[Total_Score]]/7</f>
        <v>82.714285714285708</v>
      </c>
      <c r="T898" s="3" t="str" cm="1">
        <f t="array" ref="T898">_xlfn.IFS(student_scores[[#This Row],[weekly_self_study_hours]]&lt;=5,   "0 - 5", student_scores[[#This Row],[weekly_self_study_hours]]&lt;=10,  "6 - 10", student_scores[[#This Row],[weekly_self_study_hours]]&lt;=20,  "11 - 20",student_scores[[#This Row],[weekly_self_study_hours]]&lt;=30, "21 - 30",TRUE, "31+")</f>
        <v>6 - 10</v>
      </c>
      <c r="U898" t="str" cm="1">
        <f t="array" ref="U898">_xlfn.IFS(student_scores[[#This Row],[absence_days]]=0,"0", student_scores[[#This Row],[absence_days]]&lt;=3,"1-3", student_scores[[#This Row],[absence_days]]&lt;=6,"4-6", TRUE,"7-10")</f>
        <v>4-6</v>
      </c>
      <c r="V898" t="str">
        <f>IF(student_scores[[#This Row],[Total_Score]] &gt;= _xlfn.PERCENTILE.INC(student_scores[Total_Score], 0.8), "Yes", "No")</f>
        <v>No</v>
      </c>
    </row>
    <row r="899" spans="1:22" x14ac:dyDescent="0.35">
      <c r="A899">
        <v>898</v>
      </c>
      <c r="B899" t="s">
        <v>715</v>
      </c>
      <c r="C899" t="s">
        <v>164</v>
      </c>
      <c r="D899" t="s">
        <v>1707</v>
      </c>
      <c r="E899" t="s">
        <v>25</v>
      </c>
      <c r="F899" t="b">
        <v>0</v>
      </c>
      <c r="G899">
        <v>2</v>
      </c>
      <c r="H899" t="b">
        <v>0</v>
      </c>
      <c r="I899">
        <v>8</v>
      </c>
      <c r="J899" t="s">
        <v>54</v>
      </c>
      <c r="K899">
        <v>62</v>
      </c>
      <c r="L899">
        <v>69</v>
      </c>
      <c r="M899">
        <v>99</v>
      </c>
      <c r="N899">
        <v>95</v>
      </c>
      <c r="O899">
        <v>73</v>
      </c>
      <c r="P899">
        <v>79</v>
      </c>
      <c r="Q899">
        <v>83</v>
      </c>
      <c r="R899">
        <f>SUM(student_scores[[#This Row],[math_score]:[geography_score]])</f>
        <v>560</v>
      </c>
      <c r="S899" s="3">
        <f>student_scores[[#This Row],[Total_Score]]/7</f>
        <v>80</v>
      </c>
      <c r="T899" s="3" t="str" cm="1">
        <f t="array" ref="T899">_xlfn.IFS(student_scores[[#This Row],[weekly_self_study_hours]]&lt;=5,   "0 - 5", student_scores[[#This Row],[weekly_self_study_hours]]&lt;=10,  "6 - 10", student_scores[[#This Row],[weekly_self_study_hours]]&lt;=20,  "11 - 20",student_scores[[#This Row],[weekly_self_study_hours]]&lt;=30, "21 - 30",TRUE, "31+")</f>
        <v>6 - 10</v>
      </c>
      <c r="U899" t="str" cm="1">
        <f t="array" ref="U899">_xlfn.IFS(student_scores[[#This Row],[absence_days]]=0,"0", student_scores[[#This Row],[absence_days]]&lt;=3,"1-3", student_scores[[#This Row],[absence_days]]&lt;=6,"4-6", TRUE,"7-10")</f>
        <v>1-3</v>
      </c>
      <c r="V899" t="str">
        <f>IF(student_scores[[#This Row],[Total_Score]] &gt;= _xlfn.PERCENTILE.INC(student_scores[Total_Score], 0.8), "Yes", "No")</f>
        <v>No</v>
      </c>
    </row>
    <row r="900" spans="1:22" x14ac:dyDescent="0.35">
      <c r="A900">
        <v>899</v>
      </c>
      <c r="B900" t="s">
        <v>557</v>
      </c>
      <c r="C900" t="s">
        <v>146</v>
      </c>
      <c r="D900" t="s">
        <v>1708</v>
      </c>
      <c r="E900" t="s">
        <v>20</v>
      </c>
      <c r="F900" t="b">
        <v>0</v>
      </c>
      <c r="G900">
        <v>5</v>
      </c>
      <c r="H900" t="b">
        <v>0</v>
      </c>
      <c r="I900">
        <v>8</v>
      </c>
      <c r="J900" t="s">
        <v>224</v>
      </c>
      <c r="K900">
        <v>95</v>
      </c>
      <c r="L900">
        <v>92</v>
      </c>
      <c r="M900">
        <v>89</v>
      </c>
      <c r="N900">
        <v>64</v>
      </c>
      <c r="O900">
        <v>77</v>
      </c>
      <c r="P900">
        <v>80</v>
      </c>
      <c r="Q900">
        <v>66</v>
      </c>
      <c r="R900">
        <f>SUM(student_scores[[#This Row],[math_score]:[geography_score]])</f>
        <v>563</v>
      </c>
      <c r="S900" s="3">
        <f>student_scores[[#This Row],[Total_Score]]/7</f>
        <v>80.428571428571431</v>
      </c>
      <c r="T900" s="3" t="str" cm="1">
        <f t="array" ref="T900">_xlfn.IFS(student_scores[[#This Row],[weekly_self_study_hours]]&lt;=5,   "0 - 5", student_scores[[#This Row],[weekly_self_study_hours]]&lt;=10,  "6 - 10", student_scores[[#This Row],[weekly_self_study_hours]]&lt;=20,  "11 - 20",student_scores[[#This Row],[weekly_self_study_hours]]&lt;=30, "21 - 30",TRUE, "31+")</f>
        <v>6 - 10</v>
      </c>
      <c r="U900" t="str" cm="1">
        <f t="array" ref="U900">_xlfn.IFS(student_scores[[#This Row],[absence_days]]=0,"0", student_scores[[#This Row],[absence_days]]&lt;=3,"1-3", student_scores[[#This Row],[absence_days]]&lt;=6,"4-6", TRUE,"7-10")</f>
        <v>4-6</v>
      </c>
      <c r="V900" t="str">
        <f>IF(student_scores[[#This Row],[Total_Score]] &gt;= _xlfn.PERCENTILE.INC(student_scores[Total_Score], 0.8), "Yes", "No")</f>
        <v>No</v>
      </c>
    </row>
    <row r="901" spans="1:22" x14ac:dyDescent="0.35">
      <c r="A901">
        <v>900</v>
      </c>
      <c r="B901" t="s">
        <v>297</v>
      </c>
      <c r="C901" t="s">
        <v>236</v>
      </c>
      <c r="D901" t="s">
        <v>1709</v>
      </c>
      <c r="E901" t="s">
        <v>25</v>
      </c>
      <c r="F901" t="b">
        <v>1</v>
      </c>
      <c r="G901">
        <v>4</v>
      </c>
      <c r="H901" t="b">
        <v>1</v>
      </c>
      <c r="I901">
        <v>0</v>
      </c>
      <c r="J901" t="s">
        <v>64</v>
      </c>
      <c r="K901">
        <v>64</v>
      </c>
      <c r="L901">
        <v>62</v>
      </c>
      <c r="M901">
        <v>51</v>
      </c>
      <c r="N901">
        <v>85</v>
      </c>
      <c r="O901">
        <v>74</v>
      </c>
      <c r="P901">
        <v>91</v>
      </c>
      <c r="Q901">
        <v>93</v>
      </c>
      <c r="R901">
        <f>SUM(student_scores[[#This Row],[math_score]:[geography_score]])</f>
        <v>520</v>
      </c>
      <c r="S901" s="3">
        <f>student_scores[[#This Row],[Total_Score]]/7</f>
        <v>74.285714285714292</v>
      </c>
      <c r="T901" s="3" t="str" cm="1">
        <f t="array" ref="T901">_xlfn.IFS(student_scores[[#This Row],[weekly_self_study_hours]]&lt;=5,   "0 - 5", student_scores[[#This Row],[weekly_self_study_hours]]&lt;=10,  "6 - 10", student_scores[[#This Row],[weekly_self_study_hours]]&lt;=20,  "11 - 20",student_scores[[#This Row],[weekly_self_study_hours]]&lt;=30, "21 - 30",TRUE, "31+")</f>
        <v>0 - 5</v>
      </c>
      <c r="U901" t="str" cm="1">
        <f t="array" ref="U901">_xlfn.IFS(student_scores[[#This Row],[absence_days]]=0,"0", student_scores[[#This Row],[absence_days]]&lt;=3,"1-3", student_scores[[#This Row],[absence_days]]&lt;=6,"4-6", TRUE,"7-10")</f>
        <v>4-6</v>
      </c>
      <c r="V901" t="str">
        <f>IF(student_scores[[#This Row],[Total_Score]] &gt;= _xlfn.PERCENTILE.INC(student_scores[Total_Score], 0.8), "Yes", "No")</f>
        <v>No</v>
      </c>
    </row>
    <row r="902" spans="1:22" x14ac:dyDescent="0.35">
      <c r="A902">
        <v>901</v>
      </c>
      <c r="B902" t="s">
        <v>65</v>
      </c>
      <c r="C902" t="s">
        <v>236</v>
      </c>
      <c r="D902" t="s">
        <v>1710</v>
      </c>
      <c r="E902" t="s">
        <v>25</v>
      </c>
      <c r="F902" t="b">
        <v>0</v>
      </c>
      <c r="G902">
        <v>5</v>
      </c>
      <c r="H902" t="b">
        <v>0</v>
      </c>
      <c r="I902">
        <v>14</v>
      </c>
      <c r="J902" t="s">
        <v>123</v>
      </c>
      <c r="K902">
        <v>96</v>
      </c>
      <c r="L902">
        <v>67</v>
      </c>
      <c r="M902">
        <v>88</v>
      </c>
      <c r="N902">
        <v>82</v>
      </c>
      <c r="O902">
        <v>90</v>
      </c>
      <c r="P902">
        <v>74</v>
      </c>
      <c r="Q902">
        <v>96</v>
      </c>
      <c r="R902">
        <f>SUM(student_scores[[#This Row],[math_score]:[geography_score]])</f>
        <v>593</v>
      </c>
      <c r="S902" s="3">
        <f>student_scores[[#This Row],[Total_Score]]/7</f>
        <v>84.714285714285708</v>
      </c>
      <c r="T902" s="3" t="str" cm="1">
        <f t="array" ref="T902">_xlfn.IFS(student_scores[[#This Row],[weekly_self_study_hours]]&lt;=5,   "0 - 5", student_scores[[#This Row],[weekly_self_study_hours]]&lt;=10,  "6 - 10", student_scores[[#This Row],[weekly_self_study_hours]]&lt;=20,  "11 - 20",student_scores[[#This Row],[weekly_self_study_hours]]&lt;=30, "21 - 30",TRUE, "31+")</f>
        <v>11 - 20</v>
      </c>
      <c r="U902" t="str" cm="1">
        <f t="array" ref="U902">_xlfn.IFS(student_scores[[#This Row],[absence_days]]=0,"0", student_scores[[#This Row],[absence_days]]&lt;=3,"1-3", student_scores[[#This Row],[absence_days]]&lt;=6,"4-6", TRUE,"7-10")</f>
        <v>4-6</v>
      </c>
      <c r="V902" t="str">
        <f>IF(student_scores[[#This Row],[Total_Score]] &gt;= _xlfn.PERCENTILE.INC(student_scores[Total_Score], 0.8), "Yes", "No")</f>
        <v>No</v>
      </c>
    </row>
    <row r="903" spans="1:22" x14ac:dyDescent="0.35">
      <c r="A903">
        <v>902</v>
      </c>
      <c r="B903" t="s">
        <v>120</v>
      </c>
      <c r="C903" t="s">
        <v>1711</v>
      </c>
      <c r="D903" t="s">
        <v>1712</v>
      </c>
      <c r="E903" t="s">
        <v>25</v>
      </c>
      <c r="F903" t="b">
        <v>1</v>
      </c>
      <c r="G903">
        <v>4</v>
      </c>
      <c r="H903" t="b">
        <v>1</v>
      </c>
      <c r="I903">
        <v>3</v>
      </c>
      <c r="J903" t="s">
        <v>64</v>
      </c>
      <c r="K903">
        <v>40</v>
      </c>
      <c r="L903">
        <v>58</v>
      </c>
      <c r="M903">
        <v>57</v>
      </c>
      <c r="N903">
        <v>68</v>
      </c>
      <c r="O903">
        <v>57</v>
      </c>
      <c r="P903">
        <v>99</v>
      </c>
      <c r="Q903">
        <v>95</v>
      </c>
      <c r="R903">
        <f>SUM(student_scores[[#This Row],[math_score]:[geography_score]])</f>
        <v>474</v>
      </c>
      <c r="S903" s="3">
        <f>student_scores[[#This Row],[Total_Score]]/7</f>
        <v>67.714285714285708</v>
      </c>
      <c r="T903" s="3" t="str" cm="1">
        <f t="array" ref="T903">_xlfn.IFS(student_scores[[#This Row],[weekly_self_study_hours]]&lt;=5,   "0 - 5", student_scores[[#This Row],[weekly_self_study_hours]]&lt;=10,  "6 - 10", student_scores[[#This Row],[weekly_self_study_hours]]&lt;=20,  "11 - 20",student_scores[[#This Row],[weekly_self_study_hours]]&lt;=30, "21 - 30",TRUE, "31+")</f>
        <v>0 - 5</v>
      </c>
      <c r="U903" t="str" cm="1">
        <f t="array" ref="U903">_xlfn.IFS(student_scores[[#This Row],[absence_days]]=0,"0", student_scores[[#This Row],[absence_days]]&lt;=3,"1-3", student_scores[[#This Row],[absence_days]]&lt;=6,"4-6", TRUE,"7-10")</f>
        <v>4-6</v>
      </c>
      <c r="V903" t="str">
        <f>IF(student_scores[[#This Row],[Total_Score]] &gt;= _xlfn.PERCENTILE.INC(student_scores[Total_Score], 0.8), "Yes", "No")</f>
        <v>No</v>
      </c>
    </row>
    <row r="904" spans="1:22" x14ac:dyDescent="0.35">
      <c r="A904">
        <v>903</v>
      </c>
      <c r="B904" t="s">
        <v>277</v>
      </c>
      <c r="C904" t="s">
        <v>515</v>
      </c>
      <c r="D904" t="s">
        <v>1713</v>
      </c>
      <c r="E904" t="s">
        <v>20</v>
      </c>
      <c r="F904" t="b">
        <v>0</v>
      </c>
      <c r="G904">
        <v>2</v>
      </c>
      <c r="H904" t="b">
        <v>0</v>
      </c>
      <c r="I904">
        <v>19</v>
      </c>
      <c r="J904" t="s">
        <v>172</v>
      </c>
      <c r="K904">
        <v>87</v>
      </c>
      <c r="L904">
        <v>80</v>
      </c>
      <c r="M904">
        <v>84</v>
      </c>
      <c r="N904">
        <v>65</v>
      </c>
      <c r="O904">
        <v>91</v>
      </c>
      <c r="P904">
        <v>84</v>
      </c>
      <c r="Q904">
        <v>65</v>
      </c>
      <c r="R904">
        <f>SUM(student_scores[[#This Row],[math_score]:[geography_score]])</f>
        <v>556</v>
      </c>
      <c r="S904" s="3">
        <f>student_scores[[#This Row],[Total_Score]]/7</f>
        <v>79.428571428571431</v>
      </c>
      <c r="T904" s="3" t="str" cm="1">
        <f t="array" ref="T904">_xlfn.IFS(student_scores[[#This Row],[weekly_self_study_hours]]&lt;=5,   "0 - 5", student_scores[[#This Row],[weekly_self_study_hours]]&lt;=10,  "6 - 10", student_scores[[#This Row],[weekly_self_study_hours]]&lt;=20,  "11 - 20",student_scores[[#This Row],[weekly_self_study_hours]]&lt;=30, "21 - 30",TRUE, "31+")</f>
        <v>11 - 20</v>
      </c>
      <c r="U904" t="str" cm="1">
        <f t="array" ref="U904">_xlfn.IFS(student_scores[[#This Row],[absence_days]]=0,"0", student_scores[[#This Row],[absence_days]]&lt;=3,"1-3", student_scores[[#This Row],[absence_days]]&lt;=6,"4-6", TRUE,"7-10")</f>
        <v>1-3</v>
      </c>
      <c r="V904" t="str">
        <f>IF(student_scores[[#This Row],[Total_Score]] &gt;= _xlfn.PERCENTILE.INC(student_scores[Total_Score], 0.8), "Yes", "No")</f>
        <v>No</v>
      </c>
    </row>
    <row r="905" spans="1:22" x14ac:dyDescent="0.35">
      <c r="A905">
        <v>904</v>
      </c>
      <c r="B905" t="s">
        <v>676</v>
      </c>
      <c r="C905" t="s">
        <v>135</v>
      </c>
      <c r="D905" t="s">
        <v>1714</v>
      </c>
      <c r="E905" t="s">
        <v>20</v>
      </c>
      <c r="F905" t="b">
        <v>0</v>
      </c>
      <c r="G905">
        <v>4</v>
      </c>
      <c r="H905" t="b">
        <v>0</v>
      </c>
      <c r="I905">
        <v>29</v>
      </c>
      <c r="J905" t="s">
        <v>38</v>
      </c>
      <c r="K905">
        <v>74</v>
      </c>
      <c r="L905">
        <v>95</v>
      </c>
      <c r="M905">
        <v>82</v>
      </c>
      <c r="N905">
        <v>61</v>
      </c>
      <c r="O905">
        <v>70</v>
      </c>
      <c r="P905">
        <v>88</v>
      </c>
      <c r="Q905">
        <v>92</v>
      </c>
      <c r="R905">
        <f>SUM(student_scores[[#This Row],[math_score]:[geography_score]])</f>
        <v>562</v>
      </c>
      <c r="S905" s="3">
        <f>student_scores[[#This Row],[Total_Score]]/7</f>
        <v>80.285714285714292</v>
      </c>
      <c r="T905" s="3" t="str" cm="1">
        <f t="array" ref="T905">_xlfn.IFS(student_scores[[#This Row],[weekly_self_study_hours]]&lt;=5,   "0 - 5", student_scores[[#This Row],[weekly_self_study_hours]]&lt;=10,  "6 - 10", student_scores[[#This Row],[weekly_self_study_hours]]&lt;=20,  "11 - 20",student_scores[[#This Row],[weekly_self_study_hours]]&lt;=30, "21 - 30",TRUE, "31+")</f>
        <v>21 - 30</v>
      </c>
      <c r="U905" t="str" cm="1">
        <f t="array" ref="U905">_xlfn.IFS(student_scores[[#This Row],[absence_days]]=0,"0", student_scores[[#This Row],[absence_days]]&lt;=3,"1-3", student_scores[[#This Row],[absence_days]]&lt;=6,"4-6", TRUE,"7-10")</f>
        <v>4-6</v>
      </c>
      <c r="V905" t="str">
        <f>IF(student_scores[[#This Row],[Total_Score]] &gt;= _xlfn.PERCENTILE.INC(student_scores[Total_Score], 0.8), "Yes", "No")</f>
        <v>No</v>
      </c>
    </row>
    <row r="906" spans="1:22" x14ac:dyDescent="0.35">
      <c r="A906">
        <v>905</v>
      </c>
      <c r="B906" t="s">
        <v>1715</v>
      </c>
      <c r="C906" t="s">
        <v>1716</v>
      </c>
      <c r="D906" t="s">
        <v>1717</v>
      </c>
      <c r="E906" t="s">
        <v>25</v>
      </c>
      <c r="F906" t="b">
        <v>1</v>
      </c>
      <c r="G906">
        <v>7</v>
      </c>
      <c r="H906" t="b">
        <v>1</v>
      </c>
      <c r="I906">
        <v>0</v>
      </c>
      <c r="J906" t="s">
        <v>64</v>
      </c>
      <c r="K906">
        <v>51</v>
      </c>
      <c r="L906">
        <v>56</v>
      </c>
      <c r="M906">
        <v>64</v>
      </c>
      <c r="N906">
        <v>85</v>
      </c>
      <c r="O906">
        <v>91</v>
      </c>
      <c r="P906">
        <v>78</v>
      </c>
      <c r="Q906">
        <v>97</v>
      </c>
      <c r="R906">
        <f>SUM(student_scores[[#This Row],[math_score]:[geography_score]])</f>
        <v>522</v>
      </c>
      <c r="S906" s="3">
        <f>student_scores[[#This Row],[Total_Score]]/7</f>
        <v>74.571428571428569</v>
      </c>
      <c r="T906" s="3" t="str" cm="1">
        <f t="array" ref="T906">_xlfn.IFS(student_scores[[#This Row],[weekly_self_study_hours]]&lt;=5,   "0 - 5", student_scores[[#This Row],[weekly_self_study_hours]]&lt;=10,  "6 - 10", student_scores[[#This Row],[weekly_self_study_hours]]&lt;=20,  "11 - 20",student_scores[[#This Row],[weekly_self_study_hours]]&lt;=30, "21 - 30",TRUE, "31+")</f>
        <v>0 - 5</v>
      </c>
      <c r="U906" t="str" cm="1">
        <f t="array" ref="U906">_xlfn.IFS(student_scores[[#This Row],[absence_days]]=0,"0", student_scores[[#This Row],[absence_days]]&lt;=3,"1-3", student_scores[[#This Row],[absence_days]]&lt;=6,"4-6", TRUE,"7-10")</f>
        <v>7-10</v>
      </c>
      <c r="V906" t="str">
        <f>IF(student_scores[[#This Row],[Total_Score]] &gt;= _xlfn.PERCENTILE.INC(student_scores[Total_Score], 0.8), "Yes", "No")</f>
        <v>No</v>
      </c>
    </row>
    <row r="907" spans="1:22" x14ac:dyDescent="0.35">
      <c r="A907">
        <v>906</v>
      </c>
      <c r="B907" t="s">
        <v>277</v>
      </c>
      <c r="C907" t="s">
        <v>589</v>
      </c>
      <c r="D907" t="s">
        <v>1718</v>
      </c>
      <c r="E907" t="s">
        <v>20</v>
      </c>
      <c r="F907" t="b">
        <v>0</v>
      </c>
      <c r="G907">
        <v>7</v>
      </c>
      <c r="H907" t="b">
        <v>0</v>
      </c>
      <c r="I907">
        <v>5</v>
      </c>
      <c r="J907" t="s">
        <v>224</v>
      </c>
      <c r="K907">
        <v>57</v>
      </c>
      <c r="L907">
        <v>74</v>
      </c>
      <c r="M907">
        <v>98</v>
      </c>
      <c r="N907">
        <v>93</v>
      </c>
      <c r="O907">
        <v>63</v>
      </c>
      <c r="P907">
        <v>70</v>
      </c>
      <c r="Q907">
        <v>67</v>
      </c>
      <c r="R907">
        <f>SUM(student_scores[[#This Row],[math_score]:[geography_score]])</f>
        <v>522</v>
      </c>
      <c r="S907" s="3">
        <f>student_scores[[#This Row],[Total_Score]]/7</f>
        <v>74.571428571428569</v>
      </c>
      <c r="T907" s="3" t="str" cm="1">
        <f t="array" ref="T907">_xlfn.IFS(student_scores[[#This Row],[weekly_self_study_hours]]&lt;=5,   "0 - 5", student_scores[[#This Row],[weekly_self_study_hours]]&lt;=10,  "6 - 10", student_scores[[#This Row],[weekly_self_study_hours]]&lt;=20,  "11 - 20",student_scores[[#This Row],[weekly_self_study_hours]]&lt;=30, "21 - 30",TRUE, "31+")</f>
        <v>0 - 5</v>
      </c>
      <c r="U907" t="str" cm="1">
        <f t="array" ref="U907">_xlfn.IFS(student_scores[[#This Row],[absence_days]]=0,"0", student_scores[[#This Row],[absence_days]]&lt;=3,"1-3", student_scores[[#This Row],[absence_days]]&lt;=6,"4-6", TRUE,"7-10")</f>
        <v>7-10</v>
      </c>
      <c r="V907" t="str">
        <f>IF(student_scores[[#This Row],[Total_Score]] &gt;= _xlfn.PERCENTILE.INC(student_scores[Total_Score], 0.8), "Yes", "No")</f>
        <v>No</v>
      </c>
    </row>
    <row r="908" spans="1:22" x14ac:dyDescent="0.35">
      <c r="A908">
        <v>907</v>
      </c>
      <c r="B908" t="s">
        <v>1108</v>
      </c>
      <c r="C908" t="s">
        <v>1719</v>
      </c>
      <c r="D908" t="s">
        <v>1720</v>
      </c>
      <c r="E908" t="s">
        <v>25</v>
      </c>
      <c r="F908" t="b">
        <v>0</v>
      </c>
      <c r="G908">
        <v>6</v>
      </c>
      <c r="H908" t="b">
        <v>0</v>
      </c>
      <c r="I908">
        <v>4</v>
      </c>
      <c r="J908" t="s">
        <v>64</v>
      </c>
      <c r="K908">
        <v>84</v>
      </c>
      <c r="L908">
        <v>54</v>
      </c>
      <c r="M908">
        <v>52</v>
      </c>
      <c r="N908">
        <v>52</v>
      </c>
      <c r="O908">
        <v>65</v>
      </c>
      <c r="P908">
        <v>54</v>
      </c>
      <c r="Q908">
        <v>69</v>
      </c>
      <c r="R908">
        <f>SUM(student_scores[[#This Row],[math_score]:[geography_score]])</f>
        <v>430</v>
      </c>
      <c r="S908" s="3">
        <f>student_scores[[#This Row],[Total_Score]]/7</f>
        <v>61.428571428571431</v>
      </c>
      <c r="T908" s="3" t="str" cm="1">
        <f t="array" ref="T908">_xlfn.IFS(student_scores[[#This Row],[weekly_self_study_hours]]&lt;=5,   "0 - 5", student_scores[[#This Row],[weekly_self_study_hours]]&lt;=10,  "6 - 10", student_scores[[#This Row],[weekly_self_study_hours]]&lt;=20,  "11 - 20",student_scores[[#This Row],[weekly_self_study_hours]]&lt;=30, "21 - 30",TRUE, "31+")</f>
        <v>0 - 5</v>
      </c>
      <c r="U908" t="str" cm="1">
        <f t="array" ref="U908">_xlfn.IFS(student_scores[[#This Row],[absence_days]]=0,"0", student_scores[[#This Row],[absence_days]]&lt;=3,"1-3", student_scores[[#This Row],[absence_days]]&lt;=6,"4-6", TRUE,"7-10")</f>
        <v>4-6</v>
      </c>
      <c r="V908" t="str">
        <f>IF(student_scores[[#This Row],[Total_Score]] &gt;= _xlfn.PERCENTILE.INC(student_scores[Total_Score], 0.8), "Yes", "No")</f>
        <v>No</v>
      </c>
    </row>
    <row r="909" spans="1:22" x14ac:dyDescent="0.35">
      <c r="A909">
        <v>908</v>
      </c>
      <c r="B909" t="s">
        <v>388</v>
      </c>
      <c r="C909" t="s">
        <v>1625</v>
      </c>
      <c r="D909" t="s">
        <v>1721</v>
      </c>
      <c r="E909" t="s">
        <v>25</v>
      </c>
      <c r="F909" t="b">
        <v>0</v>
      </c>
      <c r="G909">
        <v>7</v>
      </c>
      <c r="H909" t="b">
        <v>0</v>
      </c>
      <c r="I909">
        <v>1</v>
      </c>
      <c r="J909" t="s">
        <v>64</v>
      </c>
      <c r="K909">
        <v>84</v>
      </c>
      <c r="L909">
        <v>83</v>
      </c>
      <c r="M909">
        <v>71</v>
      </c>
      <c r="N909">
        <v>98</v>
      </c>
      <c r="O909">
        <v>93</v>
      </c>
      <c r="P909">
        <v>95</v>
      </c>
      <c r="Q909">
        <v>99</v>
      </c>
      <c r="R909">
        <f>SUM(student_scores[[#This Row],[math_score]:[geography_score]])</f>
        <v>623</v>
      </c>
      <c r="S909" s="3">
        <f>student_scores[[#This Row],[Total_Score]]/7</f>
        <v>89</v>
      </c>
      <c r="T909" s="3" t="str" cm="1">
        <f t="array" ref="T909">_xlfn.IFS(student_scores[[#This Row],[weekly_self_study_hours]]&lt;=5,   "0 - 5", student_scores[[#This Row],[weekly_self_study_hours]]&lt;=10,  "6 - 10", student_scores[[#This Row],[weekly_self_study_hours]]&lt;=20,  "11 - 20",student_scores[[#This Row],[weekly_self_study_hours]]&lt;=30, "21 - 30",TRUE, "31+")</f>
        <v>0 - 5</v>
      </c>
      <c r="U909" t="str" cm="1">
        <f t="array" ref="U909">_xlfn.IFS(student_scores[[#This Row],[absence_days]]=0,"0", student_scores[[#This Row],[absence_days]]&lt;=3,"1-3", student_scores[[#This Row],[absence_days]]&lt;=6,"4-6", TRUE,"7-10")</f>
        <v>7-10</v>
      </c>
      <c r="V909" t="str">
        <f>IF(student_scores[[#This Row],[Total_Score]] &gt;= _xlfn.PERCENTILE.INC(student_scores[Total_Score], 0.8), "Yes", "No")</f>
        <v>Yes</v>
      </c>
    </row>
    <row r="910" spans="1:22" x14ac:dyDescent="0.35">
      <c r="A910">
        <v>909</v>
      </c>
      <c r="B910" t="s">
        <v>1722</v>
      </c>
      <c r="C910" t="s">
        <v>1723</v>
      </c>
      <c r="D910" t="s">
        <v>1724</v>
      </c>
      <c r="E910" t="s">
        <v>20</v>
      </c>
      <c r="F910" t="b">
        <v>0</v>
      </c>
      <c r="G910">
        <v>8</v>
      </c>
      <c r="H910" t="b">
        <v>1</v>
      </c>
      <c r="I910">
        <v>12</v>
      </c>
      <c r="J910" t="s">
        <v>172</v>
      </c>
      <c r="K910">
        <v>100</v>
      </c>
      <c r="L910">
        <v>84</v>
      </c>
      <c r="M910">
        <v>73</v>
      </c>
      <c r="N910">
        <v>96</v>
      </c>
      <c r="O910">
        <v>97</v>
      </c>
      <c r="P910">
        <v>85</v>
      </c>
      <c r="Q910">
        <v>63</v>
      </c>
      <c r="R910">
        <f>SUM(student_scores[[#This Row],[math_score]:[geography_score]])</f>
        <v>598</v>
      </c>
      <c r="S910" s="3">
        <f>student_scores[[#This Row],[Total_Score]]/7</f>
        <v>85.428571428571431</v>
      </c>
      <c r="T910" s="3" t="str" cm="1">
        <f t="array" ref="T910">_xlfn.IFS(student_scores[[#This Row],[weekly_self_study_hours]]&lt;=5,   "0 - 5", student_scores[[#This Row],[weekly_self_study_hours]]&lt;=10,  "6 - 10", student_scores[[#This Row],[weekly_self_study_hours]]&lt;=20,  "11 - 20",student_scores[[#This Row],[weekly_self_study_hours]]&lt;=30, "21 - 30",TRUE, "31+")</f>
        <v>11 - 20</v>
      </c>
      <c r="U910" t="str" cm="1">
        <f t="array" ref="U910">_xlfn.IFS(student_scores[[#This Row],[absence_days]]=0,"0", student_scores[[#This Row],[absence_days]]&lt;=3,"1-3", student_scores[[#This Row],[absence_days]]&lt;=6,"4-6", TRUE,"7-10")</f>
        <v>7-10</v>
      </c>
      <c r="V910" t="str">
        <f>IF(student_scores[[#This Row],[Total_Score]] &gt;= _xlfn.PERCENTILE.INC(student_scores[Total_Score], 0.8), "Yes", "No")</f>
        <v>No</v>
      </c>
    </row>
    <row r="911" spans="1:22" x14ac:dyDescent="0.35">
      <c r="A911">
        <v>910</v>
      </c>
      <c r="B911" t="s">
        <v>981</v>
      </c>
      <c r="C911" t="s">
        <v>1167</v>
      </c>
      <c r="D911" t="s">
        <v>1725</v>
      </c>
      <c r="E911" t="s">
        <v>25</v>
      </c>
      <c r="F911" t="b">
        <v>0</v>
      </c>
      <c r="G911">
        <v>3</v>
      </c>
      <c r="H911" t="b">
        <v>0</v>
      </c>
      <c r="I911">
        <v>27</v>
      </c>
      <c r="J911" t="s">
        <v>44</v>
      </c>
      <c r="K911">
        <v>90</v>
      </c>
      <c r="L911">
        <v>91</v>
      </c>
      <c r="M911">
        <v>88</v>
      </c>
      <c r="N911">
        <v>95</v>
      </c>
      <c r="O911">
        <v>98</v>
      </c>
      <c r="P911">
        <v>99</v>
      </c>
      <c r="Q911">
        <v>71</v>
      </c>
      <c r="R911">
        <f>SUM(student_scores[[#This Row],[math_score]:[geography_score]])</f>
        <v>632</v>
      </c>
      <c r="S911" s="3">
        <f>student_scores[[#This Row],[Total_Score]]/7</f>
        <v>90.285714285714292</v>
      </c>
      <c r="T911" s="3" t="str" cm="1">
        <f t="array" ref="T911">_xlfn.IFS(student_scores[[#This Row],[weekly_self_study_hours]]&lt;=5,   "0 - 5", student_scores[[#This Row],[weekly_self_study_hours]]&lt;=10,  "6 - 10", student_scores[[#This Row],[weekly_self_study_hours]]&lt;=20,  "11 - 20",student_scores[[#This Row],[weekly_self_study_hours]]&lt;=30, "21 - 30",TRUE, "31+")</f>
        <v>21 - 30</v>
      </c>
      <c r="U911" t="str" cm="1">
        <f t="array" ref="U911">_xlfn.IFS(student_scores[[#This Row],[absence_days]]=0,"0", student_scores[[#This Row],[absence_days]]&lt;=3,"1-3", student_scores[[#This Row],[absence_days]]&lt;=6,"4-6", TRUE,"7-10")</f>
        <v>1-3</v>
      </c>
      <c r="V911" t="str">
        <f>IF(student_scores[[#This Row],[Total_Score]] &gt;= _xlfn.PERCENTILE.INC(student_scores[Total_Score], 0.8), "Yes", "No")</f>
        <v>Yes</v>
      </c>
    </row>
    <row r="912" spans="1:22" x14ac:dyDescent="0.35">
      <c r="A912">
        <v>911</v>
      </c>
      <c r="B912" t="s">
        <v>190</v>
      </c>
      <c r="C912" t="s">
        <v>332</v>
      </c>
      <c r="D912" t="s">
        <v>1726</v>
      </c>
      <c r="E912" t="s">
        <v>25</v>
      </c>
      <c r="F912" t="b">
        <v>0</v>
      </c>
      <c r="G912">
        <v>4</v>
      </c>
      <c r="H912" t="b">
        <v>1</v>
      </c>
      <c r="I912">
        <v>12</v>
      </c>
      <c r="J912" t="s">
        <v>105</v>
      </c>
      <c r="K912">
        <v>97</v>
      </c>
      <c r="L912">
        <v>77</v>
      </c>
      <c r="M912">
        <v>66</v>
      </c>
      <c r="N912">
        <v>93</v>
      </c>
      <c r="O912">
        <v>99</v>
      </c>
      <c r="P912">
        <v>78</v>
      </c>
      <c r="Q912">
        <v>91</v>
      </c>
      <c r="R912">
        <f>SUM(student_scores[[#This Row],[math_score]:[geography_score]])</f>
        <v>601</v>
      </c>
      <c r="S912" s="3">
        <f>student_scores[[#This Row],[Total_Score]]/7</f>
        <v>85.857142857142861</v>
      </c>
      <c r="T912" s="3" t="str" cm="1">
        <f t="array" ref="T912">_xlfn.IFS(student_scores[[#This Row],[weekly_self_study_hours]]&lt;=5,   "0 - 5", student_scores[[#This Row],[weekly_self_study_hours]]&lt;=10,  "6 - 10", student_scores[[#This Row],[weekly_self_study_hours]]&lt;=20,  "11 - 20",student_scores[[#This Row],[weekly_self_study_hours]]&lt;=30, "21 - 30",TRUE, "31+")</f>
        <v>11 - 20</v>
      </c>
      <c r="U912" t="str" cm="1">
        <f t="array" ref="U912">_xlfn.IFS(student_scores[[#This Row],[absence_days]]=0,"0", student_scores[[#This Row],[absence_days]]&lt;=3,"1-3", student_scores[[#This Row],[absence_days]]&lt;=6,"4-6", TRUE,"7-10")</f>
        <v>4-6</v>
      </c>
      <c r="V912" t="str">
        <f>IF(student_scores[[#This Row],[Total_Score]] &gt;= _xlfn.PERCENTILE.INC(student_scores[Total_Score], 0.8), "Yes", "No")</f>
        <v>Yes</v>
      </c>
    </row>
    <row r="913" spans="1:22" x14ac:dyDescent="0.35">
      <c r="A913">
        <v>912</v>
      </c>
      <c r="B913" t="s">
        <v>1727</v>
      </c>
      <c r="C913" t="s">
        <v>1728</v>
      </c>
      <c r="D913" t="s">
        <v>1729</v>
      </c>
      <c r="E913" t="s">
        <v>20</v>
      </c>
      <c r="F913" t="b">
        <v>0</v>
      </c>
      <c r="G913">
        <v>3</v>
      </c>
      <c r="H913" t="b">
        <v>0</v>
      </c>
      <c r="I913">
        <v>21</v>
      </c>
      <c r="J913" t="s">
        <v>105</v>
      </c>
      <c r="K913">
        <v>77</v>
      </c>
      <c r="L913">
        <v>93</v>
      </c>
      <c r="M913">
        <v>69</v>
      </c>
      <c r="N913">
        <v>75</v>
      </c>
      <c r="O913">
        <v>88</v>
      </c>
      <c r="P913">
        <v>81</v>
      </c>
      <c r="Q913">
        <v>89</v>
      </c>
      <c r="R913">
        <f>SUM(student_scores[[#This Row],[math_score]:[geography_score]])</f>
        <v>572</v>
      </c>
      <c r="S913" s="3">
        <f>student_scores[[#This Row],[Total_Score]]/7</f>
        <v>81.714285714285708</v>
      </c>
      <c r="T913" s="3" t="str" cm="1">
        <f t="array" ref="T913">_xlfn.IFS(student_scores[[#This Row],[weekly_self_study_hours]]&lt;=5,   "0 - 5", student_scores[[#This Row],[weekly_self_study_hours]]&lt;=10,  "6 - 10", student_scores[[#This Row],[weekly_self_study_hours]]&lt;=20,  "11 - 20",student_scores[[#This Row],[weekly_self_study_hours]]&lt;=30, "21 - 30",TRUE, "31+")</f>
        <v>21 - 30</v>
      </c>
      <c r="U913" t="str" cm="1">
        <f t="array" ref="U913">_xlfn.IFS(student_scores[[#This Row],[absence_days]]=0,"0", student_scores[[#This Row],[absence_days]]&lt;=3,"1-3", student_scores[[#This Row],[absence_days]]&lt;=6,"4-6", TRUE,"7-10")</f>
        <v>1-3</v>
      </c>
      <c r="V913" t="str">
        <f>IF(student_scores[[#This Row],[Total_Score]] &gt;= _xlfn.PERCENTILE.INC(student_scores[Total_Score], 0.8), "Yes", "No")</f>
        <v>No</v>
      </c>
    </row>
    <row r="914" spans="1:22" x14ac:dyDescent="0.35">
      <c r="A914">
        <v>913</v>
      </c>
      <c r="B914" t="s">
        <v>1730</v>
      </c>
      <c r="C914" t="s">
        <v>1731</v>
      </c>
      <c r="D914" t="s">
        <v>1732</v>
      </c>
      <c r="E914" t="s">
        <v>25</v>
      </c>
      <c r="F914" t="b">
        <v>0</v>
      </c>
      <c r="G914">
        <v>9</v>
      </c>
      <c r="H914" t="b">
        <v>0</v>
      </c>
      <c r="I914">
        <v>15</v>
      </c>
      <c r="J914" t="s">
        <v>54</v>
      </c>
      <c r="K914">
        <v>82</v>
      </c>
      <c r="L914">
        <v>61</v>
      </c>
      <c r="M914">
        <v>79</v>
      </c>
      <c r="N914">
        <v>84</v>
      </c>
      <c r="O914">
        <v>73</v>
      </c>
      <c r="P914">
        <v>95</v>
      </c>
      <c r="Q914">
        <v>85</v>
      </c>
      <c r="R914">
        <f>SUM(student_scores[[#This Row],[math_score]:[geography_score]])</f>
        <v>559</v>
      </c>
      <c r="S914" s="3">
        <f>student_scores[[#This Row],[Total_Score]]/7</f>
        <v>79.857142857142861</v>
      </c>
      <c r="T914" s="3" t="str" cm="1">
        <f t="array" ref="T914">_xlfn.IFS(student_scores[[#This Row],[weekly_self_study_hours]]&lt;=5,   "0 - 5", student_scores[[#This Row],[weekly_self_study_hours]]&lt;=10,  "6 - 10", student_scores[[#This Row],[weekly_self_study_hours]]&lt;=20,  "11 - 20",student_scores[[#This Row],[weekly_self_study_hours]]&lt;=30, "21 - 30",TRUE, "31+")</f>
        <v>11 - 20</v>
      </c>
      <c r="U914" t="str" cm="1">
        <f t="array" ref="U914">_xlfn.IFS(student_scores[[#This Row],[absence_days]]=0,"0", student_scores[[#This Row],[absence_days]]&lt;=3,"1-3", student_scores[[#This Row],[absence_days]]&lt;=6,"4-6", TRUE,"7-10")</f>
        <v>7-10</v>
      </c>
      <c r="V914" t="str">
        <f>IF(student_scores[[#This Row],[Total_Score]] &gt;= _xlfn.PERCENTILE.INC(student_scores[Total_Score], 0.8), "Yes", "No")</f>
        <v>No</v>
      </c>
    </row>
    <row r="915" spans="1:22" x14ac:dyDescent="0.35">
      <c r="A915">
        <v>914</v>
      </c>
      <c r="B915" t="s">
        <v>68</v>
      </c>
      <c r="C915" t="s">
        <v>1731</v>
      </c>
      <c r="D915" t="s">
        <v>1733</v>
      </c>
      <c r="E915" t="s">
        <v>25</v>
      </c>
      <c r="F915" t="b">
        <v>0</v>
      </c>
      <c r="G915">
        <v>3</v>
      </c>
      <c r="H915" t="b">
        <v>0</v>
      </c>
      <c r="I915">
        <v>26</v>
      </c>
      <c r="J915" t="s">
        <v>44</v>
      </c>
      <c r="K915">
        <v>89</v>
      </c>
      <c r="L915">
        <v>68</v>
      </c>
      <c r="M915">
        <v>83</v>
      </c>
      <c r="N915">
        <v>88</v>
      </c>
      <c r="O915">
        <v>69</v>
      </c>
      <c r="P915">
        <v>79</v>
      </c>
      <c r="Q915">
        <v>74</v>
      </c>
      <c r="R915">
        <f>SUM(student_scores[[#This Row],[math_score]:[geography_score]])</f>
        <v>550</v>
      </c>
      <c r="S915" s="3">
        <f>student_scores[[#This Row],[Total_Score]]/7</f>
        <v>78.571428571428569</v>
      </c>
      <c r="T915" s="3" t="str" cm="1">
        <f t="array" ref="T915">_xlfn.IFS(student_scores[[#This Row],[weekly_self_study_hours]]&lt;=5,   "0 - 5", student_scores[[#This Row],[weekly_self_study_hours]]&lt;=10,  "6 - 10", student_scores[[#This Row],[weekly_self_study_hours]]&lt;=20,  "11 - 20",student_scores[[#This Row],[weekly_self_study_hours]]&lt;=30, "21 - 30",TRUE, "31+")</f>
        <v>21 - 30</v>
      </c>
      <c r="U915" t="str" cm="1">
        <f t="array" ref="U915">_xlfn.IFS(student_scores[[#This Row],[absence_days]]=0,"0", student_scores[[#This Row],[absence_days]]&lt;=3,"1-3", student_scores[[#This Row],[absence_days]]&lt;=6,"4-6", TRUE,"7-10")</f>
        <v>1-3</v>
      </c>
      <c r="V915" t="str">
        <f>IF(student_scores[[#This Row],[Total_Score]] &gt;= _xlfn.PERCENTILE.INC(student_scores[Total_Score], 0.8), "Yes", "No")</f>
        <v>No</v>
      </c>
    </row>
    <row r="916" spans="1:22" x14ac:dyDescent="0.35">
      <c r="A916">
        <v>915</v>
      </c>
      <c r="B916" t="s">
        <v>614</v>
      </c>
      <c r="C916" t="s">
        <v>600</v>
      </c>
      <c r="D916" t="s">
        <v>1734</v>
      </c>
      <c r="E916" t="s">
        <v>25</v>
      </c>
      <c r="F916" t="b">
        <v>1</v>
      </c>
      <c r="G916">
        <v>10</v>
      </c>
      <c r="H916" t="b">
        <v>0</v>
      </c>
      <c r="I916">
        <v>3</v>
      </c>
      <c r="J916" t="s">
        <v>64</v>
      </c>
      <c r="K916">
        <v>43</v>
      </c>
      <c r="L916">
        <v>83</v>
      </c>
      <c r="M916">
        <v>58</v>
      </c>
      <c r="N916">
        <v>89</v>
      </c>
      <c r="O916">
        <v>87</v>
      </c>
      <c r="P916">
        <v>78</v>
      </c>
      <c r="Q916">
        <v>86</v>
      </c>
      <c r="R916">
        <f>SUM(student_scores[[#This Row],[math_score]:[geography_score]])</f>
        <v>524</v>
      </c>
      <c r="S916" s="3">
        <f>student_scores[[#This Row],[Total_Score]]/7</f>
        <v>74.857142857142861</v>
      </c>
      <c r="T916" s="3" t="str" cm="1">
        <f t="array" ref="T916">_xlfn.IFS(student_scores[[#This Row],[weekly_self_study_hours]]&lt;=5,   "0 - 5", student_scores[[#This Row],[weekly_self_study_hours]]&lt;=10,  "6 - 10", student_scores[[#This Row],[weekly_self_study_hours]]&lt;=20,  "11 - 20",student_scores[[#This Row],[weekly_self_study_hours]]&lt;=30, "21 - 30",TRUE, "31+")</f>
        <v>0 - 5</v>
      </c>
      <c r="U916" t="str" cm="1">
        <f t="array" ref="U916">_xlfn.IFS(student_scores[[#This Row],[absence_days]]=0,"0", student_scores[[#This Row],[absence_days]]&lt;=3,"1-3", student_scores[[#This Row],[absence_days]]&lt;=6,"4-6", TRUE,"7-10")</f>
        <v>7-10</v>
      </c>
      <c r="V916" t="str">
        <f>IF(student_scores[[#This Row],[Total_Score]] &gt;= _xlfn.PERCENTILE.INC(student_scores[Total_Score], 0.8), "Yes", "No")</f>
        <v>No</v>
      </c>
    </row>
    <row r="917" spans="1:22" x14ac:dyDescent="0.35">
      <c r="A917">
        <v>916</v>
      </c>
      <c r="B917" t="s">
        <v>1735</v>
      </c>
      <c r="C917" t="s">
        <v>639</v>
      </c>
      <c r="D917" t="s">
        <v>1736</v>
      </c>
      <c r="E917" t="s">
        <v>25</v>
      </c>
      <c r="F917" t="b">
        <v>0</v>
      </c>
      <c r="G917">
        <v>1</v>
      </c>
      <c r="H917" t="b">
        <v>0</v>
      </c>
      <c r="I917">
        <v>31</v>
      </c>
      <c r="J917" t="s">
        <v>21</v>
      </c>
      <c r="K917">
        <v>86</v>
      </c>
      <c r="L917">
        <v>85</v>
      </c>
      <c r="M917">
        <v>66</v>
      </c>
      <c r="N917">
        <v>94</v>
      </c>
      <c r="O917">
        <v>62</v>
      </c>
      <c r="P917">
        <v>86</v>
      </c>
      <c r="Q917">
        <v>92</v>
      </c>
      <c r="R917">
        <f>SUM(student_scores[[#This Row],[math_score]:[geography_score]])</f>
        <v>571</v>
      </c>
      <c r="S917" s="3">
        <f>student_scores[[#This Row],[Total_Score]]/7</f>
        <v>81.571428571428569</v>
      </c>
      <c r="T917" s="3" t="str" cm="1">
        <f t="array" ref="T917">_xlfn.IFS(student_scores[[#This Row],[weekly_self_study_hours]]&lt;=5,   "0 - 5", student_scores[[#This Row],[weekly_self_study_hours]]&lt;=10,  "6 - 10", student_scores[[#This Row],[weekly_self_study_hours]]&lt;=20,  "11 - 20",student_scores[[#This Row],[weekly_self_study_hours]]&lt;=30, "21 - 30",TRUE, "31+")</f>
        <v>31+</v>
      </c>
      <c r="U917" t="str" cm="1">
        <f t="array" ref="U917">_xlfn.IFS(student_scores[[#This Row],[absence_days]]=0,"0", student_scores[[#This Row],[absence_days]]&lt;=3,"1-3", student_scores[[#This Row],[absence_days]]&lt;=6,"4-6", TRUE,"7-10")</f>
        <v>1-3</v>
      </c>
      <c r="V917" t="str">
        <f>IF(student_scores[[#This Row],[Total_Score]] &gt;= _xlfn.PERCENTILE.INC(student_scores[Total_Score], 0.8), "Yes", "No")</f>
        <v>No</v>
      </c>
    </row>
    <row r="918" spans="1:22" x14ac:dyDescent="0.35">
      <c r="A918">
        <v>917</v>
      </c>
      <c r="B918" t="s">
        <v>136</v>
      </c>
      <c r="C918" t="s">
        <v>756</v>
      </c>
      <c r="D918" t="s">
        <v>1737</v>
      </c>
      <c r="E918" t="s">
        <v>20</v>
      </c>
      <c r="F918" t="b">
        <v>0</v>
      </c>
      <c r="G918">
        <v>9</v>
      </c>
      <c r="H918" t="b">
        <v>0</v>
      </c>
      <c r="I918">
        <v>31</v>
      </c>
      <c r="J918" t="s">
        <v>76</v>
      </c>
      <c r="K918">
        <v>92</v>
      </c>
      <c r="L918">
        <v>74</v>
      </c>
      <c r="M918">
        <v>95</v>
      </c>
      <c r="N918">
        <v>97</v>
      </c>
      <c r="O918">
        <v>87</v>
      </c>
      <c r="P918">
        <v>78</v>
      </c>
      <c r="Q918">
        <v>68</v>
      </c>
      <c r="R918">
        <f>SUM(student_scores[[#This Row],[math_score]:[geography_score]])</f>
        <v>591</v>
      </c>
      <c r="S918" s="3">
        <f>student_scores[[#This Row],[Total_Score]]/7</f>
        <v>84.428571428571431</v>
      </c>
      <c r="T918" s="3" t="str" cm="1">
        <f t="array" ref="T918">_xlfn.IFS(student_scores[[#This Row],[weekly_self_study_hours]]&lt;=5,   "0 - 5", student_scores[[#This Row],[weekly_self_study_hours]]&lt;=10,  "6 - 10", student_scores[[#This Row],[weekly_self_study_hours]]&lt;=20,  "11 - 20",student_scores[[#This Row],[weekly_self_study_hours]]&lt;=30, "21 - 30",TRUE, "31+")</f>
        <v>31+</v>
      </c>
      <c r="U918" t="str" cm="1">
        <f t="array" ref="U918">_xlfn.IFS(student_scores[[#This Row],[absence_days]]=0,"0", student_scores[[#This Row],[absence_days]]&lt;=3,"1-3", student_scores[[#This Row],[absence_days]]&lt;=6,"4-6", TRUE,"7-10")</f>
        <v>7-10</v>
      </c>
      <c r="V918" t="str">
        <f>IF(student_scores[[#This Row],[Total_Score]] &gt;= _xlfn.PERCENTILE.INC(student_scores[Total_Score], 0.8), "Yes", "No")</f>
        <v>No</v>
      </c>
    </row>
    <row r="919" spans="1:22" x14ac:dyDescent="0.35">
      <c r="A919">
        <v>918</v>
      </c>
      <c r="B919" t="s">
        <v>1738</v>
      </c>
      <c r="C919" t="s">
        <v>1739</v>
      </c>
      <c r="D919" t="s">
        <v>1740</v>
      </c>
      <c r="E919" t="s">
        <v>20</v>
      </c>
      <c r="F919" t="b">
        <v>0</v>
      </c>
      <c r="G919">
        <v>3</v>
      </c>
      <c r="H919" t="b">
        <v>0</v>
      </c>
      <c r="I919">
        <v>3</v>
      </c>
      <c r="J919" t="s">
        <v>38</v>
      </c>
      <c r="K919">
        <v>71</v>
      </c>
      <c r="L919">
        <v>70</v>
      </c>
      <c r="M919">
        <v>60</v>
      </c>
      <c r="N919">
        <v>84</v>
      </c>
      <c r="O919">
        <v>87</v>
      </c>
      <c r="P919">
        <v>87</v>
      </c>
      <c r="Q919">
        <v>64</v>
      </c>
      <c r="R919">
        <f>SUM(student_scores[[#This Row],[math_score]:[geography_score]])</f>
        <v>523</v>
      </c>
      <c r="S919" s="3">
        <f>student_scores[[#This Row],[Total_Score]]/7</f>
        <v>74.714285714285708</v>
      </c>
      <c r="T919" s="3" t="str" cm="1">
        <f t="array" ref="T919">_xlfn.IFS(student_scores[[#This Row],[weekly_self_study_hours]]&lt;=5,   "0 - 5", student_scores[[#This Row],[weekly_self_study_hours]]&lt;=10,  "6 - 10", student_scores[[#This Row],[weekly_self_study_hours]]&lt;=20,  "11 - 20",student_scores[[#This Row],[weekly_self_study_hours]]&lt;=30, "21 - 30",TRUE, "31+")</f>
        <v>0 - 5</v>
      </c>
      <c r="U919" t="str" cm="1">
        <f t="array" ref="U919">_xlfn.IFS(student_scores[[#This Row],[absence_days]]=0,"0", student_scores[[#This Row],[absence_days]]&lt;=3,"1-3", student_scores[[#This Row],[absence_days]]&lt;=6,"4-6", TRUE,"7-10")</f>
        <v>1-3</v>
      </c>
      <c r="V919" t="str">
        <f>IF(student_scores[[#This Row],[Total_Score]] &gt;= _xlfn.PERCENTILE.INC(student_scores[Total_Score], 0.8), "Yes", "No")</f>
        <v>No</v>
      </c>
    </row>
    <row r="920" spans="1:22" x14ac:dyDescent="0.35">
      <c r="A920">
        <v>919</v>
      </c>
      <c r="B920" t="s">
        <v>1741</v>
      </c>
      <c r="C920" t="s">
        <v>403</v>
      </c>
      <c r="D920" t="s">
        <v>1742</v>
      </c>
      <c r="E920" t="s">
        <v>25</v>
      </c>
      <c r="F920" t="b">
        <v>0</v>
      </c>
      <c r="G920">
        <v>8</v>
      </c>
      <c r="H920" t="b">
        <v>0</v>
      </c>
      <c r="I920">
        <v>16</v>
      </c>
      <c r="J920" t="s">
        <v>44</v>
      </c>
      <c r="K920">
        <v>92</v>
      </c>
      <c r="L920">
        <v>81</v>
      </c>
      <c r="M920">
        <v>71</v>
      </c>
      <c r="N920">
        <v>97</v>
      </c>
      <c r="O920">
        <v>96</v>
      </c>
      <c r="P920">
        <v>72</v>
      </c>
      <c r="Q920">
        <v>63</v>
      </c>
      <c r="R920">
        <f>SUM(student_scores[[#This Row],[math_score]:[geography_score]])</f>
        <v>572</v>
      </c>
      <c r="S920" s="3">
        <f>student_scores[[#This Row],[Total_Score]]/7</f>
        <v>81.714285714285708</v>
      </c>
      <c r="T920" s="3" t="str" cm="1">
        <f t="array" ref="T920">_xlfn.IFS(student_scores[[#This Row],[weekly_self_study_hours]]&lt;=5,   "0 - 5", student_scores[[#This Row],[weekly_self_study_hours]]&lt;=10,  "6 - 10", student_scores[[#This Row],[weekly_self_study_hours]]&lt;=20,  "11 - 20",student_scores[[#This Row],[weekly_self_study_hours]]&lt;=30, "21 - 30",TRUE, "31+")</f>
        <v>11 - 20</v>
      </c>
      <c r="U920" t="str" cm="1">
        <f t="array" ref="U920">_xlfn.IFS(student_scores[[#This Row],[absence_days]]=0,"0", student_scores[[#This Row],[absence_days]]&lt;=3,"1-3", student_scores[[#This Row],[absence_days]]&lt;=6,"4-6", TRUE,"7-10")</f>
        <v>7-10</v>
      </c>
      <c r="V920" t="str">
        <f>IF(student_scores[[#This Row],[Total_Score]] &gt;= _xlfn.PERCENTILE.INC(student_scores[Total_Score], 0.8), "Yes", "No")</f>
        <v>No</v>
      </c>
    </row>
    <row r="921" spans="1:22" x14ac:dyDescent="0.35">
      <c r="A921">
        <v>920</v>
      </c>
      <c r="B921" t="s">
        <v>139</v>
      </c>
      <c r="C921" t="s">
        <v>1743</v>
      </c>
      <c r="D921" t="s">
        <v>1744</v>
      </c>
      <c r="E921" t="s">
        <v>20</v>
      </c>
      <c r="F921" t="b">
        <v>0</v>
      </c>
      <c r="G921">
        <v>5</v>
      </c>
      <c r="H921" t="b">
        <v>0</v>
      </c>
      <c r="I921">
        <v>29</v>
      </c>
      <c r="J921" t="s">
        <v>21</v>
      </c>
      <c r="K921">
        <v>77</v>
      </c>
      <c r="L921">
        <v>92</v>
      </c>
      <c r="M921">
        <v>65</v>
      </c>
      <c r="N921">
        <v>62</v>
      </c>
      <c r="O921">
        <v>76</v>
      </c>
      <c r="P921">
        <v>84</v>
      </c>
      <c r="Q921">
        <v>100</v>
      </c>
      <c r="R921">
        <f>SUM(student_scores[[#This Row],[math_score]:[geography_score]])</f>
        <v>556</v>
      </c>
      <c r="S921" s="3">
        <f>student_scores[[#This Row],[Total_Score]]/7</f>
        <v>79.428571428571431</v>
      </c>
      <c r="T921" s="3" t="str" cm="1">
        <f t="array" ref="T921">_xlfn.IFS(student_scores[[#This Row],[weekly_self_study_hours]]&lt;=5,   "0 - 5", student_scores[[#This Row],[weekly_self_study_hours]]&lt;=10,  "6 - 10", student_scores[[#This Row],[weekly_self_study_hours]]&lt;=20,  "11 - 20",student_scores[[#This Row],[weekly_self_study_hours]]&lt;=30, "21 - 30",TRUE, "31+")</f>
        <v>21 - 30</v>
      </c>
      <c r="U921" t="str" cm="1">
        <f t="array" ref="U921">_xlfn.IFS(student_scores[[#This Row],[absence_days]]=0,"0", student_scores[[#This Row],[absence_days]]&lt;=3,"1-3", student_scores[[#This Row],[absence_days]]&lt;=6,"4-6", TRUE,"7-10")</f>
        <v>4-6</v>
      </c>
      <c r="V921" t="str">
        <f>IF(student_scores[[#This Row],[Total_Score]] &gt;= _xlfn.PERCENTILE.INC(student_scores[Total_Score], 0.8), "Yes", "No")</f>
        <v>No</v>
      </c>
    </row>
    <row r="922" spans="1:22" x14ac:dyDescent="0.35">
      <c r="A922">
        <v>921</v>
      </c>
      <c r="B922" t="s">
        <v>413</v>
      </c>
      <c r="C922" t="s">
        <v>295</v>
      </c>
      <c r="D922" t="s">
        <v>1745</v>
      </c>
      <c r="E922" t="s">
        <v>20</v>
      </c>
      <c r="F922" t="b">
        <v>0</v>
      </c>
      <c r="G922">
        <v>4</v>
      </c>
      <c r="H922" t="b">
        <v>0</v>
      </c>
      <c r="I922">
        <v>31</v>
      </c>
      <c r="J922" t="s">
        <v>44</v>
      </c>
      <c r="K922">
        <v>90</v>
      </c>
      <c r="L922">
        <v>62</v>
      </c>
      <c r="M922">
        <v>87</v>
      </c>
      <c r="N922">
        <v>63</v>
      </c>
      <c r="O922">
        <v>77</v>
      </c>
      <c r="P922">
        <v>71</v>
      </c>
      <c r="Q922">
        <v>68</v>
      </c>
      <c r="R922">
        <f>SUM(student_scores[[#This Row],[math_score]:[geography_score]])</f>
        <v>518</v>
      </c>
      <c r="S922" s="3">
        <f>student_scores[[#This Row],[Total_Score]]/7</f>
        <v>74</v>
      </c>
      <c r="T922" s="3" t="str" cm="1">
        <f t="array" ref="T922">_xlfn.IFS(student_scores[[#This Row],[weekly_self_study_hours]]&lt;=5,   "0 - 5", student_scores[[#This Row],[weekly_self_study_hours]]&lt;=10,  "6 - 10", student_scores[[#This Row],[weekly_self_study_hours]]&lt;=20,  "11 - 20",student_scores[[#This Row],[weekly_self_study_hours]]&lt;=30, "21 - 30",TRUE, "31+")</f>
        <v>31+</v>
      </c>
      <c r="U922" t="str" cm="1">
        <f t="array" ref="U922">_xlfn.IFS(student_scores[[#This Row],[absence_days]]=0,"0", student_scores[[#This Row],[absence_days]]&lt;=3,"1-3", student_scores[[#This Row],[absence_days]]&lt;=6,"4-6", TRUE,"7-10")</f>
        <v>4-6</v>
      </c>
      <c r="V922" t="str">
        <f>IF(student_scores[[#This Row],[Total_Score]] &gt;= _xlfn.PERCENTILE.INC(student_scores[Total_Score], 0.8), "Yes", "No")</f>
        <v>No</v>
      </c>
    </row>
    <row r="923" spans="1:22" x14ac:dyDescent="0.35">
      <c r="A923">
        <v>922</v>
      </c>
      <c r="B923" t="s">
        <v>473</v>
      </c>
      <c r="C923" t="s">
        <v>642</v>
      </c>
      <c r="D923" t="s">
        <v>1746</v>
      </c>
      <c r="E923" t="s">
        <v>20</v>
      </c>
      <c r="F923" t="b">
        <v>0</v>
      </c>
      <c r="G923">
        <v>1</v>
      </c>
      <c r="H923" t="b">
        <v>0</v>
      </c>
      <c r="I923">
        <v>46</v>
      </c>
      <c r="J923" t="s">
        <v>26</v>
      </c>
      <c r="K923">
        <v>91</v>
      </c>
      <c r="L923">
        <v>85</v>
      </c>
      <c r="M923">
        <v>98</v>
      </c>
      <c r="N923">
        <v>96</v>
      </c>
      <c r="O923">
        <v>98</v>
      </c>
      <c r="P923">
        <v>96</v>
      </c>
      <c r="Q923">
        <v>93</v>
      </c>
      <c r="R923">
        <f>SUM(student_scores[[#This Row],[math_score]:[geography_score]])</f>
        <v>657</v>
      </c>
      <c r="S923" s="3">
        <f>student_scores[[#This Row],[Total_Score]]/7</f>
        <v>93.857142857142861</v>
      </c>
      <c r="T923" s="3" t="str" cm="1">
        <f t="array" ref="T923">_xlfn.IFS(student_scores[[#This Row],[weekly_self_study_hours]]&lt;=5,   "0 - 5", student_scores[[#This Row],[weekly_self_study_hours]]&lt;=10,  "6 - 10", student_scores[[#This Row],[weekly_self_study_hours]]&lt;=20,  "11 - 20",student_scores[[#This Row],[weekly_self_study_hours]]&lt;=30, "21 - 30",TRUE, "31+")</f>
        <v>31+</v>
      </c>
      <c r="U923" t="str" cm="1">
        <f t="array" ref="U923">_xlfn.IFS(student_scores[[#This Row],[absence_days]]=0,"0", student_scores[[#This Row],[absence_days]]&lt;=3,"1-3", student_scores[[#This Row],[absence_days]]&lt;=6,"4-6", TRUE,"7-10")</f>
        <v>1-3</v>
      </c>
      <c r="V923" t="str">
        <f>IF(student_scores[[#This Row],[Total_Score]] &gt;= _xlfn.PERCENTILE.INC(student_scores[Total_Score], 0.8), "Yes", "No")</f>
        <v>Yes</v>
      </c>
    </row>
    <row r="924" spans="1:22" x14ac:dyDescent="0.35">
      <c r="A924">
        <v>923</v>
      </c>
      <c r="B924" t="s">
        <v>1747</v>
      </c>
      <c r="C924" t="s">
        <v>1360</v>
      </c>
      <c r="D924" t="s">
        <v>1748</v>
      </c>
      <c r="E924" t="s">
        <v>25</v>
      </c>
      <c r="F924" t="b">
        <v>0</v>
      </c>
      <c r="G924">
        <v>1</v>
      </c>
      <c r="H924" t="b">
        <v>0</v>
      </c>
      <c r="I924">
        <v>24</v>
      </c>
      <c r="J924" t="s">
        <v>44</v>
      </c>
      <c r="K924">
        <v>88</v>
      </c>
      <c r="L924">
        <v>72</v>
      </c>
      <c r="M924">
        <v>96</v>
      </c>
      <c r="N924">
        <v>97</v>
      </c>
      <c r="O924">
        <v>71</v>
      </c>
      <c r="P924">
        <v>60</v>
      </c>
      <c r="Q924">
        <v>61</v>
      </c>
      <c r="R924">
        <f>SUM(student_scores[[#This Row],[math_score]:[geography_score]])</f>
        <v>545</v>
      </c>
      <c r="S924" s="3">
        <f>student_scores[[#This Row],[Total_Score]]/7</f>
        <v>77.857142857142861</v>
      </c>
      <c r="T924" s="3" t="str" cm="1">
        <f t="array" ref="T924">_xlfn.IFS(student_scores[[#This Row],[weekly_self_study_hours]]&lt;=5,   "0 - 5", student_scores[[#This Row],[weekly_self_study_hours]]&lt;=10,  "6 - 10", student_scores[[#This Row],[weekly_self_study_hours]]&lt;=20,  "11 - 20",student_scores[[#This Row],[weekly_self_study_hours]]&lt;=30, "21 - 30",TRUE, "31+")</f>
        <v>21 - 30</v>
      </c>
      <c r="U924" t="str" cm="1">
        <f t="array" ref="U924">_xlfn.IFS(student_scores[[#This Row],[absence_days]]=0,"0", student_scores[[#This Row],[absence_days]]&lt;=3,"1-3", student_scores[[#This Row],[absence_days]]&lt;=6,"4-6", TRUE,"7-10")</f>
        <v>1-3</v>
      </c>
      <c r="V924" t="str">
        <f>IF(student_scores[[#This Row],[Total_Score]] &gt;= _xlfn.PERCENTILE.INC(student_scores[Total_Score], 0.8), "Yes", "No")</f>
        <v>No</v>
      </c>
    </row>
    <row r="925" spans="1:22" x14ac:dyDescent="0.35">
      <c r="A925">
        <v>924</v>
      </c>
      <c r="B925" t="s">
        <v>1447</v>
      </c>
      <c r="C925" t="s">
        <v>586</v>
      </c>
      <c r="D925" t="s">
        <v>1749</v>
      </c>
      <c r="E925" t="s">
        <v>25</v>
      </c>
      <c r="F925" t="b">
        <v>0</v>
      </c>
      <c r="G925">
        <v>2</v>
      </c>
      <c r="H925" t="b">
        <v>0</v>
      </c>
      <c r="I925">
        <v>2</v>
      </c>
      <c r="J925" t="s">
        <v>224</v>
      </c>
      <c r="K925">
        <v>98</v>
      </c>
      <c r="L925">
        <v>73</v>
      </c>
      <c r="M925">
        <v>85</v>
      </c>
      <c r="N925">
        <v>78</v>
      </c>
      <c r="O925">
        <v>61</v>
      </c>
      <c r="P925">
        <v>74</v>
      </c>
      <c r="Q925">
        <v>96</v>
      </c>
      <c r="R925">
        <f>SUM(student_scores[[#This Row],[math_score]:[geography_score]])</f>
        <v>565</v>
      </c>
      <c r="S925" s="3">
        <f>student_scores[[#This Row],[Total_Score]]/7</f>
        <v>80.714285714285708</v>
      </c>
      <c r="T925" s="3" t="str" cm="1">
        <f t="array" ref="T925">_xlfn.IFS(student_scores[[#This Row],[weekly_self_study_hours]]&lt;=5,   "0 - 5", student_scores[[#This Row],[weekly_self_study_hours]]&lt;=10,  "6 - 10", student_scores[[#This Row],[weekly_self_study_hours]]&lt;=20,  "11 - 20",student_scores[[#This Row],[weekly_self_study_hours]]&lt;=30, "21 - 30",TRUE, "31+")</f>
        <v>0 - 5</v>
      </c>
      <c r="U925" t="str" cm="1">
        <f t="array" ref="U925">_xlfn.IFS(student_scores[[#This Row],[absence_days]]=0,"0", student_scores[[#This Row],[absence_days]]&lt;=3,"1-3", student_scores[[#This Row],[absence_days]]&lt;=6,"4-6", TRUE,"7-10")</f>
        <v>1-3</v>
      </c>
      <c r="V925" t="str">
        <f>IF(student_scores[[#This Row],[Total_Score]] &gt;= _xlfn.PERCENTILE.INC(student_scores[Total_Score], 0.8), "Yes", "No")</f>
        <v>No</v>
      </c>
    </row>
    <row r="926" spans="1:22" x14ac:dyDescent="0.35">
      <c r="A926">
        <v>925</v>
      </c>
      <c r="B926" t="s">
        <v>160</v>
      </c>
      <c r="C926" t="s">
        <v>231</v>
      </c>
      <c r="D926" t="s">
        <v>1750</v>
      </c>
      <c r="E926" t="s">
        <v>20</v>
      </c>
      <c r="F926" t="b">
        <v>1</v>
      </c>
      <c r="G926">
        <v>10</v>
      </c>
      <c r="H926" t="b">
        <v>0</v>
      </c>
      <c r="I926">
        <v>2</v>
      </c>
      <c r="J926" t="s">
        <v>64</v>
      </c>
      <c r="K926">
        <v>87</v>
      </c>
      <c r="L926">
        <v>60</v>
      </c>
      <c r="M926">
        <v>67</v>
      </c>
      <c r="N926">
        <v>88</v>
      </c>
      <c r="O926">
        <v>99</v>
      </c>
      <c r="P926">
        <v>56</v>
      </c>
      <c r="Q926">
        <v>92</v>
      </c>
      <c r="R926">
        <f>SUM(student_scores[[#This Row],[math_score]:[geography_score]])</f>
        <v>549</v>
      </c>
      <c r="S926" s="3">
        <f>student_scores[[#This Row],[Total_Score]]/7</f>
        <v>78.428571428571431</v>
      </c>
      <c r="T926" s="3" t="str" cm="1">
        <f t="array" ref="T926">_xlfn.IFS(student_scores[[#This Row],[weekly_self_study_hours]]&lt;=5,   "0 - 5", student_scores[[#This Row],[weekly_self_study_hours]]&lt;=10,  "6 - 10", student_scores[[#This Row],[weekly_self_study_hours]]&lt;=20,  "11 - 20",student_scores[[#This Row],[weekly_self_study_hours]]&lt;=30, "21 - 30",TRUE, "31+")</f>
        <v>0 - 5</v>
      </c>
      <c r="U926" t="str" cm="1">
        <f t="array" ref="U926">_xlfn.IFS(student_scores[[#This Row],[absence_days]]=0,"0", student_scores[[#This Row],[absence_days]]&lt;=3,"1-3", student_scores[[#This Row],[absence_days]]&lt;=6,"4-6", TRUE,"7-10")</f>
        <v>7-10</v>
      </c>
      <c r="V926" t="str">
        <f>IF(student_scores[[#This Row],[Total_Score]] &gt;= _xlfn.PERCENTILE.INC(student_scores[Total_Score], 0.8), "Yes", "No")</f>
        <v>No</v>
      </c>
    </row>
    <row r="927" spans="1:22" x14ac:dyDescent="0.35">
      <c r="A927">
        <v>926</v>
      </c>
      <c r="B927" t="s">
        <v>845</v>
      </c>
      <c r="C927" t="s">
        <v>346</v>
      </c>
      <c r="D927" t="s">
        <v>1751</v>
      </c>
      <c r="E927" t="s">
        <v>25</v>
      </c>
      <c r="F927" t="b">
        <v>0</v>
      </c>
      <c r="G927">
        <v>3</v>
      </c>
      <c r="H927" t="b">
        <v>0</v>
      </c>
      <c r="I927">
        <v>9</v>
      </c>
      <c r="J927" t="s">
        <v>54</v>
      </c>
      <c r="K927">
        <v>66</v>
      </c>
      <c r="L927">
        <v>64</v>
      </c>
      <c r="M927">
        <v>82</v>
      </c>
      <c r="N927">
        <v>82</v>
      </c>
      <c r="O927">
        <v>72</v>
      </c>
      <c r="P927">
        <v>96</v>
      </c>
      <c r="Q927">
        <v>100</v>
      </c>
      <c r="R927">
        <f>SUM(student_scores[[#This Row],[math_score]:[geography_score]])</f>
        <v>562</v>
      </c>
      <c r="S927" s="3">
        <f>student_scores[[#This Row],[Total_Score]]/7</f>
        <v>80.285714285714292</v>
      </c>
      <c r="T927" s="3" t="str" cm="1">
        <f t="array" ref="T927">_xlfn.IFS(student_scores[[#This Row],[weekly_self_study_hours]]&lt;=5,   "0 - 5", student_scores[[#This Row],[weekly_self_study_hours]]&lt;=10,  "6 - 10", student_scores[[#This Row],[weekly_self_study_hours]]&lt;=20,  "11 - 20",student_scores[[#This Row],[weekly_self_study_hours]]&lt;=30, "21 - 30",TRUE, "31+")</f>
        <v>6 - 10</v>
      </c>
      <c r="U927" t="str" cm="1">
        <f t="array" ref="U927">_xlfn.IFS(student_scores[[#This Row],[absence_days]]=0,"0", student_scores[[#This Row],[absence_days]]&lt;=3,"1-3", student_scores[[#This Row],[absence_days]]&lt;=6,"4-6", TRUE,"7-10")</f>
        <v>1-3</v>
      </c>
      <c r="V927" t="str">
        <f>IF(student_scores[[#This Row],[Total_Score]] &gt;= _xlfn.PERCENTILE.INC(student_scores[Total_Score], 0.8), "Yes", "No")</f>
        <v>No</v>
      </c>
    </row>
    <row r="928" spans="1:22" x14ac:dyDescent="0.35">
      <c r="A928">
        <v>927</v>
      </c>
      <c r="B928" t="s">
        <v>369</v>
      </c>
      <c r="C928" t="s">
        <v>246</v>
      </c>
      <c r="D928" t="s">
        <v>1752</v>
      </c>
      <c r="E928" t="s">
        <v>25</v>
      </c>
      <c r="F928" t="b">
        <v>1</v>
      </c>
      <c r="G928">
        <v>7</v>
      </c>
      <c r="H928" t="b">
        <v>0</v>
      </c>
      <c r="I928">
        <v>0</v>
      </c>
      <c r="J928" t="s">
        <v>64</v>
      </c>
      <c r="K928">
        <v>83</v>
      </c>
      <c r="L928">
        <v>98</v>
      </c>
      <c r="M928">
        <v>51</v>
      </c>
      <c r="N928">
        <v>72</v>
      </c>
      <c r="O928">
        <v>90</v>
      </c>
      <c r="P928">
        <v>59</v>
      </c>
      <c r="Q928">
        <v>73</v>
      </c>
      <c r="R928">
        <f>SUM(student_scores[[#This Row],[math_score]:[geography_score]])</f>
        <v>526</v>
      </c>
      <c r="S928" s="3">
        <f>student_scores[[#This Row],[Total_Score]]/7</f>
        <v>75.142857142857139</v>
      </c>
      <c r="T928" s="3" t="str" cm="1">
        <f t="array" ref="T928">_xlfn.IFS(student_scores[[#This Row],[weekly_self_study_hours]]&lt;=5,   "0 - 5", student_scores[[#This Row],[weekly_self_study_hours]]&lt;=10,  "6 - 10", student_scores[[#This Row],[weekly_self_study_hours]]&lt;=20,  "11 - 20",student_scores[[#This Row],[weekly_self_study_hours]]&lt;=30, "21 - 30",TRUE, "31+")</f>
        <v>0 - 5</v>
      </c>
      <c r="U928" t="str" cm="1">
        <f t="array" ref="U928">_xlfn.IFS(student_scores[[#This Row],[absence_days]]=0,"0", student_scores[[#This Row],[absence_days]]&lt;=3,"1-3", student_scores[[#This Row],[absence_days]]&lt;=6,"4-6", TRUE,"7-10")</f>
        <v>7-10</v>
      </c>
      <c r="V928" t="str">
        <f>IF(student_scores[[#This Row],[Total_Score]] &gt;= _xlfn.PERCENTILE.INC(student_scores[Total_Score], 0.8), "Yes", "No")</f>
        <v>No</v>
      </c>
    </row>
    <row r="929" spans="1:22" x14ac:dyDescent="0.35">
      <c r="A929">
        <v>928</v>
      </c>
      <c r="B929" t="s">
        <v>263</v>
      </c>
      <c r="C929" t="s">
        <v>594</v>
      </c>
      <c r="D929" t="s">
        <v>1753</v>
      </c>
      <c r="E929" t="s">
        <v>20</v>
      </c>
      <c r="F929" t="b">
        <v>0</v>
      </c>
      <c r="G929">
        <v>8</v>
      </c>
      <c r="H929" t="b">
        <v>0</v>
      </c>
      <c r="I929">
        <v>4</v>
      </c>
      <c r="J929" t="s">
        <v>64</v>
      </c>
      <c r="K929">
        <v>40</v>
      </c>
      <c r="L929">
        <v>94</v>
      </c>
      <c r="M929">
        <v>90</v>
      </c>
      <c r="N929">
        <v>68</v>
      </c>
      <c r="O929">
        <v>61</v>
      </c>
      <c r="P929">
        <v>77</v>
      </c>
      <c r="Q929">
        <v>92</v>
      </c>
      <c r="R929">
        <f>SUM(student_scores[[#This Row],[math_score]:[geography_score]])</f>
        <v>522</v>
      </c>
      <c r="S929" s="3">
        <f>student_scores[[#This Row],[Total_Score]]/7</f>
        <v>74.571428571428569</v>
      </c>
      <c r="T929" s="3" t="str" cm="1">
        <f t="array" ref="T929">_xlfn.IFS(student_scores[[#This Row],[weekly_self_study_hours]]&lt;=5,   "0 - 5", student_scores[[#This Row],[weekly_self_study_hours]]&lt;=10,  "6 - 10", student_scores[[#This Row],[weekly_self_study_hours]]&lt;=20,  "11 - 20",student_scores[[#This Row],[weekly_self_study_hours]]&lt;=30, "21 - 30",TRUE, "31+")</f>
        <v>0 - 5</v>
      </c>
      <c r="U929" t="str" cm="1">
        <f t="array" ref="U929">_xlfn.IFS(student_scores[[#This Row],[absence_days]]=0,"0", student_scores[[#This Row],[absence_days]]&lt;=3,"1-3", student_scores[[#This Row],[absence_days]]&lt;=6,"4-6", TRUE,"7-10")</f>
        <v>7-10</v>
      </c>
      <c r="V929" t="str">
        <f>IF(student_scores[[#This Row],[Total_Score]] &gt;= _xlfn.PERCENTILE.INC(student_scores[Total_Score], 0.8), "Yes", "No")</f>
        <v>No</v>
      </c>
    </row>
    <row r="930" spans="1:22" x14ac:dyDescent="0.35">
      <c r="A930">
        <v>929</v>
      </c>
      <c r="B930" t="s">
        <v>913</v>
      </c>
      <c r="C930" t="s">
        <v>225</v>
      </c>
      <c r="D930" t="s">
        <v>1754</v>
      </c>
      <c r="E930" t="s">
        <v>25</v>
      </c>
      <c r="F930" t="b">
        <v>0</v>
      </c>
      <c r="G930">
        <v>6</v>
      </c>
      <c r="H930" t="b">
        <v>0</v>
      </c>
      <c r="I930">
        <v>4</v>
      </c>
      <c r="J930" t="s">
        <v>64</v>
      </c>
      <c r="K930">
        <v>43</v>
      </c>
      <c r="L930">
        <v>90</v>
      </c>
      <c r="M930">
        <v>78</v>
      </c>
      <c r="N930">
        <v>63</v>
      </c>
      <c r="O930">
        <v>68</v>
      </c>
      <c r="P930">
        <v>63</v>
      </c>
      <c r="Q930">
        <v>72</v>
      </c>
      <c r="R930">
        <f>SUM(student_scores[[#This Row],[math_score]:[geography_score]])</f>
        <v>477</v>
      </c>
      <c r="S930" s="3">
        <f>student_scores[[#This Row],[Total_Score]]/7</f>
        <v>68.142857142857139</v>
      </c>
      <c r="T930" s="3" t="str" cm="1">
        <f t="array" ref="T930">_xlfn.IFS(student_scores[[#This Row],[weekly_self_study_hours]]&lt;=5,   "0 - 5", student_scores[[#This Row],[weekly_self_study_hours]]&lt;=10,  "6 - 10", student_scores[[#This Row],[weekly_self_study_hours]]&lt;=20,  "11 - 20",student_scores[[#This Row],[weekly_self_study_hours]]&lt;=30, "21 - 30",TRUE, "31+")</f>
        <v>0 - 5</v>
      </c>
      <c r="U930" t="str" cm="1">
        <f t="array" ref="U930">_xlfn.IFS(student_scores[[#This Row],[absence_days]]=0,"0", student_scores[[#This Row],[absence_days]]&lt;=3,"1-3", student_scores[[#This Row],[absence_days]]&lt;=6,"4-6", TRUE,"7-10")</f>
        <v>4-6</v>
      </c>
      <c r="V930" t="str">
        <f>IF(student_scores[[#This Row],[Total_Score]] &gt;= _xlfn.PERCENTILE.INC(student_scores[Total_Score], 0.8), "Yes", "No")</f>
        <v>No</v>
      </c>
    </row>
    <row r="931" spans="1:22" x14ac:dyDescent="0.35">
      <c r="A931">
        <v>930</v>
      </c>
      <c r="B931" t="s">
        <v>1589</v>
      </c>
      <c r="C931" t="s">
        <v>1755</v>
      </c>
      <c r="D931" t="s">
        <v>1756</v>
      </c>
      <c r="E931" t="s">
        <v>20</v>
      </c>
      <c r="F931" t="b">
        <v>0</v>
      </c>
      <c r="G931">
        <v>4</v>
      </c>
      <c r="H931" t="b">
        <v>0</v>
      </c>
      <c r="I931">
        <v>34</v>
      </c>
      <c r="J931" t="s">
        <v>44</v>
      </c>
      <c r="K931">
        <v>100</v>
      </c>
      <c r="L931">
        <v>97</v>
      </c>
      <c r="M931">
        <v>74</v>
      </c>
      <c r="N931">
        <v>74</v>
      </c>
      <c r="O931">
        <v>82</v>
      </c>
      <c r="P931">
        <v>75</v>
      </c>
      <c r="Q931">
        <v>69</v>
      </c>
      <c r="R931">
        <f>SUM(student_scores[[#This Row],[math_score]:[geography_score]])</f>
        <v>571</v>
      </c>
      <c r="S931" s="3">
        <f>student_scores[[#This Row],[Total_Score]]/7</f>
        <v>81.571428571428569</v>
      </c>
      <c r="T931" s="3" t="str" cm="1">
        <f t="array" ref="T931">_xlfn.IFS(student_scores[[#This Row],[weekly_self_study_hours]]&lt;=5,   "0 - 5", student_scores[[#This Row],[weekly_self_study_hours]]&lt;=10,  "6 - 10", student_scores[[#This Row],[weekly_self_study_hours]]&lt;=20,  "11 - 20",student_scores[[#This Row],[weekly_self_study_hours]]&lt;=30, "21 - 30",TRUE, "31+")</f>
        <v>31+</v>
      </c>
      <c r="U931" t="str" cm="1">
        <f t="array" ref="U931">_xlfn.IFS(student_scores[[#This Row],[absence_days]]=0,"0", student_scores[[#This Row],[absence_days]]&lt;=3,"1-3", student_scores[[#This Row],[absence_days]]&lt;=6,"4-6", TRUE,"7-10")</f>
        <v>4-6</v>
      </c>
      <c r="V931" t="str">
        <f>IF(student_scores[[#This Row],[Total_Score]] &gt;= _xlfn.PERCENTILE.INC(student_scores[Total_Score], 0.8), "Yes", "No")</f>
        <v>No</v>
      </c>
    </row>
    <row r="932" spans="1:22" x14ac:dyDescent="0.35">
      <c r="A932">
        <v>931</v>
      </c>
      <c r="B932" t="s">
        <v>124</v>
      </c>
      <c r="C932" t="s">
        <v>1032</v>
      </c>
      <c r="D932" t="s">
        <v>1757</v>
      </c>
      <c r="E932" t="s">
        <v>20</v>
      </c>
      <c r="F932" t="b">
        <v>0</v>
      </c>
      <c r="G932">
        <v>2</v>
      </c>
      <c r="H932" t="b">
        <v>0</v>
      </c>
      <c r="I932">
        <v>34</v>
      </c>
      <c r="J932" t="s">
        <v>38</v>
      </c>
      <c r="K932">
        <v>93</v>
      </c>
      <c r="L932">
        <v>70</v>
      </c>
      <c r="M932">
        <v>74</v>
      </c>
      <c r="N932">
        <v>78</v>
      </c>
      <c r="O932">
        <v>94</v>
      </c>
      <c r="P932">
        <v>75</v>
      </c>
      <c r="Q932">
        <v>96</v>
      </c>
      <c r="R932">
        <f>SUM(student_scores[[#This Row],[math_score]:[geography_score]])</f>
        <v>580</v>
      </c>
      <c r="S932" s="3">
        <f>student_scores[[#This Row],[Total_Score]]/7</f>
        <v>82.857142857142861</v>
      </c>
      <c r="T932" s="3" t="str" cm="1">
        <f t="array" ref="T932">_xlfn.IFS(student_scores[[#This Row],[weekly_self_study_hours]]&lt;=5,   "0 - 5", student_scores[[#This Row],[weekly_self_study_hours]]&lt;=10,  "6 - 10", student_scores[[#This Row],[weekly_self_study_hours]]&lt;=20,  "11 - 20",student_scores[[#This Row],[weekly_self_study_hours]]&lt;=30, "21 - 30",TRUE, "31+")</f>
        <v>31+</v>
      </c>
      <c r="U932" t="str" cm="1">
        <f t="array" ref="U932">_xlfn.IFS(student_scores[[#This Row],[absence_days]]=0,"0", student_scores[[#This Row],[absence_days]]&lt;=3,"1-3", student_scores[[#This Row],[absence_days]]&lt;=6,"4-6", TRUE,"7-10")</f>
        <v>1-3</v>
      </c>
      <c r="V932" t="str">
        <f>IF(student_scores[[#This Row],[Total_Score]] &gt;= _xlfn.PERCENTILE.INC(student_scores[Total_Score], 0.8), "Yes", "No")</f>
        <v>No</v>
      </c>
    </row>
    <row r="933" spans="1:22" x14ac:dyDescent="0.35">
      <c r="A933">
        <v>932</v>
      </c>
      <c r="B933" t="s">
        <v>139</v>
      </c>
      <c r="C933" t="s">
        <v>1550</v>
      </c>
      <c r="D933" t="s">
        <v>1758</v>
      </c>
      <c r="E933" t="s">
        <v>20</v>
      </c>
      <c r="F933" t="b">
        <v>0</v>
      </c>
      <c r="G933">
        <v>5</v>
      </c>
      <c r="H933" t="b">
        <v>0</v>
      </c>
      <c r="I933">
        <v>32</v>
      </c>
      <c r="J933" t="s">
        <v>44</v>
      </c>
      <c r="K933">
        <v>98</v>
      </c>
      <c r="L933">
        <v>86</v>
      </c>
      <c r="M933">
        <v>82</v>
      </c>
      <c r="N933">
        <v>72</v>
      </c>
      <c r="O933">
        <v>79</v>
      </c>
      <c r="P933">
        <v>93</v>
      </c>
      <c r="Q933">
        <v>94</v>
      </c>
      <c r="R933">
        <f>SUM(student_scores[[#This Row],[math_score]:[geography_score]])</f>
        <v>604</v>
      </c>
      <c r="S933" s="3">
        <f>student_scores[[#This Row],[Total_Score]]/7</f>
        <v>86.285714285714292</v>
      </c>
      <c r="T933" s="3" t="str" cm="1">
        <f t="array" ref="T933">_xlfn.IFS(student_scores[[#This Row],[weekly_self_study_hours]]&lt;=5,   "0 - 5", student_scores[[#This Row],[weekly_self_study_hours]]&lt;=10,  "6 - 10", student_scores[[#This Row],[weekly_self_study_hours]]&lt;=20,  "11 - 20",student_scores[[#This Row],[weekly_self_study_hours]]&lt;=30, "21 - 30",TRUE, "31+")</f>
        <v>31+</v>
      </c>
      <c r="U933" t="str" cm="1">
        <f t="array" ref="U933">_xlfn.IFS(student_scores[[#This Row],[absence_days]]=0,"0", student_scores[[#This Row],[absence_days]]&lt;=3,"1-3", student_scores[[#This Row],[absence_days]]&lt;=6,"4-6", TRUE,"7-10")</f>
        <v>4-6</v>
      </c>
      <c r="V933" t="str">
        <f>IF(student_scores[[#This Row],[Total_Score]] &gt;= _xlfn.PERCENTILE.INC(student_scores[Total_Score], 0.8), "Yes", "No")</f>
        <v>Yes</v>
      </c>
    </row>
    <row r="934" spans="1:22" x14ac:dyDescent="0.35">
      <c r="A934">
        <v>933</v>
      </c>
      <c r="B934" t="s">
        <v>493</v>
      </c>
      <c r="C934" t="s">
        <v>742</v>
      </c>
      <c r="D934" t="s">
        <v>1759</v>
      </c>
      <c r="E934" t="s">
        <v>25</v>
      </c>
      <c r="F934" t="b">
        <v>1</v>
      </c>
      <c r="G934">
        <v>4</v>
      </c>
      <c r="H934" t="b">
        <v>0</v>
      </c>
      <c r="I934">
        <v>23</v>
      </c>
      <c r="J934" t="s">
        <v>44</v>
      </c>
      <c r="K934">
        <v>90</v>
      </c>
      <c r="L934">
        <v>95</v>
      </c>
      <c r="M934">
        <v>73</v>
      </c>
      <c r="N934">
        <v>81</v>
      </c>
      <c r="O934">
        <v>81</v>
      </c>
      <c r="P934">
        <v>62</v>
      </c>
      <c r="Q934">
        <v>81</v>
      </c>
      <c r="R934">
        <f>SUM(student_scores[[#This Row],[math_score]:[geography_score]])</f>
        <v>563</v>
      </c>
      <c r="S934" s="3">
        <f>student_scores[[#This Row],[Total_Score]]/7</f>
        <v>80.428571428571431</v>
      </c>
      <c r="T934" s="3" t="str" cm="1">
        <f t="array" ref="T934">_xlfn.IFS(student_scores[[#This Row],[weekly_self_study_hours]]&lt;=5,   "0 - 5", student_scores[[#This Row],[weekly_self_study_hours]]&lt;=10,  "6 - 10", student_scores[[#This Row],[weekly_self_study_hours]]&lt;=20,  "11 - 20",student_scores[[#This Row],[weekly_self_study_hours]]&lt;=30, "21 - 30",TRUE, "31+")</f>
        <v>21 - 30</v>
      </c>
      <c r="U934" t="str" cm="1">
        <f t="array" ref="U934">_xlfn.IFS(student_scores[[#This Row],[absence_days]]=0,"0", student_scores[[#This Row],[absence_days]]&lt;=3,"1-3", student_scores[[#This Row],[absence_days]]&lt;=6,"4-6", TRUE,"7-10")</f>
        <v>4-6</v>
      </c>
      <c r="V934" t="str">
        <f>IF(student_scores[[#This Row],[Total_Score]] &gt;= _xlfn.PERCENTILE.INC(student_scores[Total_Score], 0.8), "Yes", "No")</f>
        <v>No</v>
      </c>
    </row>
    <row r="935" spans="1:22" x14ac:dyDescent="0.35">
      <c r="A935">
        <v>934</v>
      </c>
      <c r="B935" t="s">
        <v>300</v>
      </c>
      <c r="C935" t="s">
        <v>934</v>
      </c>
      <c r="D935" t="s">
        <v>1760</v>
      </c>
      <c r="E935" t="s">
        <v>20</v>
      </c>
      <c r="F935" t="b">
        <v>0</v>
      </c>
      <c r="G935">
        <v>2</v>
      </c>
      <c r="H935" t="b">
        <v>1</v>
      </c>
      <c r="I935">
        <v>20</v>
      </c>
      <c r="J935" t="s">
        <v>44</v>
      </c>
      <c r="K935">
        <v>90</v>
      </c>
      <c r="L935">
        <v>77</v>
      </c>
      <c r="M935">
        <v>86</v>
      </c>
      <c r="N935">
        <v>91</v>
      </c>
      <c r="O935">
        <v>76</v>
      </c>
      <c r="P935">
        <v>78</v>
      </c>
      <c r="Q935">
        <v>62</v>
      </c>
      <c r="R935">
        <f>SUM(student_scores[[#This Row],[math_score]:[geography_score]])</f>
        <v>560</v>
      </c>
      <c r="S935" s="3">
        <f>student_scores[[#This Row],[Total_Score]]/7</f>
        <v>80</v>
      </c>
      <c r="T935" s="3" t="str" cm="1">
        <f t="array" ref="T935">_xlfn.IFS(student_scores[[#This Row],[weekly_self_study_hours]]&lt;=5,   "0 - 5", student_scores[[#This Row],[weekly_self_study_hours]]&lt;=10,  "6 - 10", student_scores[[#This Row],[weekly_self_study_hours]]&lt;=20,  "11 - 20",student_scores[[#This Row],[weekly_self_study_hours]]&lt;=30, "21 - 30",TRUE, "31+")</f>
        <v>11 - 20</v>
      </c>
      <c r="U935" t="str" cm="1">
        <f t="array" ref="U935">_xlfn.IFS(student_scores[[#This Row],[absence_days]]=0,"0", student_scores[[#This Row],[absence_days]]&lt;=3,"1-3", student_scores[[#This Row],[absence_days]]&lt;=6,"4-6", TRUE,"7-10")</f>
        <v>1-3</v>
      </c>
      <c r="V935" t="str">
        <f>IF(student_scores[[#This Row],[Total_Score]] &gt;= _xlfn.PERCENTILE.INC(student_scores[Total_Score], 0.8), "Yes", "No")</f>
        <v>No</v>
      </c>
    </row>
    <row r="936" spans="1:22" x14ac:dyDescent="0.35">
      <c r="A936">
        <v>935</v>
      </c>
      <c r="B936" t="s">
        <v>517</v>
      </c>
      <c r="C936" t="s">
        <v>1068</v>
      </c>
      <c r="D936" t="s">
        <v>1761</v>
      </c>
      <c r="E936" t="s">
        <v>25</v>
      </c>
      <c r="F936" t="b">
        <v>0</v>
      </c>
      <c r="G936">
        <v>1</v>
      </c>
      <c r="H936" t="b">
        <v>0</v>
      </c>
      <c r="I936">
        <v>5</v>
      </c>
      <c r="J936" t="s">
        <v>34</v>
      </c>
      <c r="K936">
        <v>68</v>
      </c>
      <c r="L936">
        <v>67</v>
      </c>
      <c r="M936">
        <v>65</v>
      </c>
      <c r="N936">
        <v>68</v>
      </c>
      <c r="O936">
        <v>63</v>
      </c>
      <c r="P936">
        <v>97</v>
      </c>
      <c r="Q936">
        <v>63</v>
      </c>
      <c r="R936">
        <f>SUM(student_scores[[#This Row],[math_score]:[geography_score]])</f>
        <v>491</v>
      </c>
      <c r="S936" s="3">
        <f>student_scores[[#This Row],[Total_Score]]/7</f>
        <v>70.142857142857139</v>
      </c>
      <c r="T936" s="3" t="str" cm="1">
        <f t="array" ref="T936">_xlfn.IFS(student_scores[[#This Row],[weekly_self_study_hours]]&lt;=5,   "0 - 5", student_scores[[#This Row],[weekly_self_study_hours]]&lt;=10,  "6 - 10", student_scores[[#This Row],[weekly_self_study_hours]]&lt;=20,  "11 - 20",student_scores[[#This Row],[weekly_self_study_hours]]&lt;=30, "21 - 30",TRUE, "31+")</f>
        <v>0 - 5</v>
      </c>
      <c r="U936" t="str" cm="1">
        <f t="array" ref="U936">_xlfn.IFS(student_scores[[#This Row],[absence_days]]=0,"0", student_scores[[#This Row],[absence_days]]&lt;=3,"1-3", student_scores[[#This Row],[absence_days]]&lt;=6,"4-6", TRUE,"7-10")</f>
        <v>1-3</v>
      </c>
      <c r="V936" t="str">
        <f>IF(student_scores[[#This Row],[Total_Score]] &gt;= _xlfn.PERCENTILE.INC(student_scores[Total_Score], 0.8), "Yes", "No")</f>
        <v>No</v>
      </c>
    </row>
    <row r="937" spans="1:22" x14ac:dyDescent="0.35">
      <c r="A937">
        <v>936</v>
      </c>
      <c r="B937" t="s">
        <v>388</v>
      </c>
      <c r="C937" t="s">
        <v>671</v>
      </c>
      <c r="D937" t="s">
        <v>1762</v>
      </c>
      <c r="E937" t="s">
        <v>25</v>
      </c>
      <c r="F937" t="b">
        <v>0</v>
      </c>
      <c r="G937">
        <v>5</v>
      </c>
      <c r="H937" t="b">
        <v>1</v>
      </c>
      <c r="I937">
        <v>15</v>
      </c>
      <c r="J937" t="s">
        <v>44</v>
      </c>
      <c r="K937">
        <v>91</v>
      </c>
      <c r="L937">
        <v>60</v>
      </c>
      <c r="M937">
        <v>98</v>
      </c>
      <c r="N937">
        <v>77</v>
      </c>
      <c r="O937">
        <v>72</v>
      </c>
      <c r="P937">
        <v>74</v>
      </c>
      <c r="Q937">
        <v>63</v>
      </c>
      <c r="R937">
        <f>SUM(student_scores[[#This Row],[math_score]:[geography_score]])</f>
        <v>535</v>
      </c>
      <c r="S937" s="3">
        <f>student_scores[[#This Row],[Total_Score]]/7</f>
        <v>76.428571428571431</v>
      </c>
      <c r="T937" s="3" t="str" cm="1">
        <f t="array" ref="T937">_xlfn.IFS(student_scores[[#This Row],[weekly_self_study_hours]]&lt;=5,   "0 - 5", student_scores[[#This Row],[weekly_self_study_hours]]&lt;=10,  "6 - 10", student_scores[[#This Row],[weekly_self_study_hours]]&lt;=20,  "11 - 20",student_scores[[#This Row],[weekly_self_study_hours]]&lt;=30, "21 - 30",TRUE, "31+")</f>
        <v>11 - 20</v>
      </c>
      <c r="U937" t="str" cm="1">
        <f t="array" ref="U937">_xlfn.IFS(student_scores[[#This Row],[absence_days]]=0,"0", student_scores[[#This Row],[absence_days]]&lt;=3,"1-3", student_scores[[#This Row],[absence_days]]&lt;=6,"4-6", TRUE,"7-10")</f>
        <v>4-6</v>
      </c>
      <c r="V937" t="str">
        <f>IF(student_scores[[#This Row],[Total_Score]] &gt;= _xlfn.PERCENTILE.INC(student_scores[Total_Score], 0.8), "Yes", "No")</f>
        <v>No</v>
      </c>
    </row>
    <row r="938" spans="1:22" x14ac:dyDescent="0.35">
      <c r="A938">
        <v>937</v>
      </c>
      <c r="B938" t="s">
        <v>1763</v>
      </c>
      <c r="C938" t="s">
        <v>934</v>
      </c>
      <c r="D938" t="s">
        <v>1764</v>
      </c>
      <c r="E938" t="s">
        <v>20</v>
      </c>
      <c r="F938" t="b">
        <v>0</v>
      </c>
      <c r="G938">
        <v>3</v>
      </c>
      <c r="H938" t="b">
        <v>0</v>
      </c>
      <c r="I938">
        <v>21</v>
      </c>
      <c r="J938" t="s">
        <v>123</v>
      </c>
      <c r="K938">
        <v>87</v>
      </c>
      <c r="L938">
        <v>74</v>
      </c>
      <c r="M938">
        <v>92</v>
      </c>
      <c r="N938">
        <v>67</v>
      </c>
      <c r="O938">
        <v>85</v>
      </c>
      <c r="P938">
        <v>63</v>
      </c>
      <c r="Q938">
        <v>87</v>
      </c>
      <c r="R938">
        <f>SUM(student_scores[[#This Row],[math_score]:[geography_score]])</f>
        <v>555</v>
      </c>
      <c r="S938" s="3">
        <f>student_scores[[#This Row],[Total_Score]]/7</f>
        <v>79.285714285714292</v>
      </c>
      <c r="T938" s="3" t="str" cm="1">
        <f t="array" ref="T938">_xlfn.IFS(student_scores[[#This Row],[weekly_self_study_hours]]&lt;=5,   "0 - 5", student_scores[[#This Row],[weekly_self_study_hours]]&lt;=10,  "6 - 10", student_scores[[#This Row],[weekly_self_study_hours]]&lt;=20,  "11 - 20",student_scores[[#This Row],[weekly_self_study_hours]]&lt;=30, "21 - 30",TRUE, "31+")</f>
        <v>21 - 30</v>
      </c>
      <c r="U938" t="str" cm="1">
        <f t="array" ref="U938">_xlfn.IFS(student_scores[[#This Row],[absence_days]]=0,"0", student_scores[[#This Row],[absence_days]]&lt;=3,"1-3", student_scores[[#This Row],[absence_days]]&lt;=6,"4-6", TRUE,"7-10")</f>
        <v>1-3</v>
      </c>
      <c r="V938" t="str">
        <f>IF(student_scores[[#This Row],[Total_Score]] &gt;= _xlfn.PERCENTILE.INC(student_scores[Total_Score], 0.8), "Yes", "No")</f>
        <v>No</v>
      </c>
    </row>
    <row r="939" spans="1:22" x14ac:dyDescent="0.35">
      <c r="A939">
        <v>938</v>
      </c>
      <c r="B939" t="s">
        <v>280</v>
      </c>
      <c r="C939" t="s">
        <v>39</v>
      </c>
      <c r="D939" t="s">
        <v>1765</v>
      </c>
      <c r="E939" t="s">
        <v>20</v>
      </c>
      <c r="F939" t="b">
        <v>0</v>
      </c>
      <c r="G939">
        <v>1</v>
      </c>
      <c r="H939" t="b">
        <v>0</v>
      </c>
      <c r="I939">
        <v>30</v>
      </c>
      <c r="J939" t="s">
        <v>44</v>
      </c>
      <c r="K939">
        <v>91</v>
      </c>
      <c r="L939">
        <v>90</v>
      </c>
      <c r="M939">
        <v>88</v>
      </c>
      <c r="N939">
        <v>92</v>
      </c>
      <c r="O939">
        <v>75</v>
      </c>
      <c r="P939">
        <v>98</v>
      </c>
      <c r="Q939">
        <v>91</v>
      </c>
      <c r="R939">
        <f>SUM(student_scores[[#This Row],[math_score]:[geography_score]])</f>
        <v>625</v>
      </c>
      <c r="S939" s="3">
        <f>student_scores[[#This Row],[Total_Score]]/7</f>
        <v>89.285714285714292</v>
      </c>
      <c r="T939" s="3" t="str" cm="1">
        <f t="array" ref="T939">_xlfn.IFS(student_scores[[#This Row],[weekly_self_study_hours]]&lt;=5,   "0 - 5", student_scores[[#This Row],[weekly_self_study_hours]]&lt;=10,  "6 - 10", student_scores[[#This Row],[weekly_self_study_hours]]&lt;=20,  "11 - 20",student_scores[[#This Row],[weekly_self_study_hours]]&lt;=30, "21 - 30",TRUE, "31+")</f>
        <v>21 - 30</v>
      </c>
      <c r="U939" t="str" cm="1">
        <f t="array" ref="U939">_xlfn.IFS(student_scores[[#This Row],[absence_days]]=0,"0", student_scores[[#This Row],[absence_days]]&lt;=3,"1-3", student_scores[[#This Row],[absence_days]]&lt;=6,"4-6", TRUE,"7-10")</f>
        <v>1-3</v>
      </c>
      <c r="V939" t="str">
        <f>IF(student_scores[[#This Row],[Total_Score]] &gt;= _xlfn.PERCENTILE.INC(student_scores[Total_Score], 0.8), "Yes", "No")</f>
        <v>Yes</v>
      </c>
    </row>
    <row r="940" spans="1:22" x14ac:dyDescent="0.35">
      <c r="A940">
        <v>939</v>
      </c>
      <c r="B940" t="s">
        <v>1766</v>
      </c>
      <c r="C940" t="s">
        <v>1767</v>
      </c>
      <c r="D940" t="s">
        <v>1768</v>
      </c>
      <c r="E940" t="s">
        <v>20</v>
      </c>
      <c r="F940" t="b">
        <v>0</v>
      </c>
      <c r="G940">
        <v>3</v>
      </c>
      <c r="H940" t="b">
        <v>1</v>
      </c>
      <c r="I940">
        <v>15</v>
      </c>
      <c r="J940" t="s">
        <v>113</v>
      </c>
      <c r="K940">
        <v>98</v>
      </c>
      <c r="L940">
        <v>72</v>
      </c>
      <c r="M940">
        <v>87</v>
      </c>
      <c r="N940">
        <v>74</v>
      </c>
      <c r="O940">
        <v>100</v>
      </c>
      <c r="P940">
        <v>84</v>
      </c>
      <c r="Q940">
        <v>85</v>
      </c>
      <c r="R940">
        <f>SUM(student_scores[[#This Row],[math_score]:[geography_score]])</f>
        <v>600</v>
      </c>
      <c r="S940" s="3">
        <f>student_scores[[#This Row],[Total_Score]]/7</f>
        <v>85.714285714285708</v>
      </c>
      <c r="T940" s="3" t="str" cm="1">
        <f t="array" ref="T940">_xlfn.IFS(student_scores[[#This Row],[weekly_self_study_hours]]&lt;=5,   "0 - 5", student_scores[[#This Row],[weekly_self_study_hours]]&lt;=10,  "6 - 10", student_scores[[#This Row],[weekly_self_study_hours]]&lt;=20,  "11 - 20",student_scores[[#This Row],[weekly_self_study_hours]]&lt;=30, "21 - 30",TRUE, "31+")</f>
        <v>11 - 20</v>
      </c>
      <c r="U940" t="str" cm="1">
        <f t="array" ref="U940">_xlfn.IFS(student_scores[[#This Row],[absence_days]]=0,"0", student_scores[[#This Row],[absence_days]]&lt;=3,"1-3", student_scores[[#This Row],[absence_days]]&lt;=6,"4-6", TRUE,"7-10")</f>
        <v>1-3</v>
      </c>
      <c r="V940" t="str">
        <f>IF(student_scores[[#This Row],[Total_Score]] &gt;= _xlfn.PERCENTILE.INC(student_scores[Total_Score], 0.8), "Yes", "No")</f>
        <v>No</v>
      </c>
    </row>
    <row r="941" spans="1:22" x14ac:dyDescent="0.35">
      <c r="A941">
        <v>940</v>
      </c>
      <c r="B941" t="s">
        <v>840</v>
      </c>
      <c r="C941" t="s">
        <v>1769</v>
      </c>
      <c r="D941" t="s">
        <v>1770</v>
      </c>
      <c r="E941" t="s">
        <v>20</v>
      </c>
      <c r="F941" t="b">
        <v>0</v>
      </c>
      <c r="G941">
        <v>6</v>
      </c>
      <c r="H941" t="b">
        <v>1</v>
      </c>
      <c r="I941">
        <v>18</v>
      </c>
      <c r="J941" t="s">
        <v>105</v>
      </c>
      <c r="K941">
        <v>85</v>
      </c>
      <c r="L941">
        <v>74</v>
      </c>
      <c r="M941">
        <v>79</v>
      </c>
      <c r="N941">
        <v>82</v>
      </c>
      <c r="O941">
        <v>71</v>
      </c>
      <c r="P941">
        <v>87</v>
      </c>
      <c r="Q941">
        <v>67</v>
      </c>
      <c r="R941">
        <f>SUM(student_scores[[#This Row],[math_score]:[geography_score]])</f>
        <v>545</v>
      </c>
      <c r="S941" s="3">
        <f>student_scores[[#This Row],[Total_Score]]/7</f>
        <v>77.857142857142861</v>
      </c>
      <c r="T941" s="3" t="str" cm="1">
        <f t="array" ref="T941">_xlfn.IFS(student_scores[[#This Row],[weekly_self_study_hours]]&lt;=5,   "0 - 5", student_scores[[#This Row],[weekly_self_study_hours]]&lt;=10,  "6 - 10", student_scores[[#This Row],[weekly_self_study_hours]]&lt;=20,  "11 - 20",student_scores[[#This Row],[weekly_self_study_hours]]&lt;=30, "21 - 30",TRUE, "31+")</f>
        <v>11 - 20</v>
      </c>
      <c r="U941" t="str" cm="1">
        <f t="array" ref="U941">_xlfn.IFS(student_scores[[#This Row],[absence_days]]=0,"0", student_scores[[#This Row],[absence_days]]&lt;=3,"1-3", student_scores[[#This Row],[absence_days]]&lt;=6,"4-6", TRUE,"7-10")</f>
        <v>4-6</v>
      </c>
      <c r="V941" t="str">
        <f>IF(student_scores[[#This Row],[Total_Score]] &gt;= _xlfn.PERCENTILE.INC(student_scores[Total_Score], 0.8), "Yes", "No")</f>
        <v>No</v>
      </c>
    </row>
    <row r="942" spans="1:22" x14ac:dyDescent="0.35">
      <c r="A942">
        <v>941</v>
      </c>
      <c r="B942" t="s">
        <v>1057</v>
      </c>
      <c r="C942" t="s">
        <v>1771</v>
      </c>
      <c r="D942" t="s">
        <v>1772</v>
      </c>
      <c r="E942" t="s">
        <v>25</v>
      </c>
      <c r="F942" t="b">
        <v>1</v>
      </c>
      <c r="G942">
        <v>10</v>
      </c>
      <c r="H942" t="b">
        <v>0</v>
      </c>
      <c r="I942">
        <v>4</v>
      </c>
      <c r="J942" t="s">
        <v>64</v>
      </c>
      <c r="K942">
        <v>40</v>
      </c>
      <c r="L942">
        <v>97</v>
      </c>
      <c r="M942">
        <v>71</v>
      </c>
      <c r="N942">
        <v>70</v>
      </c>
      <c r="O942">
        <v>73</v>
      </c>
      <c r="P942">
        <v>81</v>
      </c>
      <c r="Q942">
        <v>85</v>
      </c>
      <c r="R942">
        <f>SUM(student_scores[[#This Row],[math_score]:[geography_score]])</f>
        <v>517</v>
      </c>
      <c r="S942" s="3">
        <f>student_scores[[#This Row],[Total_Score]]/7</f>
        <v>73.857142857142861</v>
      </c>
      <c r="T942" s="3" t="str" cm="1">
        <f t="array" ref="T942">_xlfn.IFS(student_scores[[#This Row],[weekly_self_study_hours]]&lt;=5,   "0 - 5", student_scores[[#This Row],[weekly_self_study_hours]]&lt;=10,  "6 - 10", student_scores[[#This Row],[weekly_self_study_hours]]&lt;=20,  "11 - 20",student_scores[[#This Row],[weekly_self_study_hours]]&lt;=30, "21 - 30",TRUE, "31+")</f>
        <v>0 - 5</v>
      </c>
      <c r="U942" t="str" cm="1">
        <f t="array" ref="U942">_xlfn.IFS(student_scores[[#This Row],[absence_days]]=0,"0", student_scores[[#This Row],[absence_days]]&lt;=3,"1-3", student_scores[[#This Row],[absence_days]]&lt;=6,"4-6", TRUE,"7-10")</f>
        <v>7-10</v>
      </c>
      <c r="V942" t="str">
        <f>IF(student_scores[[#This Row],[Total_Score]] &gt;= _xlfn.PERCENTILE.INC(student_scores[Total_Score], 0.8), "Yes", "No")</f>
        <v>No</v>
      </c>
    </row>
    <row r="943" spans="1:22" x14ac:dyDescent="0.35">
      <c r="A943">
        <v>942</v>
      </c>
      <c r="B943" t="s">
        <v>102</v>
      </c>
      <c r="C943" t="s">
        <v>682</v>
      </c>
      <c r="D943" t="s">
        <v>1773</v>
      </c>
      <c r="E943" t="s">
        <v>20</v>
      </c>
      <c r="F943" t="b">
        <v>0</v>
      </c>
      <c r="G943">
        <v>3</v>
      </c>
      <c r="H943" t="b">
        <v>0</v>
      </c>
      <c r="I943">
        <v>24</v>
      </c>
      <c r="J943" t="s">
        <v>113</v>
      </c>
      <c r="K943">
        <v>76</v>
      </c>
      <c r="L943">
        <v>75</v>
      </c>
      <c r="M943">
        <v>76</v>
      </c>
      <c r="N943">
        <v>67</v>
      </c>
      <c r="O943">
        <v>60</v>
      </c>
      <c r="P943">
        <v>77</v>
      </c>
      <c r="Q943">
        <v>100</v>
      </c>
      <c r="R943">
        <f>SUM(student_scores[[#This Row],[math_score]:[geography_score]])</f>
        <v>531</v>
      </c>
      <c r="S943" s="3">
        <f>student_scores[[#This Row],[Total_Score]]/7</f>
        <v>75.857142857142861</v>
      </c>
      <c r="T943" s="3" t="str" cm="1">
        <f t="array" ref="T943">_xlfn.IFS(student_scores[[#This Row],[weekly_self_study_hours]]&lt;=5,   "0 - 5", student_scores[[#This Row],[weekly_self_study_hours]]&lt;=10,  "6 - 10", student_scores[[#This Row],[weekly_self_study_hours]]&lt;=20,  "11 - 20",student_scores[[#This Row],[weekly_self_study_hours]]&lt;=30, "21 - 30",TRUE, "31+")</f>
        <v>21 - 30</v>
      </c>
      <c r="U943" t="str" cm="1">
        <f t="array" ref="U943">_xlfn.IFS(student_scores[[#This Row],[absence_days]]=0,"0", student_scores[[#This Row],[absence_days]]&lt;=3,"1-3", student_scores[[#This Row],[absence_days]]&lt;=6,"4-6", TRUE,"7-10")</f>
        <v>1-3</v>
      </c>
      <c r="V943" t="str">
        <f>IF(student_scores[[#This Row],[Total_Score]] &gt;= _xlfn.PERCENTILE.INC(student_scores[Total_Score], 0.8), "Yes", "No")</f>
        <v>No</v>
      </c>
    </row>
    <row r="944" spans="1:22" x14ac:dyDescent="0.35">
      <c r="A944">
        <v>943</v>
      </c>
      <c r="B944" t="s">
        <v>283</v>
      </c>
      <c r="C944" t="s">
        <v>98</v>
      </c>
      <c r="D944" t="s">
        <v>1774</v>
      </c>
      <c r="E944" t="s">
        <v>20</v>
      </c>
      <c r="F944" t="b">
        <v>0</v>
      </c>
      <c r="G944">
        <v>3</v>
      </c>
      <c r="H944" t="b">
        <v>0</v>
      </c>
      <c r="I944">
        <v>15</v>
      </c>
      <c r="J944" t="s">
        <v>105</v>
      </c>
      <c r="K944">
        <v>89</v>
      </c>
      <c r="L944">
        <v>76</v>
      </c>
      <c r="M944">
        <v>84</v>
      </c>
      <c r="N944">
        <v>93</v>
      </c>
      <c r="O944">
        <v>64</v>
      </c>
      <c r="P944">
        <v>86</v>
      </c>
      <c r="Q944">
        <v>95</v>
      </c>
      <c r="R944">
        <f>SUM(student_scores[[#This Row],[math_score]:[geography_score]])</f>
        <v>587</v>
      </c>
      <c r="S944" s="3">
        <f>student_scores[[#This Row],[Total_Score]]/7</f>
        <v>83.857142857142861</v>
      </c>
      <c r="T944" s="3" t="str" cm="1">
        <f t="array" ref="T944">_xlfn.IFS(student_scores[[#This Row],[weekly_self_study_hours]]&lt;=5,   "0 - 5", student_scores[[#This Row],[weekly_self_study_hours]]&lt;=10,  "6 - 10", student_scores[[#This Row],[weekly_self_study_hours]]&lt;=20,  "11 - 20",student_scores[[#This Row],[weekly_self_study_hours]]&lt;=30, "21 - 30",TRUE, "31+")</f>
        <v>11 - 20</v>
      </c>
      <c r="U944" t="str" cm="1">
        <f t="array" ref="U944">_xlfn.IFS(student_scores[[#This Row],[absence_days]]=0,"0", student_scores[[#This Row],[absence_days]]&lt;=3,"1-3", student_scores[[#This Row],[absence_days]]&lt;=6,"4-6", TRUE,"7-10")</f>
        <v>1-3</v>
      </c>
      <c r="V944" t="str">
        <f>IF(student_scores[[#This Row],[Total_Score]] &gt;= _xlfn.PERCENTILE.INC(student_scores[Total_Score], 0.8), "Yes", "No")</f>
        <v>No</v>
      </c>
    </row>
    <row r="945" spans="1:22" x14ac:dyDescent="0.35">
      <c r="A945">
        <v>944</v>
      </c>
      <c r="B945" t="s">
        <v>325</v>
      </c>
      <c r="C945" t="s">
        <v>281</v>
      </c>
      <c r="D945" t="s">
        <v>1775</v>
      </c>
      <c r="E945" t="s">
        <v>25</v>
      </c>
      <c r="F945" t="b">
        <v>0</v>
      </c>
      <c r="G945">
        <v>3</v>
      </c>
      <c r="H945" t="b">
        <v>0</v>
      </c>
      <c r="I945">
        <v>2</v>
      </c>
      <c r="J945" t="s">
        <v>34</v>
      </c>
      <c r="K945">
        <v>76</v>
      </c>
      <c r="L945">
        <v>73</v>
      </c>
      <c r="M945">
        <v>74</v>
      </c>
      <c r="N945">
        <v>73</v>
      </c>
      <c r="O945">
        <v>81</v>
      </c>
      <c r="P945">
        <v>87</v>
      </c>
      <c r="Q945">
        <v>84</v>
      </c>
      <c r="R945">
        <f>SUM(student_scores[[#This Row],[math_score]:[geography_score]])</f>
        <v>548</v>
      </c>
      <c r="S945" s="3">
        <f>student_scores[[#This Row],[Total_Score]]/7</f>
        <v>78.285714285714292</v>
      </c>
      <c r="T945" s="3" t="str" cm="1">
        <f t="array" ref="T945">_xlfn.IFS(student_scores[[#This Row],[weekly_self_study_hours]]&lt;=5,   "0 - 5", student_scores[[#This Row],[weekly_self_study_hours]]&lt;=10,  "6 - 10", student_scores[[#This Row],[weekly_self_study_hours]]&lt;=20,  "11 - 20",student_scores[[#This Row],[weekly_self_study_hours]]&lt;=30, "21 - 30",TRUE, "31+")</f>
        <v>0 - 5</v>
      </c>
      <c r="U945" t="str" cm="1">
        <f t="array" ref="U945">_xlfn.IFS(student_scores[[#This Row],[absence_days]]=0,"0", student_scores[[#This Row],[absence_days]]&lt;=3,"1-3", student_scores[[#This Row],[absence_days]]&lt;=6,"4-6", TRUE,"7-10")</f>
        <v>1-3</v>
      </c>
      <c r="V945" t="str">
        <f>IF(student_scores[[#This Row],[Total_Score]] &gt;= _xlfn.PERCENTILE.INC(student_scores[Total_Score], 0.8), "Yes", "No")</f>
        <v>No</v>
      </c>
    </row>
    <row r="946" spans="1:22" x14ac:dyDescent="0.35">
      <c r="A946">
        <v>945</v>
      </c>
      <c r="B946" t="s">
        <v>190</v>
      </c>
      <c r="C946" t="s">
        <v>589</v>
      </c>
      <c r="D946" t="s">
        <v>1776</v>
      </c>
      <c r="E946" t="s">
        <v>25</v>
      </c>
      <c r="F946" t="b">
        <v>0</v>
      </c>
      <c r="G946">
        <v>6</v>
      </c>
      <c r="H946" t="b">
        <v>0</v>
      </c>
      <c r="I946">
        <v>14</v>
      </c>
      <c r="J946" t="s">
        <v>44</v>
      </c>
      <c r="K946">
        <v>91</v>
      </c>
      <c r="L946">
        <v>61</v>
      </c>
      <c r="M946">
        <v>100</v>
      </c>
      <c r="N946">
        <v>88</v>
      </c>
      <c r="O946">
        <v>73</v>
      </c>
      <c r="P946">
        <v>84</v>
      </c>
      <c r="Q946">
        <v>100</v>
      </c>
      <c r="R946">
        <f>SUM(student_scores[[#This Row],[math_score]:[geography_score]])</f>
        <v>597</v>
      </c>
      <c r="S946" s="3">
        <f>student_scores[[#This Row],[Total_Score]]/7</f>
        <v>85.285714285714292</v>
      </c>
      <c r="T946" s="3" t="str" cm="1">
        <f t="array" ref="T946">_xlfn.IFS(student_scores[[#This Row],[weekly_self_study_hours]]&lt;=5,   "0 - 5", student_scores[[#This Row],[weekly_self_study_hours]]&lt;=10,  "6 - 10", student_scores[[#This Row],[weekly_self_study_hours]]&lt;=20,  "11 - 20",student_scores[[#This Row],[weekly_self_study_hours]]&lt;=30, "21 - 30",TRUE, "31+")</f>
        <v>11 - 20</v>
      </c>
      <c r="U946" t="str" cm="1">
        <f t="array" ref="U946">_xlfn.IFS(student_scores[[#This Row],[absence_days]]=0,"0", student_scores[[#This Row],[absence_days]]&lt;=3,"1-3", student_scores[[#This Row],[absence_days]]&lt;=6,"4-6", TRUE,"7-10")</f>
        <v>4-6</v>
      </c>
      <c r="V946" t="str">
        <f>IF(student_scores[[#This Row],[Total_Score]] &gt;= _xlfn.PERCENTILE.INC(student_scores[Total_Score], 0.8), "Yes", "No")</f>
        <v>No</v>
      </c>
    </row>
    <row r="947" spans="1:22" x14ac:dyDescent="0.35">
      <c r="A947">
        <v>946</v>
      </c>
      <c r="B947" t="s">
        <v>1007</v>
      </c>
      <c r="C947" t="s">
        <v>42</v>
      </c>
      <c r="D947" t="s">
        <v>1777</v>
      </c>
      <c r="E947" t="s">
        <v>20</v>
      </c>
      <c r="F947" t="b">
        <v>0</v>
      </c>
      <c r="G947">
        <v>1</v>
      </c>
      <c r="H947" t="b">
        <v>0</v>
      </c>
      <c r="I947">
        <v>5</v>
      </c>
      <c r="J947" t="s">
        <v>64</v>
      </c>
      <c r="K947">
        <v>55</v>
      </c>
      <c r="L947">
        <v>58</v>
      </c>
      <c r="M947">
        <v>96</v>
      </c>
      <c r="N947">
        <v>88</v>
      </c>
      <c r="O947">
        <v>99</v>
      </c>
      <c r="P947">
        <v>98</v>
      </c>
      <c r="Q947">
        <v>71</v>
      </c>
      <c r="R947">
        <f>SUM(student_scores[[#This Row],[math_score]:[geography_score]])</f>
        <v>565</v>
      </c>
      <c r="S947" s="3">
        <f>student_scores[[#This Row],[Total_Score]]/7</f>
        <v>80.714285714285708</v>
      </c>
      <c r="T947" s="3" t="str" cm="1">
        <f t="array" ref="T947">_xlfn.IFS(student_scores[[#This Row],[weekly_self_study_hours]]&lt;=5,   "0 - 5", student_scores[[#This Row],[weekly_self_study_hours]]&lt;=10,  "6 - 10", student_scores[[#This Row],[weekly_self_study_hours]]&lt;=20,  "11 - 20",student_scores[[#This Row],[weekly_self_study_hours]]&lt;=30, "21 - 30",TRUE, "31+")</f>
        <v>0 - 5</v>
      </c>
      <c r="U947" t="str" cm="1">
        <f t="array" ref="U947">_xlfn.IFS(student_scores[[#This Row],[absence_days]]=0,"0", student_scores[[#This Row],[absence_days]]&lt;=3,"1-3", student_scores[[#This Row],[absence_days]]&lt;=6,"4-6", TRUE,"7-10")</f>
        <v>1-3</v>
      </c>
      <c r="V947" t="str">
        <f>IF(student_scores[[#This Row],[Total_Score]] &gt;= _xlfn.PERCENTILE.INC(student_scores[Total_Score], 0.8), "Yes", "No")</f>
        <v>No</v>
      </c>
    </row>
    <row r="948" spans="1:22" x14ac:dyDescent="0.35">
      <c r="A948">
        <v>947</v>
      </c>
      <c r="B948" t="s">
        <v>593</v>
      </c>
      <c r="C948" t="s">
        <v>1778</v>
      </c>
      <c r="D948" t="s">
        <v>1779</v>
      </c>
      <c r="E948" t="s">
        <v>25</v>
      </c>
      <c r="F948" t="b">
        <v>0</v>
      </c>
      <c r="G948">
        <v>5</v>
      </c>
      <c r="H948" t="b">
        <v>0</v>
      </c>
      <c r="I948">
        <v>0</v>
      </c>
      <c r="J948" t="s">
        <v>224</v>
      </c>
      <c r="K948">
        <v>93</v>
      </c>
      <c r="L948">
        <v>88</v>
      </c>
      <c r="M948">
        <v>76</v>
      </c>
      <c r="N948">
        <v>73</v>
      </c>
      <c r="O948">
        <v>67</v>
      </c>
      <c r="P948">
        <v>88</v>
      </c>
      <c r="Q948">
        <v>76</v>
      </c>
      <c r="R948">
        <f>SUM(student_scores[[#This Row],[math_score]:[geography_score]])</f>
        <v>561</v>
      </c>
      <c r="S948" s="3">
        <f>student_scores[[#This Row],[Total_Score]]/7</f>
        <v>80.142857142857139</v>
      </c>
      <c r="T948" s="3" t="str" cm="1">
        <f t="array" ref="T948">_xlfn.IFS(student_scores[[#This Row],[weekly_self_study_hours]]&lt;=5,   "0 - 5", student_scores[[#This Row],[weekly_self_study_hours]]&lt;=10,  "6 - 10", student_scores[[#This Row],[weekly_self_study_hours]]&lt;=20,  "11 - 20",student_scores[[#This Row],[weekly_self_study_hours]]&lt;=30, "21 - 30",TRUE, "31+")</f>
        <v>0 - 5</v>
      </c>
      <c r="U948" t="str" cm="1">
        <f t="array" ref="U948">_xlfn.IFS(student_scores[[#This Row],[absence_days]]=0,"0", student_scores[[#This Row],[absence_days]]&lt;=3,"1-3", student_scores[[#This Row],[absence_days]]&lt;=6,"4-6", TRUE,"7-10")</f>
        <v>4-6</v>
      </c>
      <c r="V948" t="str">
        <f>IF(student_scores[[#This Row],[Total_Score]] &gt;= _xlfn.PERCENTILE.INC(student_scores[Total_Score], 0.8), "Yes", "No")</f>
        <v>No</v>
      </c>
    </row>
    <row r="949" spans="1:22" x14ac:dyDescent="0.35">
      <c r="A949">
        <v>948</v>
      </c>
      <c r="B949" t="s">
        <v>369</v>
      </c>
      <c r="C949" t="s">
        <v>1637</v>
      </c>
      <c r="D949" t="s">
        <v>1780</v>
      </c>
      <c r="E949" t="s">
        <v>25</v>
      </c>
      <c r="F949" t="b">
        <v>0</v>
      </c>
      <c r="G949">
        <v>1</v>
      </c>
      <c r="H949" t="b">
        <v>0</v>
      </c>
      <c r="I949">
        <v>10</v>
      </c>
      <c r="J949" t="s">
        <v>224</v>
      </c>
      <c r="K949">
        <v>84</v>
      </c>
      <c r="L949">
        <v>68</v>
      </c>
      <c r="M949">
        <v>60</v>
      </c>
      <c r="N949">
        <v>86</v>
      </c>
      <c r="O949">
        <v>90</v>
      </c>
      <c r="P949">
        <v>84</v>
      </c>
      <c r="Q949">
        <v>81</v>
      </c>
      <c r="R949">
        <f>SUM(student_scores[[#This Row],[math_score]:[geography_score]])</f>
        <v>553</v>
      </c>
      <c r="S949" s="3">
        <f>student_scores[[#This Row],[Total_Score]]/7</f>
        <v>79</v>
      </c>
      <c r="T949" s="3" t="str" cm="1">
        <f t="array" ref="T949">_xlfn.IFS(student_scores[[#This Row],[weekly_self_study_hours]]&lt;=5,   "0 - 5", student_scores[[#This Row],[weekly_self_study_hours]]&lt;=10,  "6 - 10", student_scores[[#This Row],[weekly_self_study_hours]]&lt;=20,  "11 - 20",student_scores[[#This Row],[weekly_self_study_hours]]&lt;=30, "21 - 30",TRUE, "31+")</f>
        <v>6 - 10</v>
      </c>
      <c r="U949" t="str" cm="1">
        <f t="array" ref="U949">_xlfn.IFS(student_scores[[#This Row],[absence_days]]=0,"0", student_scores[[#This Row],[absence_days]]&lt;=3,"1-3", student_scores[[#This Row],[absence_days]]&lt;=6,"4-6", TRUE,"7-10")</f>
        <v>1-3</v>
      </c>
      <c r="V949" t="str">
        <f>IF(student_scores[[#This Row],[Total_Score]] &gt;= _xlfn.PERCENTILE.INC(student_scores[Total_Score], 0.8), "Yes", "No")</f>
        <v>No</v>
      </c>
    </row>
    <row r="950" spans="1:22" x14ac:dyDescent="0.35">
      <c r="A950">
        <v>949</v>
      </c>
      <c r="B950" t="s">
        <v>315</v>
      </c>
      <c r="C950" t="s">
        <v>1781</v>
      </c>
      <c r="D950" t="s">
        <v>1782</v>
      </c>
      <c r="E950" t="s">
        <v>25</v>
      </c>
      <c r="F950" t="b">
        <v>1</v>
      </c>
      <c r="G950">
        <v>5</v>
      </c>
      <c r="H950" t="b">
        <v>0</v>
      </c>
      <c r="I950">
        <v>2</v>
      </c>
      <c r="J950" t="s">
        <v>64</v>
      </c>
      <c r="K950">
        <v>62</v>
      </c>
      <c r="L950">
        <v>65</v>
      </c>
      <c r="M950">
        <v>98</v>
      </c>
      <c r="N950">
        <v>52</v>
      </c>
      <c r="O950">
        <v>66</v>
      </c>
      <c r="P950">
        <v>94</v>
      </c>
      <c r="Q950">
        <v>82</v>
      </c>
      <c r="R950">
        <f>SUM(student_scores[[#This Row],[math_score]:[geography_score]])</f>
        <v>519</v>
      </c>
      <c r="S950" s="3">
        <f>student_scores[[#This Row],[Total_Score]]/7</f>
        <v>74.142857142857139</v>
      </c>
      <c r="T950" s="3" t="str" cm="1">
        <f t="array" ref="T950">_xlfn.IFS(student_scores[[#This Row],[weekly_self_study_hours]]&lt;=5,   "0 - 5", student_scores[[#This Row],[weekly_self_study_hours]]&lt;=10,  "6 - 10", student_scores[[#This Row],[weekly_self_study_hours]]&lt;=20,  "11 - 20",student_scores[[#This Row],[weekly_self_study_hours]]&lt;=30, "21 - 30",TRUE, "31+")</f>
        <v>0 - 5</v>
      </c>
      <c r="U950" t="str" cm="1">
        <f t="array" ref="U950">_xlfn.IFS(student_scores[[#This Row],[absence_days]]=0,"0", student_scores[[#This Row],[absence_days]]&lt;=3,"1-3", student_scores[[#This Row],[absence_days]]&lt;=6,"4-6", TRUE,"7-10")</f>
        <v>4-6</v>
      </c>
      <c r="V950" t="str">
        <f>IF(student_scores[[#This Row],[Total_Score]] &gt;= _xlfn.PERCENTILE.INC(student_scores[Total_Score], 0.8), "Yes", "No")</f>
        <v>No</v>
      </c>
    </row>
    <row r="951" spans="1:22" x14ac:dyDescent="0.35">
      <c r="A951">
        <v>950</v>
      </c>
      <c r="B951" t="s">
        <v>939</v>
      </c>
      <c r="C951" t="s">
        <v>1783</v>
      </c>
      <c r="D951" t="s">
        <v>1784</v>
      </c>
      <c r="E951" t="s">
        <v>20</v>
      </c>
      <c r="F951" t="b">
        <v>0</v>
      </c>
      <c r="G951">
        <v>3</v>
      </c>
      <c r="H951" t="b">
        <v>0</v>
      </c>
      <c r="I951">
        <v>30</v>
      </c>
      <c r="J951" t="s">
        <v>21</v>
      </c>
      <c r="K951">
        <v>80</v>
      </c>
      <c r="L951">
        <v>81</v>
      </c>
      <c r="M951">
        <v>75</v>
      </c>
      <c r="N951">
        <v>72</v>
      </c>
      <c r="O951">
        <v>71</v>
      </c>
      <c r="P951">
        <v>84</v>
      </c>
      <c r="Q951">
        <v>87</v>
      </c>
      <c r="R951">
        <f>SUM(student_scores[[#This Row],[math_score]:[geography_score]])</f>
        <v>550</v>
      </c>
      <c r="S951" s="3">
        <f>student_scores[[#This Row],[Total_Score]]/7</f>
        <v>78.571428571428569</v>
      </c>
      <c r="T951" s="3" t="str" cm="1">
        <f t="array" ref="T951">_xlfn.IFS(student_scores[[#This Row],[weekly_self_study_hours]]&lt;=5,   "0 - 5", student_scores[[#This Row],[weekly_self_study_hours]]&lt;=10,  "6 - 10", student_scores[[#This Row],[weekly_self_study_hours]]&lt;=20,  "11 - 20",student_scores[[#This Row],[weekly_self_study_hours]]&lt;=30, "21 - 30",TRUE, "31+")</f>
        <v>21 - 30</v>
      </c>
      <c r="U951" t="str" cm="1">
        <f t="array" ref="U951">_xlfn.IFS(student_scores[[#This Row],[absence_days]]=0,"0", student_scores[[#This Row],[absence_days]]&lt;=3,"1-3", student_scores[[#This Row],[absence_days]]&lt;=6,"4-6", TRUE,"7-10")</f>
        <v>1-3</v>
      </c>
      <c r="V951" t="str">
        <f>IF(student_scores[[#This Row],[Total_Score]] &gt;= _xlfn.PERCENTILE.INC(student_scores[Total_Score], 0.8), "Yes", "No")</f>
        <v>No</v>
      </c>
    </row>
    <row r="952" spans="1:22" x14ac:dyDescent="0.35">
      <c r="A952">
        <v>951</v>
      </c>
      <c r="B952" t="s">
        <v>22</v>
      </c>
      <c r="C952" t="s">
        <v>143</v>
      </c>
      <c r="D952" t="s">
        <v>1785</v>
      </c>
      <c r="E952" t="s">
        <v>25</v>
      </c>
      <c r="F952" t="b">
        <v>0</v>
      </c>
      <c r="G952">
        <v>7</v>
      </c>
      <c r="H952" t="b">
        <v>0</v>
      </c>
      <c r="I952">
        <v>28</v>
      </c>
      <c r="J952" t="s">
        <v>26</v>
      </c>
      <c r="K952">
        <v>93</v>
      </c>
      <c r="L952">
        <v>84</v>
      </c>
      <c r="M952">
        <v>85</v>
      </c>
      <c r="N952">
        <v>94</v>
      </c>
      <c r="O952">
        <v>95</v>
      </c>
      <c r="P952">
        <v>74</v>
      </c>
      <c r="Q952">
        <v>83</v>
      </c>
      <c r="R952">
        <f>SUM(student_scores[[#This Row],[math_score]:[geography_score]])</f>
        <v>608</v>
      </c>
      <c r="S952" s="3">
        <f>student_scores[[#This Row],[Total_Score]]/7</f>
        <v>86.857142857142861</v>
      </c>
      <c r="T952" s="3" t="str" cm="1">
        <f t="array" ref="T952">_xlfn.IFS(student_scores[[#This Row],[weekly_self_study_hours]]&lt;=5,   "0 - 5", student_scores[[#This Row],[weekly_self_study_hours]]&lt;=10,  "6 - 10", student_scores[[#This Row],[weekly_self_study_hours]]&lt;=20,  "11 - 20",student_scores[[#This Row],[weekly_self_study_hours]]&lt;=30, "21 - 30",TRUE, "31+")</f>
        <v>21 - 30</v>
      </c>
      <c r="U952" t="str" cm="1">
        <f t="array" ref="U952">_xlfn.IFS(student_scores[[#This Row],[absence_days]]=0,"0", student_scores[[#This Row],[absence_days]]&lt;=3,"1-3", student_scores[[#This Row],[absence_days]]&lt;=6,"4-6", TRUE,"7-10")</f>
        <v>7-10</v>
      </c>
      <c r="V952" t="str">
        <f>IF(student_scores[[#This Row],[Total_Score]] &gt;= _xlfn.PERCENTILE.INC(student_scores[Total_Score], 0.8), "Yes", "No")</f>
        <v>Yes</v>
      </c>
    </row>
    <row r="953" spans="1:22" x14ac:dyDescent="0.35">
      <c r="A953">
        <v>952</v>
      </c>
      <c r="B953" t="s">
        <v>240</v>
      </c>
      <c r="C953" t="s">
        <v>1786</v>
      </c>
      <c r="D953" t="s">
        <v>1787</v>
      </c>
      <c r="E953" t="s">
        <v>25</v>
      </c>
      <c r="F953" t="b">
        <v>0</v>
      </c>
      <c r="G953">
        <v>0</v>
      </c>
      <c r="H953" t="b">
        <v>1</v>
      </c>
      <c r="I953">
        <v>29</v>
      </c>
      <c r="J953" t="s">
        <v>21</v>
      </c>
      <c r="K953">
        <v>92</v>
      </c>
      <c r="L953">
        <v>82</v>
      </c>
      <c r="M953">
        <v>63</v>
      </c>
      <c r="N953">
        <v>61</v>
      </c>
      <c r="O953">
        <v>66</v>
      </c>
      <c r="P953">
        <v>84</v>
      </c>
      <c r="Q953">
        <v>98</v>
      </c>
      <c r="R953">
        <f>SUM(student_scores[[#This Row],[math_score]:[geography_score]])</f>
        <v>546</v>
      </c>
      <c r="S953" s="3">
        <f>student_scores[[#This Row],[Total_Score]]/7</f>
        <v>78</v>
      </c>
      <c r="T953" s="3" t="str" cm="1">
        <f t="array" ref="T953">_xlfn.IFS(student_scores[[#This Row],[weekly_self_study_hours]]&lt;=5,   "0 - 5", student_scores[[#This Row],[weekly_self_study_hours]]&lt;=10,  "6 - 10", student_scores[[#This Row],[weekly_self_study_hours]]&lt;=20,  "11 - 20",student_scores[[#This Row],[weekly_self_study_hours]]&lt;=30, "21 - 30",TRUE, "31+")</f>
        <v>21 - 30</v>
      </c>
      <c r="U953" t="str" cm="1">
        <f t="array" ref="U953">_xlfn.IFS(student_scores[[#This Row],[absence_days]]=0,"0", student_scores[[#This Row],[absence_days]]&lt;=3,"1-3", student_scores[[#This Row],[absence_days]]&lt;=6,"4-6", TRUE,"7-10")</f>
        <v>0</v>
      </c>
      <c r="V953" t="str">
        <f>IF(student_scores[[#This Row],[Total_Score]] &gt;= _xlfn.PERCENTILE.INC(student_scores[Total_Score], 0.8), "Yes", "No")</f>
        <v>No</v>
      </c>
    </row>
    <row r="954" spans="1:22" x14ac:dyDescent="0.35">
      <c r="A954">
        <v>953</v>
      </c>
      <c r="B954" t="s">
        <v>981</v>
      </c>
      <c r="C954" t="s">
        <v>1788</v>
      </c>
      <c r="D954" t="s">
        <v>1789</v>
      </c>
      <c r="E954" t="s">
        <v>25</v>
      </c>
      <c r="F954" t="b">
        <v>0</v>
      </c>
      <c r="G954">
        <v>0</v>
      </c>
      <c r="H954" t="b">
        <v>0</v>
      </c>
      <c r="I954">
        <v>35</v>
      </c>
      <c r="J954" t="s">
        <v>44</v>
      </c>
      <c r="K954">
        <v>87</v>
      </c>
      <c r="L954">
        <v>89</v>
      </c>
      <c r="M954">
        <v>91</v>
      </c>
      <c r="N954">
        <v>89</v>
      </c>
      <c r="O954">
        <v>93</v>
      </c>
      <c r="P954">
        <v>92</v>
      </c>
      <c r="Q954">
        <v>95</v>
      </c>
      <c r="R954">
        <f>SUM(student_scores[[#This Row],[math_score]:[geography_score]])</f>
        <v>636</v>
      </c>
      <c r="S954" s="3">
        <f>student_scores[[#This Row],[Total_Score]]/7</f>
        <v>90.857142857142861</v>
      </c>
      <c r="T954" s="3" t="str" cm="1">
        <f t="array" ref="T954">_xlfn.IFS(student_scores[[#This Row],[weekly_self_study_hours]]&lt;=5,   "0 - 5", student_scores[[#This Row],[weekly_self_study_hours]]&lt;=10,  "6 - 10", student_scores[[#This Row],[weekly_self_study_hours]]&lt;=20,  "11 - 20",student_scores[[#This Row],[weekly_self_study_hours]]&lt;=30, "21 - 30",TRUE, "31+")</f>
        <v>31+</v>
      </c>
      <c r="U954" t="str" cm="1">
        <f t="array" ref="U954">_xlfn.IFS(student_scores[[#This Row],[absence_days]]=0,"0", student_scores[[#This Row],[absence_days]]&lt;=3,"1-3", student_scores[[#This Row],[absence_days]]&lt;=6,"4-6", TRUE,"7-10")</f>
        <v>0</v>
      </c>
      <c r="V954" t="str">
        <f>IF(student_scores[[#This Row],[Total_Score]] &gt;= _xlfn.PERCENTILE.INC(student_scores[Total_Score], 0.8), "Yes", "No")</f>
        <v>Yes</v>
      </c>
    </row>
    <row r="955" spans="1:22" x14ac:dyDescent="0.35">
      <c r="A955">
        <v>954</v>
      </c>
      <c r="B955" t="s">
        <v>193</v>
      </c>
      <c r="C955" t="s">
        <v>1024</v>
      </c>
      <c r="D955" t="s">
        <v>1790</v>
      </c>
      <c r="E955" t="s">
        <v>25</v>
      </c>
      <c r="F955" t="b">
        <v>0</v>
      </c>
      <c r="G955">
        <v>1</v>
      </c>
      <c r="H955" t="b">
        <v>0</v>
      </c>
      <c r="I955">
        <v>12</v>
      </c>
      <c r="J955" t="s">
        <v>105</v>
      </c>
      <c r="K955">
        <v>83</v>
      </c>
      <c r="L955">
        <v>69</v>
      </c>
      <c r="M955">
        <v>93</v>
      </c>
      <c r="N955">
        <v>60</v>
      </c>
      <c r="O955">
        <v>98</v>
      </c>
      <c r="P955">
        <v>83</v>
      </c>
      <c r="Q955">
        <v>88</v>
      </c>
      <c r="R955">
        <f>SUM(student_scores[[#This Row],[math_score]:[geography_score]])</f>
        <v>574</v>
      </c>
      <c r="S955" s="3">
        <f>student_scores[[#This Row],[Total_Score]]/7</f>
        <v>82</v>
      </c>
      <c r="T955" s="3" t="str" cm="1">
        <f t="array" ref="T955">_xlfn.IFS(student_scores[[#This Row],[weekly_self_study_hours]]&lt;=5,   "0 - 5", student_scores[[#This Row],[weekly_self_study_hours]]&lt;=10,  "6 - 10", student_scores[[#This Row],[weekly_self_study_hours]]&lt;=20,  "11 - 20",student_scores[[#This Row],[weekly_self_study_hours]]&lt;=30, "21 - 30",TRUE, "31+")</f>
        <v>11 - 20</v>
      </c>
      <c r="U955" t="str" cm="1">
        <f t="array" ref="U955">_xlfn.IFS(student_scores[[#This Row],[absence_days]]=0,"0", student_scores[[#This Row],[absence_days]]&lt;=3,"1-3", student_scores[[#This Row],[absence_days]]&lt;=6,"4-6", TRUE,"7-10")</f>
        <v>1-3</v>
      </c>
      <c r="V955" t="str">
        <f>IF(student_scores[[#This Row],[Total_Score]] &gt;= _xlfn.PERCENTILE.INC(student_scores[Total_Score], 0.8), "Yes", "No")</f>
        <v>No</v>
      </c>
    </row>
    <row r="956" spans="1:22" x14ac:dyDescent="0.35">
      <c r="A956">
        <v>955</v>
      </c>
      <c r="B956" t="s">
        <v>1024</v>
      </c>
      <c r="C956" t="s">
        <v>1573</v>
      </c>
      <c r="D956" t="s">
        <v>1791</v>
      </c>
      <c r="E956" t="s">
        <v>20</v>
      </c>
      <c r="F956" t="b">
        <v>1</v>
      </c>
      <c r="G956">
        <v>3</v>
      </c>
      <c r="H956" t="b">
        <v>0</v>
      </c>
      <c r="I956">
        <v>32</v>
      </c>
      <c r="J956" t="s">
        <v>172</v>
      </c>
      <c r="K956">
        <v>95</v>
      </c>
      <c r="L956">
        <v>75</v>
      </c>
      <c r="M956">
        <v>87</v>
      </c>
      <c r="N956">
        <v>67</v>
      </c>
      <c r="O956">
        <v>96</v>
      </c>
      <c r="P956">
        <v>86</v>
      </c>
      <c r="Q956">
        <v>85</v>
      </c>
      <c r="R956">
        <f>SUM(student_scores[[#This Row],[math_score]:[geography_score]])</f>
        <v>591</v>
      </c>
      <c r="S956" s="3">
        <f>student_scores[[#This Row],[Total_Score]]/7</f>
        <v>84.428571428571431</v>
      </c>
      <c r="T956" s="3" t="str" cm="1">
        <f t="array" ref="T956">_xlfn.IFS(student_scores[[#This Row],[weekly_self_study_hours]]&lt;=5,   "0 - 5", student_scores[[#This Row],[weekly_self_study_hours]]&lt;=10,  "6 - 10", student_scores[[#This Row],[weekly_self_study_hours]]&lt;=20,  "11 - 20",student_scores[[#This Row],[weekly_self_study_hours]]&lt;=30, "21 - 30",TRUE, "31+")</f>
        <v>31+</v>
      </c>
      <c r="U956" t="str" cm="1">
        <f t="array" ref="U956">_xlfn.IFS(student_scores[[#This Row],[absence_days]]=0,"0", student_scores[[#This Row],[absence_days]]&lt;=3,"1-3", student_scores[[#This Row],[absence_days]]&lt;=6,"4-6", TRUE,"7-10")</f>
        <v>1-3</v>
      </c>
      <c r="V956" t="str">
        <f>IF(student_scores[[#This Row],[Total_Score]] &gt;= _xlfn.PERCENTILE.INC(student_scores[Total_Score], 0.8), "Yes", "No")</f>
        <v>No</v>
      </c>
    </row>
    <row r="957" spans="1:22" x14ac:dyDescent="0.35">
      <c r="A957">
        <v>956</v>
      </c>
      <c r="B957" t="s">
        <v>408</v>
      </c>
      <c r="C957" t="s">
        <v>406</v>
      </c>
      <c r="D957" t="s">
        <v>1792</v>
      </c>
      <c r="E957" t="s">
        <v>20</v>
      </c>
      <c r="F957" t="b">
        <v>0</v>
      </c>
      <c r="G957">
        <v>2</v>
      </c>
      <c r="H957" t="b">
        <v>0</v>
      </c>
      <c r="I957">
        <v>27</v>
      </c>
      <c r="J957" t="s">
        <v>113</v>
      </c>
      <c r="K957">
        <v>79</v>
      </c>
      <c r="L957">
        <v>65</v>
      </c>
      <c r="M957">
        <v>92</v>
      </c>
      <c r="N957">
        <v>67</v>
      </c>
      <c r="O957">
        <v>78</v>
      </c>
      <c r="P957">
        <v>66</v>
      </c>
      <c r="Q957">
        <v>98</v>
      </c>
      <c r="R957">
        <f>SUM(student_scores[[#This Row],[math_score]:[geography_score]])</f>
        <v>545</v>
      </c>
      <c r="S957" s="3">
        <f>student_scores[[#This Row],[Total_Score]]/7</f>
        <v>77.857142857142861</v>
      </c>
      <c r="T957" s="3" t="str" cm="1">
        <f t="array" ref="T957">_xlfn.IFS(student_scores[[#This Row],[weekly_self_study_hours]]&lt;=5,   "0 - 5", student_scores[[#This Row],[weekly_self_study_hours]]&lt;=10,  "6 - 10", student_scores[[#This Row],[weekly_self_study_hours]]&lt;=20,  "11 - 20",student_scores[[#This Row],[weekly_self_study_hours]]&lt;=30, "21 - 30",TRUE, "31+")</f>
        <v>21 - 30</v>
      </c>
      <c r="U957" t="str" cm="1">
        <f t="array" ref="U957">_xlfn.IFS(student_scores[[#This Row],[absence_days]]=0,"0", student_scores[[#This Row],[absence_days]]&lt;=3,"1-3", student_scores[[#This Row],[absence_days]]&lt;=6,"4-6", TRUE,"7-10")</f>
        <v>1-3</v>
      </c>
      <c r="V957" t="str">
        <f>IF(student_scores[[#This Row],[Total_Score]] &gt;= _xlfn.PERCENTILE.INC(student_scores[Total_Score], 0.8), "Yes", "No")</f>
        <v>No</v>
      </c>
    </row>
    <row r="958" spans="1:22" x14ac:dyDescent="0.35">
      <c r="A958">
        <v>957</v>
      </c>
      <c r="B958" t="s">
        <v>1046</v>
      </c>
      <c r="C958" t="s">
        <v>1793</v>
      </c>
      <c r="D958" t="s">
        <v>1794</v>
      </c>
      <c r="E958" t="s">
        <v>25</v>
      </c>
      <c r="F958" t="b">
        <v>0</v>
      </c>
      <c r="G958">
        <v>4</v>
      </c>
      <c r="H958" t="b">
        <v>0</v>
      </c>
      <c r="I958">
        <v>25</v>
      </c>
      <c r="J958" t="s">
        <v>38</v>
      </c>
      <c r="K958">
        <v>87</v>
      </c>
      <c r="L958">
        <v>68</v>
      </c>
      <c r="M958">
        <v>84</v>
      </c>
      <c r="N958">
        <v>92</v>
      </c>
      <c r="O958">
        <v>96</v>
      </c>
      <c r="P958">
        <v>88</v>
      </c>
      <c r="Q958">
        <v>60</v>
      </c>
      <c r="R958">
        <f>SUM(student_scores[[#This Row],[math_score]:[geography_score]])</f>
        <v>575</v>
      </c>
      <c r="S958" s="3">
        <f>student_scores[[#This Row],[Total_Score]]/7</f>
        <v>82.142857142857139</v>
      </c>
      <c r="T958" s="3" t="str" cm="1">
        <f t="array" ref="T958">_xlfn.IFS(student_scores[[#This Row],[weekly_self_study_hours]]&lt;=5,   "0 - 5", student_scores[[#This Row],[weekly_self_study_hours]]&lt;=10,  "6 - 10", student_scores[[#This Row],[weekly_self_study_hours]]&lt;=20,  "11 - 20",student_scores[[#This Row],[weekly_self_study_hours]]&lt;=30, "21 - 30",TRUE, "31+")</f>
        <v>21 - 30</v>
      </c>
      <c r="U958" t="str" cm="1">
        <f t="array" ref="U958">_xlfn.IFS(student_scores[[#This Row],[absence_days]]=0,"0", student_scores[[#This Row],[absence_days]]&lt;=3,"1-3", student_scores[[#This Row],[absence_days]]&lt;=6,"4-6", TRUE,"7-10")</f>
        <v>4-6</v>
      </c>
      <c r="V958" t="str">
        <f>IF(student_scores[[#This Row],[Total_Score]] &gt;= _xlfn.PERCENTILE.INC(student_scores[Total_Score], 0.8), "Yes", "No")</f>
        <v>No</v>
      </c>
    </row>
    <row r="959" spans="1:22" x14ac:dyDescent="0.35">
      <c r="A959">
        <v>958</v>
      </c>
      <c r="B959" t="s">
        <v>1795</v>
      </c>
      <c r="C959" t="s">
        <v>1089</v>
      </c>
      <c r="D959" t="s">
        <v>1796</v>
      </c>
      <c r="E959" t="s">
        <v>20</v>
      </c>
      <c r="F959" t="b">
        <v>0</v>
      </c>
      <c r="G959">
        <v>10</v>
      </c>
      <c r="H959" t="b">
        <v>0</v>
      </c>
      <c r="I959">
        <v>11</v>
      </c>
      <c r="J959" t="s">
        <v>38</v>
      </c>
      <c r="K959">
        <v>94</v>
      </c>
      <c r="L959">
        <v>92</v>
      </c>
      <c r="M959">
        <v>76</v>
      </c>
      <c r="N959">
        <v>74</v>
      </c>
      <c r="O959">
        <v>65</v>
      </c>
      <c r="P959">
        <v>96</v>
      </c>
      <c r="Q959">
        <v>87</v>
      </c>
      <c r="R959">
        <f>SUM(student_scores[[#This Row],[math_score]:[geography_score]])</f>
        <v>584</v>
      </c>
      <c r="S959" s="3">
        <f>student_scores[[#This Row],[Total_Score]]/7</f>
        <v>83.428571428571431</v>
      </c>
      <c r="T959" s="3" t="str" cm="1">
        <f t="array" ref="T959">_xlfn.IFS(student_scores[[#This Row],[weekly_self_study_hours]]&lt;=5,   "0 - 5", student_scores[[#This Row],[weekly_self_study_hours]]&lt;=10,  "6 - 10", student_scores[[#This Row],[weekly_self_study_hours]]&lt;=20,  "11 - 20",student_scores[[#This Row],[weekly_self_study_hours]]&lt;=30, "21 - 30",TRUE, "31+")</f>
        <v>11 - 20</v>
      </c>
      <c r="U959" t="str" cm="1">
        <f t="array" ref="U959">_xlfn.IFS(student_scores[[#This Row],[absence_days]]=0,"0", student_scores[[#This Row],[absence_days]]&lt;=3,"1-3", student_scores[[#This Row],[absence_days]]&lt;=6,"4-6", TRUE,"7-10")</f>
        <v>7-10</v>
      </c>
      <c r="V959" t="str">
        <f>IF(student_scores[[#This Row],[Total_Score]] &gt;= _xlfn.PERCENTILE.INC(student_scores[Total_Score], 0.8), "Yes", "No")</f>
        <v>No</v>
      </c>
    </row>
    <row r="960" spans="1:22" x14ac:dyDescent="0.35">
      <c r="A960">
        <v>959</v>
      </c>
      <c r="B960" t="s">
        <v>1767</v>
      </c>
      <c r="C960" t="s">
        <v>329</v>
      </c>
      <c r="D960" t="s">
        <v>1797</v>
      </c>
      <c r="E960" t="s">
        <v>20</v>
      </c>
      <c r="F960" t="b">
        <v>0</v>
      </c>
      <c r="G960">
        <v>3</v>
      </c>
      <c r="H960" t="b">
        <v>0</v>
      </c>
      <c r="I960">
        <v>2</v>
      </c>
      <c r="J960" t="s">
        <v>159</v>
      </c>
      <c r="K960">
        <v>82</v>
      </c>
      <c r="L960">
        <v>77</v>
      </c>
      <c r="M960">
        <v>95</v>
      </c>
      <c r="N960">
        <v>81</v>
      </c>
      <c r="O960">
        <v>83</v>
      </c>
      <c r="P960">
        <v>73</v>
      </c>
      <c r="Q960">
        <v>76</v>
      </c>
      <c r="R960">
        <f>SUM(student_scores[[#This Row],[math_score]:[geography_score]])</f>
        <v>567</v>
      </c>
      <c r="S960" s="3">
        <f>student_scores[[#This Row],[Total_Score]]/7</f>
        <v>81</v>
      </c>
      <c r="T960" s="3" t="str" cm="1">
        <f t="array" ref="T960">_xlfn.IFS(student_scores[[#This Row],[weekly_self_study_hours]]&lt;=5,   "0 - 5", student_scores[[#This Row],[weekly_self_study_hours]]&lt;=10,  "6 - 10", student_scores[[#This Row],[weekly_self_study_hours]]&lt;=20,  "11 - 20",student_scores[[#This Row],[weekly_self_study_hours]]&lt;=30, "21 - 30",TRUE, "31+")</f>
        <v>0 - 5</v>
      </c>
      <c r="U960" t="str" cm="1">
        <f t="array" ref="U960">_xlfn.IFS(student_scores[[#This Row],[absence_days]]=0,"0", student_scores[[#This Row],[absence_days]]&lt;=3,"1-3", student_scores[[#This Row],[absence_days]]&lt;=6,"4-6", TRUE,"7-10")</f>
        <v>1-3</v>
      </c>
      <c r="V960" t="str">
        <f>IF(student_scores[[#This Row],[Total_Score]] &gt;= _xlfn.PERCENTILE.INC(student_scores[Total_Score], 0.8), "Yes", "No")</f>
        <v>No</v>
      </c>
    </row>
    <row r="961" spans="1:22" x14ac:dyDescent="0.35">
      <c r="A961">
        <v>960</v>
      </c>
      <c r="B961" t="s">
        <v>92</v>
      </c>
      <c r="C961" t="s">
        <v>515</v>
      </c>
      <c r="D961" t="s">
        <v>1798</v>
      </c>
      <c r="E961" t="s">
        <v>25</v>
      </c>
      <c r="F961" t="b">
        <v>0</v>
      </c>
      <c r="G961">
        <v>2</v>
      </c>
      <c r="H961" t="b">
        <v>0</v>
      </c>
      <c r="I961">
        <v>24</v>
      </c>
      <c r="J961" t="s">
        <v>105</v>
      </c>
      <c r="K961">
        <v>90</v>
      </c>
      <c r="L961">
        <v>98</v>
      </c>
      <c r="M961">
        <v>89</v>
      </c>
      <c r="N961">
        <v>78</v>
      </c>
      <c r="O961">
        <v>74</v>
      </c>
      <c r="P961">
        <v>93</v>
      </c>
      <c r="Q961">
        <v>65</v>
      </c>
      <c r="R961">
        <f>SUM(student_scores[[#This Row],[math_score]:[geography_score]])</f>
        <v>587</v>
      </c>
      <c r="S961" s="3">
        <f>student_scores[[#This Row],[Total_Score]]/7</f>
        <v>83.857142857142861</v>
      </c>
      <c r="T961" s="3" t="str" cm="1">
        <f t="array" ref="T961">_xlfn.IFS(student_scores[[#This Row],[weekly_self_study_hours]]&lt;=5,   "0 - 5", student_scores[[#This Row],[weekly_self_study_hours]]&lt;=10,  "6 - 10", student_scores[[#This Row],[weekly_self_study_hours]]&lt;=20,  "11 - 20",student_scores[[#This Row],[weekly_self_study_hours]]&lt;=30, "21 - 30",TRUE, "31+")</f>
        <v>21 - 30</v>
      </c>
      <c r="U961" t="str" cm="1">
        <f t="array" ref="U961">_xlfn.IFS(student_scores[[#This Row],[absence_days]]=0,"0", student_scores[[#This Row],[absence_days]]&lt;=3,"1-3", student_scores[[#This Row],[absence_days]]&lt;=6,"4-6", TRUE,"7-10")</f>
        <v>1-3</v>
      </c>
      <c r="V961" t="str">
        <f>IF(student_scores[[#This Row],[Total_Score]] &gt;= _xlfn.PERCENTILE.INC(student_scores[Total_Score], 0.8), "Yes", "No")</f>
        <v>No</v>
      </c>
    </row>
    <row r="962" spans="1:22" x14ac:dyDescent="0.35">
      <c r="A962">
        <v>961</v>
      </c>
      <c r="B962" t="s">
        <v>560</v>
      </c>
      <c r="C962" t="s">
        <v>1167</v>
      </c>
      <c r="D962" t="s">
        <v>1799</v>
      </c>
      <c r="E962" t="s">
        <v>25</v>
      </c>
      <c r="F962" t="b">
        <v>0</v>
      </c>
      <c r="G962">
        <v>4</v>
      </c>
      <c r="H962" t="b">
        <v>0</v>
      </c>
      <c r="I962">
        <v>16</v>
      </c>
      <c r="J962" t="s">
        <v>113</v>
      </c>
      <c r="K962">
        <v>100</v>
      </c>
      <c r="L962">
        <v>68</v>
      </c>
      <c r="M962">
        <v>62</v>
      </c>
      <c r="N962">
        <v>76</v>
      </c>
      <c r="O962">
        <v>72</v>
      </c>
      <c r="P962">
        <v>94</v>
      </c>
      <c r="Q962">
        <v>89</v>
      </c>
      <c r="R962">
        <f>SUM(student_scores[[#This Row],[math_score]:[geography_score]])</f>
        <v>561</v>
      </c>
      <c r="S962" s="3">
        <f>student_scores[[#This Row],[Total_Score]]/7</f>
        <v>80.142857142857139</v>
      </c>
      <c r="T962" s="3" t="str" cm="1">
        <f t="array" ref="T962">_xlfn.IFS(student_scores[[#This Row],[weekly_self_study_hours]]&lt;=5,   "0 - 5", student_scores[[#This Row],[weekly_self_study_hours]]&lt;=10,  "6 - 10", student_scores[[#This Row],[weekly_self_study_hours]]&lt;=20,  "11 - 20",student_scores[[#This Row],[weekly_self_study_hours]]&lt;=30, "21 - 30",TRUE, "31+")</f>
        <v>11 - 20</v>
      </c>
      <c r="U962" t="str" cm="1">
        <f t="array" ref="U962">_xlfn.IFS(student_scores[[#This Row],[absence_days]]=0,"0", student_scores[[#This Row],[absence_days]]&lt;=3,"1-3", student_scores[[#This Row],[absence_days]]&lt;=6,"4-6", TRUE,"7-10")</f>
        <v>4-6</v>
      </c>
      <c r="V962" t="str">
        <f>IF(student_scores[[#This Row],[Total_Score]] &gt;= _xlfn.PERCENTILE.INC(student_scores[Total_Score], 0.8), "Yes", "No")</f>
        <v>No</v>
      </c>
    </row>
    <row r="963" spans="1:22" x14ac:dyDescent="0.35">
      <c r="A963">
        <v>962</v>
      </c>
      <c r="B963" t="s">
        <v>1171</v>
      </c>
      <c r="C963" t="s">
        <v>1473</v>
      </c>
      <c r="D963" t="s">
        <v>1800</v>
      </c>
      <c r="E963" t="s">
        <v>20</v>
      </c>
      <c r="F963" t="b">
        <v>0</v>
      </c>
      <c r="G963">
        <v>7</v>
      </c>
      <c r="H963" t="b">
        <v>1</v>
      </c>
      <c r="I963">
        <v>1</v>
      </c>
      <c r="J963" t="s">
        <v>34</v>
      </c>
      <c r="K963">
        <v>98</v>
      </c>
      <c r="L963">
        <v>85</v>
      </c>
      <c r="M963">
        <v>75</v>
      </c>
      <c r="N963">
        <v>66</v>
      </c>
      <c r="O963">
        <v>73</v>
      </c>
      <c r="P963">
        <v>88</v>
      </c>
      <c r="Q963">
        <v>85</v>
      </c>
      <c r="R963">
        <f>SUM(student_scores[[#This Row],[math_score]:[geography_score]])</f>
        <v>570</v>
      </c>
      <c r="S963" s="3">
        <f>student_scores[[#This Row],[Total_Score]]/7</f>
        <v>81.428571428571431</v>
      </c>
      <c r="T963" s="3" t="str" cm="1">
        <f t="array" ref="T963">_xlfn.IFS(student_scores[[#This Row],[weekly_self_study_hours]]&lt;=5,   "0 - 5", student_scores[[#This Row],[weekly_self_study_hours]]&lt;=10,  "6 - 10", student_scores[[#This Row],[weekly_self_study_hours]]&lt;=20,  "11 - 20",student_scores[[#This Row],[weekly_self_study_hours]]&lt;=30, "21 - 30",TRUE, "31+")</f>
        <v>0 - 5</v>
      </c>
      <c r="U963" t="str" cm="1">
        <f t="array" ref="U963">_xlfn.IFS(student_scores[[#This Row],[absence_days]]=0,"0", student_scores[[#This Row],[absence_days]]&lt;=3,"1-3", student_scores[[#This Row],[absence_days]]&lt;=6,"4-6", TRUE,"7-10")</f>
        <v>7-10</v>
      </c>
      <c r="V963" t="str">
        <f>IF(student_scores[[#This Row],[Total_Score]] &gt;= _xlfn.PERCENTILE.INC(student_scores[Total_Score], 0.8), "Yes", "No")</f>
        <v>No</v>
      </c>
    </row>
    <row r="964" spans="1:22" x14ac:dyDescent="0.35">
      <c r="A964">
        <v>963</v>
      </c>
      <c r="B964" t="s">
        <v>1767</v>
      </c>
      <c r="C964" t="s">
        <v>118</v>
      </c>
      <c r="D964" t="s">
        <v>1801</v>
      </c>
      <c r="E964" t="s">
        <v>20</v>
      </c>
      <c r="F964" t="b">
        <v>0</v>
      </c>
      <c r="G964">
        <v>0</v>
      </c>
      <c r="H964" t="b">
        <v>0</v>
      </c>
      <c r="I964">
        <v>2</v>
      </c>
      <c r="J964" t="s">
        <v>159</v>
      </c>
      <c r="K964">
        <v>80</v>
      </c>
      <c r="L964">
        <v>84</v>
      </c>
      <c r="M964">
        <v>94</v>
      </c>
      <c r="N964">
        <v>63</v>
      </c>
      <c r="O964">
        <v>62</v>
      </c>
      <c r="P964">
        <v>72</v>
      </c>
      <c r="Q964">
        <v>68</v>
      </c>
      <c r="R964">
        <f>SUM(student_scores[[#This Row],[math_score]:[geography_score]])</f>
        <v>523</v>
      </c>
      <c r="S964" s="3">
        <f>student_scores[[#This Row],[Total_Score]]/7</f>
        <v>74.714285714285708</v>
      </c>
      <c r="T964" s="3" t="str" cm="1">
        <f t="array" ref="T964">_xlfn.IFS(student_scores[[#This Row],[weekly_self_study_hours]]&lt;=5,   "0 - 5", student_scores[[#This Row],[weekly_self_study_hours]]&lt;=10,  "6 - 10", student_scores[[#This Row],[weekly_self_study_hours]]&lt;=20,  "11 - 20",student_scores[[#This Row],[weekly_self_study_hours]]&lt;=30, "21 - 30",TRUE, "31+")</f>
        <v>0 - 5</v>
      </c>
      <c r="U964" t="str" cm="1">
        <f t="array" ref="U964">_xlfn.IFS(student_scores[[#This Row],[absence_days]]=0,"0", student_scores[[#This Row],[absence_days]]&lt;=3,"1-3", student_scores[[#This Row],[absence_days]]&lt;=6,"4-6", TRUE,"7-10")</f>
        <v>0</v>
      </c>
      <c r="V964" t="str">
        <f>IF(student_scores[[#This Row],[Total_Score]] &gt;= _xlfn.PERCENTILE.INC(student_scores[Total_Score], 0.8), "Yes", "No")</f>
        <v>No</v>
      </c>
    </row>
    <row r="965" spans="1:22" x14ac:dyDescent="0.35">
      <c r="A965">
        <v>964</v>
      </c>
      <c r="B965" t="s">
        <v>1802</v>
      </c>
      <c r="C965" t="s">
        <v>1803</v>
      </c>
      <c r="D965" t="s">
        <v>1804</v>
      </c>
      <c r="E965" t="s">
        <v>25</v>
      </c>
      <c r="F965" t="b">
        <v>0</v>
      </c>
      <c r="G965">
        <v>1</v>
      </c>
      <c r="H965" t="b">
        <v>0</v>
      </c>
      <c r="I965">
        <v>35</v>
      </c>
      <c r="J965" t="s">
        <v>109</v>
      </c>
      <c r="K965">
        <v>89</v>
      </c>
      <c r="L965">
        <v>91</v>
      </c>
      <c r="M965">
        <v>96</v>
      </c>
      <c r="N965">
        <v>100</v>
      </c>
      <c r="O965">
        <v>95</v>
      </c>
      <c r="P965">
        <v>93</v>
      </c>
      <c r="Q965">
        <v>86</v>
      </c>
      <c r="R965">
        <f>SUM(student_scores[[#This Row],[math_score]:[geography_score]])</f>
        <v>650</v>
      </c>
      <c r="S965" s="3">
        <f>student_scores[[#This Row],[Total_Score]]/7</f>
        <v>92.857142857142861</v>
      </c>
      <c r="T965" s="3" t="str" cm="1">
        <f t="array" ref="T965">_xlfn.IFS(student_scores[[#This Row],[weekly_self_study_hours]]&lt;=5,   "0 - 5", student_scores[[#This Row],[weekly_self_study_hours]]&lt;=10,  "6 - 10", student_scores[[#This Row],[weekly_self_study_hours]]&lt;=20,  "11 - 20",student_scores[[#This Row],[weekly_self_study_hours]]&lt;=30, "21 - 30",TRUE, "31+")</f>
        <v>31+</v>
      </c>
      <c r="U965" t="str" cm="1">
        <f t="array" ref="U965">_xlfn.IFS(student_scores[[#This Row],[absence_days]]=0,"0", student_scores[[#This Row],[absence_days]]&lt;=3,"1-3", student_scores[[#This Row],[absence_days]]&lt;=6,"4-6", TRUE,"7-10")</f>
        <v>1-3</v>
      </c>
      <c r="V965" t="str">
        <f>IF(student_scores[[#This Row],[Total_Score]] &gt;= _xlfn.PERCENTILE.INC(student_scores[Total_Score], 0.8), "Yes", "No")</f>
        <v>Yes</v>
      </c>
    </row>
    <row r="966" spans="1:22" x14ac:dyDescent="0.35">
      <c r="A966">
        <v>965</v>
      </c>
      <c r="B966" t="s">
        <v>68</v>
      </c>
      <c r="C966" t="s">
        <v>352</v>
      </c>
      <c r="D966" t="s">
        <v>1805</v>
      </c>
      <c r="E966" t="s">
        <v>25</v>
      </c>
      <c r="F966" t="b">
        <v>0</v>
      </c>
      <c r="G966">
        <v>0</v>
      </c>
      <c r="H966" t="b">
        <v>0</v>
      </c>
      <c r="I966">
        <v>5</v>
      </c>
      <c r="J966" t="s">
        <v>38</v>
      </c>
      <c r="K966">
        <v>96</v>
      </c>
      <c r="L966">
        <v>67</v>
      </c>
      <c r="M966">
        <v>74</v>
      </c>
      <c r="N966">
        <v>90</v>
      </c>
      <c r="O966">
        <v>75</v>
      </c>
      <c r="P966">
        <v>95</v>
      </c>
      <c r="Q966">
        <v>83</v>
      </c>
      <c r="R966">
        <f>SUM(student_scores[[#This Row],[math_score]:[geography_score]])</f>
        <v>580</v>
      </c>
      <c r="S966" s="3">
        <f>student_scores[[#This Row],[Total_Score]]/7</f>
        <v>82.857142857142861</v>
      </c>
      <c r="T966" s="3" t="str" cm="1">
        <f t="array" ref="T966">_xlfn.IFS(student_scores[[#This Row],[weekly_self_study_hours]]&lt;=5,   "0 - 5", student_scores[[#This Row],[weekly_self_study_hours]]&lt;=10,  "6 - 10", student_scores[[#This Row],[weekly_self_study_hours]]&lt;=20,  "11 - 20",student_scores[[#This Row],[weekly_self_study_hours]]&lt;=30, "21 - 30",TRUE, "31+")</f>
        <v>0 - 5</v>
      </c>
      <c r="U966" t="str" cm="1">
        <f t="array" ref="U966">_xlfn.IFS(student_scores[[#This Row],[absence_days]]=0,"0", student_scores[[#This Row],[absence_days]]&lt;=3,"1-3", student_scores[[#This Row],[absence_days]]&lt;=6,"4-6", TRUE,"7-10")</f>
        <v>0</v>
      </c>
      <c r="V966" t="str">
        <f>IF(student_scores[[#This Row],[Total_Score]] &gt;= _xlfn.PERCENTILE.INC(student_scores[Total_Score], 0.8), "Yes", "No")</f>
        <v>No</v>
      </c>
    </row>
    <row r="967" spans="1:22" x14ac:dyDescent="0.35">
      <c r="A967">
        <v>966</v>
      </c>
      <c r="B967" t="s">
        <v>746</v>
      </c>
      <c r="C967" t="s">
        <v>977</v>
      </c>
      <c r="D967" t="s">
        <v>1806</v>
      </c>
      <c r="E967" t="s">
        <v>25</v>
      </c>
      <c r="F967" t="b">
        <v>0</v>
      </c>
      <c r="G967">
        <v>4</v>
      </c>
      <c r="H967" t="b">
        <v>0</v>
      </c>
      <c r="I967">
        <v>14</v>
      </c>
      <c r="J967" t="s">
        <v>113</v>
      </c>
      <c r="K967">
        <v>94</v>
      </c>
      <c r="L967">
        <v>82</v>
      </c>
      <c r="M967">
        <v>80</v>
      </c>
      <c r="N967">
        <v>80</v>
      </c>
      <c r="O967">
        <v>33</v>
      </c>
      <c r="P967">
        <v>93</v>
      </c>
      <c r="Q967">
        <v>78</v>
      </c>
      <c r="R967">
        <f>SUM(student_scores[[#This Row],[math_score]:[geography_score]])</f>
        <v>540</v>
      </c>
      <c r="S967" s="3">
        <f>student_scores[[#This Row],[Total_Score]]/7</f>
        <v>77.142857142857139</v>
      </c>
      <c r="T967" s="3" t="str" cm="1">
        <f t="array" ref="T967">_xlfn.IFS(student_scores[[#This Row],[weekly_self_study_hours]]&lt;=5,   "0 - 5", student_scores[[#This Row],[weekly_self_study_hours]]&lt;=10,  "6 - 10", student_scores[[#This Row],[weekly_self_study_hours]]&lt;=20,  "11 - 20",student_scores[[#This Row],[weekly_self_study_hours]]&lt;=30, "21 - 30",TRUE, "31+")</f>
        <v>11 - 20</v>
      </c>
      <c r="U967" t="str" cm="1">
        <f t="array" ref="U967">_xlfn.IFS(student_scores[[#This Row],[absence_days]]=0,"0", student_scores[[#This Row],[absence_days]]&lt;=3,"1-3", student_scores[[#This Row],[absence_days]]&lt;=6,"4-6", TRUE,"7-10")</f>
        <v>4-6</v>
      </c>
      <c r="V967" t="str">
        <f>IF(student_scores[[#This Row],[Total_Score]] &gt;= _xlfn.PERCENTILE.INC(student_scores[Total_Score], 0.8), "Yes", "No")</f>
        <v>No</v>
      </c>
    </row>
    <row r="968" spans="1:22" x14ac:dyDescent="0.35">
      <c r="A968">
        <v>967</v>
      </c>
      <c r="B968" t="s">
        <v>345</v>
      </c>
      <c r="C968" t="s">
        <v>233</v>
      </c>
      <c r="D968" t="s">
        <v>1807</v>
      </c>
      <c r="E968" t="s">
        <v>25</v>
      </c>
      <c r="F968" t="b">
        <v>0</v>
      </c>
      <c r="G968">
        <v>2</v>
      </c>
      <c r="H968" t="b">
        <v>0</v>
      </c>
      <c r="I968">
        <v>26</v>
      </c>
      <c r="J968" t="s">
        <v>38</v>
      </c>
      <c r="K968">
        <v>64</v>
      </c>
      <c r="L968">
        <v>65</v>
      </c>
      <c r="M968">
        <v>97</v>
      </c>
      <c r="N968">
        <v>96</v>
      </c>
      <c r="O968">
        <v>80</v>
      </c>
      <c r="P968">
        <v>80</v>
      </c>
      <c r="Q968">
        <v>78</v>
      </c>
      <c r="R968">
        <f>SUM(student_scores[[#This Row],[math_score]:[geography_score]])</f>
        <v>560</v>
      </c>
      <c r="S968" s="3">
        <f>student_scores[[#This Row],[Total_Score]]/7</f>
        <v>80</v>
      </c>
      <c r="T968" s="3" t="str" cm="1">
        <f t="array" ref="T968">_xlfn.IFS(student_scores[[#This Row],[weekly_self_study_hours]]&lt;=5,   "0 - 5", student_scores[[#This Row],[weekly_self_study_hours]]&lt;=10,  "6 - 10", student_scores[[#This Row],[weekly_self_study_hours]]&lt;=20,  "11 - 20",student_scores[[#This Row],[weekly_self_study_hours]]&lt;=30, "21 - 30",TRUE, "31+")</f>
        <v>21 - 30</v>
      </c>
      <c r="U968" t="str" cm="1">
        <f t="array" ref="U968">_xlfn.IFS(student_scores[[#This Row],[absence_days]]=0,"0", student_scores[[#This Row],[absence_days]]&lt;=3,"1-3", student_scores[[#This Row],[absence_days]]&lt;=6,"4-6", TRUE,"7-10")</f>
        <v>1-3</v>
      </c>
      <c r="V968" t="str">
        <f>IF(student_scores[[#This Row],[Total_Score]] &gt;= _xlfn.PERCENTILE.INC(student_scores[Total_Score], 0.8), "Yes", "No")</f>
        <v>No</v>
      </c>
    </row>
    <row r="969" spans="1:22" x14ac:dyDescent="0.35">
      <c r="A969">
        <v>968</v>
      </c>
      <c r="B969" t="s">
        <v>1110</v>
      </c>
      <c r="C969" t="s">
        <v>653</v>
      </c>
      <c r="D969" t="s">
        <v>1808</v>
      </c>
      <c r="E969" t="s">
        <v>20</v>
      </c>
      <c r="F969" t="b">
        <v>0</v>
      </c>
      <c r="G969">
        <v>3</v>
      </c>
      <c r="H969" t="b">
        <v>0</v>
      </c>
      <c r="I969">
        <v>41</v>
      </c>
      <c r="J969" t="s">
        <v>26</v>
      </c>
      <c r="K969">
        <v>89</v>
      </c>
      <c r="L969">
        <v>89</v>
      </c>
      <c r="M969">
        <v>100</v>
      </c>
      <c r="N969">
        <v>96</v>
      </c>
      <c r="O969">
        <v>96</v>
      </c>
      <c r="P969">
        <v>85</v>
      </c>
      <c r="Q969">
        <v>92</v>
      </c>
      <c r="R969">
        <f>SUM(student_scores[[#This Row],[math_score]:[geography_score]])</f>
        <v>647</v>
      </c>
      <c r="S969" s="3">
        <f>student_scores[[#This Row],[Total_Score]]/7</f>
        <v>92.428571428571431</v>
      </c>
      <c r="T969" s="3" t="str" cm="1">
        <f t="array" ref="T969">_xlfn.IFS(student_scores[[#This Row],[weekly_self_study_hours]]&lt;=5,   "0 - 5", student_scores[[#This Row],[weekly_self_study_hours]]&lt;=10,  "6 - 10", student_scores[[#This Row],[weekly_self_study_hours]]&lt;=20,  "11 - 20",student_scores[[#This Row],[weekly_self_study_hours]]&lt;=30, "21 - 30",TRUE, "31+")</f>
        <v>31+</v>
      </c>
      <c r="U969" t="str" cm="1">
        <f t="array" ref="U969">_xlfn.IFS(student_scores[[#This Row],[absence_days]]=0,"0", student_scores[[#This Row],[absence_days]]&lt;=3,"1-3", student_scores[[#This Row],[absence_days]]&lt;=6,"4-6", TRUE,"7-10")</f>
        <v>1-3</v>
      </c>
      <c r="V969" t="str">
        <f>IF(student_scores[[#This Row],[Total_Score]] &gt;= _xlfn.PERCENTILE.INC(student_scores[Total_Score], 0.8), "Yes", "No")</f>
        <v>Yes</v>
      </c>
    </row>
    <row r="970" spans="1:22" x14ac:dyDescent="0.35">
      <c r="A970">
        <v>969</v>
      </c>
      <c r="B970" t="s">
        <v>190</v>
      </c>
      <c r="C970" t="s">
        <v>1809</v>
      </c>
      <c r="D970" t="s">
        <v>1810</v>
      </c>
      <c r="E970" t="s">
        <v>25</v>
      </c>
      <c r="F970" t="b">
        <v>0</v>
      </c>
      <c r="G970">
        <v>2</v>
      </c>
      <c r="H970" t="b">
        <v>1</v>
      </c>
      <c r="I970">
        <v>6</v>
      </c>
      <c r="J970" t="s">
        <v>38</v>
      </c>
      <c r="K970">
        <v>97</v>
      </c>
      <c r="L970">
        <v>78</v>
      </c>
      <c r="M970">
        <v>99</v>
      </c>
      <c r="N970">
        <v>88</v>
      </c>
      <c r="O970">
        <v>69</v>
      </c>
      <c r="P970">
        <v>98</v>
      </c>
      <c r="Q970">
        <v>60</v>
      </c>
      <c r="R970">
        <f>SUM(student_scores[[#This Row],[math_score]:[geography_score]])</f>
        <v>589</v>
      </c>
      <c r="S970" s="3">
        <f>student_scores[[#This Row],[Total_Score]]/7</f>
        <v>84.142857142857139</v>
      </c>
      <c r="T970" s="3" t="str" cm="1">
        <f t="array" ref="T970">_xlfn.IFS(student_scores[[#This Row],[weekly_self_study_hours]]&lt;=5,   "0 - 5", student_scores[[#This Row],[weekly_self_study_hours]]&lt;=10,  "6 - 10", student_scores[[#This Row],[weekly_self_study_hours]]&lt;=20,  "11 - 20",student_scores[[#This Row],[weekly_self_study_hours]]&lt;=30, "21 - 30",TRUE, "31+")</f>
        <v>6 - 10</v>
      </c>
      <c r="U970" t="str" cm="1">
        <f t="array" ref="U970">_xlfn.IFS(student_scores[[#This Row],[absence_days]]=0,"0", student_scores[[#This Row],[absence_days]]&lt;=3,"1-3", student_scores[[#This Row],[absence_days]]&lt;=6,"4-6", TRUE,"7-10")</f>
        <v>1-3</v>
      </c>
      <c r="V970" t="str">
        <f>IF(student_scores[[#This Row],[Total_Score]] &gt;= _xlfn.PERCENTILE.INC(student_scores[Total_Score], 0.8), "Yes", "No")</f>
        <v>No</v>
      </c>
    </row>
    <row r="971" spans="1:22" x14ac:dyDescent="0.35">
      <c r="A971">
        <v>970</v>
      </c>
      <c r="B971" t="s">
        <v>1007</v>
      </c>
      <c r="C971" t="s">
        <v>457</v>
      </c>
      <c r="D971" t="s">
        <v>1811</v>
      </c>
      <c r="E971" t="s">
        <v>20</v>
      </c>
      <c r="F971" t="b">
        <v>0</v>
      </c>
      <c r="G971">
        <v>3</v>
      </c>
      <c r="H971" t="b">
        <v>0</v>
      </c>
      <c r="I971">
        <v>35</v>
      </c>
      <c r="J971" t="s">
        <v>44</v>
      </c>
      <c r="K971">
        <v>91</v>
      </c>
      <c r="L971">
        <v>97</v>
      </c>
      <c r="M971">
        <v>87</v>
      </c>
      <c r="N971">
        <v>93</v>
      </c>
      <c r="O971">
        <v>94</v>
      </c>
      <c r="P971">
        <v>90</v>
      </c>
      <c r="Q971">
        <v>88</v>
      </c>
      <c r="R971">
        <f>SUM(student_scores[[#This Row],[math_score]:[geography_score]])</f>
        <v>640</v>
      </c>
      <c r="S971" s="3">
        <f>student_scores[[#This Row],[Total_Score]]/7</f>
        <v>91.428571428571431</v>
      </c>
      <c r="T971" s="3" t="str" cm="1">
        <f t="array" ref="T971">_xlfn.IFS(student_scores[[#This Row],[weekly_self_study_hours]]&lt;=5,   "0 - 5", student_scores[[#This Row],[weekly_self_study_hours]]&lt;=10,  "6 - 10", student_scores[[#This Row],[weekly_self_study_hours]]&lt;=20,  "11 - 20",student_scores[[#This Row],[weekly_self_study_hours]]&lt;=30, "21 - 30",TRUE, "31+")</f>
        <v>31+</v>
      </c>
      <c r="U971" t="str" cm="1">
        <f t="array" ref="U971">_xlfn.IFS(student_scores[[#This Row],[absence_days]]=0,"0", student_scores[[#This Row],[absence_days]]&lt;=3,"1-3", student_scores[[#This Row],[absence_days]]&lt;=6,"4-6", TRUE,"7-10")</f>
        <v>1-3</v>
      </c>
      <c r="V971" t="str">
        <f>IF(student_scores[[#This Row],[Total_Score]] &gt;= _xlfn.PERCENTILE.INC(student_scores[Total_Score], 0.8), "Yes", "No")</f>
        <v>Yes</v>
      </c>
    </row>
    <row r="972" spans="1:22" x14ac:dyDescent="0.35">
      <c r="A972">
        <v>971</v>
      </c>
      <c r="B972" t="s">
        <v>348</v>
      </c>
      <c r="C972" t="s">
        <v>118</v>
      </c>
      <c r="D972" t="s">
        <v>1812</v>
      </c>
      <c r="E972" t="s">
        <v>20</v>
      </c>
      <c r="F972" t="b">
        <v>0</v>
      </c>
      <c r="G972">
        <v>0</v>
      </c>
      <c r="H972" t="b">
        <v>1</v>
      </c>
      <c r="I972">
        <v>30</v>
      </c>
      <c r="J972" t="s">
        <v>138</v>
      </c>
      <c r="K972">
        <v>96</v>
      </c>
      <c r="L972">
        <v>98</v>
      </c>
      <c r="M972">
        <v>99</v>
      </c>
      <c r="N972">
        <v>65</v>
      </c>
      <c r="O972">
        <v>95</v>
      </c>
      <c r="P972">
        <v>76</v>
      </c>
      <c r="Q972">
        <v>68</v>
      </c>
      <c r="R972">
        <f>SUM(student_scores[[#This Row],[math_score]:[geography_score]])</f>
        <v>597</v>
      </c>
      <c r="S972" s="3">
        <f>student_scores[[#This Row],[Total_Score]]/7</f>
        <v>85.285714285714292</v>
      </c>
      <c r="T972" s="3" t="str" cm="1">
        <f t="array" ref="T972">_xlfn.IFS(student_scores[[#This Row],[weekly_self_study_hours]]&lt;=5,   "0 - 5", student_scores[[#This Row],[weekly_self_study_hours]]&lt;=10,  "6 - 10", student_scores[[#This Row],[weekly_self_study_hours]]&lt;=20,  "11 - 20",student_scores[[#This Row],[weekly_self_study_hours]]&lt;=30, "21 - 30",TRUE, "31+")</f>
        <v>21 - 30</v>
      </c>
      <c r="U972" t="str" cm="1">
        <f t="array" ref="U972">_xlfn.IFS(student_scores[[#This Row],[absence_days]]=0,"0", student_scores[[#This Row],[absence_days]]&lt;=3,"1-3", student_scores[[#This Row],[absence_days]]&lt;=6,"4-6", TRUE,"7-10")</f>
        <v>0</v>
      </c>
      <c r="V972" t="str">
        <f>IF(student_scores[[#This Row],[Total_Score]] &gt;= _xlfn.PERCENTILE.INC(student_scores[Total_Score], 0.8), "Yes", "No")</f>
        <v>No</v>
      </c>
    </row>
    <row r="973" spans="1:22" x14ac:dyDescent="0.35">
      <c r="A973">
        <v>972</v>
      </c>
      <c r="B973" t="s">
        <v>796</v>
      </c>
      <c r="C973" t="s">
        <v>1682</v>
      </c>
      <c r="D973" t="s">
        <v>1813</v>
      </c>
      <c r="E973" t="s">
        <v>20</v>
      </c>
      <c r="F973" t="b">
        <v>0</v>
      </c>
      <c r="G973">
        <v>2</v>
      </c>
      <c r="H973" t="b">
        <v>1</v>
      </c>
      <c r="I973">
        <v>12</v>
      </c>
      <c r="J973" t="s">
        <v>105</v>
      </c>
      <c r="K973">
        <v>81</v>
      </c>
      <c r="L973">
        <v>68</v>
      </c>
      <c r="M973">
        <v>97</v>
      </c>
      <c r="N973">
        <v>86</v>
      </c>
      <c r="O973">
        <v>90</v>
      </c>
      <c r="P973">
        <v>78</v>
      </c>
      <c r="Q973">
        <v>80</v>
      </c>
      <c r="R973">
        <f>SUM(student_scores[[#This Row],[math_score]:[geography_score]])</f>
        <v>580</v>
      </c>
      <c r="S973" s="3">
        <f>student_scores[[#This Row],[Total_Score]]/7</f>
        <v>82.857142857142861</v>
      </c>
      <c r="T973" s="3" t="str" cm="1">
        <f t="array" ref="T973">_xlfn.IFS(student_scores[[#This Row],[weekly_self_study_hours]]&lt;=5,   "0 - 5", student_scores[[#This Row],[weekly_self_study_hours]]&lt;=10,  "6 - 10", student_scores[[#This Row],[weekly_self_study_hours]]&lt;=20,  "11 - 20",student_scores[[#This Row],[weekly_self_study_hours]]&lt;=30, "21 - 30",TRUE, "31+")</f>
        <v>11 - 20</v>
      </c>
      <c r="U973" t="str" cm="1">
        <f t="array" ref="U973">_xlfn.IFS(student_scores[[#This Row],[absence_days]]=0,"0", student_scores[[#This Row],[absence_days]]&lt;=3,"1-3", student_scores[[#This Row],[absence_days]]&lt;=6,"4-6", TRUE,"7-10")</f>
        <v>1-3</v>
      </c>
      <c r="V973" t="str">
        <f>IF(student_scores[[#This Row],[Total_Score]] &gt;= _xlfn.PERCENTILE.INC(student_scores[Total_Score], 0.8), "Yes", "No")</f>
        <v>No</v>
      </c>
    </row>
    <row r="974" spans="1:22" x14ac:dyDescent="0.35">
      <c r="A974">
        <v>973</v>
      </c>
      <c r="B974" t="s">
        <v>190</v>
      </c>
      <c r="C974" t="s">
        <v>927</v>
      </c>
      <c r="D974" t="s">
        <v>1814</v>
      </c>
      <c r="E974" t="s">
        <v>25</v>
      </c>
      <c r="F974" t="b">
        <v>0</v>
      </c>
      <c r="G974">
        <v>2</v>
      </c>
      <c r="H974" t="b">
        <v>0</v>
      </c>
      <c r="I974">
        <v>29</v>
      </c>
      <c r="J974" t="s">
        <v>44</v>
      </c>
      <c r="K974">
        <v>87</v>
      </c>
      <c r="L974">
        <v>89</v>
      </c>
      <c r="M974">
        <v>61</v>
      </c>
      <c r="N974">
        <v>66</v>
      </c>
      <c r="O974">
        <v>72</v>
      </c>
      <c r="P974">
        <v>90</v>
      </c>
      <c r="Q974">
        <v>61</v>
      </c>
      <c r="R974">
        <f>SUM(student_scores[[#This Row],[math_score]:[geography_score]])</f>
        <v>526</v>
      </c>
      <c r="S974" s="3">
        <f>student_scores[[#This Row],[Total_Score]]/7</f>
        <v>75.142857142857139</v>
      </c>
      <c r="T974" s="3" t="str" cm="1">
        <f t="array" ref="T974">_xlfn.IFS(student_scores[[#This Row],[weekly_self_study_hours]]&lt;=5,   "0 - 5", student_scores[[#This Row],[weekly_self_study_hours]]&lt;=10,  "6 - 10", student_scores[[#This Row],[weekly_self_study_hours]]&lt;=20,  "11 - 20",student_scores[[#This Row],[weekly_self_study_hours]]&lt;=30, "21 - 30",TRUE, "31+")</f>
        <v>21 - 30</v>
      </c>
      <c r="U974" t="str" cm="1">
        <f t="array" ref="U974">_xlfn.IFS(student_scores[[#This Row],[absence_days]]=0,"0", student_scores[[#This Row],[absence_days]]&lt;=3,"1-3", student_scores[[#This Row],[absence_days]]&lt;=6,"4-6", TRUE,"7-10")</f>
        <v>1-3</v>
      </c>
      <c r="V974" t="str">
        <f>IF(student_scores[[#This Row],[Total_Score]] &gt;= _xlfn.PERCENTILE.INC(student_scores[Total_Score], 0.8), "Yes", "No")</f>
        <v>No</v>
      </c>
    </row>
    <row r="975" spans="1:22" x14ac:dyDescent="0.35">
      <c r="A975">
        <v>974</v>
      </c>
      <c r="B975" t="s">
        <v>1815</v>
      </c>
      <c r="C975" t="s">
        <v>1362</v>
      </c>
      <c r="D975" t="s">
        <v>1816</v>
      </c>
      <c r="E975" t="s">
        <v>25</v>
      </c>
      <c r="F975" t="b">
        <v>1</v>
      </c>
      <c r="G975">
        <v>9</v>
      </c>
      <c r="H975" t="b">
        <v>1</v>
      </c>
      <c r="I975">
        <v>4</v>
      </c>
      <c r="J975" t="s">
        <v>64</v>
      </c>
      <c r="K975">
        <v>67</v>
      </c>
      <c r="L975">
        <v>56</v>
      </c>
      <c r="M975">
        <v>77</v>
      </c>
      <c r="N975">
        <v>93</v>
      </c>
      <c r="O975">
        <v>95</v>
      </c>
      <c r="P975">
        <v>50</v>
      </c>
      <c r="Q975">
        <v>74</v>
      </c>
      <c r="R975">
        <f>SUM(student_scores[[#This Row],[math_score]:[geography_score]])</f>
        <v>512</v>
      </c>
      <c r="S975" s="3">
        <f>student_scores[[#This Row],[Total_Score]]/7</f>
        <v>73.142857142857139</v>
      </c>
      <c r="T975" s="3" t="str" cm="1">
        <f t="array" ref="T975">_xlfn.IFS(student_scores[[#This Row],[weekly_self_study_hours]]&lt;=5,   "0 - 5", student_scores[[#This Row],[weekly_self_study_hours]]&lt;=10,  "6 - 10", student_scores[[#This Row],[weekly_self_study_hours]]&lt;=20,  "11 - 20",student_scores[[#This Row],[weekly_self_study_hours]]&lt;=30, "21 - 30",TRUE, "31+")</f>
        <v>0 - 5</v>
      </c>
      <c r="U975" t="str" cm="1">
        <f t="array" ref="U975">_xlfn.IFS(student_scores[[#This Row],[absence_days]]=0,"0", student_scores[[#This Row],[absence_days]]&lt;=3,"1-3", student_scores[[#This Row],[absence_days]]&lt;=6,"4-6", TRUE,"7-10")</f>
        <v>7-10</v>
      </c>
      <c r="V975" t="str">
        <f>IF(student_scores[[#This Row],[Total_Score]] &gt;= _xlfn.PERCENTILE.INC(student_scores[Total_Score], 0.8), "Yes", "No")</f>
        <v>No</v>
      </c>
    </row>
    <row r="976" spans="1:22" x14ac:dyDescent="0.35">
      <c r="A976">
        <v>975</v>
      </c>
      <c r="B976" t="s">
        <v>193</v>
      </c>
      <c r="C976" t="s">
        <v>1193</v>
      </c>
      <c r="D976" t="s">
        <v>1817</v>
      </c>
      <c r="E976" t="s">
        <v>25</v>
      </c>
      <c r="F976" t="b">
        <v>1</v>
      </c>
      <c r="G976">
        <v>2</v>
      </c>
      <c r="H976" t="b">
        <v>0</v>
      </c>
      <c r="I976">
        <v>0</v>
      </c>
      <c r="J976" t="s">
        <v>34</v>
      </c>
      <c r="K976">
        <v>100</v>
      </c>
      <c r="L976">
        <v>95</v>
      </c>
      <c r="M976">
        <v>60</v>
      </c>
      <c r="N976">
        <v>89</v>
      </c>
      <c r="O976">
        <v>77</v>
      </c>
      <c r="P976">
        <v>89</v>
      </c>
      <c r="Q976">
        <v>67</v>
      </c>
      <c r="R976">
        <f>SUM(student_scores[[#This Row],[math_score]:[geography_score]])</f>
        <v>577</v>
      </c>
      <c r="S976" s="3">
        <f>student_scores[[#This Row],[Total_Score]]/7</f>
        <v>82.428571428571431</v>
      </c>
      <c r="T976" s="3" t="str" cm="1">
        <f t="array" ref="T976">_xlfn.IFS(student_scores[[#This Row],[weekly_self_study_hours]]&lt;=5,   "0 - 5", student_scores[[#This Row],[weekly_self_study_hours]]&lt;=10,  "6 - 10", student_scores[[#This Row],[weekly_self_study_hours]]&lt;=20,  "11 - 20",student_scores[[#This Row],[weekly_self_study_hours]]&lt;=30, "21 - 30",TRUE, "31+")</f>
        <v>0 - 5</v>
      </c>
      <c r="U976" t="str" cm="1">
        <f t="array" ref="U976">_xlfn.IFS(student_scores[[#This Row],[absence_days]]=0,"0", student_scores[[#This Row],[absence_days]]&lt;=3,"1-3", student_scores[[#This Row],[absence_days]]&lt;=6,"4-6", TRUE,"7-10")</f>
        <v>1-3</v>
      </c>
      <c r="V976" t="str">
        <f>IF(student_scores[[#This Row],[Total_Score]] &gt;= _xlfn.PERCENTILE.INC(student_scores[Total_Score], 0.8), "Yes", "No")</f>
        <v>No</v>
      </c>
    </row>
    <row r="977" spans="1:22" x14ac:dyDescent="0.35">
      <c r="A977">
        <v>976</v>
      </c>
      <c r="B977" t="s">
        <v>752</v>
      </c>
      <c r="C977" t="s">
        <v>118</v>
      </c>
      <c r="D977" t="s">
        <v>1818</v>
      </c>
      <c r="E977" t="s">
        <v>20</v>
      </c>
      <c r="F977" t="b">
        <v>0</v>
      </c>
      <c r="G977">
        <v>3</v>
      </c>
      <c r="H977" t="b">
        <v>0</v>
      </c>
      <c r="I977">
        <v>17</v>
      </c>
      <c r="J977" t="s">
        <v>44</v>
      </c>
      <c r="K977">
        <v>88</v>
      </c>
      <c r="L977">
        <v>74</v>
      </c>
      <c r="M977">
        <v>60</v>
      </c>
      <c r="N977">
        <v>60</v>
      </c>
      <c r="O977">
        <v>78</v>
      </c>
      <c r="P977">
        <v>94</v>
      </c>
      <c r="Q977">
        <v>69</v>
      </c>
      <c r="R977">
        <f>SUM(student_scores[[#This Row],[math_score]:[geography_score]])</f>
        <v>523</v>
      </c>
      <c r="S977" s="3">
        <f>student_scores[[#This Row],[Total_Score]]/7</f>
        <v>74.714285714285708</v>
      </c>
      <c r="T977" s="3" t="str" cm="1">
        <f t="array" ref="T977">_xlfn.IFS(student_scores[[#This Row],[weekly_self_study_hours]]&lt;=5,   "0 - 5", student_scores[[#This Row],[weekly_self_study_hours]]&lt;=10,  "6 - 10", student_scores[[#This Row],[weekly_self_study_hours]]&lt;=20,  "11 - 20",student_scores[[#This Row],[weekly_self_study_hours]]&lt;=30, "21 - 30",TRUE, "31+")</f>
        <v>11 - 20</v>
      </c>
      <c r="U977" t="str" cm="1">
        <f t="array" ref="U977">_xlfn.IFS(student_scores[[#This Row],[absence_days]]=0,"0", student_scores[[#This Row],[absence_days]]&lt;=3,"1-3", student_scores[[#This Row],[absence_days]]&lt;=6,"4-6", TRUE,"7-10")</f>
        <v>1-3</v>
      </c>
      <c r="V977" t="str">
        <f>IF(student_scores[[#This Row],[Total_Score]] &gt;= _xlfn.PERCENTILE.INC(student_scores[Total_Score], 0.8), "Yes", "No")</f>
        <v>No</v>
      </c>
    </row>
    <row r="978" spans="1:22" x14ac:dyDescent="0.35">
      <c r="A978">
        <v>977</v>
      </c>
      <c r="B978" t="s">
        <v>65</v>
      </c>
      <c r="C978" t="s">
        <v>684</v>
      </c>
      <c r="D978" t="s">
        <v>1819</v>
      </c>
      <c r="E978" t="s">
        <v>25</v>
      </c>
      <c r="F978" t="b">
        <v>0</v>
      </c>
      <c r="G978">
        <v>1</v>
      </c>
      <c r="H978" t="b">
        <v>1</v>
      </c>
      <c r="I978">
        <v>20</v>
      </c>
      <c r="J978" t="s">
        <v>44</v>
      </c>
      <c r="K978">
        <v>86</v>
      </c>
      <c r="L978">
        <v>64</v>
      </c>
      <c r="M978">
        <v>100</v>
      </c>
      <c r="N978">
        <v>76</v>
      </c>
      <c r="O978">
        <v>99</v>
      </c>
      <c r="P978">
        <v>77</v>
      </c>
      <c r="Q978">
        <v>86</v>
      </c>
      <c r="R978">
        <f>SUM(student_scores[[#This Row],[math_score]:[geography_score]])</f>
        <v>588</v>
      </c>
      <c r="S978" s="3">
        <f>student_scores[[#This Row],[Total_Score]]/7</f>
        <v>84</v>
      </c>
      <c r="T978" s="3" t="str" cm="1">
        <f t="array" ref="T978">_xlfn.IFS(student_scores[[#This Row],[weekly_self_study_hours]]&lt;=5,   "0 - 5", student_scores[[#This Row],[weekly_self_study_hours]]&lt;=10,  "6 - 10", student_scores[[#This Row],[weekly_self_study_hours]]&lt;=20,  "11 - 20",student_scores[[#This Row],[weekly_self_study_hours]]&lt;=30, "21 - 30",TRUE, "31+")</f>
        <v>11 - 20</v>
      </c>
      <c r="U978" t="str" cm="1">
        <f t="array" ref="U978">_xlfn.IFS(student_scores[[#This Row],[absence_days]]=0,"0", student_scores[[#This Row],[absence_days]]&lt;=3,"1-3", student_scores[[#This Row],[absence_days]]&lt;=6,"4-6", TRUE,"7-10")</f>
        <v>1-3</v>
      </c>
      <c r="V978" t="str">
        <f>IF(student_scores[[#This Row],[Total_Score]] &gt;= _xlfn.PERCENTILE.INC(student_scores[Total_Score], 0.8), "Yes", "No")</f>
        <v>No</v>
      </c>
    </row>
    <row r="979" spans="1:22" x14ac:dyDescent="0.35">
      <c r="A979">
        <v>978</v>
      </c>
      <c r="B979" t="s">
        <v>369</v>
      </c>
      <c r="C979" t="s">
        <v>518</v>
      </c>
      <c r="D979" t="s">
        <v>1820</v>
      </c>
      <c r="E979" t="s">
        <v>25</v>
      </c>
      <c r="F979" t="b">
        <v>0</v>
      </c>
      <c r="G979">
        <v>2</v>
      </c>
      <c r="H979" t="b">
        <v>0</v>
      </c>
      <c r="I979">
        <v>35</v>
      </c>
      <c r="J979" t="s">
        <v>76</v>
      </c>
      <c r="K979">
        <v>85</v>
      </c>
      <c r="L979">
        <v>87</v>
      </c>
      <c r="M979">
        <v>90</v>
      </c>
      <c r="N979">
        <v>88</v>
      </c>
      <c r="O979">
        <v>87</v>
      </c>
      <c r="P979">
        <v>97</v>
      </c>
      <c r="Q979">
        <v>100</v>
      </c>
      <c r="R979">
        <f>SUM(student_scores[[#This Row],[math_score]:[geography_score]])</f>
        <v>634</v>
      </c>
      <c r="S979" s="3">
        <f>student_scores[[#This Row],[Total_Score]]/7</f>
        <v>90.571428571428569</v>
      </c>
      <c r="T979" s="3" t="str" cm="1">
        <f t="array" ref="T979">_xlfn.IFS(student_scores[[#This Row],[weekly_self_study_hours]]&lt;=5,   "0 - 5", student_scores[[#This Row],[weekly_self_study_hours]]&lt;=10,  "6 - 10", student_scores[[#This Row],[weekly_self_study_hours]]&lt;=20,  "11 - 20",student_scores[[#This Row],[weekly_self_study_hours]]&lt;=30, "21 - 30",TRUE, "31+")</f>
        <v>31+</v>
      </c>
      <c r="U979" t="str" cm="1">
        <f t="array" ref="U979">_xlfn.IFS(student_scores[[#This Row],[absence_days]]=0,"0", student_scores[[#This Row],[absence_days]]&lt;=3,"1-3", student_scores[[#This Row],[absence_days]]&lt;=6,"4-6", TRUE,"7-10")</f>
        <v>1-3</v>
      </c>
      <c r="V979" t="str">
        <f>IF(student_scores[[#This Row],[Total_Score]] &gt;= _xlfn.PERCENTILE.INC(student_scores[Total_Score], 0.8), "Yes", "No")</f>
        <v>Yes</v>
      </c>
    </row>
    <row r="980" spans="1:22" x14ac:dyDescent="0.35">
      <c r="A980">
        <v>979</v>
      </c>
      <c r="B980" t="s">
        <v>1141</v>
      </c>
      <c r="C980" t="s">
        <v>1199</v>
      </c>
      <c r="D980" t="s">
        <v>1821</v>
      </c>
      <c r="E980" t="s">
        <v>20</v>
      </c>
      <c r="F980" t="b">
        <v>0</v>
      </c>
      <c r="G980">
        <v>2</v>
      </c>
      <c r="H980" t="b">
        <v>0</v>
      </c>
      <c r="I980">
        <v>26</v>
      </c>
      <c r="J980" t="s">
        <v>44</v>
      </c>
      <c r="K980">
        <v>93</v>
      </c>
      <c r="L980">
        <v>95</v>
      </c>
      <c r="M980">
        <v>80</v>
      </c>
      <c r="N980">
        <v>88</v>
      </c>
      <c r="O980">
        <v>83</v>
      </c>
      <c r="P980">
        <v>62</v>
      </c>
      <c r="Q980">
        <v>65</v>
      </c>
      <c r="R980">
        <f>SUM(student_scores[[#This Row],[math_score]:[geography_score]])</f>
        <v>566</v>
      </c>
      <c r="S980" s="3">
        <f>student_scores[[#This Row],[Total_Score]]/7</f>
        <v>80.857142857142861</v>
      </c>
      <c r="T980" s="3" t="str" cm="1">
        <f t="array" ref="T980">_xlfn.IFS(student_scores[[#This Row],[weekly_self_study_hours]]&lt;=5,   "0 - 5", student_scores[[#This Row],[weekly_self_study_hours]]&lt;=10,  "6 - 10", student_scores[[#This Row],[weekly_self_study_hours]]&lt;=20,  "11 - 20",student_scores[[#This Row],[weekly_self_study_hours]]&lt;=30, "21 - 30",TRUE, "31+")</f>
        <v>21 - 30</v>
      </c>
      <c r="U980" t="str" cm="1">
        <f t="array" ref="U980">_xlfn.IFS(student_scores[[#This Row],[absence_days]]=0,"0", student_scores[[#This Row],[absence_days]]&lt;=3,"1-3", student_scores[[#This Row],[absence_days]]&lt;=6,"4-6", TRUE,"7-10")</f>
        <v>1-3</v>
      </c>
      <c r="V980" t="str">
        <f>IF(student_scores[[#This Row],[Total_Score]] &gt;= _xlfn.PERCENTILE.INC(student_scores[Total_Score], 0.8), "Yes", "No")</f>
        <v>No</v>
      </c>
    </row>
    <row r="981" spans="1:22" x14ac:dyDescent="0.35">
      <c r="A981">
        <v>980</v>
      </c>
      <c r="B981" t="s">
        <v>1491</v>
      </c>
      <c r="C981" t="s">
        <v>490</v>
      </c>
      <c r="D981" t="s">
        <v>1822</v>
      </c>
      <c r="E981" t="s">
        <v>25</v>
      </c>
      <c r="F981" t="b">
        <v>0</v>
      </c>
      <c r="G981">
        <v>3</v>
      </c>
      <c r="H981" t="b">
        <v>1</v>
      </c>
      <c r="I981">
        <v>24</v>
      </c>
      <c r="J981" t="s">
        <v>38</v>
      </c>
      <c r="K981">
        <v>80</v>
      </c>
      <c r="L981">
        <v>66</v>
      </c>
      <c r="M981">
        <v>77</v>
      </c>
      <c r="N981">
        <v>81</v>
      </c>
      <c r="O981">
        <v>99</v>
      </c>
      <c r="P981">
        <v>99</v>
      </c>
      <c r="Q981">
        <v>83</v>
      </c>
      <c r="R981">
        <f>SUM(student_scores[[#This Row],[math_score]:[geography_score]])</f>
        <v>585</v>
      </c>
      <c r="S981" s="3">
        <f>student_scores[[#This Row],[Total_Score]]/7</f>
        <v>83.571428571428569</v>
      </c>
      <c r="T981" s="3" t="str" cm="1">
        <f t="array" ref="T981">_xlfn.IFS(student_scores[[#This Row],[weekly_self_study_hours]]&lt;=5,   "0 - 5", student_scores[[#This Row],[weekly_self_study_hours]]&lt;=10,  "6 - 10", student_scores[[#This Row],[weekly_self_study_hours]]&lt;=20,  "11 - 20",student_scores[[#This Row],[weekly_self_study_hours]]&lt;=30, "21 - 30",TRUE, "31+")</f>
        <v>21 - 30</v>
      </c>
      <c r="U981" t="str" cm="1">
        <f t="array" ref="U981">_xlfn.IFS(student_scores[[#This Row],[absence_days]]=0,"0", student_scores[[#This Row],[absence_days]]&lt;=3,"1-3", student_scores[[#This Row],[absence_days]]&lt;=6,"4-6", TRUE,"7-10")</f>
        <v>1-3</v>
      </c>
      <c r="V981" t="str">
        <f>IF(student_scores[[#This Row],[Total_Score]] &gt;= _xlfn.PERCENTILE.INC(student_scores[Total_Score], 0.8), "Yes", "No")</f>
        <v>No</v>
      </c>
    </row>
    <row r="982" spans="1:22" x14ac:dyDescent="0.35">
      <c r="A982">
        <v>981</v>
      </c>
      <c r="B982" t="s">
        <v>1088</v>
      </c>
      <c r="C982" t="s">
        <v>1424</v>
      </c>
      <c r="D982" t="s">
        <v>1823</v>
      </c>
      <c r="E982" t="s">
        <v>25</v>
      </c>
      <c r="F982" t="b">
        <v>1</v>
      </c>
      <c r="G982">
        <v>6</v>
      </c>
      <c r="H982" t="b">
        <v>0</v>
      </c>
      <c r="I982">
        <v>0</v>
      </c>
      <c r="J982" t="s">
        <v>64</v>
      </c>
      <c r="K982">
        <v>56</v>
      </c>
      <c r="L982">
        <v>67</v>
      </c>
      <c r="M982">
        <v>57</v>
      </c>
      <c r="N982">
        <v>79</v>
      </c>
      <c r="O982">
        <v>87</v>
      </c>
      <c r="P982">
        <v>89</v>
      </c>
      <c r="Q982">
        <v>89</v>
      </c>
      <c r="R982">
        <f>SUM(student_scores[[#This Row],[math_score]:[geography_score]])</f>
        <v>524</v>
      </c>
      <c r="S982" s="3">
        <f>student_scores[[#This Row],[Total_Score]]/7</f>
        <v>74.857142857142861</v>
      </c>
      <c r="T982" s="3" t="str" cm="1">
        <f t="array" ref="T982">_xlfn.IFS(student_scores[[#This Row],[weekly_self_study_hours]]&lt;=5,   "0 - 5", student_scores[[#This Row],[weekly_self_study_hours]]&lt;=10,  "6 - 10", student_scores[[#This Row],[weekly_self_study_hours]]&lt;=20,  "11 - 20",student_scores[[#This Row],[weekly_self_study_hours]]&lt;=30, "21 - 30",TRUE, "31+")</f>
        <v>0 - 5</v>
      </c>
      <c r="U982" t="str" cm="1">
        <f t="array" ref="U982">_xlfn.IFS(student_scores[[#This Row],[absence_days]]=0,"0", student_scores[[#This Row],[absence_days]]&lt;=3,"1-3", student_scores[[#This Row],[absence_days]]&lt;=6,"4-6", TRUE,"7-10")</f>
        <v>4-6</v>
      </c>
      <c r="V982" t="str">
        <f>IF(student_scores[[#This Row],[Total_Score]] &gt;= _xlfn.PERCENTILE.INC(student_scores[Total_Score], 0.8), "Yes", "No")</f>
        <v>No</v>
      </c>
    </row>
    <row r="983" spans="1:22" x14ac:dyDescent="0.35">
      <c r="A983">
        <v>982</v>
      </c>
      <c r="B983" t="s">
        <v>473</v>
      </c>
      <c r="C983" t="s">
        <v>927</v>
      </c>
      <c r="D983" t="s">
        <v>1824</v>
      </c>
      <c r="E983" t="s">
        <v>20</v>
      </c>
      <c r="F983" t="b">
        <v>0</v>
      </c>
      <c r="G983">
        <v>7</v>
      </c>
      <c r="H983" t="b">
        <v>0</v>
      </c>
      <c r="I983">
        <v>32</v>
      </c>
      <c r="J983" t="s">
        <v>138</v>
      </c>
      <c r="K983">
        <v>87</v>
      </c>
      <c r="L983">
        <v>62</v>
      </c>
      <c r="M983">
        <v>84</v>
      </c>
      <c r="N983">
        <v>96</v>
      </c>
      <c r="O983">
        <v>69</v>
      </c>
      <c r="P983">
        <v>98</v>
      </c>
      <c r="Q983">
        <v>64</v>
      </c>
      <c r="R983">
        <f>SUM(student_scores[[#This Row],[math_score]:[geography_score]])</f>
        <v>560</v>
      </c>
      <c r="S983" s="3">
        <f>student_scores[[#This Row],[Total_Score]]/7</f>
        <v>80</v>
      </c>
      <c r="T983" s="3" t="str" cm="1">
        <f t="array" ref="T983">_xlfn.IFS(student_scores[[#This Row],[weekly_self_study_hours]]&lt;=5,   "0 - 5", student_scores[[#This Row],[weekly_self_study_hours]]&lt;=10,  "6 - 10", student_scores[[#This Row],[weekly_self_study_hours]]&lt;=20,  "11 - 20",student_scores[[#This Row],[weekly_self_study_hours]]&lt;=30, "21 - 30",TRUE, "31+")</f>
        <v>31+</v>
      </c>
      <c r="U983" t="str" cm="1">
        <f t="array" ref="U983">_xlfn.IFS(student_scores[[#This Row],[absence_days]]=0,"0", student_scores[[#This Row],[absence_days]]&lt;=3,"1-3", student_scores[[#This Row],[absence_days]]&lt;=6,"4-6", TRUE,"7-10")</f>
        <v>7-10</v>
      </c>
      <c r="V983" t="str">
        <f>IF(student_scores[[#This Row],[Total_Score]] &gt;= _xlfn.PERCENTILE.INC(student_scores[Total_Score], 0.8), "Yes", "No")</f>
        <v>No</v>
      </c>
    </row>
    <row r="984" spans="1:22" x14ac:dyDescent="0.35">
      <c r="A984">
        <v>983</v>
      </c>
      <c r="B984" t="s">
        <v>1171</v>
      </c>
      <c r="C984" t="s">
        <v>1249</v>
      </c>
      <c r="D984" t="s">
        <v>1825</v>
      </c>
      <c r="E984" t="s">
        <v>20</v>
      </c>
      <c r="F984" t="b">
        <v>0</v>
      </c>
      <c r="G984">
        <v>4</v>
      </c>
      <c r="H984" t="b">
        <v>1</v>
      </c>
      <c r="I984">
        <v>4</v>
      </c>
      <c r="J984" t="s">
        <v>224</v>
      </c>
      <c r="K984">
        <v>97</v>
      </c>
      <c r="L984">
        <v>85</v>
      </c>
      <c r="M984">
        <v>96</v>
      </c>
      <c r="N984">
        <v>61</v>
      </c>
      <c r="O984">
        <v>97</v>
      </c>
      <c r="P984">
        <v>79</v>
      </c>
      <c r="Q984">
        <v>70</v>
      </c>
      <c r="R984">
        <f>SUM(student_scores[[#This Row],[math_score]:[geography_score]])</f>
        <v>585</v>
      </c>
      <c r="S984" s="3">
        <f>student_scores[[#This Row],[Total_Score]]/7</f>
        <v>83.571428571428569</v>
      </c>
      <c r="T984" s="3" t="str" cm="1">
        <f t="array" ref="T984">_xlfn.IFS(student_scores[[#This Row],[weekly_self_study_hours]]&lt;=5,   "0 - 5", student_scores[[#This Row],[weekly_self_study_hours]]&lt;=10,  "6 - 10", student_scores[[#This Row],[weekly_self_study_hours]]&lt;=20,  "11 - 20",student_scores[[#This Row],[weekly_self_study_hours]]&lt;=30, "21 - 30",TRUE, "31+")</f>
        <v>0 - 5</v>
      </c>
      <c r="U984" t="str" cm="1">
        <f t="array" ref="U984">_xlfn.IFS(student_scores[[#This Row],[absence_days]]=0,"0", student_scores[[#This Row],[absence_days]]&lt;=3,"1-3", student_scores[[#This Row],[absence_days]]&lt;=6,"4-6", TRUE,"7-10")</f>
        <v>4-6</v>
      </c>
      <c r="V984" t="str">
        <f>IF(student_scores[[#This Row],[Total_Score]] &gt;= _xlfn.PERCENTILE.INC(student_scores[Total_Score], 0.8), "Yes", "No")</f>
        <v>No</v>
      </c>
    </row>
    <row r="985" spans="1:22" x14ac:dyDescent="0.35">
      <c r="A985">
        <v>984</v>
      </c>
      <c r="B985" t="s">
        <v>1007</v>
      </c>
      <c r="C985" t="s">
        <v>1044</v>
      </c>
      <c r="D985" t="s">
        <v>1826</v>
      </c>
      <c r="E985" t="s">
        <v>20</v>
      </c>
      <c r="F985" t="b">
        <v>0</v>
      </c>
      <c r="G985">
        <v>3</v>
      </c>
      <c r="H985" t="b">
        <v>0</v>
      </c>
      <c r="I985">
        <v>34</v>
      </c>
      <c r="J985" t="s">
        <v>76</v>
      </c>
      <c r="K985">
        <v>86</v>
      </c>
      <c r="L985">
        <v>67</v>
      </c>
      <c r="M985">
        <v>98</v>
      </c>
      <c r="N985">
        <v>86</v>
      </c>
      <c r="O985">
        <v>86</v>
      </c>
      <c r="P985">
        <v>83</v>
      </c>
      <c r="Q985">
        <v>89</v>
      </c>
      <c r="R985">
        <f>SUM(student_scores[[#This Row],[math_score]:[geography_score]])</f>
        <v>595</v>
      </c>
      <c r="S985" s="3">
        <f>student_scores[[#This Row],[Total_Score]]/7</f>
        <v>85</v>
      </c>
      <c r="T985" s="3" t="str" cm="1">
        <f t="array" ref="T985">_xlfn.IFS(student_scores[[#This Row],[weekly_self_study_hours]]&lt;=5,   "0 - 5", student_scores[[#This Row],[weekly_self_study_hours]]&lt;=10,  "6 - 10", student_scores[[#This Row],[weekly_self_study_hours]]&lt;=20,  "11 - 20",student_scores[[#This Row],[weekly_self_study_hours]]&lt;=30, "21 - 30",TRUE, "31+")</f>
        <v>31+</v>
      </c>
      <c r="U985" t="str" cm="1">
        <f t="array" ref="U985">_xlfn.IFS(student_scores[[#This Row],[absence_days]]=0,"0", student_scores[[#This Row],[absence_days]]&lt;=3,"1-3", student_scores[[#This Row],[absence_days]]&lt;=6,"4-6", TRUE,"7-10")</f>
        <v>1-3</v>
      </c>
      <c r="V985" t="str">
        <f>IF(student_scores[[#This Row],[Total_Score]] &gt;= _xlfn.PERCENTILE.INC(student_scores[Total_Score], 0.8), "Yes", "No")</f>
        <v>No</v>
      </c>
    </row>
    <row r="986" spans="1:22" x14ac:dyDescent="0.35">
      <c r="A986">
        <v>985</v>
      </c>
      <c r="B986" t="s">
        <v>514</v>
      </c>
      <c r="C986" t="s">
        <v>295</v>
      </c>
      <c r="D986" t="s">
        <v>1827</v>
      </c>
      <c r="E986" t="s">
        <v>25</v>
      </c>
      <c r="F986" t="b">
        <v>1</v>
      </c>
      <c r="G986">
        <v>3</v>
      </c>
      <c r="H986" t="b">
        <v>0</v>
      </c>
      <c r="I986">
        <v>29</v>
      </c>
      <c r="J986" t="s">
        <v>44</v>
      </c>
      <c r="K986">
        <v>97</v>
      </c>
      <c r="L986">
        <v>85</v>
      </c>
      <c r="M986">
        <v>81</v>
      </c>
      <c r="N986">
        <v>71</v>
      </c>
      <c r="O986">
        <v>62</v>
      </c>
      <c r="P986">
        <v>62</v>
      </c>
      <c r="Q986">
        <v>82</v>
      </c>
      <c r="R986">
        <f>SUM(student_scores[[#This Row],[math_score]:[geography_score]])</f>
        <v>540</v>
      </c>
      <c r="S986" s="3">
        <f>student_scores[[#This Row],[Total_Score]]/7</f>
        <v>77.142857142857139</v>
      </c>
      <c r="T986" s="3" t="str" cm="1">
        <f t="array" ref="T986">_xlfn.IFS(student_scores[[#This Row],[weekly_self_study_hours]]&lt;=5,   "0 - 5", student_scores[[#This Row],[weekly_self_study_hours]]&lt;=10,  "6 - 10", student_scores[[#This Row],[weekly_self_study_hours]]&lt;=20,  "11 - 20",student_scores[[#This Row],[weekly_self_study_hours]]&lt;=30, "21 - 30",TRUE, "31+")</f>
        <v>21 - 30</v>
      </c>
      <c r="U986" t="str" cm="1">
        <f t="array" ref="U986">_xlfn.IFS(student_scores[[#This Row],[absence_days]]=0,"0", student_scores[[#This Row],[absence_days]]&lt;=3,"1-3", student_scores[[#This Row],[absence_days]]&lt;=6,"4-6", TRUE,"7-10")</f>
        <v>1-3</v>
      </c>
      <c r="V986" t="str">
        <f>IF(student_scores[[#This Row],[Total_Score]] &gt;= _xlfn.PERCENTILE.INC(student_scores[Total_Score], 0.8), "Yes", "No")</f>
        <v>No</v>
      </c>
    </row>
    <row r="987" spans="1:22" x14ac:dyDescent="0.35">
      <c r="A987">
        <v>986</v>
      </c>
      <c r="B987" t="s">
        <v>881</v>
      </c>
      <c r="C987" t="s">
        <v>707</v>
      </c>
      <c r="D987" t="s">
        <v>1828</v>
      </c>
      <c r="E987" t="s">
        <v>20</v>
      </c>
      <c r="F987" t="b">
        <v>0</v>
      </c>
      <c r="G987">
        <v>2</v>
      </c>
      <c r="H987" t="b">
        <v>1</v>
      </c>
      <c r="I987">
        <v>35</v>
      </c>
      <c r="J987" t="s">
        <v>38</v>
      </c>
      <c r="K987">
        <v>91</v>
      </c>
      <c r="L987">
        <v>94</v>
      </c>
      <c r="M987">
        <v>97</v>
      </c>
      <c r="N987">
        <v>97</v>
      </c>
      <c r="O987">
        <v>100</v>
      </c>
      <c r="P987">
        <v>88</v>
      </c>
      <c r="Q987">
        <v>99</v>
      </c>
      <c r="R987">
        <f>SUM(student_scores[[#This Row],[math_score]:[geography_score]])</f>
        <v>666</v>
      </c>
      <c r="S987" s="3">
        <f>student_scores[[#This Row],[Total_Score]]/7</f>
        <v>95.142857142857139</v>
      </c>
      <c r="T987" s="3" t="str" cm="1">
        <f t="array" ref="T987">_xlfn.IFS(student_scores[[#This Row],[weekly_self_study_hours]]&lt;=5,   "0 - 5", student_scores[[#This Row],[weekly_self_study_hours]]&lt;=10,  "6 - 10", student_scores[[#This Row],[weekly_self_study_hours]]&lt;=20,  "11 - 20",student_scores[[#This Row],[weekly_self_study_hours]]&lt;=30, "21 - 30",TRUE, "31+")</f>
        <v>31+</v>
      </c>
      <c r="U987" t="str" cm="1">
        <f t="array" ref="U987">_xlfn.IFS(student_scores[[#This Row],[absence_days]]=0,"0", student_scores[[#This Row],[absence_days]]&lt;=3,"1-3", student_scores[[#This Row],[absence_days]]&lt;=6,"4-6", TRUE,"7-10")</f>
        <v>1-3</v>
      </c>
      <c r="V987" t="str">
        <f>IF(student_scores[[#This Row],[Total_Score]] &gt;= _xlfn.PERCENTILE.INC(student_scores[Total_Score], 0.8), "Yes", "No")</f>
        <v>Yes</v>
      </c>
    </row>
    <row r="988" spans="1:22" x14ac:dyDescent="0.35">
      <c r="A988">
        <v>987</v>
      </c>
      <c r="B988" t="s">
        <v>1357</v>
      </c>
      <c r="C988" t="s">
        <v>1682</v>
      </c>
      <c r="D988" t="s">
        <v>1829</v>
      </c>
      <c r="E988" t="s">
        <v>25</v>
      </c>
      <c r="F988" t="b">
        <v>0</v>
      </c>
      <c r="G988">
        <v>5</v>
      </c>
      <c r="H988" t="b">
        <v>0</v>
      </c>
      <c r="I988">
        <v>23</v>
      </c>
      <c r="J988" t="s">
        <v>44</v>
      </c>
      <c r="K988">
        <v>86</v>
      </c>
      <c r="L988">
        <v>64</v>
      </c>
      <c r="M988">
        <v>96</v>
      </c>
      <c r="N988">
        <v>84</v>
      </c>
      <c r="O988">
        <v>86</v>
      </c>
      <c r="P988">
        <v>96</v>
      </c>
      <c r="Q988">
        <v>92</v>
      </c>
      <c r="R988">
        <f>SUM(student_scores[[#This Row],[math_score]:[geography_score]])</f>
        <v>604</v>
      </c>
      <c r="S988" s="3">
        <f>student_scores[[#This Row],[Total_Score]]/7</f>
        <v>86.285714285714292</v>
      </c>
      <c r="T988" s="3" t="str" cm="1">
        <f t="array" ref="T988">_xlfn.IFS(student_scores[[#This Row],[weekly_self_study_hours]]&lt;=5,   "0 - 5", student_scores[[#This Row],[weekly_self_study_hours]]&lt;=10,  "6 - 10", student_scores[[#This Row],[weekly_self_study_hours]]&lt;=20,  "11 - 20",student_scores[[#This Row],[weekly_self_study_hours]]&lt;=30, "21 - 30",TRUE, "31+")</f>
        <v>21 - 30</v>
      </c>
      <c r="U988" t="str" cm="1">
        <f t="array" ref="U988">_xlfn.IFS(student_scores[[#This Row],[absence_days]]=0,"0", student_scores[[#This Row],[absence_days]]&lt;=3,"1-3", student_scores[[#This Row],[absence_days]]&lt;=6,"4-6", TRUE,"7-10")</f>
        <v>4-6</v>
      </c>
      <c r="V988" t="str">
        <f>IF(student_scores[[#This Row],[Total_Score]] &gt;= _xlfn.PERCENTILE.INC(student_scores[Total_Score], 0.8), "Yes", "No")</f>
        <v>Yes</v>
      </c>
    </row>
    <row r="989" spans="1:22" x14ac:dyDescent="0.35">
      <c r="A989">
        <v>988</v>
      </c>
      <c r="B989" t="s">
        <v>1082</v>
      </c>
      <c r="C989" t="s">
        <v>146</v>
      </c>
      <c r="D989" t="s">
        <v>1830</v>
      </c>
      <c r="E989" t="s">
        <v>20</v>
      </c>
      <c r="F989" t="b">
        <v>1</v>
      </c>
      <c r="G989">
        <v>8</v>
      </c>
      <c r="H989" t="b">
        <v>0</v>
      </c>
      <c r="I989">
        <v>5</v>
      </c>
      <c r="J989" t="s">
        <v>64</v>
      </c>
      <c r="K989">
        <v>90</v>
      </c>
      <c r="L989">
        <v>97</v>
      </c>
      <c r="M989">
        <v>54</v>
      </c>
      <c r="N989">
        <v>59</v>
      </c>
      <c r="O989">
        <v>82</v>
      </c>
      <c r="P989">
        <v>76</v>
      </c>
      <c r="Q989">
        <v>72</v>
      </c>
      <c r="R989">
        <f>SUM(student_scores[[#This Row],[math_score]:[geography_score]])</f>
        <v>530</v>
      </c>
      <c r="S989" s="3">
        <f>student_scores[[#This Row],[Total_Score]]/7</f>
        <v>75.714285714285708</v>
      </c>
      <c r="T989" s="3" t="str" cm="1">
        <f t="array" ref="T989">_xlfn.IFS(student_scores[[#This Row],[weekly_self_study_hours]]&lt;=5,   "0 - 5", student_scores[[#This Row],[weekly_self_study_hours]]&lt;=10,  "6 - 10", student_scores[[#This Row],[weekly_self_study_hours]]&lt;=20,  "11 - 20",student_scores[[#This Row],[weekly_self_study_hours]]&lt;=30, "21 - 30",TRUE, "31+")</f>
        <v>0 - 5</v>
      </c>
      <c r="U989" t="str" cm="1">
        <f t="array" ref="U989">_xlfn.IFS(student_scores[[#This Row],[absence_days]]=0,"0", student_scores[[#This Row],[absence_days]]&lt;=3,"1-3", student_scores[[#This Row],[absence_days]]&lt;=6,"4-6", TRUE,"7-10")</f>
        <v>7-10</v>
      </c>
      <c r="V989" t="str">
        <f>IF(student_scores[[#This Row],[Total_Score]] &gt;= _xlfn.PERCENTILE.INC(student_scores[Total_Score], 0.8), "Yes", "No")</f>
        <v>No</v>
      </c>
    </row>
    <row r="990" spans="1:22" x14ac:dyDescent="0.35">
      <c r="A990">
        <v>989</v>
      </c>
      <c r="B990" t="s">
        <v>68</v>
      </c>
      <c r="C990" t="s">
        <v>392</v>
      </c>
      <c r="D990" t="s">
        <v>1831</v>
      </c>
      <c r="E990" t="s">
        <v>25</v>
      </c>
      <c r="F990" t="b">
        <v>0</v>
      </c>
      <c r="G990">
        <v>0</v>
      </c>
      <c r="H990" t="b">
        <v>0</v>
      </c>
      <c r="I990">
        <v>1</v>
      </c>
      <c r="J990" t="s">
        <v>159</v>
      </c>
      <c r="K990">
        <v>95</v>
      </c>
      <c r="L990">
        <v>87</v>
      </c>
      <c r="M990">
        <v>87</v>
      </c>
      <c r="N990">
        <v>84</v>
      </c>
      <c r="O990">
        <v>95</v>
      </c>
      <c r="P990">
        <v>84</v>
      </c>
      <c r="Q990">
        <v>65</v>
      </c>
      <c r="R990">
        <f>SUM(student_scores[[#This Row],[math_score]:[geography_score]])</f>
        <v>597</v>
      </c>
      <c r="S990" s="3">
        <f>student_scores[[#This Row],[Total_Score]]/7</f>
        <v>85.285714285714292</v>
      </c>
      <c r="T990" s="3" t="str" cm="1">
        <f t="array" ref="T990">_xlfn.IFS(student_scores[[#This Row],[weekly_self_study_hours]]&lt;=5,   "0 - 5", student_scores[[#This Row],[weekly_self_study_hours]]&lt;=10,  "6 - 10", student_scores[[#This Row],[weekly_self_study_hours]]&lt;=20,  "11 - 20",student_scores[[#This Row],[weekly_self_study_hours]]&lt;=30, "21 - 30",TRUE, "31+")</f>
        <v>0 - 5</v>
      </c>
      <c r="U990" t="str" cm="1">
        <f t="array" ref="U990">_xlfn.IFS(student_scores[[#This Row],[absence_days]]=0,"0", student_scores[[#This Row],[absence_days]]&lt;=3,"1-3", student_scores[[#This Row],[absence_days]]&lt;=6,"4-6", TRUE,"7-10")</f>
        <v>0</v>
      </c>
      <c r="V990" t="str">
        <f>IF(student_scores[[#This Row],[Total_Score]] &gt;= _xlfn.PERCENTILE.INC(student_scores[Total_Score], 0.8), "Yes", "No")</f>
        <v>No</v>
      </c>
    </row>
    <row r="991" spans="1:22" x14ac:dyDescent="0.35">
      <c r="A991">
        <v>990</v>
      </c>
      <c r="B991" t="s">
        <v>1832</v>
      </c>
      <c r="C991" t="s">
        <v>259</v>
      </c>
      <c r="D991" t="s">
        <v>1833</v>
      </c>
      <c r="E991" t="s">
        <v>20</v>
      </c>
      <c r="F991" t="b">
        <v>0</v>
      </c>
      <c r="G991">
        <v>1</v>
      </c>
      <c r="H991" t="b">
        <v>0</v>
      </c>
      <c r="I991">
        <v>31</v>
      </c>
      <c r="J991" t="s">
        <v>105</v>
      </c>
      <c r="K991">
        <v>90</v>
      </c>
      <c r="L991">
        <v>100</v>
      </c>
      <c r="M991">
        <v>76</v>
      </c>
      <c r="N991">
        <v>76</v>
      </c>
      <c r="O991">
        <v>84</v>
      </c>
      <c r="P991">
        <v>79</v>
      </c>
      <c r="Q991">
        <v>84</v>
      </c>
      <c r="R991">
        <f>SUM(student_scores[[#This Row],[math_score]:[geography_score]])</f>
        <v>589</v>
      </c>
      <c r="S991" s="3">
        <f>student_scores[[#This Row],[Total_Score]]/7</f>
        <v>84.142857142857139</v>
      </c>
      <c r="T991" s="3" t="str" cm="1">
        <f t="array" ref="T991">_xlfn.IFS(student_scores[[#This Row],[weekly_self_study_hours]]&lt;=5,   "0 - 5", student_scores[[#This Row],[weekly_self_study_hours]]&lt;=10,  "6 - 10", student_scores[[#This Row],[weekly_self_study_hours]]&lt;=20,  "11 - 20",student_scores[[#This Row],[weekly_self_study_hours]]&lt;=30, "21 - 30",TRUE, "31+")</f>
        <v>31+</v>
      </c>
      <c r="U991" t="str" cm="1">
        <f t="array" ref="U991">_xlfn.IFS(student_scores[[#This Row],[absence_days]]=0,"0", student_scores[[#This Row],[absence_days]]&lt;=3,"1-3", student_scores[[#This Row],[absence_days]]&lt;=6,"4-6", TRUE,"7-10")</f>
        <v>1-3</v>
      </c>
      <c r="V991" t="str">
        <f>IF(student_scores[[#This Row],[Total_Score]] &gt;= _xlfn.PERCENTILE.INC(student_scores[Total_Score], 0.8), "Yes", "No")</f>
        <v>No</v>
      </c>
    </row>
    <row r="992" spans="1:22" x14ac:dyDescent="0.35">
      <c r="A992">
        <v>991</v>
      </c>
      <c r="B992" t="s">
        <v>294</v>
      </c>
      <c r="C992" t="s">
        <v>246</v>
      </c>
      <c r="D992" t="s">
        <v>1834</v>
      </c>
      <c r="E992" t="s">
        <v>25</v>
      </c>
      <c r="F992" t="b">
        <v>0</v>
      </c>
      <c r="G992">
        <v>1</v>
      </c>
      <c r="H992" t="b">
        <v>1</v>
      </c>
      <c r="I992">
        <v>14</v>
      </c>
      <c r="J992" t="s">
        <v>38</v>
      </c>
      <c r="K992">
        <v>66</v>
      </c>
      <c r="L992">
        <v>68</v>
      </c>
      <c r="M992">
        <v>87</v>
      </c>
      <c r="N992">
        <v>70</v>
      </c>
      <c r="O992">
        <v>77</v>
      </c>
      <c r="P992">
        <v>76</v>
      </c>
      <c r="Q992">
        <v>89</v>
      </c>
      <c r="R992">
        <f>SUM(student_scores[[#This Row],[math_score]:[geography_score]])</f>
        <v>533</v>
      </c>
      <c r="S992" s="3">
        <f>student_scores[[#This Row],[Total_Score]]/7</f>
        <v>76.142857142857139</v>
      </c>
      <c r="T992" s="3" t="str" cm="1">
        <f t="array" ref="T992">_xlfn.IFS(student_scores[[#This Row],[weekly_self_study_hours]]&lt;=5,   "0 - 5", student_scores[[#This Row],[weekly_self_study_hours]]&lt;=10,  "6 - 10", student_scores[[#This Row],[weekly_self_study_hours]]&lt;=20,  "11 - 20",student_scores[[#This Row],[weekly_self_study_hours]]&lt;=30, "21 - 30",TRUE, "31+")</f>
        <v>11 - 20</v>
      </c>
      <c r="U992" t="str" cm="1">
        <f t="array" ref="U992">_xlfn.IFS(student_scores[[#This Row],[absence_days]]=0,"0", student_scores[[#This Row],[absence_days]]&lt;=3,"1-3", student_scores[[#This Row],[absence_days]]&lt;=6,"4-6", TRUE,"7-10")</f>
        <v>1-3</v>
      </c>
      <c r="V992" t="str">
        <f>IF(student_scores[[#This Row],[Total_Score]] &gt;= _xlfn.PERCENTILE.INC(student_scores[Total_Score], 0.8), "Yes", "No")</f>
        <v>No</v>
      </c>
    </row>
    <row r="993" spans="1:22" x14ac:dyDescent="0.35">
      <c r="A993">
        <v>992</v>
      </c>
      <c r="B993" t="s">
        <v>160</v>
      </c>
      <c r="C993" t="s">
        <v>1193</v>
      </c>
      <c r="D993" t="s">
        <v>1835</v>
      </c>
      <c r="E993" t="s">
        <v>20</v>
      </c>
      <c r="F993" t="b">
        <v>0</v>
      </c>
      <c r="G993">
        <v>6</v>
      </c>
      <c r="H993" t="b">
        <v>0</v>
      </c>
      <c r="I993">
        <v>3</v>
      </c>
      <c r="J993" t="s">
        <v>64</v>
      </c>
      <c r="K993">
        <v>81</v>
      </c>
      <c r="L993">
        <v>92</v>
      </c>
      <c r="M993">
        <v>72</v>
      </c>
      <c r="N993">
        <v>91</v>
      </c>
      <c r="O993">
        <v>67</v>
      </c>
      <c r="P993">
        <v>71</v>
      </c>
      <c r="Q993">
        <v>88</v>
      </c>
      <c r="R993">
        <f>SUM(student_scores[[#This Row],[math_score]:[geography_score]])</f>
        <v>562</v>
      </c>
      <c r="S993" s="3">
        <f>student_scores[[#This Row],[Total_Score]]/7</f>
        <v>80.285714285714292</v>
      </c>
      <c r="T993" s="3" t="str" cm="1">
        <f t="array" ref="T993">_xlfn.IFS(student_scores[[#This Row],[weekly_self_study_hours]]&lt;=5,   "0 - 5", student_scores[[#This Row],[weekly_self_study_hours]]&lt;=10,  "6 - 10", student_scores[[#This Row],[weekly_self_study_hours]]&lt;=20,  "11 - 20",student_scores[[#This Row],[weekly_self_study_hours]]&lt;=30, "21 - 30",TRUE, "31+")</f>
        <v>0 - 5</v>
      </c>
      <c r="U993" t="str" cm="1">
        <f t="array" ref="U993">_xlfn.IFS(student_scores[[#This Row],[absence_days]]=0,"0", student_scores[[#This Row],[absence_days]]&lt;=3,"1-3", student_scores[[#This Row],[absence_days]]&lt;=6,"4-6", TRUE,"7-10")</f>
        <v>4-6</v>
      </c>
      <c r="V993" t="str">
        <f>IF(student_scores[[#This Row],[Total_Score]] &gt;= _xlfn.PERCENTILE.INC(student_scores[Total_Score], 0.8), "Yes", "No")</f>
        <v>No</v>
      </c>
    </row>
    <row r="994" spans="1:22" x14ac:dyDescent="0.35">
      <c r="A994">
        <v>993</v>
      </c>
      <c r="B994" t="s">
        <v>263</v>
      </c>
      <c r="C994" t="s">
        <v>300</v>
      </c>
      <c r="D994" t="s">
        <v>1836</v>
      </c>
      <c r="E994" t="s">
        <v>20</v>
      </c>
      <c r="F994" t="b">
        <v>1</v>
      </c>
      <c r="G994">
        <v>2</v>
      </c>
      <c r="H994" t="b">
        <v>0</v>
      </c>
      <c r="I994">
        <v>18</v>
      </c>
      <c r="J994" t="s">
        <v>44</v>
      </c>
      <c r="K994">
        <v>85</v>
      </c>
      <c r="L994">
        <v>99</v>
      </c>
      <c r="M994">
        <v>86</v>
      </c>
      <c r="N994">
        <v>69</v>
      </c>
      <c r="O994">
        <v>68</v>
      </c>
      <c r="P994">
        <v>98</v>
      </c>
      <c r="Q994">
        <v>62</v>
      </c>
      <c r="R994">
        <f>SUM(student_scores[[#This Row],[math_score]:[geography_score]])</f>
        <v>567</v>
      </c>
      <c r="S994" s="3">
        <f>student_scores[[#This Row],[Total_Score]]/7</f>
        <v>81</v>
      </c>
      <c r="T994" s="3" t="str" cm="1">
        <f t="array" ref="T994">_xlfn.IFS(student_scores[[#This Row],[weekly_self_study_hours]]&lt;=5,   "0 - 5", student_scores[[#This Row],[weekly_self_study_hours]]&lt;=10,  "6 - 10", student_scores[[#This Row],[weekly_self_study_hours]]&lt;=20,  "11 - 20",student_scores[[#This Row],[weekly_self_study_hours]]&lt;=30, "21 - 30",TRUE, "31+")</f>
        <v>11 - 20</v>
      </c>
      <c r="U994" t="str" cm="1">
        <f t="array" ref="U994">_xlfn.IFS(student_scores[[#This Row],[absence_days]]=0,"0", student_scores[[#This Row],[absence_days]]&lt;=3,"1-3", student_scores[[#This Row],[absence_days]]&lt;=6,"4-6", TRUE,"7-10")</f>
        <v>1-3</v>
      </c>
      <c r="V994" t="str">
        <f>IF(student_scores[[#This Row],[Total_Score]] &gt;= _xlfn.PERCENTILE.INC(student_scores[Total_Score], 0.8), "Yes", "No")</f>
        <v>No</v>
      </c>
    </row>
    <row r="995" spans="1:22" x14ac:dyDescent="0.35">
      <c r="A995">
        <v>994</v>
      </c>
      <c r="B995" t="s">
        <v>1837</v>
      </c>
      <c r="C995" t="s">
        <v>332</v>
      </c>
      <c r="D995" t="s">
        <v>1838</v>
      </c>
      <c r="E995" t="s">
        <v>20</v>
      </c>
      <c r="F995" t="b">
        <v>0</v>
      </c>
      <c r="G995">
        <v>1</v>
      </c>
      <c r="H995" t="b">
        <v>1</v>
      </c>
      <c r="I995">
        <v>47</v>
      </c>
      <c r="J995" t="s">
        <v>26</v>
      </c>
      <c r="K995">
        <v>94</v>
      </c>
      <c r="L995">
        <v>90</v>
      </c>
      <c r="M995">
        <v>95</v>
      </c>
      <c r="N995">
        <v>85</v>
      </c>
      <c r="O995">
        <v>98</v>
      </c>
      <c r="P995">
        <v>91</v>
      </c>
      <c r="Q995">
        <v>96</v>
      </c>
      <c r="R995">
        <f>SUM(student_scores[[#This Row],[math_score]:[geography_score]])</f>
        <v>649</v>
      </c>
      <c r="S995" s="3">
        <f>student_scores[[#This Row],[Total_Score]]/7</f>
        <v>92.714285714285708</v>
      </c>
      <c r="T995" s="3" t="str" cm="1">
        <f t="array" ref="T995">_xlfn.IFS(student_scores[[#This Row],[weekly_self_study_hours]]&lt;=5,   "0 - 5", student_scores[[#This Row],[weekly_self_study_hours]]&lt;=10,  "6 - 10", student_scores[[#This Row],[weekly_self_study_hours]]&lt;=20,  "11 - 20",student_scores[[#This Row],[weekly_self_study_hours]]&lt;=30, "21 - 30",TRUE, "31+")</f>
        <v>31+</v>
      </c>
      <c r="U995" t="str" cm="1">
        <f t="array" ref="U995">_xlfn.IFS(student_scores[[#This Row],[absence_days]]=0,"0", student_scores[[#This Row],[absence_days]]&lt;=3,"1-3", student_scores[[#This Row],[absence_days]]&lt;=6,"4-6", TRUE,"7-10")</f>
        <v>1-3</v>
      </c>
      <c r="V995" t="str">
        <f>IF(student_scores[[#This Row],[Total_Score]] &gt;= _xlfn.PERCENTILE.INC(student_scores[Total_Score], 0.8), "Yes", "No")</f>
        <v>Yes</v>
      </c>
    </row>
    <row r="996" spans="1:22" x14ac:dyDescent="0.35">
      <c r="A996">
        <v>995</v>
      </c>
      <c r="B996" t="s">
        <v>655</v>
      </c>
      <c r="C996" t="s">
        <v>118</v>
      </c>
      <c r="D996" t="s">
        <v>1839</v>
      </c>
      <c r="E996" t="s">
        <v>25</v>
      </c>
      <c r="F996" t="b">
        <v>0</v>
      </c>
      <c r="G996">
        <v>2</v>
      </c>
      <c r="H996" t="b">
        <v>0</v>
      </c>
      <c r="I996">
        <v>4</v>
      </c>
      <c r="J996" t="s">
        <v>159</v>
      </c>
      <c r="K996">
        <v>81</v>
      </c>
      <c r="L996">
        <v>71</v>
      </c>
      <c r="M996">
        <v>83</v>
      </c>
      <c r="N996">
        <v>63</v>
      </c>
      <c r="O996">
        <v>80</v>
      </c>
      <c r="P996">
        <v>79</v>
      </c>
      <c r="Q996">
        <v>83</v>
      </c>
      <c r="R996">
        <f>SUM(student_scores[[#This Row],[math_score]:[geography_score]])</f>
        <v>540</v>
      </c>
      <c r="S996" s="3">
        <f>student_scores[[#This Row],[Total_Score]]/7</f>
        <v>77.142857142857139</v>
      </c>
      <c r="T996" s="3" t="str" cm="1">
        <f t="array" ref="T996">_xlfn.IFS(student_scores[[#This Row],[weekly_self_study_hours]]&lt;=5,   "0 - 5", student_scores[[#This Row],[weekly_self_study_hours]]&lt;=10,  "6 - 10", student_scores[[#This Row],[weekly_self_study_hours]]&lt;=20,  "11 - 20",student_scores[[#This Row],[weekly_self_study_hours]]&lt;=30, "21 - 30",TRUE, "31+")</f>
        <v>0 - 5</v>
      </c>
      <c r="U996" t="str" cm="1">
        <f t="array" ref="U996">_xlfn.IFS(student_scores[[#This Row],[absence_days]]=0,"0", student_scores[[#This Row],[absence_days]]&lt;=3,"1-3", student_scores[[#This Row],[absence_days]]&lt;=6,"4-6", TRUE,"7-10")</f>
        <v>1-3</v>
      </c>
      <c r="V996" t="str">
        <f>IF(student_scores[[#This Row],[Total_Score]] &gt;= _xlfn.PERCENTILE.INC(student_scores[Total_Score], 0.8), "Yes", "No")</f>
        <v>No</v>
      </c>
    </row>
    <row r="997" spans="1:22" x14ac:dyDescent="0.35">
      <c r="A997">
        <v>996</v>
      </c>
      <c r="B997" t="s">
        <v>214</v>
      </c>
      <c r="C997" t="s">
        <v>164</v>
      </c>
      <c r="D997" t="s">
        <v>1840</v>
      </c>
      <c r="E997" t="s">
        <v>20</v>
      </c>
      <c r="F997" t="b">
        <v>1</v>
      </c>
      <c r="G997">
        <v>1</v>
      </c>
      <c r="H997" t="b">
        <v>1</v>
      </c>
      <c r="I997">
        <v>32</v>
      </c>
      <c r="J997" t="s">
        <v>44</v>
      </c>
      <c r="K997">
        <v>97</v>
      </c>
      <c r="L997">
        <v>87</v>
      </c>
      <c r="M997">
        <v>95</v>
      </c>
      <c r="N997">
        <v>67</v>
      </c>
      <c r="O997">
        <v>98</v>
      </c>
      <c r="P997">
        <v>93</v>
      </c>
      <c r="Q997">
        <v>89</v>
      </c>
      <c r="R997">
        <f>SUM(student_scores[[#This Row],[math_score]:[geography_score]])</f>
        <v>626</v>
      </c>
      <c r="S997" s="3">
        <f>student_scores[[#This Row],[Total_Score]]/7</f>
        <v>89.428571428571431</v>
      </c>
      <c r="T997" s="3" t="str" cm="1">
        <f t="array" ref="T997">_xlfn.IFS(student_scores[[#This Row],[weekly_self_study_hours]]&lt;=5,   "0 - 5", student_scores[[#This Row],[weekly_self_study_hours]]&lt;=10,  "6 - 10", student_scores[[#This Row],[weekly_self_study_hours]]&lt;=20,  "11 - 20",student_scores[[#This Row],[weekly_self_study_hours]]&lt;=30, "21 - 30",TRUE, "31+")</f>
        <v>31+</v>
      </c>
      <c r="U997" t="str" cm="1">
        <f t="array" ref="U997">_xlfn.IFS(student_scores[[#This Row],[absence_days]]=0,"0", student_scores[[#This Row],[absence_days]]&lt;=3,"1-3", student_scores[[#This Row],[absence_days]]&lt;=6,"4-6", TRUE,"7-10")</f>
        <v>1-3</v>
      </c>
      <c r="V997" t="str">
        <f>IF(student_scores[[#This Row],[Total_Score]] &gt;= _xlfn.PERCENTILE.INC(student_scores[Total_Score], 0.8), "Yes", "No")</f>
        <v>Yes</v>
      </c>
    </row>
    <row r="998" spans="1:22" x14ac:dyDescent="0.35">
      <c r="A998">
        <v>997</v>
      </c>
      <c r="B998" t="s">
        <v>283</v>
      </c>
      <c r="C998" t="s">
        <v>167</v>
      </c>
      <c r="D998" t="s">
        <v>1841</v>
      </c>
      <c r="E998" t="s">
        <v>20</v>
      </c>
      <c r="F998" t="b">
        <v>0</v>
      </c>
      <c r="G998">
        <v>3</v>
      </c>
      <c r="H998" t="b">
        <v>1</v>
      </c>
      <c r="I998">
        <v>20</v>
      </c>
      <c r="J998" t="s">
        <v>113</v>
      </c>
      <c r="K998">
        <v>100</v>
      </c>
      <c r="L998">
        <v>79</v>
      </c>
      <c r="M998">
        <v>72</v>
      </c>
      <c r="N998">
        <v>98</v>
      </c>
      <c r="O998">
        <v>87</v>
      </c>
      <c r="P998">
        <v>76</v>
      </c>
      <c r="Q998">
        <v>76</v>
      </c>
      <c r="R998">
        <f>SUM(student_scores[[#This Row],[math_score]:[geography_score]])</f>
        <v>588</v>
      </c>
      <c r="S998" s="3">
        <f>student_scores[[#This Row],[Total_Score]]/7</f>
        <v>84</v>
      </c>
      <c r="T998" s="3" t="str" cm="1">
        <f t="array" ref="T998">_xlfn.IFS(student_scores[[#This Row],[weekly_self_study_hours]]&lt;=5,   "0 - 5", student_scores[[#This Row],[weekly_self_study_hours]]&lt;=10,  "6 - 10", student_scores[[#This Row],[weekly_self_study_hours]]&lt;=20,  "11 - 20",student_scores[[#This Row],[weekly_self_study_hours]]&lt;=30, "21 - 30",TRUE, "31+")</f>
        <v>11 - 20</v>
      </c>
      <c r="U998" t="str" cm="1">
        <f t="array" ref="U998">_xlfn.IFS(student_scores[[#This Row],[absence_days]]=0,"0", student_scores[[#This Row],[absence_days]]&lt;=3,"1-3", student_scores[[#This Row],[absence_days]]&lt;=6,"4-6", TRUE,"7-10")</f>
        <v>1-3</v>
      </c>
      <c r="V998" t="str">
        <f>IF(student_scores[[#This Row],[Total_Score]] &gt;= _xlfn.PERCENTILE.INC(student_scores[Total_Score], 0.8), "Yes", "No")</f>
        <v>No</v>
      </c>
    </row>
    <row r="999" spans="1:22" x14ac:dyDescent="0.35">
      <c r="A999">
        <v>998</v>
      </c>
      <c r="B999" t="s">
        <v>999</v>
      </c>
      <c r="C999" t="s">
        <v>1005</v>
      </c>
      <c r="D999" t="s">
        <v>1842</v>
      </c>
      <c r="E999" t="s">
        <v>25</v>
      </c>
      <c r="F999" t="b">
        <v>1</v>
      </c>
      <c r="G999">
        <v>6</v>
      </c>
      <c r="H999" t="b">
        <v>0</v>
      </c>
      <c r="I999">
        <v>3</v>
      </c>
      <c r="J999" t="s">
        <v>64</v>
      </c>
      <c r="K999">
        <v>54</v>
      </c>
      <c r="L999">
        <v>64</v>
      </c>
      <c r="M999">
        <v>72</v>
      </c>
      <c r="N999">
        <v>80</v>
      </c>
      <c r="O999">
        <v>98</v>
      </c>
      <c r="P999">
        <v>83</v>
      </c>
      <c r="Q999">
        <v>85</v>
      </c>
      <c r="R999">
        <f>SUM(student_scores[[#This Row],[math_score]:[geography_score]])</f>
        <v>536</v>
      </c>
      <c r="S999" s="3">
        <f>student_scores[[#This Row],[Total_Score]]/7</f>
        <v>76.571428571428569</v>
      </c>
      <c r="T999" s="3" t="str" cm="1">
        <f t="array" ref="T999">_xlfn.IFS(student_scores[[#This Row],[weekly_self_study_hours]]&lt;=5,   "0 - 5", student_scores[[#This Row],[weekly_self_study_hours]]&lt;=10,  "6 - 10", student_scores[[#This Row],[weekly_self_study_hours]]&lt;=20,  "11 - 20",student_scores[[#This Row],[weekly_self_study_hours]]&lt;=30, "21 - 30",TRUE, "31+")</f>
        <v>0 - 5</v>
      </c>
      <c r="U999" t="str" cm="1">
        <f t="array" ref="U999">_xlfn.IFS(student_scores[[#This Row],[absence_days]]=0,"0", student_scores[[#This Row],[absence_days]]&lt;=3,"1-3", student_scores[[#This Row],[absence_days]]&lt;=6,"4-6", TRUE,"7-10")</f>
        <v>4-6</v>
      </c>
      <c r="V999" t="str">
        <f>IF(student_scores[[#This Row],[Total_Score]] &gt;= _xlfn.PERCENTILE.INC(student_scores[Total_Score], 0.8), "Yes", "No")</f>
        <v>No</v>
      </c>
    </row>
    <row r="1000" spans="1:22" x14ac:dyDescent="0.35">
      <c r="A1000">
        <v>999</v>
      </c>
      <c r="B1000" t="s">
        <v>1843</v>
      </c>
      <c r="C1000" t="s">
        <v>346</v>
      </c>
      <c r="D1000" t="s">
        <v>1844</v>
      </c>
      <c r="E1000" t="s">
        <v>20</v>
      </c>
      <c r="F1000" t="b">
        <v>1</v>
      </c>
      <c r="G1000">
        <v>5</v>
      </c>
      <c r="H1000" t="b">
        <v>0</v>
      </c>
      <c r="I1000">
        <v>19</v>
      </c>
      <c r="J1000" t="s">
        <v>44</v>
      </c>
      <c r="K1000">
        <v>97</v>
      </c>
      <c r="L1000">
        <v>87</v>
      </c>
      <c r="M1000">
        <v>70</v>
      </c>
      <c r="N1000">
        <v>74</v>
      </c>
      <c r="O1000">
        <v>73</v>
      </c>
      <c r="P1000">
        <v>74</v>
      </c>
      <c r="Q1000">
        <v>81</v>
      </c>
      <c r="R1000">
        <f>SUM(student_scores[[#This Row],[math_score]:[geography_score]])</f>
        <v>556</v>
      </c>
      <c r="S1000" s="3">
        <f>student_scores[[#This Row],[Total_Score]]/7</f>
        <v>79.428571428571431</v>
      </c>
      <c r="T1000" s="3" t="str" cm="1">
        <f t="array" ref="T1000">_xlfn.IFS(student_scores[[#This Row],[weekly_self_study_hours]]&lt;=5,   "0 - 5", student_scores[[#This Row],[weekly_self_study_hours]]&lt;=10,  "6 - 10", student_scores[[#This Row],[weekly_self_study_hours]]&lt;=20,  "11 - 20",student_scores[[#This Row],[weekly_self_study_hours]]&lt;=30, "21 - 30",TRUE, "31+")</f>
        <v>11 - 20</v>
      </c>
      <c r="U1000" t="str" cm="1">
        <f t="array" ref="U1000">_xlfn.IFS(student_scores[[#This Row],[absence_days]]=0,"0", student_scores[[#This Row],[absence_days]]&lt;=3,"1-3", student_scores[[#This Row],[absence_days]]&lt;=6,"4-6", TRUE,"7-10")</f>
        <v>4-6</v>
      </c>
      <c r="V1000" t="str">
        <f>IF(student_scores[[#This Row],[Total_Score]] &gt;= _xlfn.PERCENTILE.INC(student_scores[Total_Score], 0.8), "Yes", "No")</f>
        <v>No</v>
      </c>
    </row>
    <row r="1001" spans="1:22" x14ac:dyDescent="0.35">
      <c r="A1001">
        <v>1000</v>
      </c>
      <c r="B1001" t="s">
        <v>269</v>
      </c>
      <c r="C1001" t="s">
        <v>597</v>
      </c>
      <c r="D1001" t="s">
        <v>1845</v>
      </c>
      <c r="E1001" t="s">
        <v>20</v>
      </c>
      <c r="F1001" t="b">
        <v>0</v>
      </c>
      <c r="G1001">
        <v>1</v>
      </c>
      <c r="H1001" t="b">
        <v>1</v>
      </c>
      <c r="I1001">
        <v>5</v>
      </c>
      <c r="J1001" t="s">
        <v>224</v>
      </c>
      <c r="K1001">
        <v>65</v>
      </c>
      <c r="L1001">
        <v>83</v>
      </c>
      <c r="M1001">
        <v>67</v>
      </c>
      <c r="N1001">
        <v>84</v>
      </c>
      <c r="O1001">
        <v>89</v>
      </c>
      <c r="P1001">
        <v>65</v>
      </c>
      <c r="Q1001">
        <v>73</v>
      </c>
      <c r="R1001">
        <f>SUM(student_scores[[#This Row],[math_score]:[geography_score]])</f>
        <v>526</v>
      </c>
      <c r="S1001" s="3">
        <f>student_scores[[#This Row],[Total_Score]]/7</f>
        <v>75.142857142857139</v>
      </c>
      <c r="T1001" s="3" t="str" cm="1">
        <f t="array" ref="T1001">_xlfn.IFS(student_scores[[#This Row],[weekly_self_study_hours]]&lt;=5,   "0 - 5", student_scores[[#This Row],[weekly_self_study_hours]]&lt;=10,  "6 - 10", student_scores[[#This Row],[weekly_self_study_hours]]&lt;=20,  "11 - 20",student_scores[[#This Row],[weekly_self_study_hours]]&lt;=30, "21 - 30",TRUE, "31+")</f>
        <v>0 - 5</v>
      </c>
      <c r="U1001" t="str" cm="1">
        <f t="array" ref="U1001">_xlfn.IFS(student_scores[[#This Row],[absence_days]]=0,"0", student_scores[[#This Row],[absence_days]]&lt;=3,"1-3", student_scores[[#This Row],[absence_days]]&lt;=6,"4-6", TRUE,"7-10")</f>
        <v>1-3</v>
      </c>
      <c r="V1001" t="str">
        <f>IF(student_scores[[#This Row],[Total_Score]] &gt;= _xlfn.PERCENTILE.INC(student_scores[Total_Score], 0.8), "Yes", "No")</f>
        <v>No</v>
      </c>
    </row>
    <row r="1002" spans="1:22" x14ac:dyDescent="0.35">
      <c r="A1002">
        <v>1001</v>
      </c>
      <c r="B1002" t="s">
        <v>792</v>
      </c>
      <c r="C1002" t="s">
        <v>42</v>
      </c>
      <c r="D1002" t="s">
        <v>1846</v>
      </c>
      <c r="E1002" t="s">
        <v>20</v>
      </c>
      <c r="F1002" t="b">
        <v>0</v>
      </c>
      <c r="G1002">
        <v>10</v>
      </c>
      <c r="H1002" t="b">
        <v>1</v>
      </c>
      <c r="I1002">
        <v>0</v>
      </c>
      <c r="J1002" t="s">
        <v>64</v>
      </c>
      <c r="K1002">
        <v>53</v>
      </c>
      <c r="L1002">
        <v>51</v>
      </c>
      <c r="M1002">
        <v>57</v>
      </c>
      <c r="N1002">
        <v>72</v>
      </c>
      <c r="O1002">
        <v>77</v>
      </c>
      <c r="P1002">
        <v>78</v>
      </c>
      <c r="Q1002">
        <v>79</v>
      </c>
      <c r="R1002">
        <f>SUM(student_scores[[#This Row],[math_score]:[geography_score]])</f>
        <v>467</v>
      </c>
      <c r="S1002" s="3">
        <f>student_scores[[#This Row],[Total_Score]]/7</f>
        <v>66.714285714285708</v>
      </c>
      <c r="T1002" s="3" t="str" cm="1">
        <f t="array" ref="T1002">_xlfn.IFS(student_scores[[#This Row],[weekly_self_study_hours]]&lt;=5,   "0 - 5", student_scores[[#This Row],[weekly_self_study_hours]]&lt;=10,  "6 - 10", student_scores[[#This Row],[weekly_self_study_hours]]&lt;=20,  "11 - 20",student_scores[[#This Row],[weekly_self_study_hours]]&lt;=30, "21 - 30",TRUE, "31+")</f>
        <v>0 - 5</v>
      </c>
      <c r="U1002" t="str" cm="1">
        <f t="array" ref="U1002">_xlfn.IFS(student_scores[[#This Row],[absence_days]]=0,"0", student_scores[[#This Row],[absence_days]]&lt;=3,"1-3", student_scores[[#This Row],[absence_days]]&lt;=6,"4-6", TRUE,"7-10")</f>
        <v>7-10</v>
      </c>
      <c r="V1002" t="str">
        <f>IF(student_scores[[#This Row],[Total_Score]] &gt;= _xlfn.PERCENTILE.INC(student_scores[Total_Score], 0.8), "Yes", "No")</f>
        <v>No</v>
      </c>
    </row>
    <row r="1003" spans="1:22" x14ac:dyDescent="0.35">
      <c r="A1003">
        <v>1002</v>
      </c>
      <c r="B1003" t="s">
        <v>845</v>
      </c>
      <c r="C1003" t="s">
        <v>103</v>
      </c>
      <c r="D1003" t="s">
        <v>1847</v>
      </c>
      <c r="E1003" t="s">
        <v>25</v>
      </c>
      <c r="F1003" t="b">
        <v>0</v>
      </c>
      <c r="G1003">
        <v>10</v>
      </c>
      <c r="H1003" t="b">
        <v>1</v>
      </c>
      <c r="I1003">
        <v>9</v>
      </c>
      <c r="J1003" t="s">
        <v>224</v>
      </c>
      <c r="K1003">
        <v>82</v>
      </c>
      <c r="L1003">
        <v>74</v>
      </c>
      <c r="M1003">
        <v>80</v>
      </c>
      <c r="N1003">
        <v>88</v>
      </c>
      <c r="O1003">
        <v>92</v>
      </c>
      <c r="P1003">
        <v>96</v>
      </c>
      <c r="Q1003">
        <v>95</v>
      </c>
      <c r="R1003">
        <f>SUM(student_scores[[#This Row],[math_score]:[geography_score]])</f>
        <v>607</v>
      </c>
      <c r="S1003" s="3">
        <f>student_scores[[#This Row],[Total_Score]]/7</f>
        <v>86.714285714285708</v>
      </c>
      <c r="T1003" s="3" t="str" cm="1">
        <f t="array" ref="T1003">_xlfn.IFS(student_scores[[#This Row],[weekly_self_study_hours]]&lt;=5,   "0 - 5", student_scores[[#This Row],[weekly_self_study_hours]]&lt;=10,  "6 - 10", student_scores[[#This Row],[weekly_self_study_hours]]&lt;=20,  "11 - 20",student_scores[[#This Row],[weekly_self_study_hours]]&lt;=30, "21 - 30",TRUE, "31+")</f>
        <v>6 - 10</v>
      </c>
      <c r="U1003" t="str" cm="1">
        <f t="array" ref="U1003">_xlfn.IFS(student_scores[[#This Row],[absence_days]]=0,"0", student_scores[[#This Row],[absence_days]]&lt;=3,"1-3", student_scores[[#This Row],[absence_days]]&lt;=6,"4-6", TRUE,"7-10")</f>
        <v>7-10</v>
      </c>
      <c r="V1003" t="str">
        <f>IF(student_scores[[#This Row],[Total_Score]] &gt;= _xlfn.PERCENTILE.INC(student_scores[Total_Score], 0.8), "Yes", "No")</f>
        <v>Yes</v>
      </c>
    </row>
    <row r="1004" spans="1:22" x14ac:dyDescent="0.35">
      <c r="A1004">
        <v>1003</v>
      </c>
      <c r="B1004" t="s">
        <v>493</v>
      </c>
      <c r="C1004" t="s">
        <v>1848</v>
      </c>
      <c r="D1004" t="s">
        <v>1849</v>
      </c>
      <c r="E1004" t="s">
        <v>25</v>
      </c>
      <c r="F1004" t="b">
        <v>0</v>
      </c>
      <c r="G1004">
        <v>10</v>
      </c>
      <c r="H1004" t="b">
        <v>0</v>
      </c>
      <c r="I1004">
        <v>4</v>
      </c>
      <c r="J1004" t="s">
        <v>64</v>
      </c>
      <c r="K1004">
        <v>93</v>
      </c>
      <c r="L1004">
        <v>90</v>
      </c>
      <c r="M1004">
        <v>79</v>
      </c>
      <c r="N1004">
        <v>54</v>
      </c>
      <c r="O1004">
        <v>53</v>
      </c>
      <c r="P1004">
        <v>99</v>
      </c>
      <c r="Q1004">
        <v>79</v>
      </c>
      <c r="R1004">
        <f>SUM(student_scores[[#This Row],[math_score]:[geography_score]])</f>
        <v>547</v>
      </c>
      <c r="S1004" s="3">
        <f>student_scores[[#This Row],[Total_Score]]/7</f>
        <v>78.142857142857139</v>
      </c>
      <c r="T1004" s="3" t="str" cm="1">
        <f t="array" ref="T1004">_xlfn.IFS(student_scores[[#This Row],[weekly_self_study_hours]]&lt;=5,   "0 - 5", student_scores[[#This Row],[weekly_self_study_hours]]&lt;=10,  "6 - 10", student_scores[[#This Row],[weekly_self_study_hours]]&lt;=20,  "11 - 20",student_scores[[#This Row],[weekly_self_study_hours]]&lt;=30, "21 - 30",TRUE, "31+")</f>
        <v>0 - 5</v>
      </c>
      <c r="U1004" t="str" cm="1">
        <f t="array" ref="U1004">_xlfn.IFS(student_scores[[#This Row],[absence_days]]=0,"0", student_scores[[#This Row],[absence_days]]&lt;=3,"1-3", student_scores[[#This Row],[absence_days]]&lt;=6,"4-6", TRUE,"7-10")</f>
        <v>7-10</v>
      </c>
      <c r="V1004" t="str">
        <f>IF(student_scores[[#This Row],[Total_Score]] &gt;= _xlfn.PERCENTILE.INC(student_scores[Total_Score], 0.8), "Yes", "No")</f>
        <v>No</v>
      </c>
    </row>
    <row r="1005" spans="1:22" x14ac:dyDescent="0.35">
      <c r="A1005">
        <v>1004</v>
      </c>
      <c r="B1005" t="s">
        <v>1218</v>
      </c>
      <c r="C1005" t="s">
        <v>1850</v>
      </c>
      <c r="D1005" t="s">
        <v>1851</v>
      </c>
      <c r="E1005" t="s">
        <v>20</v>
      </c>
      <c r="F1005" t="b">
        <v>0</v>
      </c>
      <c r="G1005">
        <v>3</v>
      </c>
      <c r="H1005" t="b">
        <v>0</v>
      </c>
      <c r="I1005">
        <v>22</v>
      </c>
      <c r="J1005" t="s">
        <v>44</v>
      </c>
      <c r="K1005">
        <v>93</v>
      </c>
      <c r="L1005">
        <v>90</v>
      </c>
      <c r="M1005">
        <v>73</v>
      </c>
      <c r="N1005">
        <v>94</v>
      </c>
      <c r="O1005">
        <v>81</v>
      </c>
      <c r="P1005">
        <v>84</v>
      </c>
      <c r="Q1005">
        <v>74</v>
      </c>
      <c r="R1005">
        <f>SUM(student_scores[[#This Row],[math_score]:[geography_score]])</f>
        <v>589</v>
      </c>
      <c r="S1005" s="3">
        <f>student_scores[[#This Row],[Total_Score]]/7</f>
        <v>84.142857142857139</v>
      </c>
      <c r="T1005" s="3" t="str" cm="1">
        <f t="array" ref="T1005">_xlfn.IFS(student_scores[[#This Row],[weekly_self_study_hours]]&lt;=5,   "0 - 5", student_scores[[#This Row],[weekly_self_study_hours]]&lt;=10,  "6 - 10", student_scores[[#This Row],[weekly_self_study_hours]]&lt;=20,  "11 - 20",student_scores[[#This Row],[weekly_self_study_hours]]&lt;=30, "21 - 30",TRUE, "31+")</f>
        <v>21 - 30</v>
      </c>
      <c r="U1005" t="str" cm="1">
        <f t="array" ref="U1005">_xlfn.IFS(student_scores[[#This Row],[absence_days]]=0,"0", student_scores[[#This Row],[absence_days]]&lt;=3,"1-3", student_scores[[#This Row],[absence_days]]&lt;=6,"4-6", TRUE,"7-10")</f>
        <v>1-3</v>
      </c>
      <c r="V1005" t="str">
        <f>IF(student_scores[[#This Row],[Total_Score]] &gt;= _xlfn.PERCENTILE.INC(student_scores[Total_Score], 0.8), "Yes", "No")</f>
        <v>No</v>
      </c>
    </row>
    <row r="1006" spans="1:22" x14ac:dyDescent="0.35">
      <c r="A1006">
        <v>1005</v>
      </c>
      <c r="B1006" t="s">
        <v>1852</v>
      </c>
      <c r="C1006" t="s">
        <v>295</v>
      </c>
      <c r="D1006" t="s">
        <v>1853</v>
      </c>
      <c r="E1006" t="s">
        <v>25</v>
      </c>
      <c r="F1006" t="b">
        <v>0</v>
      </c>
      <c r="G1006">
        <v>9</v>
      </c>
      <c r="H1006" t="b">
        <v>0</v>
      </c>
      <c r="I1006">
        <v>3</v>
      </c>
      <c r="J1006" t="s">
        <v>64</v>
      </c>
      <c r="K1006">
        <v>91</v>
      </c>
      <c r="L1006">
        <v>95</v>
      </c>
      <c r="M1006">
        <v>88</v>
      </c>
      <c r="N1006">
        <v>89</v>
      </c>
      <c r="O1006">
        <v>58</v>
      </c>
      <c r="P1006">
        <v>81</v>
      </c>
      <c r="Q1006">
        <v>69</v>
      </c>
      <c r="R1006">
        <f>SUM(student_scores[[#This Row],[math_score]:[geography_score]])</f>
        <v>571</v>
      </c>
      <c r="S1006" s="3">
        <f>student_scores[[#This Row],[Total_Score]]/7</f>
        <v>81.571428571428569</v>
      </c>
      <c r="T1006" s="3" t="str" cm="1">
        <f t="array" ref="T1006">_xlfn.IFS(student_scores[[#This Row],[weekly_self_study_hours]]&lt;=5,   "0 - 5", student_scores[[#This Row],[weekly_self_study_hours]]&lt;=10,  "6 - 10", student_scores[[#This Row],[weekly_self_study_hours]]&lt;=20,  "11 - 20",student_scores[[#This Row],[weekly_self_study_hours]]&lt;=30, "21 - 30",TRUE, "31+")</f>
        <v>0 - 5</v>
      </c>
      <c r="U1006" t="str" cm="1">
        <f t="array" ref="U1006">_xlfn.IFS(student_scores[[#This Row],[absence_days]]=0,"0", student_scores[[#This Row],[absence_days]]&lt;=3,"1-3", student_scores[[#This Row],[absence_days]]&lt;=6,"4-6", TRUE,"7-10")</f>
        <v>7-10</v>
      </c>
      <c r="V1006" t="str">
        <f>IF(student_scores[[#This Row],[Total_Score]] &gt;= _xlfn.PERCENTILE.INC(student_scores[Total_Score], 0.8), "Yes", "No")</f>
        <v>No</v>
      </c>
    </row>
    <row r="1007" spans="1:22" x14ac:dyDescent="0.35">
      <c r="A1007">
        <v>1006</v>
      </c>
      <c r="B1007" t="s">
        <v>65</v>
      </c>
      <c r="C1007" t="s">
        <v>977</v>
      </c>
      <c r="D1007" t="s">
        <v>1854</v>
      </c>
      <c r="E1007" t="s">
        <v>25</v>
      </c>
      <c r="F1007" t="b">
        <v>0</v>
      </c>
      <c r="G1007">
        <v>3</v>
      </c>
      <c r="H1007" t="b">
        <v>0</v>
      </c>
      <c r="I1007">
        <v>33</v>
      </c>
      <c r="J1007" t="s">
        <v>76</v>
      </c>
      <c r="K1007">
        <v>99</v>
      </c>
      <c r="L1007">
        <v>91</v>
      </c>
      <c r="M1007">
        <v>85</v>
      </c>
      <c r="N1007">
        <v>100</v>
      </c>
      <c r="O1007">
        <v>84</v>
      </c>
      <c r="P1007">
        <v>77</v>
      </c>
      <c r="Q1007">
        <v>98</v>
      </c>
      <c r="R1007">
        <f>SUM(student_scores[[#This Row],[math_score]:[geography_score]])</f>
        <v>634</v>
      </c>
      <c r="S1007" s="3">
        <f>student_scores[[#This Row],[Total_Score]]/7</f>
        <v>90.571428571428569</v>
      </c>
      <c r="T1007" s="3" t="str" cm="1">
        <f t="array" ref="T1007">_xlfn.IFS(student_scores[[#This Row],[weekly_self_study_hours]]&lt;=5,   "0 - 5", student_scores[[#This Row],[weekly_self_study_hours]]&lt;=10,  "6 - 10", student_scores[[#This Row],[weekly_self_study_hours]]&lt;=20,  "11 - 20",student_scores[[#This Row],[weekly_self_study_hours]]&lt;=30, "21 - 30",TRUE, "31+")</f>
        <v>31+</v>
      </c>
      <c r="U1007" t="str" cm="1">
        <f t="array" ref="U1007">_xlfn.IFS(student_scores[[#This Row],[absence_days]]=0,"0", student_scores[[#This Row],[absence_days]]&lt;=3,"1-3", student_scores[[#This Row],[absence_days]]&lt;=6,"4-6", TRUE,"7-10")</f>
        <v>1-3</v>
      </c>
      <c r="V1007" t="str">
        <f>IF(student_scores[[#This Row],[Total_Score]] &gt;= _xlfn.PERCENTILE.INC(student_scores[Total_Score], 0.8), "Yes", "No")</f>
        <v>Yes</v>
      </c>
    </row>
    <row r="1008" spans="1:22" x14ac:dyDescent="0.35">
      <c r="A1008">
        <v>1007</v>
      </c>
      <c r="B1008" t="s">
        <v>1340</v>
      </c>
      <c r="C1008" t="s">
        <v>1692</v>
      </c>
      <c r="D1008" t="s">
        <v>1855</v>
      </c>
      <c r="E1008" t="s">
        <v>20</v>
      </c>
      <c r="F1008" t="b">
        <v>0</v>
      </c>
      <c r="G1008">
        <v>0</v>
      </c>
      <c r="H1008" t="b">
        <v>0</v>
      </c>
      <c r="I1008">
        <v>13</v>
      </c>
      <c r="J1008" t="s">
        <v>138</v>
      </c>
      <c r="K1008">
        <v>87</v>
      </c>
      <c r="L1008">
        <v>63</v>
      </c>
      <c r="M1008">
        <v>81</v>
      </c>
      <c r="N1008">
        <v>85</v>
      </c>
      <c r="O1008">
        <v>62</v>
      </c>
      <c r="P1008">
        <v>98</v>
      </c>
      <c r="Q1008">
        <v>81</v>
      </c>
      <c r="R1008">
        <f>SUM(student_scores[[#This Row],[math_score]:[geography_score]])</f>
        <v>557</v>
      </c>
      <c r="S1008" s="3">
        <f>student_scores[[#This Row],[Total_Score]]/7</f>
        <v>79.571428571428569</v>
      </c>
      <c r="T1008" s="3" t="str" cm="1">
        <f t="array" ref="T1008">_xlfn.IFS(student_scores[[#This Row],[weekly_self_study_hours]]&lt;=5,   "0 - 5", student_scores[[#This Row],[weekly_self_study_hours]]&lt;=10,  "6 - 10", student_scores[[#This Row],[weekly_self_study_hours]]&lt;=20,  "11 - 20",student_scores[[#This Row],[weekly_self_study_hours]]&lt;=30, "21 - 30",TRUE, "31+")</f>
        <v>11 - 20</v>
      </c>
      <c r="U1008" t="str" cm="1">
        <f t="array" ref="U1008">_xlfn.IFS(student_scores[[#This Row],[absence_days]]=0,"0", student_scores[[#This Row],[absence_days]]&lt;=3,"1-3", student_scores[[#This Row],[absence_days]]&lt;=6,"4-6", TRUE,"7-10")</f>
        <v>0</v>
      </c>
      <c r="V1008" t="str">
        <f>IF(student_scores[[#This Row],[Total_Score]] &gt;= _xlfn.PERCENTILE.INC(student_scores[Total_Score], 0.8), "Yes", "No")</f>
        <v>No</v>
      </c>
    </row>
    <row r="1009" spans="1:22" x14ac:dyDescent="0.35">
      <c r="A1009">
        <v>1008</v>
      </c>
      <c r="B1009" t="s">
        <v>944</v>
      </c>
      <c r="C1009" t="s">
        <v>1856</v>
      </c>
      <c r="D1009" t="s">
        <v>1857</v>
      </c>
      <c r="E1009" t="s">
        <v>20</v>
      </c>
      <c r="F1009" t="b">
        <v>0</v>
      </c>
      <c r="G1009">
        <v>0</v>
      </c>
      <c r="H1009" t="b">
        <v>0</v>
      </c>
      <c r="I1009">
        <v>19</v>
      </c>
      <c r="J1009" t="s">
        <v>38</v>
      </c>
      <c r="K1009">
        <v>83</v>
      </c>
      <c r="L1009">
        <v>79</v>
      </c>
      <c r="M1009">
        <v>91</v>
      </c>
      <c r="N1009">
        <v>62</v>
      </c>
      <c r="O1009">
        <v>63</v>
      </c>
      <c r="P1009">
        <v>76</v>
      </c>
      <c r="Q1009">
        <v>93</v>
      </c>
      <c r="R1009">
        <f>SUM(student_scores[[#This Row],[math_score]:[geography_score]])</f>
        <v>547</v>
      </c>
      <c r="S1009" s="3">
        <f>student_scores[[#This Row],[Total_Score]]/7</f>
        <v>78.142857142857139</v>
      </c>
      <c r="T1009" s="3" t="str" cm="1">
        <f t="array" ref="T1009">_xlfn.IFS(student_scores[[#This Row],[weekly_self_study_hours]]&lt;=5,   "0 - 5", student_scores[[#This Row],[weekly_self_study_hours]]&lt;=10,  "6 - 10", student_scores[[#This Row],[weekly_self_study_hours]]&lt;=20,  "11 - 20",student_scores[[#This Row],[weekly_self_study_hours]]&lt;=30, "21 - 30",TRUE, "31+")</f>
        <v>11 - 20</v>
      </c>
      <c r="U1009" t="str" cm="1">
        <f t="array" ref="U1009">_xlfn.IFS(student_scores[[#This Row],[absence_days]]=0,"0", student_scores[[#This Row],[absence_days]]&lt;=3,"1-3", student_scores[[#This Row],[absence_days]]&lt;=6,"4-6", TRUE,"7-10")</f>
        <v>0</v>
      </c>
      <c r="V1009" t="str">
        <f>IF(student_scores[[#This Row],[Total_Score]] &gt;= _xlfn.PERCENTILE.INC(student_scores[Total_Score], 0.8), "Yes", "No")</f>
        <v>No</v>
      </c>
    </row>
    <row r="1010" spans="1:22" x14ac:dyDescent="0.35">
      <c r="A1010">
        <v>1009</v>
      </c>
      <c r="B1010" t="s">
        <v>1503</v>
      </c>
      <c r="C1010" t="s">
        <v>329</v>
      </c>
      <c r="D1010" t="s">
        <v>1858</v>
      </c>
      <c r="E1010" t="s">
        <v>25</v>
      </c>
      <c r="F1010" t="b">
        <v>0</v>
      </c>
      <c r="G1010">
        <v>2</v>
      </c>
      <c r="H1010" t="b">
        <v>1</v>
      </c>
      <c r="I1010">
        <v>10</v>
      </c>
      <c r="J1010" t="s">
        <v>224</v>
      </c>
      <c r="K1010">
        <v>59</v>
      </c>
      <c r="L1010">
        <v>73</v>
      </c>
      <c r="M1010">
        <v>90</v>
      </c>
      <c r="N1010">
        <v>74</v>
      </c>
      <c r="O1010">
        <v>95</v>
      </c>
      <c r="P1010">
        <v>77</v>
      </c>
      <c r="Q1010">
        <v>81</v>
      </c>
      <c r="R1010">
        <f>SUM(student_scores[[#This Row],[math_score]:[geography_score]])</f>
        <v>549</v>
      </c>
      <c r="S1010" s="3">
        <f>student_scores[[#This Row],[Total_Score]]/7</f>
        <v>78.428571428571431</v>
      </c>
      <c r="T1010" s="3" t="str" cm="1">
        <f t="array" ref="T1010">_xlfn.IFS(student_scores[[#This Row],[weekly_self_study_hours]]&lt;=5,   "0 - 5", student_scores[[#This Row],[weekly_self_study_hours]]&lt;=10,  "6 - 10", student_scores[[#This Row],[weekly_self_study_hours]]&lt;=20,  "11 - 20",student_scores[[#This Row],[weekly_self_study_hours]]&lt;=30, "21 - 30",TRUE, "31+")</f>
        <v>6 - 10</v>
      </c>
      <c r="U1010" t="str" cm="1">
        <f t="array" ref="U1010">_xlfn.IFS(student_scores[[#This Row],[absence_days]]=0,"0", student_scores[[#This Row],[absence_days]]&lt;=3,"1-3", student_scores[[#This Row],[absence_days]]&lt;=6,"4-6", TRUE,"7-10")</f>
        <v>1-3</v>
      </c>
      <c r="V1010" t="str">
        <f>IF(student_scores[[#This Row],[Total_Score]] &gt;= _xlfn.PERCENTILE.INC(student_scores[Total_Score], 0.8), "Yes", "No")</f>
        <v>No</v>
      </c>
    </row>
    <row r="1011" spans="1:22" x14ac:dyDescent="0.35">
      <c r="A1011">
        <v>1010</v>
      </c>
      <c r="B1011" t="s">
        <v>1859</v>
      </c>
      <c r="C1011" t="s">
        <v>1360</v>
      </c>
      <c r="D1011" t="s">
        <v>1860</v>
      </c>
      <c r="E1011" t="s">
        <v>25</v>
      </c>
      <c r="F1011" t="b">
        <v>1</v>
      </c>
      <c r="G1011">
        <v>2</v>
      </c>
      <c r="H1011" t="b">
        <v>0</v>
      </c>
      <c r="I1011">
        <v>29</v>
      </c>
      <c r="J1011" t="s">
        <v>38</v>
      </c>
      <c r="K1011">
        <v>74</v>
      </c>
      <c r="L1011">
        <v>68</v>
      </c>
      <c r="M1011">
        <v>71</v>
      </c>
      <c r="N1011">
        <v>60</v>
      </c>
      <c r="O1011">
        <v>97</v>
      </c>
      <c r="P1011">
        <v>64</v>
      </c>
      <c r="Q1011">
        <v>63</v>
      </c>
      <c r="R1011">
        <f>SUM(student_scores[[#This Row],[math_score]:[geography_score]])</f>
        <v>497</v>
      </c>
      <c r="S1011" s="3">
        <f>student_scores[[#This Row],[Total_Score]]/7</f>
        <v>71</v>
      </c>
      <c r="T1011" s="3" t="str" cm="1">
        <f t="array" ref="T1011">_xlfn.IFS(student_scores[[#This Row],[weekly_self_study_hours]]&lt;=5,   "0 - 5", student_scores[[#This Row],[weekly_self_study_hours]]&lt;=10,  "6 - 10", student_scores[[#This Row],[weekly_self_study_hours]]&lt;=20,  "11 - 20",student_scores[[#This Row],[weekly_self_study_hours]]&lt;=30, "21 - 30",TRUE, "31+")</f>
        <v>21 - 30</v>
      </c>
      <c r="U1011" t="str" cm="1">
        <f t="array" ref="U1011">_xlfn.IFS(student_scores[[#This Row],[absence_days]]=0,"0", student_scores[[#This Row],[absence_days]]&lt;=3,"1-3", student_scores[[#This Row],[absence_days]]&lt;=6,"4-6", TRUE,"7-10")</f>
        <v>1-3</v>
      </c>
      <c r="V1011" t="str">
        <f>IF(student_scores[[#This Row],[Total_Score]] &gt;= _xlfn.PERCENTILE.INC(student_scores[Total_Score], 0.8), "Yes", "No")</f>
        <v>No</v>
      </c>
    </row>
    <row r="1012" spans="1:22" x14ac:dyDescent="0.35">
      <c r="A1012">
        <v>1011</v>
      </c>
      <c r="B1012" t="s">
        <v>208</v>
      </c>
      <c r="C1012" t="s">
        <v>95</v>
      </c>
      <c r="D1012" t="s">
        <v>1861</v>
      </c>
      <c r="E1012" t="s">
        <v>20</v>
      </c>
      <c r="F1012" t="b">
        <v>0</v>
      </c>
      <c r="G1012">
        <v>3</v>
      </c>
      <c r="H1012" t="b">
        <v>1</v>
      </c>
      <c r="I1012">
        <v>31</v>
      </c>
      <c r="J1012" t="s">
        <v>21</v>
      </c>
      <c r="K1012">
        <v>81</v>
      </c>
      <c r="L1012">
        <v>98</v>
      </c>
      <c r="M1012">
        <v>71</v>
      </c>
      <c r="N1012">
        <v>92</v>
      </c>
      <c r="O1012">
        <v>74</v>
      </c>
      <c r="P1012">
        <v>93</v>
      </c>
      <c r="Q1012">
        <v>63</v>
      </c>
      <c r="R1012">
        <f>SUM(student_scores[[#This Row],[math_score]:[geography_score]])</f>
        <v>572</v>
      </c>
      <c r="S1012" s="3">
        <f>student_scores[[#This Row],[Total_Score]]/7</f>
        <v>81.714285714285708</v>
      </c>
      <c r="T1012" s="3" t="str" cm="1">
        <f t="array" ref="T1012">_xlfn.IFS(student_scores[[#This Row],[weekly_self_study_hours]]&lt;=5,   "0 - 5", student_scores[[#This Row],[weekly_self_study_hours]]&lt;=10,  "6 - 10", student_scores[[#This Row],[weekly_self_study_hours]]&lt;=20,  "11 - 20",student_scores[[#This Row],[weekly_self_study_hours]]&lt;=30, "21 - 30",TRUE, "31+")</f>
        <v>31+</v>
      </c>
      <c r="U1012" t="str" cm="1">
        <f t="array" ref="U1012">_xlfn.IFS(student_scores[[#This Row],[absence_days]]=0,"0", student_scores[[#This Row],[absence_days]]&lt;=3,"1-3", student_scores[[#This Row],[absence_days]]&lt;=6,"4-6", TRUE,"7-10")</f>
        <v>1-3</v>
      </c>
      <c r="V1012" t="str">
        <f>IF(student_scores[[#This Row],[Total_Score]] &gt;= _xlfn.PERCENTILE.INC(student_scores[Total_Score], 0.8), "Yes", "No")</f>
        <v>No</v>
      </c>
    </row>
    <row r="1013" spans="1:22" x14ac:dyDescent="0.35">
      <c r="A1013">
        <v>1012</v>
      </c>
      <c r="B1013" t="s">
        <v>1515</v>
      </c>
      <c r="C1013" t="s">
        <v>136</v>
      </c>
      <c r="D1013" t="s">
        <v>1862</v>
      </c>
      <c r="E1013" t="s">
        <v>20</v>
      </c>
      <c r="F1013" t="b">
        <v>0</v>
      </c>
      <c r="G1013">
        <v>3</v>
      </c>
      <c r="H1013" t="b">
        <v>1</v>
      </c>
      <c r="I1013">
        <v>3</v>
      </c>
      <c r="J1013" t="s">
        <v>159</v>
      </c>
      <c r="K1013">
        <v>80</v>
      </c>
      <c r="L1013">
        <v>92</v>
      </c>
      <c r="M1013">
        <v>85</v>
      </c>
      <c r="N1013">
        <v>81</v>
      </c>
      <c r="O1013">
        <v>94</v>
      </c>
      <c r="P1013">
        <v>75</v>
      </c>
      <c r="Q1013">
        <v>72</v>
      </c>
      <c r="R1013">
        <f>SUM(student_scores[[#This Row],[math_score]:[geography_score]])</f>
        <v>579</v>
      </c>
      <c r="S1013" s="3">
        <f>student_scores[[#This Row],[Total_Score]]/7</f>
        <v>82.714285714285708</v>
      </c>
      <c r="T1013" s="3" t="str" cm="1">
        <f t="array" ref="T1013">_xlfn.IFS(student_scores[[#This Row],[weekly_self_study_hours]]&lt;=5,   "0 - 5", student_scores[[#This Row],[weekly_self_study_hours]]&lt;=10,  "6 - 10", student_scores[[#This Row],[weekly_self_study_hours]]&lt;=20,  "11 - 20",student_scores[[#This Row],[weekly_self_study_hours]]&lt;=30, "21 - 30",TRUE, "31+")</f>
        <v>0 - 5</v>
      </c>
      <c r="U1013" t="str" cm="1">
        <f t="array" ref="U1013">_xlfn.IFS(student_scores[[#This Row],[absence_days]]=0,"0", student_scores[[#This Row],[absence_days]]&lt;=3,"1-3", student_scores[[#This Row],[absence_days]]&lt;=6,"4-6", TRUE,"7-10")</f>
        <v>1-3</v>
      </c>
      <c r="V1013" t="str">
        <f>IF(student_scores[[#This Row],[Total_Score]] &gt;= _xlfn.PERCENTILE.INC(student_scores[Total_Score], 0.8), "Yes", "No")</f>
        <v>No</v>
      </c>
    </row>
    <row r="1014" spans="1:22" x14ac:dyDescent="0.35">
      <c r="A1014">
        <v>1013</v>
      </c>
      <c r="B1014" t="s">
        <v>449</v>
      </c>
      <c r="C1014" t="s">
        <v>423</v>
      </c>
      <c r="D1014" t="s">
        <v>1863</v>
      </c>
      <c r="E1014" t="s">
        <v>25</v>
      </c>
      <c r="F1014" t="b">
        <v>0</v>
      </c>
      <c r="G1014">
        <v>0</v>
      </c>
      <c r="H1014" t="b">
        <v>1</v>
      </c>
      <c r="I1014">
        <v>29</v>
      </c>
      <c r="J1014" t="s">
        <v>105</v>
      </c>
      <c r="K1014">
        <v>89</v>
      </c>
      <c r="L1014">
        <v>66</v>
      </c>
      <c r="M1014">
        <v>72</v>
      </c>
      <c r="N1014">
        <v>77</v>
      </c>
      <c r="O1014">
        <v>79</v>
      </c>
      <c r="P1014">
        <v>95</v>
      </c>
      <c r="Q1014">
        <v>92</v>
      </c>
      <c r="R1014">
        <f>SUM(student_scores[[#This Row],[math_score]:[geography_score]])</f>
        <v>570</v>
      </c>
      <c r="S1014" s="3">
        <f>student_scores[[#This Row],[Total_Score]]/7</f>
        <v>81.428571428571431</v>
      </c>
      <c r="T1014" s="3" t="str" cm="1">
        <f t="array" ref="T1014">_xlfn.IFS(student_scores[[#This Row],[weekly_self_study_hours]]&lt;=5,   "0 - 5", student_scores[[#This Row],[weekly_self_study_hours]]&lt;=10,  "6 - 10", student_scores[[#This Row],[weekly_self_study_hours]]&lt;=20,  "11 - 20",student_scores[[#This Row],[weekly_self_study_hours]]&lt;=30, "21 - 30",TRUE, "31+")</f>
        <v>21 - 30</v>
      </c>
      <c r="U1014" t="str" cm="1">
        <f t="array" ref="U1014">_xlfn.IFS(student_scores[[#This Row],[absence_days]]=0,"0", student_scores[[#This Row],[absence_days]]&lt;=3,"1-3", student_scores[[#This Row],[absence_days]]&lt;=6,"4-6", TRUE,"7-10")</f>
        <v>0</v>
      </c>
      <c r="V1014" t="str">
        <f>IF(student_scores[[#This Row],[Total_Score]] &gt;= _xlfn.PERCENTILE.INC(student_scores[Total_Score], 0.8), "Yes", "No")</f>
        <v>No</v>
      </c>
    </row>
    <row r="1015" spans="1:22" x14ac:dyDescent="0.35">
      <c r="A1015">
        <v>1014</v>
      </c>
      <c r="B1015" t="s">
        <v>1864</v>
      </c>
      <c r="C1015" t="s">
        <v>1223</v>
      </c>
      <c r="D1015" t="s">
        <v>1865</v>
      </c>
      <c r="E1015" t="s">
        <v>20</v>
      </c>
      <c r="F1015" t="b">
        <v>1</v>
      </c>
      <c r="G1015">
        <v>3</v>
      </c>
      <c r="H1015" t="b">
        <v>0</v>
      </c>
      <c r="I1015">
        <v>34</v>
      </c>
      <c r="J1015" t="s">
        <v>38</v>
      </c>
      <c r="K1015">
        <v>65</v>
      </c>
      <c r="L1015">
        <v>78</v>
      </c>
      <c r="M1015">
        <v>82</v>
      </c>
      <c r="N1015">
        <v>65</v>
      </c>
      <c r="O1015">
        <v>100</v>
      </c>
      <c r="P1015">
        <v>92</v>
      </c>
      <c r="Q1015">
        <v>64</v>
      </c>
      <c r="R1015">
        <f>SUM(student_scores[[#This Row],[math_score]:[geography_score]])</f>
        <v>546</v>
      </c>
      <c r="S1015" s="3">
        <f>student_scores[[#This Row],[Total_Score]]/7</f>
        <v>78</v>
      </c>
      <c r="T1015" s="3" t="str" cm="1">
        <f t="array" ref="T1015">_xlfn.IFS(student_scores[[#This Row],[weekly_self_study_hours]]&lt;=5,   "0 - 5", student_scores[[#This Row],[weekly_self_study_hours]]&lt;=10,  "6 - 10", student_scores[[#This Row],[weekly_self_study_hours]]&lt;=20,  "11 - 20",student_scores[[#This Row],[weekly_self_study_hours]]&lt;=30, "21 - 30",TRUE, "31+")</f>
        <v>31+</v>
      </c>
      <c r="U1015" t="str" cm="1">
        <f t="array" ref="U1015">_xlfn.IFS(student_scores[[#This Row],[absence_days]]=0,"0", student_scores[[#This Row],[absence_days]]&lt;=3,"1-3", student_scores[[#This Row],[absence_days]]&lt;=6,"4-6", TRUE,"7-10")</f>
        <v>1-3</v>
      </c>
      <c r="V1015" t="str">
        <f>IF(student_scores[[#This Row],[Total_Score]] &gt;= _xlfn.PERCENTILE.INC(student_scores[Total_Score], 0.8), "Yes", "No")</f>
        <v>No</v>
      </c>
    </row>
    <row r="1016" spans="1:22" x14ac:dyDescent="0.35">
      <c r="A1016">
        <v>1015</v>
      </c>
      <c r="B1016" t="s">
        <v>66</v>
      </c>
      <c r="C1016" t="s">
        <v>42</v>
      </c>
      <c r="D1016" t="s">
        <v>1866</v>
      </c>
      <c r="E1016" t="s">
        <v>20</v>
      </c>
      <c r="F1016" t="b">
        <v>1</v>
      </c>
      <c r="G1016">
        <v>10</v>
      </c>
      <c r="H1016" t="b">
        <v>0</v>
      </c>
      <c r="I1016">
        <v>4</v>
      </c>
      <c r="J1016" t="s">
        <v>64</v>
      </c>
      <c r="K1016">
        <v>94</v>
      </c>
      <c r="L1016">
        <v>61</v>
      </c>
      <c r="M1016">
        <v>60</v>
      </c>
      <c r="N1016">
        <v>77</v>
      </c>
      <c r="O1016">
        <v>75</v>
      </c>
      <c r="P1016">
        <v>93</v>
      </c>
      <c r="Q1016">
        <v>60</v>
      </c>
      <c r="R1016">
        <f>SUM(student_scores[[#This Row],[math_score]:[geography_score]])</f>
        <v>520</v>
      </c>
      <c r="S1016" s="3">
        <f>student_scores[[#This Row],[Total_Score]]/7</f>
        <v>74.285714285714292</v>
      </c>
      <c r="T1016" s="3" t="str" cm="1">
        <f t="array" ref="T1016">_xlfn.IFS(student_scores[[#This Row],[weekly_self_study_hours]]&lt;=5,   "0 - 5", student_scores[[#This Row],[weekly_self_study_hours]]&lt;=10,  "6 - 10", student_scores[[#This Row],[weekly_self_study_hours]]&lt;=20,  "11 - 20",student_scores[[#This Row],[weekly_self_study_hours]]&lt;=30, "21 - 30",TRUE, "31+")</f>
        <v>0 - 5</v>
      </c>
      <c r="U1016" t="str" cm="1">
        <f t="array" ref="U1016">_xlfn.IFS(student_scores[[#This Row],[absence_days]]=0,"0", student_scores[[#This Row],[absence_days]]&lt;=3,"1-3", student_scores[[#This Row],[absence_days]]&lt;=6,"4-6", TRUE,"7-10")</f>
        <v>7-10</v>
      </c>
      <c r="V1016" t="str">
        <f>IF(student_scores[[#This Row],[Total_Score]] &gt;= _xlfn.PERCENTILE.INC(student_scores[Total_Score], 0.8), "Yes", "No")</f>
        <v>No</v>
      </c>
    </row>
    <row r="1017" spans="1:22" x14ac:dyDescent="0.35">
      <c r="A1017">
        <v>1016</v>
      </c>
      <c r="B1017" t="s">
        <v>252</v>
      </c>
      <c r="C1017" t="s">
        <v>218</v>
      </c>
      <c r="D1017" t="s">
        <v>1867</v>
      </c>
      <c r="E1017" t="s">
        <v>20</v>
      </c>
      <c r="F1017" t="b">
        <v>0</v>
      </c>
      <c r="G1017">
        <v>3</v>
      </c>
      <c r="H1017" t="b">
        <v>0</v>
      </c>
      <c r="I1017">
        <v>34</v>
      </c>
      <c r="J1017" t="s">
        <v>123</v>
      </c>
      <c r="K1017">
        <v>93</v>
      </c>
      <c r="L1017">
        <v>70</v>
      </c>
      <c r="M1017">
        <v>80</v>
      </c>
      <c r="N1017">
        <v>67</v>
      </c>
      <c r="O1017">
        <v>77</v>
      </c>
      <c r="P1017">
        <v>80</v>
      </c>
      <c r="Q1017">
        <v>91</v>
      </c>
      <c r="R1017">
        <f>SUM(student_scores[[#This Row],[math_score]:[geography_score]])</f>
        <v>558</v>
      </c>
      <c r="S1017" s="3">
        <f>student_scores[[#This Row],[Total_Score]]/7</f>
        <v>79.714285714285708</v>
      </c>
      <c r="T1017" s="3" t="str" cm="1">
        <f t="array" ref="T1017">_xlfn.IFS(student_scores[[#This Row],[weekly_self_study_hours]]&lt;=5,   "0 - 5", student_scores[[#This Row],[weekly_self_study_hours]]&lt;=10,  "6 - 10", student_scores[[#This Row],[weekly_self_study_hours]]&lt;=20,  "11 - 20",student_scores[[#This Row],[weekly_self_study_hours]]&lt;=30, "21 - 30",TRUE, "31+")</f>
        <v>31+</v>
      </c>
      <c r="U1017" t="str" cm="1">
        <f t="array" ref="U1017">_xlfn.IFS(student_scores[[#This Row],[absence_days]]=0,"0", student_scores[[#This Row],[absence_days]]&lt;=3,"1-3", student_scores[[#This Row],[absence_days]]&lt;=6,"4-6", TRUE,"7-10")</f>
        <v>1-3</v>
      </c>
      <c r="V1017" t="str">
        <f>IF(student_scores[[#This Row],[Total_Score]] &gt;= _xlfn.PERCENTILE.INC(student_scores[Total_Score], 0.8), "Yes", "No")</f>
        <v>No</v>
      </c>
    </row>
    <row r="1018" spans="1:22" x14ac:dyDescent="0.35">
      <c r="A1018">
        <v>1017</v>
      </c>
      <c r="B1018" t="s">
        <v>568</v>
      </c>
      <c r="C1018" t="s">
        <v>1868</v>
      </c>
      <c r="D1018" t="s">
        <v>1869</v>
      </c>
      <c r="E1018" t="s">
        <v>20</v>
      </c>
      <c r="F1018" t="b">
        <v>0</v>
      </c>
      <c r="G1018">
        <v>2</v>
      </c>
      <c r="H1018" t="b">
        <v>0</v>
      </c>
      <c r="I1018">
        <v>30</v>
      </c>
      <c r="J1018" t="s">
        <v>44</v>
      </c>
      <c r="K1018">
        <v>90</v>
      </c>
      <c r="L1018">
        <v>69</v>
      </c>
      <c r="M1018">
        <v>91</v>
      </c>
      <c r="N1018">
        <v>84</v>
      </c>
      <c r="O1018">
        <v>65</v>
      </c>
      <c r="P1018">
        <v>86</v>
      </c>
      <c r="Q1018">
        <v>93</v>
      </c>
      <c r="R1018">
        <f>SUM(student_scores[[#This Row],[math_score]:[geography_score]])</f>
        <v>578</v>
      </c>
      <c r="S1018" s="3">
        <f>student_scores[[#This Row],[Total_Score]]/7</f>
        <v>82.571428571428569</v>
      </c>
      <c r="T1018" s="3" t="str" cm="1">
        <f t="array" ref="T1018">_xlfn.IFS(student_scores[[#This Row],[weekly_self_study_hours]]&lt;=5,   "0 - 5", student_scores[[#This Row],[weekly_self_study_hours]]&lt;=10,  "6 - 10", student_scores[[#This Row],[weekly_self_study_hours]]&lt;=20,  "11 - 20",student_scores[[#This Row],[weekly_self_study_hours]]&lt;=30, "21 - 30",TRUE, "31+")</f>
        <v>21 - 30</v>
      </c>
      <c r="U1018" t="str" cm="1">
        <f t="array" ref="U1018">_xlfn.IFS(student_scores[[#This Row],[absence_days]]=0,"0", student_scores[[#This Row],[absence_days]]&lt;=3,"1-3", student_scores[[#This Row],[absence_days]]&lt;=6,"4-6", TRUE,"7-10")</f>
        <v>1-3</v>
      </c>
      <c r="V1018" t="str">
        <f>IF(student_scores[[#This Row],[Total_Score]] &gt;= _xlfn.PERCENTILE.INC(student_scores[Total_Score], 0.8), "Yes", "No")</f>
        <v>No</v>
      </c>
    </row>
    <row r="1019" spans="1:22" x14ac:dyDescent="0.35">
      <c r="A1019">
        <v>1018</v>
      </c>
      <c r="B1019" t="s">
        <v>655</v>
      </c>
      <c r="C1019" t="s">
        <v>566</v>
      </c>
      <c r="D1019" t="s">
        <v>1870</v>
      </c>
      <c r="E1019" t="s">
        <v>25</v>
      </c>
      <c r="F1019" t="b">
        <v>0</v>
      </c>
      <c r="G1019">
        <v>3</v>
      </c>
      <c r="H1019" t="b">
        <v>0</v>
      </c>
      <c r="I1019">
        <v>18</v>
      </c>
      <c r="J1019" t="s">
        <v>38</v>
      </c>
      <c r="K1019">
        <v>67</v>
      </c>
      <c r="L1019">
        <v>60</v>
      </c>
      <c r="M1019">
        <v>87</v>
      </c>
      <c r="N1019">
        <v>73</v>
      </c>
      <c r="O1019">
        <v>92</v>
      </c>
      <c r="P1019">
        <v>82</v>
      </c>
      <c r="Q1019">
        <v>70</v>
      </c>
      <c r="R1019">
        <f>SUM(student_scores[[#This Row],[math_score]:[geography_score]])</f>
        <v>531</v>
      </c>
      <c r="S1019" s="3">
        <f>student_scores[[#This Row],[Total_Score]]/7</f>
        <v>75.857142857142861</v>
      </c>
      <c r="T1019" s="3" t="str" cm="1">
        <f t="array" ref="T1019">_xlfn.IFS(student_scores[[#This Row],[weekly_self_study_hours]]&lt;=5,   "0 - 5", student_scores[[#This Row],[weekly_self_study_hours]]&lt;=10,  "6 - 10", student_scores[[#This Row],[weekly_self_study_hours]]&lt;=20,  "11 - 20",student_scores[[#This Row],[weekly_self_study_hours]]&lt;=30, "21 - 30",TRUE, "31+")</f>
        <v>11 - 20</v>
      </c>
      <c r="U1019" t="str" cm="1">
        <f t="array" ref="U1019">_xlfn.IFS(student_scores[[#This Row],[absence_days]]=0,"0", student_scores[[#This Row],[absence_days]]&lt;=3,"1-3", student_scores[[#This Row],[absence_days]]&lt;=6,"4-6", TRUE,"7-10")</f>
        <v>1-3</v>
      </c>
      <c r="V1019" t="str">
        <f>IF(student_scores[[#This Row],[Total_Score]] &gt;= _xlfn.PERCENTILE.INC(student_scores[Total_Score], 0.8), "Yes", "No")</f>
        <v>No</v>
      </c>
    </row>
    <row r="1020" spans="1:22" x14ac:dyDescent="0.35">
      <c r="A1020">
        <v>1019</v>
      </c>
      <c r="B1020" t="s">
        <v>221</v>
      </c>
      <c r="C1020" t="s">
        <v>518</v>
      </c>
      <c r="D1020" t="s">
        <v>1871</v>
      </c>
      <c r="E1020" t="s">
        <v>20</v>
      </c>
      <c r="F1020" t="b">
        <v>0</v>
      </c>
      <c r="G1020">
        <v>3</v>
      </c>
      <c r="H1020" t="b">
        <v>0</v>
      </c>
      <c r="I1020">
        <v>32</v>
      </c>
      <c r="J1020" t="s">
        <v>113</v>
      </c>
      <c r="K1020">
        <v>81</v>
      </c>
      <c r="L1020">
        <v>91</v>
      </c>
      <c r="M1020">
        <v>73</v>
      </c>
      <c r="N1020">
        <v>72</v>
      </c>
      <c r="O1020">
        <v>49</v>
      </c>
      <c r="P1020">
        <v>81</v>
      </c>
      <c r="Q1020">
        <v>72</v>
      </c>
      <c r="R1020">
        <f>SUM(student_scores[[#This Row],[math_score]:[geography_score]])</f>
        <v>519</v>
      </c>
      <c r="S1020" s="3">
        <f>student_scores[[#This Row],[Total_Score]]/7</f>
        <v>74.142857142857139</v>
      </c>
      <c r="T1020" s="3" t="str" cm="1">
        <f t="array" ref="T1020">_xlfn.IFS(student_scores[[#This Row],[weekly_self_study_hours]]&lt;=5,   "0 - 5", student_scores[[#This Row],[weekly_self_study_hours]]&lt;=10,  "6 - 10", student_scores[[#This Row],[weekly_self_study_hours]]&lt;=20,  "11 - 20",student_scores[[#This Row],[weekly_self_study_hours]]&lt;=30, "21 - 30",TRUE, "31+")</f>
        <v>31+</v>
      </c>
      <c r="U1020" t="str" cm="1">
        <f t="array" ref="U1020">_xlfn.IFS(student_scores[[#This Row],[absence_days]]=0,"0", student_scores[[#This Row],[absence_days]]&lt;=3,"1-3", student_scores[[#This Row],[absence_days]]&lt;=6,"4-6", TRUE,"7-10")</f>
        <v>1-3</v>
      </c>
      <c r="V1020" t="str">
        <f>IF(student_scores[[#This Row],[Total_Score]] &gt;= _xlfn.PERCENTILE.INC(student_scores[Total_Score], 0.8), "Yes", "No")</f>
        <v>No</v>
      </c>
    </row>
    <row r="1021" spans="1:22" x14ac:dyDescent="0.35">
      <c r="A1021">
        <v>1020</v>
      </c>
      <c r="B1021" t="s">
        <v>277</v>
      </c>
      <c r="C1021" t="s">
        <v>1872</v>
      </c>
      <c r="D1021" t="s">
        <v>1873</v>
      </c>
      <c r="E1021" t="s">
        <v>20</v>
      </c>
      <c r="F1021" t="b">
        <v>0</v>
      </c>
      <c r="G1021">
        <v>1</v>
      </c>
      <c r="H1021" t="b">
        <v>0</v>
      </c>
      <c r="I1021">
        <v>31</v>
      </c>
      <c r="J1021" t="s">
        <v>44</v>
      </c>
      <c r="K1021">
        <v>95</v>
      </c>
      <c r="L1021">
        <v>71</v>
      </c>
      <c r="M1021">
        <v>88</v>
      </c>
      <c r="N1021">
        <v>96</v>
      </c>
      <c r="O1021">
        <v>82</v>
      </c>
      <c r="P1021">
        <v>65</v>
      </c>
      <c r="Q1021">
        <v>80</v>
      </c>
      <c r="R1021">
        <f>SUM(student_scores[[#This Row],[math_score]:[geography_score]])</f>
        <v>577</v>
      </c>
      <c r="S1021" s="3">
        <f>student_scores[[#This Row],[Total_Score]]/7</f>
        <v>82.428571428571431</v>
      </c>
      <c r="T1021" s="3" t="str" cm="1">
        <f t="array" ref="T1021">_xlfn.IFS(student_scores[[#This Row],[weekly_self_study_hours]]&lt;=5,   "0 - 5", student_scores[[#This Row],[weekly_self_study_hours]]&lt;=10,  "6 - 10", student_scores[[#This Row],[weekly_self_study_hours]]&lt;=20,  "11 - 20",student_scores[[#This Row],[weekly_self_study_hours]]&lt;=30, "21 - 30",TRUE, "31+")</f>
        <v>31+</v>
      </c>
      <c r="U1021" t="str" cm="1">
        <f t="array" ref="U1021">_xlfn.IFS(student_scores[[#This Row],[absence_days]]=0,"0", student_scores[[#This Row],[absence_days]]&lt;=3,"1-3", student_scores[[#This Row],[absence_days]]&lt;=6,"4-6", TRUE,"7-10")</f>
        <v>1-3</v>
      </c>
      <c r="V1021" t="str">
        <f>IF(student_scores[[#This Row],[Total_Score]] &gt;= _xlfn.PERCENTILE.INC(student_scores[Total_Score], 0.8), "Yes", "No")</f>
        <v>No</v>
      </c>
    </row>
    <row r="1022" spans="1:22" x14ac:dyDescent="0.35">
      <c r="A1022">
        <v>1021</v>
      </c>
      <c r="B1022" t="s">
        <v>139</v>
      </c>
      <c r="C1022" t="s">
        <v>1874</v>
      </c>
      <c r="D1022" t="s">
        <v>1875</v>
      </c>
      <c r="E1022" t="s">
        <v>20</v>
      </c>
      <c r="F1022" t="b">
        <v>0</v>
      </c>
      <c r="G1022">
        <v>10</v>
      </c>
      <c r="H1022" t="b">
        <v>0</v>
      </c>
      <c r="I1022">
        <v>0</v>
      </c>
      <c r="J1022" t="s">
        <v>64</v>
      </c>
      <c r="K1022">
        <v>67</v>
      </c>
      <c r="L1022">
        <v>50</v>
      </c>
      <c r="M1022">
        <v>93</v>
      </c>
      <c r="N1022">
        <v>86</v>
      </c>
      <c r="O1022">
        <v>66</v>
      </c>
      <c r="P1022">
        <v>73</v>
      </c>
      <c r="Q1022">
        <v>85</v>
      </c>
      <c r="R1022">
        <f>SUM(student_scores[[#This Row],[math_score]:[geography_score]])</f>
        <v>520</v>
      </c>
      <c r="S1022" s="3">
        <f>student_scores[[#This Row],[Total_Score]]/7</f>
        <v>74.285714285714292</v>
      </c>
      <c r="T1022" s="3" t="str" cm="1">
        <f t="array" ref="T1022">_xlfn.IFS(student_scores[[#This Row],[weekly_self_study_hours]]&lt;=5,   "0 - 5", student_scores[[#This Row],[weekly_self_study_hours]]&lt;=10,  "6 - 10", student_scores[[#This Row],[weekly_self_study_hours]]&lt;=20,  "11 - 20",student_scores[[#This Row],[weekly_self_study_hours]]&lt;=30, "21 - 30",TRUE, "31+")</f>
        <v>0 - 5</v>
      </c>
      <c r="U1022" t="str" cm="1">
        <f t="array" ref="U1022">_xlfn.IFS(student_scores[[#This Row],[absence_days]]=0,"0", student_scores[[#This Row],[absence_days]]&lt;=3,"1-3", student_scores[[#This Row],[absence_days]]&lt;=6,"4-6", TRUE,"7-10")</f>
        <v>7-10</v>
      </c>
      <c r="V1022" t="str">
        <f>IF(student_scores[[#This Row],[Total_Score]] &gt;= _xlfn.PERCENTILE.INC(student_scores[Total_Score], 0.8), "Yes", "No")</f>
        <v>No</v>
      </c>
    </row>
    <row r="1023" spans="1:22" x14ac:dyDescent="0.35">
      <c r="A1023">
        <v>1022</v>
      </c>
      <c r="B1023" t="s">
        <v>1299</v>
      </c>
      <c r="C1023" t="s">
        <v>1876</v>
      </c>
      <c r="D1023" t="s">
        <v>1877</v>
      </c>
      <c r="E1023" t="s">
        <v>20</v>
      </c>
      <c r="F1023" t="b">
        <v>0</v>
      </c>
      <c r="G1023">
        <v>7</v>
      </c>
      <c r="H1023" t="b">
        <v>0</v>
      </c>
      <c r="I1023">
        <v>3</v>
      </c>
      <c r="J1023" t="s">
        <v>159</v>
      </c>
      <c r="K1023">
        <v>83</v>
      </c>
      <c r="L1023">
        <v>69</v>
      </c>
      <c r="M1023">
        <v>99</v>
      </c>
      <c r="N1023">
        <v>88</v>
      </c>
      <c r="O1023">
        <v>87</v>
      </c>
      <c r="P1023">
        <v>81</v>
      </c>
      <c r="Q1023">
        <v>68</v>
      </c>
      <c r="R1023">
        <f>SUM(student_scores[[#This Row],[math_score]:[geography_score]])</f>
        <v>575</v>
      </c>
      <c r="S1023" s="3">
        <f>student_scores[[#This Row],[Total_Score]]/7</f>
        <v>82.142857142857139</v>
      </c>
      <c r="T1023" s="3" t="str" cm="1">
        <f t="array" ref="T1023">_xlfn.IFS(student_scores[[#This Row],[weekly_self_study_hours]]&lt;=5,   "0 - 5", student_scores[[#This Row],[weekly_self_study_hours]]&lt;=10,  "6 - 10", student_scores[[#This Row],[weekly_self_study_hours]]&lt;=20,  "11 - 20",student_scores[[#This Row],[weekly_self_study_hours]]&lt;=30, "21 - 30",TRUE, "31+")</f>
        <v>0 - 5</v>
      </c>
      <c r="U1023" t="str" cm="1">
        <f t="array" ref="U1023">_xlfn.IFS(student_scores[[#This Row],[absence_days]]=0,"0", student_scores[[#This Row],[absence_days]]&lt;=3,"1-3", student_scores[[#This Row],[absence_days]]&lt;=6,"4-6", TRUE,"7-10")</f>
        <v>7-10</v>
      </c>
      <c r="V1023" t="str">
        <f>IF(student_scores[[#This Row],[Total_Score]] &gt;= _xlfn.PERCENTILE.INC(student_scores[Total_Score], 0.8), "Yes", "No")</f>
        <v>No</v>
      </c>
    </row>
    <row r="1024" spans="1:22" x14ac:dyDescent="0.35">
      <c r="A1024">
        <v>1023</v>
      </c>
      <c r="B1024" t="s">
        <v>655</v>
      </c>
      <c r="C1024" t="s">
        <v>1878</v>
      </c>
      <c r="D1024" t="s">
        <v>1879</v>
      </c>
      <c r="E1024" t="s">
        <v>25</v>
      </c>
      <c r="F1024" t="b">
        <v>0</v>
      </c>
      <c r="G1024">
        <v>3</v>
      </c>
      <c r="H1024" t="b">
        <v>1</v>
      </c>
      <c r="I1024">
        <v>5</v>
      </c>
      <c r="J1024" t="s">
        <v>34</v>
      </c>
      <c r="K1024">
        <v>87</v>
      </c>
      <c r="L1024">
        <v>96</v>
      </c>
      <c r="M1024">
        <v>67</v>
      </c>
      <c r="N1024">
        <v>64</v>
      </c>
      <c r="O1024">
        <v>67</v>
      </c>
      <c r="P1024">
        <v>81</v>
      </c>
      <c r="Q1024">
        <v>90</v>
      </c>
      <c r="R1024">
        <f>SUM(student_scores[[#This Row],[math_score]:[geography_score]])</f>
        <v>552</v>
      </c>
      <c r="S1024" s="3">
        <f>student_scores[[#This Row],[Total_Score]]/7</f>
        <v>78.857142857142861</v>
      </c>
      <c r="T1024" s="3" t="str" cm="1">
        <f t="array" ref="T1024">_xlfn.IFS(student_scores[[#This Row],[weekly_self_study_hours]]&lt;=5,   "0 - 5", student_scores[[#This Row],[weekly_self_study_hours]]&lt;=10,  "6 - 10", student_scores[[#This Row],[weekly_self_study_hours]]&lt;=20,  "11 - 20",student_scores[[#This Row],[weekly_self_study_hours]]&lt;=30, "21 - 30",TRUE, "31+")</f>
        <v>0 - 5</v>
      </c>
      <c r="U1024" t="str" cm="1">
        <f t="array" ref="U1024">_xlfn.IFS(student_scores[[#This Row],[absence_days]]=0,"0", student_scores[[#This Row],[absence_days]]&lt;=3,"1-3", student_scores[[#This Row],[absence_days]]&lt;=6,"4-6", TRUE,"7-10")</f>
        <v>1-3</v>
      </c>
      <c r="V1024" t="str">
        <f>IF(student_scores[[#This Row],[Total_Score]] &gt;= _xlfn.PERCENTILE.INC(student_scores[Total_Score], 0.8), "Yes", "No")</f>
        <v>No</v>
      </c>
    </row>
    <row r="1025" spans="1:22" x14ac:dyDescent="0.35">
      <c r="A1025">
        <v>1024</v>
      </c>
      <c r="B1025" t="s">
        <v>197</v>
      </c>
      <c r="C1025" t="s">
        <v>934</v>
      </c>
      <c r="D1025" t="s">
        <v>1880</v>
      </c>
      <c r="E1025" t="s">
        <v>20</v>
      </c>
      <c r="F1025" t="b">
        <v>0</v>
      </c>
      <c r="G1025">
        <v>3</v>
      </c>
      <c r="H1025" t="b">
        <v>1</v>
      </c>
      <c r="I1025">
        <v>24</v>
      </c>
      <c r="J1025" t="s">
        <v>138</v>
      </c>
      <c r="K1025">
        <v>82</v>
      </c>
      <c r="L1025">
        <v>71</v>
      </c>
      <c r="M1025">
        <v>84</v>
      </c>
      <c r="N1025">
        <v>68</v>
      </c>
      <c r="O1025">
        <v>74</v>
      </c>
      <c r="P1025">
        <v>64</v>
      </c>
      <c r="Q1025">
        <v>73</v>
      </c>
      <c r="R1025">
        <f>SUM(student_scores[[#This Row],[math_score]:[geography_score]])</f>
        <v>516</v>
      </c>
      <c r="S1025" s="3">
        <f>student_scores[[#This Row],[Total_Score]]/7</f>
        <v>73.714285714285708</v>
      </c>
      <c r="T1025" s="3" t="str" cm="1">
        <f t="array" ref="T1025">_xlfn.IFS(student_scores[[#This Row],[weekly_self_study_hours]]&lt;=5,   "0 - 5", student_scores[[#This Row],[weekly_self_study_hours]]&lt;=10,  "6 - 10", student_scores[[#This Row],[weekly_self_study_hours]]&lt;=20,  "11 - 20",student_scores[[#This Row],[weekly_self_study_hours]]&lt;=30, "21 - 30",TRUE, "31+")</f>
        <v>21 - 30</v>
      </c>
      <c r="U1025" t="str" cm="1">
        <f t="array" ref="U1025">_xlfn.IFS(student_scores[[#This Row],[absence_days]]=0,"0", student_scores[[#This Row],[absence_days]]&lt;=3,"1-3", student_scores[[#This Row],[absence_days]]&lt;=6,"4-6", TRUE,"7-10")</f>
        <v>1-3</v>
      </c>
      <c r="V1025" t="str">
        <f>IF(student_scores[[#This Row],[Total_Score]] &gt;= _xlfn.PERCENTILE.INC(student_scores[Total_Score], 0.8), "Yes", "No")</f>
        <v>No</v>
      </c>
    </row>
    <row r="1026" spans="1:22" x14ac:dyDescent="0.35">
      <c r="A1026">
        <v>1025</v>
      </c>
      <c r="B1026" t="s">
        <v>1267</v>
      </c>
      <c r="C1026" t="s">
        <v>1881</v>
      </c>
      <c r="D1026" t="s">
        <v>1882</v>
      </c>
      <c r="E1026" t="s">
        <v>25</v>
      </c>
      <c r="F1026" t="b">
        <v>0</v>
      </c>
      <c r="G1026">
        <v>4</v>
      </c>
      <c r="H1026" t="b">
        <v>0</v>
      </c>
      <c r="I1026">
        <v>27</v>
      </c>
      <c r="J1026" t="s">
        <v>113</v>
      </c>
      <c r="K1026">
        <v>97</v>
      </c>
      <c r="L1026">
        <v>87</v>
      </c>
      <c r="M1026">
        <v>65</v>
      </c>
      <c r="N1026">
        <v>90</v>
      </c>
      <c r="O1026">
        <v>66</v>
      </c>
      <c r="P1026">
        <v>84</v>
      </c>
      <c r="Q1026">
        <v>75</v>
      </c>
      <c r="R1026">
        <f>SUM(student_scores[[#This Row],[math_score]:[geography_score]])</f>
        <v>564</v>
      </c>
      <c r="S1026" s="3">
        <f>student_scores[[#This Row],[Total_Score]]/7</f>
        <v>80.571428571428569</v>
      </c>
      <c r="T1026" s="3" t="str" cm="1">
        <f t="array" ref="T1026">_xlfn.IFS(student_scores[[#This Row],[weekly_self_study_hours]]&lt;=5,   "0 - 5", student_scores[[#This Row],[weekly_self_study_hours]]&lt;=10,  "6 - 10", student_scores[[#This Row],[weekly_self_study_hours]]&lt;=20,  "11 - 20",student_scores[[#This Row],[weekly_self_study_hours]]&lt;=30, "21 - 30",TRUE, "31+")</f>
        <v>21 - 30</v>
      </c>
      <c r="U1026" t="str" cm="1">
        <f t="array" ref="U1026">_xlfn.IFS(student_scores[[#This Row],[absence_days]]=0,"0", student_scores[[#This Row],[absence_days]]&lt;=3,"1-3", student_scores[[#This Row],[absence_days]]&lt;=6,"4-6", TRUE,"7-10")</f>
        <v>4-6</v>
      </c>
      <c r="V1026" t="str">
        <f>IF(student_scores[[#This Row],[Total_Score]] &gt;= _xlfn.PERCENTILE.INC(student_scores[Total_Score], 0.8), "Yes", "No")</f>
        <v>No</v>
      </c>
    </row>
    <row r="1027" spans="1:22" x14ac:dyDescent="0.35">
      <c r="A1027">
        <v>1026</v>
      </c>
      <c r="B1027" t="s">
        <v>1505</v>
      </c>
      <c r="C1027" t="s">
        <v>625</v>
      </c>
      <c r="D1027" t="s">
        <v>1883</v>
      </c>
      <c r="E1027" t="s">
        <v>20</v>
      </c>
      <c r="F1027" t="b">
        <v>0</v>
      </c>
      <c r="G1027">
        <v>1</v>
      </c>
      <c r="H1027" t="b">
        <v>1</v>
      </c>
      <c r="I1027">
        <v>21</v>
      </c>
      <c r="J1027" t="s">
        <v>44</v>
      </c>
      <c r="K1027">
        <v>88</v>
      </c>
      <c r="L1027">
        <v>67</v>
      </c>
      <c r="M1027">
        <v>77</v>
      </c>
      <c r="N1027">
        <v>89</v>
      </c>
      <c r="O1027">
        <v>97</v>
      </c>
      <c r="P1027">
        <v>70</v>
      </c>
      <c r="Q1027">
        <v>71</v>
      </c>
      <c r="R1027">
        <f>SUM(student_scores[[#This Row],[math_score]:[geography_score]])</f>
        <v>559</v>
      </c>
      <c r="S1027" s="3">
        <f>student_scores[[#This Row],[Total_Score]]/7</f>
        <v>79.857142857142861</v>
      </c>
      <c r="T1027" s="3" t="str" cm="1">
        <f t="array" ref="T1027">_xlfn.IFS(student_scores[[#This Row],[weekly_self_study_hours]]&lt;=5,   "0 - 5", student_scores[[#This Row],[weekly_self_study_hours]]&lt;=10,  "6 - 10", student_scores[[#This Row],[weekly_self_study_hours]]&lt;=20,  "11 - 20",student_scores[[#This Row],[weekly_self_study_hours]]&lt;=30, "21 - 30",TRUE, "31+")</f>
        <v>21 - 30</v>
      </c>
      <c r="U1027" t="str" cm="1">
        <f t="array" ref="U1027">_xlfn.IFS(student_scores[[#This Row],[absence_days]]=0,"0", student_scores[[#This Row],[absence_days]]&lt;=3,"1-3", student_scores[[#This Row],[absence_days]]&lt;=6,"4-6", TRUE,"7-10")</f>
        <v>1-3</v>
      </c>
      <c r="V1027" t="str">
        <f>IF(student_scores[[#This Row],[Total_Score]] &gt;= _xlfn.PERCENTILE.INC(student_scores[Total_Score], 0.8), "Yes", "No")</f>
        <v>No</v>
      </c>
    </row>
    <row r="1028" spans="1:22" x14ac:dyDescent="0.35">
      <c r="A1028">
        <v>1027</v>
      </c>
      <c r="B1028" t="s">
        <v>354</v>
      </c>
      <c r="C1028" t="s">
        <v>389</v>
      </c>
      <c r="D1028" t="s">
        <v>1884</v>
      </c>
      <c r="E1028" t="s">
        <v>25</v>
      </c>
      <c r="F1028" t="b">
        <v>0</v>
      </c>
      <c r="G1028">
        <v>4</v>
      </c>
      <c r="H1028" t="b">
        <v>0</v>
      </c>
      <c r="I1028">
        <v>32</v>
      </c>
      <c r="J1028" t="s">
        <v>105</v>
      </c>
      <c r="K1028">
        <v>91</v>
      </c>
      <c r="L1028">
        <v>94</v>
      </c>
      <c r="M1028">
        <v>81</v>
      </c>
      <c r="N1028">
        <v>61</v>
      </c>
      <c r="O1028">
        <v>61</v>
      </c>
      <c r="P1028">
        <v>82</v>
      </c>
      <c r="Q1028">
        <v>73</v>
      </c>
      <c r="R1028">
        <f>SUM(student_scores[[#This Row],[math_score]:[geography_score]])</f>
        <v>543</v>
      </c>
      <c r="S1028" s="3">
        <f>student_scores[[#This Row],[Total_Score]]/7</f>
        <v>77.571428571428569</v>
      </c>
      <c r="T1028" s="3" t="str" cm="1">
        <f t="array" ref="T1028">_xlfn.IFS(student_scores[[#This Row],[weekly_self_study_hours]]&lt;=5,   "0 - 5", student_scores[[#This Row],[weekly_self_study_hours]]&lt;=10,  "6 - 10", student_scores[[#This Row],[weekly_self_study_hours]]&lt;=20,  "11 - 20",student_scores[[#This Row],[weekly_self_study_hours]]&lt;=30, "21 - 30",TRUE, "31+")</f>
        <v>31+</v>
      </c>
      <c r="U1028" t="str" cm="1">
        <f t="array" ref="U1028">_xlfn.IFS(student_scores[[#This Row],[absence_days]]=0,"0", student_scores[[#This Row],[absence_days]]&lt;=3,"1-3", student_scores[[#This Row],[absence_days]]&lt;=6,"4-6", TRUE,"7-10")</f>
        <v>4-6</v>
      </c>
      <c r="V1028" t="str">
        <f>IF(student_scores[[#This Row],[Total_Score]] &gt;= _xlfn.PERCENTILE.INC(student_scores[Total_Score], 0.8), "Yes", "No")</f>
        <v>No</v>
      </c>
    </row>
    <row r="1029" spans="1:22" x14ac:dyDescent="0.35">
      <c r="A1029">
        <v>1028</v>
      </c>
      <c r="B1029" t="s">
        <v>1885</v>
      </c>
      <c r="C1029" t="s">
        <v>1028</v>
      </c>
      <c r="D1029" t="s">
        <v>1886</v>
      </c>
      <c r="E1029" t="s">
        <v>25</v>
      </c>
      <c r="F1029" t="b">
        <v>1</v>
      </c>
      <c r="G1029">
        <v>7</v>
      </c>
      <c r="H1029" t="b">
        <v>0</v>
      </c>
      <c r="I1029">
        <v>5</v>
      </c>
      <c r="J1029" t="s">
        <v>64</v>
      </c>
      <c r="K1029">
        <v>77</v>
      </c>
      <c r="L1029">
        <v>60</v>
      </c>
      <c r="M1029">
        <v>83</v>
      </c>
      <c r="N1029">
        <v>65</v>
      </c>
      <c r="O1029">
        <v>81</v>
      </c>
      <c r="P1029">
        <v>80</v>
      </c>
      <c r="Q1029">
        <v>88</v>
      </c>
      <c r="R1029">
        <f>SUM(student_scores[[#This Row],[math_score]:[geography_score]])</f>
        <v>534</v>
      </c>
      <c r="S1029" s="3">
        <f>student_scores[[#This Row],[Total_Score]]/7</f>
        <v>76.285714285714292</v>
      </c>
      <c r="T1029" s="3" t="str" cm="1">
        <f t="array" ref="T1029">_xlfn.IFS(student_scores[[#This Row],[weekly_self_study_hours]]&lt;=5,   "0 - 5", student_scores[[#This Row],[weekly_self_study_hours]]&lt;=10,  "6 - 10", student_scores[[#This Row],[weekly_self_study_hours]]&lt;=20,  "11 - 20",student_scores[[#This Row],[weekly_self_study_hours]]&lt;=30, "21 - 30",TRUE, "31+")</f>
        <v>0 - 5</v>
      </c>
      <c r="U1029" t="str" cm="1">
        <f t="array" ref="U1029">_xlfn.IFS(student_scores[[#This Row],[absence_days]]=0,"0", student_scores[[#This Row],[absence_days]]&lt;=3,"1-3", student_scores[[#This Row],[absence_days]]&lt;=6,"4-6", TRUE,"7-10")</f>
        <v>7-10</v>
      </c>
      <c r="V1029" t="str">
        <f>IF(student_scores[[#This Row],[Total_Score]] &gt;= _xlfn.PERCENTILE.INC(student_scores[Total_Score], 0.8), "Yes", "No")</f>
        <v>No</v>
      </c>
    </row>
    <row r="1030" spans="1:22" x14ac:dyDescent="0.35">
      <c r="A1030">
        <v>1029</v>
      </c>
      <c r="B1030" t="s">
        <v>230</v>
      </c>
      <c r="C1030" t="s">
        <v>964</v>
      </c>
      <c r="D1030" t="s">
        <v>1887</v>
      </c>
      <c r="E1030" t="s">
        <v>25</v>
      </c>
      <c r="F1030" t="b">
        <v>0</v>
      </c>
      <c r="G1030">
        <v>7</v>
      </c>
      <c r="H1030" t="b">
        <v>0</v>
      </c>
      <c r="I1030">
        <v>7</v>
      </c>
      <c r="J1030" t="s">
        <v>38</v>
      </c>
      <c r="K1030">
        <v>94</v>
      </c>
      <c r="L1030">
        <v>65</v>
      </c>
      <c r="M1030">
        <v>96</v>
      </c>
      <c r="N1030">
        <v>77</v>
      </c>
      <c r="O1030">
        <v>83</v>
      </c>
      <c r="P1030">
        <v>75</v>
      </c>
      <c r="Q1030">
        <v>98</v>
      </c>
      <c r="R1030">
        <f>SUM(student_scores[[#This Row],[math_score]:[geography_score]])</f>
        <v>588</v>
      </c>
      <c r="S1030" s="3">
        <f>student_scores[[#This Row],[Total_Score]]/7</f>
        <v>84</v>
      </c>
      <c r="T1030" s="3" t="str" cm="1">
        <f t="array" ref="T1030">_xlfn.IFS(student_scores[[#This Row],[weekly_self_study_hours]]&lt;=5,   "0 - 5", student_scores[[#This Row],[weekly_self_study_hours]]&lt;=10,  "6 - 10", student_scores[[#This Row],[weekly_self_study_hours]]&lt;=20,  "11 - 20",student_scores[[#This Row],[weekly_self_study_hours]]&lt;=30, "21 - 30",TRUE, "31+")</f>
        <v>6 - 10</v>
      </c>
      <c r="U1030" t="str" cm="1">
        <f t="array" ref="U1030">_xlfn.IFS(student_scores[[#This Row],[absence_days]]=0,"0", student_scores[[#This Row],[absence_days]]&lt;=3,"1-3", student_scores[[#This Row],[absence_days]]&lt;=6,"4-6", TRUE,"7-10")</f>
        <v>7-10</v>
      </c>
      <c r="V1030" t="str">
        <f>IF(student_scores[[#This Row],[Total_Score]] &gt;= _xlfn.PERCENTILE.INC(student_scores[Total_Score], 0.8), "Yes", "No")</f>
        <v>No</v>
      </c>
    </row>
    <row r="1031" spans="1:22" x14ac:dyDescent="0.35">
      <c r="A1031">
        <v>1030</v>
      </c>
      <c r="B1031" t="s">
        <v>1391</v>
      </c>
      <c r="C1031" t="s">
        <v>457</v>
      </c>
      <c r="D1031" t="s">
        <v>1888</v>
      </c>
      <c r="E1031" t="s">
        <v>20</v>
      </c>
      <c r="F1031" t="b">
        <v>1</v>
      </c>
      <c r="G1031">
        <v>8</v>
      </c>
      <c r="H1031" t="b">
        <v>0</v>
      </c>
      <c r="I1031">
        <v>1</v>
      </c>
      <c r="J1031" t="s">
        <v>64</v>
      </c>
      <c r="K1031">
        <v>100</v>
      </c>
      <c r="L1031">
        <v>82</v>
      </c>
      <c r="M1031">
        <v>91</v>
      </c>
      <c r="N1031">
        <v>82</v>
      </c>
      <c r="O1031">
        <v>70</v>
      </c>
      <c r="P1031">
        <v>51</v>
      </c>
      <c r="Q1031">
        <v>77</v>
      </c>
      <c r="R1031">
        <f>SUM(student_scores[[#This Row],[math_score]:[geography_score]])</f>
        <v>553</v>
      </c>
      <c r="S1031" s="3">
        <f>student_scores[[#This Row],[Total_Score]]/7</f>
        <v>79</v>
      </c>
      <c r="T1031" s="3" t="str" cm="1">
        <f t="array" ref="T1031">_xlfn.IFS(student_scores[[#This Row],[weekly_self_study_hours]]&lt;=5,   "0 - 5", student_scores[[#This Row],[weekly_self_study_hours]]&lt;=10,  "6 - 10", student_scores[[#This Row],[weekly_self_study_hours]]&lt;=20,  "11 - 20",student_scores[[#This Row],[weekly_self_study_hours]]&lt;=30, "21 - 30",TRUE, "31+")</f>
        <v>0 - 5</v>
      </c>
      <c r="U1031" t="str" cm="1">
        <f t="array" ref="U1031">_xlfn.IFS(student_scores[[#This Row],[absence_days]]=0,"0", student_scores[[#This Row],[absence_days]]&lt;=3,"1-3", student_scores[[#This Row],[absence_days]]&lt;=6,"4-6", TRUE,"7-10")</f>
        <v>7-10</v>
      </c>
      <c r="V1031" t="str">
        <f>IF(student_scores[[#This Row],[Total_Score]] &gt;= _xlfn.PERCENTILE.INC(student_scores[Total_Score], 0.8), "Yes", "No")</f>
        <v>No</v>
      </c>
    </row>
    <row r="1032" spans="1:22" x14ac:dyDescent="0.35">
      <c r="A1032">
        <v>1031</v>
      </c>
      <c r="B1032" t="s">
        <v>536</v>
      </c>
      <c r="C1032" t="s">
        <v>1889</v>
      </c>
      <c r="D1032" t="s">
        <v>1890</v>
      </c>
      <c r="E1032" t="s">
        <v>25</v>
      </c>
      <c r="F1032" t="b">
        <v>0</v>
      </c>
      <c r="G1032">
        <v>3</v>
      </c>
      <c r="H1032" t="b">
        <v>0</v>
      </c>
      <c r="I1032">
        <v>22</v>
      </c>
      <c r="J1032" t="s">
        <v>105</v>
      </c>
      <c r="K1032">
        <v>96</v>
      </c>
      <c r="L1032">
        <v>75</v>
      </c>
      <c r="M1032">
        <v>79</v>
      </c>
      <c r="N1032">
        <v>72</v>
      </c>
      <c r="O1032">
        <v>69</v>
      </c>
      <c r="P1032">
        <v>94</v>
      </c>
      <c r="Q1032">
        <v>64</v>
      </c>
      <c r="R1032">
        <f>SUM(student_scores[[#This Row],[math_score]:[geography_score]])</f>
        <v>549</v>
      </c>
      <c r="S1032" s="3">
        <f>student_scores[[#This Row],[Total_Score]]/7</f>
        <v>78.428571428571431</v>
      </c>
      <c r="T1032" s="3" t="str" cm="1">
        <f t="array" ref="T1032">_xlfn.IFS(student_scores[[#This Row],[weekly_self_study_hours]]&lt;=5,   "0 - 5", student_scores[[#This Row],[weekly_self_study_hours]]&lt;=10,  "6 - 10", student_scores[[#This Row],[weekly_self_study_hours]]&lt;=20,  "11 - 20",student_scores[[#This Row],[weekly_self_study_hours]]&lt;=30, "21 - 30",TRUE, "31+")</f>
        <v>21 - 30</v>
      </c>
      <c r="U1032" t="str" cm="1">
        <f t="array" ref="U1032">_xlfn.IFS(student_scores[[#This Row],[absence_days]]=0,"0", student_scores[[#This Row],[absence_days]]&lt;=3,"1-3", student_scores[[#This Row],[absence_days]]&lt;=6,"4-6", TRUE,"7-10")</f>
        <v>1-3</v>
      </c>
      <c r="V1032" t="str">
        <f>IF(student_scores[[#This Row],[Total_Score]] &gt;= _xlfn.PERCENTILE.INC(student_scores[Total_Score], 0.8), "Yes", "No")</f>
        <v>No</v>
      </c>
    </row>
    <row r="1033" spans="1:22" x14ac:dyDescent="0.35">
      <c r="A1033">
        <v>1032</v>
      </c>
      <c r="B1033" t="s">
        <v>1183</v>
      </c>
      <c r="C1033" t="s">
        <v>62</v>
      </c>
      <c r="D1033" t="s">
        <v>1891</v>
      </c>
      <c r="E1033" t="s">
        <v>20</v>
      </c>
      <c r="F1033" t="b">
        <v>0</v>
      </c>
      <c r="G1033">
        <v>5</v>
      </c>
      <c r="H1033" t="b">
        <v>1</v>
      </c>
      <c r="I1033">
        <v>15</v>
      </c>
      <c r="J1033" t="s">
        <v>113</v>
      </c>
      <c r="K1033">
        <v>75</v>
      </c>
      <c r="L1033">
        <v>64</v>
      </c>
      <c r="M1033">
        <v>76</v>
      </c>
      <c r="N1033">
        <v>65</v>
      </c>
      <c r="O1033">
        <v>44</v>
      </c>
      <c r="P1033">
        <v>80</v>
      </c>
      <c r="Q1033">
        <v>91</v>
      </c>
      <c r="R1033">
        <f>SUM(student_scores[[#This Row],[math_score]:[geography_score]])</f>
        <v>495</v>
      </c>
      <c r="S1033" s="3">
        <f>student_scores[[#This Row],[Total_Score]]/7</f>
        <v>70.714285714285708</v>
      </c>
      <c r="T1033" s="3" t="str" cm="1">
        <f t="array" ref="T1033">_xlfn.IFS(student_scores[[#This Row],[weekly_self_study_hours]]&lt;=5,   "0 - 5", student_scores[[#This Row],[weekly_self_study_hours]]&lt;=10,  "6 - 10", student_scores[[#This Row],[weekly_self_study_hours]]&lt;=20,  "11 - 20",student_scores[[#This Row],[weekly_self_study_hours]]&lt;=30, "21 - 30",TRUE, "31+")</f>
        <v>11 - 20</v>
      </c>
      <c r="U1033" t="str" cm="1">
        <f t="array" ref="U1033">_xlfn.IFS(student_scores[[#This Row],[absence_days]]=0,"0", student_scores[[#This Row],[absence_days]]&lt;=3,"1-3", student_scores[[#This Row],[absence_days]]&lt;=6,"4-6", TRUE,"7-10")</f>
        <v>4-6</v>
      </c>
      <c r="V1033" t="str">
        <f>IF(student_scores[[#This Row],[Total_Score]] &gt;= _xlfn.PERCENTILE.INC(student_scores[Total_Score], 0.8), "Yes", "No")</f>
        <v>No</v>
      </c>
    </row>
    <row r="1034" spans="1:22" x14ac:dyDescent="0.35">
      <c r="A1034">
        <v>1033</v>
      </c>
      <c r="B1034" t="s">
        <v>473</v>
      </c>
      <c r="C1034" t="s">
        <v>591</v>
      </c>
      <c r="D1034" t="s">
        <v>1892</v>
      </c>
      <c r="E1034" t="s">
        <v>20</v>
      </c>
      <c r="F1034" t="b">
        <v>0</v>
      </c>
      <c r="G1034">
        <v>1</v>
      </c>
      <c r="H1034" t="b">
        <v>0</v>
      </c>
      <c r="I1034">
        <v>12</v>
      </c>
      <c r="J1034" t="s">
        <v>30</v>
      </c>
      <c r="K1034">
        <v>94</v>
      </c>
      <c r="L1034">
        <v>84</v>
      </c>
      <c r="M1034">
        <v>85</v>
      </c>
      <c r="N1034">
        <v>63</v>
      </c>
      <c r="O1034">
        <v>67</v>
      </c>
      <c r="P1034">
        <v>89</v>
      </c>
      <c r="Q1034">
        <v>66</v>
      </c>
      <c r="R1034">
        <f>SUM(student_scores[[#This Row],[math_score]:[geography_score]])</f>
        <v>548</v>
      </c>
      <c r="S1034" s="3">
        <f>student_scores[[#This Row],[Total_Score]]/7</f>
        <v>78.285714285714292</v>
      </c>
      <c r="T1034" s="3" t="str" cm="1">
        <f t="array" ref="T1034">_xlfn.IFS(student_scores[[#This Row],[weekly_self_study_hours]]&lt;=5,   "0 - 5", student_scores[[#This Row],[weekly_self_study_hours]]&lt;=10,  "6 - 10", student_scores[[#This Row],[weekly_self_study_hours]]&lt;=20,  "11 - 20",student_scores[[#This Row],[weekly_self_study_hours]]&lt;=30, "21 - 30",TRUE, "31+")</f>
        <v>11 - 20</v>
      </c>
      <c r="U1034" t="str" cm="1">
        <f t="array" ref="U1034">_xlfn.IFS(student_scores[[#This Row],[absence_days]]=0,"0", student_scores[[#This Row],[absence_days]]&lt;=3,"1-3", student_scores[[#This Row],[absence_days]]&lt;=6,"4-6", TRUE,"7-10")</f>
        <v>1-3</v>
      </c>
      <c r="V1034" t="str">
        <f>IF(student_scores[[#This Row],[Total_Score]] &gt;= _xlfn.PERCENTILE.INC(student_scores[Total_Score], 0.8), "Yes", "No")</f>
        <v>No</v>
      </c>
    </row>
    <row r="1035" spans="1:22" x14ac:dyDescent="0.35">
      <c r="A1035">
        <v>1034</v>
      </c>
      <c r="B1035" t="s">
        <v>568</v>
      </c>
      <c r="C1035" t="s">
        <v>1410</v>
      </c>
      <c r="D1035" t="s">
        <v>1893</v>
      </c>
      <c r="E1035" t="s">
        <v>20</v>
      </c>
      <c r="F1035" t="b">
        <v>0</v>
      </c>
      <c r="G1035">
        <v>3</v>
      </c>
      <c r="H1035" t="b">
        <v>1</v>
      </c>
      <c r="I1035">
        <v>21</v>
      </c>
      <c r="J1035" t="s">
        <v>38</v>
      </c>
      <c r="K1035">
        <v>89</v>
      </c>
      <c r="L1035">
        <v>100</v>
      </c>
      <c r="M1035">
        <v>89</v>
      </c>
      <c r="N1035">
        <v>65</v>
      </c>
      <c r="O1035">
        <v>91</v>
      </c>
      <c r="P1035">
        <v>83</v>
      </c>
      <c r="Q1035">
        <v>61</v>
      </c>
      <c r="R1035">
        <f>SUM(student_scores[[#This Row],[math_score]:[geography_score]])</f>
        <v>578</v>
      </c>
      <c r="S1035" s="3">
        <f>student_scores[[#This Row],[Total_Score]]/7</f>
        <v>82.571428571428569</v>
      </c>
      <c r="T1035" s="3" t="str" cm="1">
        <f t="array" ref="T1035">_xlfn.IFS(student_scores[[#This Row],[weekly_self_study_hours]]&lt;=5,   "0 - 5", student_scores[[#This Row],[weekly_self_study_hours]]&lt;=10,  "6 - 10", student_scores[[#This Row],[weekly_self_study_hours]]&lt;=20,  "11 - 20",student_scores[[#This Row],[weekly_self_study_hours]]&lt;=30, "21 - 30",TRUE, "31+")</f>
        <v>21 - 30</v>
      </c>
      <c r="U1035" t="str" cm="1">
        <f t="array" ref="U1035">_xlfn.IFS(student_scores[[#This Row],[absence_days]]=0,"0", student_scores[[#This Row],[absence_days]]&lt;=3,"1-3", student_scores[[#This Row],[absence_days]]&lt;=6,"4-6", TRUE,"7-10")</f>
        <v>1-3</v>
      </c>
      <c r="V1035" t="str">
        <f>IF(student_scores[[#This Row],[Total_Score]] &gt;= _xlfn.PERCENTILE.INC(student_scores[Total_Score], 0.8), "Yes", "No")</f>
        <v>No</v>
      </c>
    </row>
    <row r="1036" spans="1:22" x14ac:dyDescent="0.35">
      <c r="A1036">
        <v>1035</v>
      </c>
      <c r="B1036" t="s">
        <v>413</v>
      </c>
      <c r="C1036" t="s">
        <v>1894</v>
      </c>
      <c r="D1036" t="s">
        <v>1895</v>
      </c>
      <c r="E1036" t="s">
        <v>20</v>
      </c>
      <c r="F1036" t="b">
        <v>1</v>
      </c>
      <c r="G1036">
        <v>5</v>
      </c>
      <c r="H1036" t="b">
        <v>0</v>
      </c>
      <c r="I1036">
        <v>24</v>
      </c>
      <c r="J1036" t="s">
        <v>172</v>
      </c>
      <c r="K1036">
        <v>100</v>
      </c>
      <c r="L1036">
        <v>80</v>
      </c>
      <c r="M1036">
        <v>74</v>
      </c>
      <c r="N1036">
        <v>87</v>
      </c>
      <c r="O1036">
        <v>77</v>
      </c>
      <c r="P1036">
        <v>95</v>
      </c>
      <c r="Q1036">
        <v>92</v>
      </c>
      <c r="R1036">
        <f>SUM(student_scores[[#This Row],[math_score]:[geography_score]])</f>
        <v>605</v>
      </c>
      <c r="S1036" s="3">
        <f>student_scores[[#This Row],[Total_Score]]/7</f>
        <v>86.428571428571431</v>
      </c>
      <c r="T1036" s="3" t="str" cm="1">
        <f t="array" ref="T1036">_xlfn.IFS(student_scores[[#This Row],[weekly_self_study_hours]]&lt;=5,   "0 - 5", student_scores[[#This Row],[weekly_self_study_hours]]&lt;=10,  "6 - 10", student_scores[[#This Row],[weekly_self_study_hours]]&lt;=20,  "11 - 20",student_scores[[#This Row],[weekly_self_study_hours]]&lt;=30, "21 - 30",TRUE, "31+")</f>
        <v>21 - 30</v>
      </c>
      <c r="U1036" t="str" cm="1">
        <f t="array" ref="U1036">_xlfn.IFS(student_scores[[#This Row],[absence_days]]=0,"0", student_scores[[#This Row],[absence_days]]&lt;=3,"1-3", student_scores[[#This Row],[absence_days]]&lt;=6,"4-6", TRUE,"7-10")</f>
        <v>4-6</v>
      </c>
      <c r="V1036" t="str">
        <f>IF(student_scores[[#This Row],[Total_Score]] &gt;= _xlfn.PERCENTILE.INC(student_scores[Total_Score], 0.8), "Yes", "No")</f>
        <v>Yes</v>
      </c>
    </row>
    <row r="1037" spans="1:22" x14ac:dyDescent="0.35">
      <c r="A1037">
        <v>1036</v>
      </c>
      <c r="B1037" t="s">
        <v>599</v>
      </c>
      <c r="C1037" t="s">
        <v>932</v>
      </c>
      <c r="D1037" t="s">
        <v>1896</v>
      </c>
      <c r="E1037" t="s">
        <v>25</v>
      </c>
      <c r="F1037" t="b">
        <v>0</v>
      </c>
      <c r="G1037">
        <v>7</v>
      </c>
      <c r="H1037" t="b">
        <v>0</v>
      </c>
      <c r="I1037">
        <v>18</v>
      </c>
      <c r="J1037" t="s">
        <v>113</v>
      </c>
      <c r="K1037">
        <v>94</v>
      </c>
      <c r="L1037">
        <v>97</v>
      </c>
      <c r="M1037">
        <v>61</v>
      </c>
      <c r="N1037">
        <v>67</v>
      </c>
      <c r="O1037">
        <v>77</v>
      </c>
      <c r="P1037">
        <v>88</v>
      </c>
      <c r="Q1037">
        <v>70</v>
      </c>
      <c r="R1037">
        <f>SUM(student_scores[[#This Row],[math_score]:[geography_score]])</f>
        <v>554</v>
      </c>
      <c r="S1037" s="3">
        <f>student_scores[[#This Row],[Total_Score]]/7</f>
        <v>79.142857142857139</v>
      </c>
      <c r="T1037" s="3" t="str" cm="1">
        <f t="array" ref="T1037">_xlfn.IFS(student_scores[[#This Row],[weekly_self_study_hours]]&lt;=5,   "0 - 5", student_scores[[#This Row],[weekly_self_study_hours]]&lt;=10,  "6 - 10", student_scores[[#This Row],[weekly_self_study_hours]]&lt;=20,  "11 - 20",student_scores[[#This Row],[weekly_self_study_hours]]&lt;=30, "21 - 30",TRUE, "31+")</f>
        <v>11 - 20</v>
      </c>
      <c r="U1037" t="str" cm="1">
        <f t="array" ref="U1037">_xlfn.IFS(student_scores[[#This Row],[absence_days]]=0,"0", student_scores[[#This Row],[absence_days]]&lt;=3,"1-3", student_scores[[#This Row],[absence_days]]&lt;=6,"4-6", TRUE,"7-10")</f>
        <v>7-10</v>
      </c>
      <c r="V1037" t="str">
        <f>IF(student_scores[[#This Row],[Total_Score]] &gt;= _xlfn.PERCENTILE.INC(student_scores[Total_Score], 0.8), "Yes", "No")</f>
        <v>No</v>
      </c>
    </row>
    <row r="1038" spans="1:22" x14ac:dyDescent="0.35">
      <c r="A1038">
        <v>1037</v>
      </c>
      <c r="B1038" t="s">
        <v>560</v>
      </c>
      <c r="C1038" t="s">
        <v>178</v>
      </c>
      <c r="D1038" t="s">
        <v>1897</v>
      </c>
      <c r="E1038" t="s">
        <v>25</v>
      </c>
      <c r="F1038" t="b">
        <v>0</v>
      </c>
      <c r="G1038">
        <v>6</v>
      </c>
      <c r="H1038" t="b">
        <v>0</v>
      </c>
      <c r="I1038">
        <v>4</v>
      </c>
      <c r="J1038" t="s">
        <v>30</v>
      </c>
      <c r="K1038">
        <v>78</v>
      </c>
      <c r="L1038">
        <v>78</v>
      </c>
      <c r="M1038">
        <v>100</v>
      </c>
      <c r="N1038">
        <v>87</v>
      </c>
      <c r="O1038">
        <v>98</v>
      </c>
      <c r="P1038">
        <v>80</v>
      </c>
      <c r="Q1038">
        <v>98</v>
      </c>
      <c r="R1038">
        <f>SUM(student_scores[[#This Row],[math_score]:[geography_score]])</f>
        <v>619</v>
      </c>
      <c r="S1038" s="3">
        <f>student_scores[[#This Row],[Total_Score]]/7</f>
        <v>88.428571428571431</v>
      </c>
      <c r="T1038" s="3" t="str" cm="1">
        <f t="array" ref="T1038">_xlfn.IFS(student_scores[[#This Row],[weekly_self_study_hours]]&lt;=5,   "0 - 5", student_scores[[#This Row],[weekly_self_study_hours]]&lt;=10,  "6 - 10", student_scores[[#This Row],[weekly_self_study_hours]]&lt;=20,  "11 - 20",student_scores[[#This Row],[weekly_self_study_hours]]&lt;=30, "21 - 30",TRUE, "31+")</f>
        <v>0 - 5</v>
      </c>
      <c r="U1038" t="str" cm="1">
        <f t="array" ref="U1038">_xlfn.IFS(student_scores[[#This Row],[absence_days]]=0,"0", student_scores[[#This Row],[absence_days]]&lt;=3,"1-3", student_scores[[#This Row],[absence_days]]&lt;=6,"4-6", TRUE,"7-10")</f>
        <v>4-6</v>
      </c>
      <c r="V1038" t="str">
        <f>IF(student_scores[[#This Row],[Total_Score]] &gt;= _xlfn.PERCENTILE.INC(student_scores[Total_Score], 0.8), "Yes", "No")</f>
        <v>Yes</v>
      </c>
    </row>
    <row r="1039" spans="1:22" x14ac:dyDescent="0.35">
      <c r="A1039">
        <v>1038</v>
      </c>
      <c r="B1039" t="s">
        <v>139</v>
      </c>
      <c r="C1039" t="s">
        <v>215</v>
      </c>
      <c r="D1039" t="s">
        <v>1898</v>
      </c>
      <c r="E1039" t="s">
        <v>20</v>
      </c>
      <c r="F1039" t="b">
        <v>1</v>
      </c>
      <c r="G1039">
        <v>6</v>
      </c>
      <c r="H1039" t="b">
        <v>0</v>
      </c>
      <c r="I1039">
        <v>5</v>
      </c>
      <c r="J1039" t="s">
        <v>64</v>
      </c>
      <c r="K1039">
        <v>65</v>
      </c>
      <c r="L1039">
        <v>71</v>
      </c>
      <c r="M1039">
        <v>88</v>
      </c>
      <c r="N1039">
        <v>57</v>
      </c>
      <c r="O1039">
        <v>75</v>
      </c>
      <c r="P1039">
        <v>62</v>
      </c>
      <c r="Q1039">
        <v>62</v>
      </c>
      <c r="R1039">
        <f>SUM(student_scores[[#This Row],[math_score]:[geography_score]])</f>
        <v>480</v>
      </c>
      <c r="S1039" s="3">
        <f>student_scores[[#This Row],[Total_Score]]/7</f>
        <v>68.571428571428569</v>
      </c>
      <c r="T1039" s="3" t="str" cm="1">
        <f t="array" ref="T1039">_xlfn.IFS(student_scores[[#This Row],[weekly_self_study_hours]]&lt;=5,   "0 - 5", student_scores[[#This Row],[weekly_self_study_hours]]&lt;=10,  "6 - 10", student_scores[[#This Row],[weekly_self_study_hours]]&lt;=20,  "11 - 20",student_scores[[#This Row],[weekly_self_study_hours]]&lt;=30, "21 - 30",TRUE, "31+")</f>
        <v>0 - 5</v>
      </c>
      <c r="U1039" t="str" cm="1">
        <f t="array" ref="U1039">_xlfn.IFS(student_scores[[#This Row],[absence_days]]=0,"0", student_scores[[#This Row],[absence_days]]&lt;=3,"1-3", student_scores[[#This Row],[absence_days]]&lt;=6,"4-6", TRUE,"7-10")</f>
        <v>4-6</v>
      </c>
      <c r="V1039" t="str">
        <f>IF(student_scores[[#This Row],[Total_Score]] &gt;= _xlfn.PERCENTILE.INC(student_scores[Total_Score], 0.8), "Yes", "No")</f>
        <v>No</v>
      </c>
    </row>
    <row r="1040" spans="1:22" x14ac:dyDescent="0.35">
      <c r="A1040">
        <v>1039</v>
      </c>
      <c r="B1040" t="s">
        <v>655</v>
      </c>
      <c r="C1040" t="s">
        <v>191</v>
      </c>
      <c r="D1040" t="s">
        <v>1899</v>
      </c>
      <c r="E1040" t="s">
        <v>25</v>
      </c>
      <c r="F1040" t="b">
        <v>1</v>
      </c>
      <c r="G1040">
        <v>7</v>
      </c>
      <c r="H1040" t="b">
        <v>0</v>
      </c>
      <c r="I1040">
        <v>32</v>
      </c>
      <c r="J1040" t="s">
        <v>109</v>
      </c>
      <c r="K1040">
        <v>68</v>
      </c>
      <c r="L1040">
        <v>81</v>
      </c>
      <c r="M1040">
        <v>72</v>
      </c>
      <c r="N1040">
        <v>76</v>
      </c>
      <c r="O1040">
        <v>93</v>
      </c>
      <c r="P1040">
        <v>94</v>
      </c>
      <c r="Q1040">
        <v>97</v>
      </c>
      <c r="R1040">
        <f>SUM(student_scores[[#This Row],[math_score]:[geography_score]])</f>
        <v>581</v>
      </c>
      <c r="S1040" s="3">
        <f>student_scores[[#This Row],[Total_Score]]/7</f>
        <v>83</v>
      </c>
      <c r="T1040" s="3" t="str" cm="1">
        <f t="array" ref="T1040">_xlfn.IFS(student_scores[[#This Row],[weekly_self_study_hours]]&lt;=5,   "0 - 5", student_scores[[#This Row],[weekly_self_study_hours]]&lt;=10,  "6 - 10", student_scores[[#This Row],[weekly_self_study_hours]]&lt;=20,  "11 - 20",student_scores[[#This Row],[weekly_self_study_hours]]&lt;=30, "21 - 30",TRUE, "31+")</f>
        <v>31+</v>
      </c>
      <c r="U1040" t="str" cm="1">
        <f t="array" ref="U1040">_xlfn.IFS(student_scores[[#This Row],[absence_days]]=0,"0", student_scores[[#This Row],[absence_days]]&lt;=3,"1-3", student_scores[[#This Row],[absence_days]]&lt;=6,"4-6", TRUE,"7-10")</f>
        <v>7-10</v>
      </c>
      <c r="V1040" t="str">
        <f>IF(student_scores[[#This Row],[Total_Score]] &gt;= _xlfn.PERCENTILE.INC(student_scores[Total_Score], 0.8), "Yes", "No")</f>
        <v>No</v>
      </c>
    </row>
    <row r="1041" spans="1:22" x14ac:dyDescent="0.35">
      <c r="A1041">
        <v>1040</v>
      </c>
      <c r="B1041" t="s">
        <v>302</v>
      </c>
      <c r="C1041" t="s">
        <v>1900</v>
      </c>
      <c r="D1041" t="s">
        <v>1901</v>
      </c>
      <c r="E1041" t="s">
        <v>20</v>
      </c>
      <c r="F1041" t="b">
        <v>0</v>
      </c>
      <c r="G1041">
        <v>8</v>
      </c>
      <c r="H1041" t="b">
        <v>1</v>
      </c>
      <c r="I1041">
        <v>0</v>
      </c>
      <c r="J1041" t="s">
        <v>34</v>
      </c>
      <c r="K1041">
        <v>93</v>
      </c>
      <c r="L1041">
        <v>78</v>
      </c>
      <c r="M1041">
        <v>98</v>
      </c>
      <c r="N1041">
        <v>76</v>
      </c>
      <c r="O1041">
        <v>86</v>
      </c>
      <c r="P1041">
        <v>89</v>
      </c>
      <c r="Q1041">
        <v>92</v>
      </c>
      <c r="R1041">
        <f>SUM(student_scores[[#This Row],[math_score]:[geography_score]])</f>
        <v>612</v>
      </c>
      <c r="S1041" s="3">
        <f>student_scores[[#This Row],[Total_Score]]/7</f>
        <v>87.428571428571431</v>
      </c>
      <c r="T1041" s="3" t="str" cm="1">
        <f t="array" ref="T1041">_xlfn.IFS(student_scores[[#This Row],[weekly_self_study_hours]]&lt;=5,   "0 - 5", student_scores[[#This Row],[weekly_self_study_hours]]&lt;=10,  "6 - 10", student_scores[[#This Row],[weekly_self_study_hours]]&lt;=20,  "11 - 20",student_scores[[#This Row],[weekly_self_study_hours]]&lt;=30, "21 - 30",TRUE, "31+")</f>
        <v>0 - 5</v>
      </c>
      <c r="U1041" t="str" cm="1">
        <f t="array" ref="U1041">_xlfn.IFS(student_scores[[#This Row],[absence_days]]=0,"0", student_scores[[#This Row],[absence_days]]&lt;=3,"1-3", student_scores[[#This Row],[absence_days]]&lt;=6,"4-6", TRUE,"7-10")</f>
        <v>7-10</v>
      </c>
      <c r="V1041" t="str">
        <f>IF(student_scores[[#This Row],[Total_Score]] &gt;= _xlfn.PERCENTILE.INC(student_scores[Total_Score], 0.8), "Yes", "No")</f>
        <v>Yes</v>
      </c>
    </row>
    <row r="1042" spans="1:22" x14ac:dyDescent="0.35">
      <c r="A1042">
        <v>1041</v>
      </c>
      <c r="B1042" t="s">
        <v>1902</v>
      </c>
      <c r="C1042" t="s">
        <v>1197</v>
      </c>
      <c r="D1042" t="s">
        <v>1903</v>
      </c>
      <c r="E1042" t="s">
        <v>25</v>
      </c>
      <c r="F1042" t="b">
        <v>0</v>
      </c>
      <c r="G1042">
        <v>2</v>
      </c>
      <c r="H1042" t="b">
        <v>0</v>
      </c>
      <c r="I1042">
        <v>34</v>
      </c>
      <c r="J1042" t="s">
        <v>76</v>
      </c>
      <c r="K1042">
        <v>100</v>
      </c>
      <c r="L1042">
        <v>64</v>
      </c>
      <c r="M1042">
        <v>95</v>
      </c>
      <c r="N1042">
        <v>83</v>
      </c>
      <c r="O1042">
        <v>83</v>
      </c>
      <c r="P1042">
        <v>94</v>
      </c>
      <c r="Q1042">
        <v>83</v>
      </c>
      <c r="R1042">
        <f>SUM(student_scores[[#This Row],[math_score]:[geography_score]])</f>
        <v>602</v>
      </c>
      <c r="S1042" s="3">
        <f>student_scores[[#This Row],[Total_Score]]/7</f>
        <v>86</v>
      </c>
      <c r="T1042" s="3" t="str" cm="1">
        <f t="array" ref="T1042">_xlfn.IFS(student_scores[[#This Row],[weekly_self_study_hours]]&lt;=5,   "0 - 5", student_scores[[#This Row],[weekly_self_study_hours]]&lt;=10,  "6 - 10", student_scores[[#This Row],[weekly_self_study_hours]]&lt;=20,  "11 - 20",student_scores[[#This Row],[weekly_self_study_hours]]&lt;=30, "21 - 30",TRUE, "31+")</f>
        <v>31+</v>
      </c>
      <c r="U1042" t="str" cm="1">
        <f t="array" ref="U1042">_xlfn.IFS(student_scores[[#This Row],[absence_days]]=0,"0", student_scores[[#This Row],[absence_days]]&lt;=3,"1-3", student_scores[[#This Row],[absence_days]]&lt;=6,"4-6", TRUE,"7-10")</f>
        <v>1-3</v>
      </c>
      <c r="V1042" t="str">
        <f>IF(student_scores[[#This Row],[Total_Score]] &gt;= _xlfn.PERCENTILE.INC(student_scores[Total_Score], 0.8), "Yes", "No")</f>
        <v>Yes</v>
      </c>
    </row>
    <row r="1043" spans="1:22" x14ac:dyDescent="0.35">
      <c r="A1043">
        <v>1042</v>
      </c>
      <c r="B1043" t="s">
        <v>297</v>
      </c>
      <c r="C1043" t="s">
        <v>264</v>
      </c>
      <c r="D1043" t="s">
        <v>1904</v>
      </c>
      <c r="E1043" t="s">
        <v>25</v>
      </c>
      <c r="F1043" t="b">
        <v>0</v>
      </c>
      <c r="G1043">
        <v>5</v>
      </c>
      <c r="H1043" t="b">
        <v>0</v>
      </c>
      <c r="I1043">
        <v>28</v>
      </c>
      <c r="J1043" t="s">
        <v>21</v>
      </c>
      <c r="K1043">
        <v>85</v>
      </c>
      <c r="L1043">
        <v>99</v>
      </c>
      <c r="M1043">
        <v>64</v>
      </c>
      <c r="N1043">
        <v>78</v>
      </c>
      <c r="O1043">
        <v>63</v>
      </c>
      <c r="P1043">
        <v>95</v>
      </c>
      <c r="Q1043">
        <v>91</v>
      </c>
      <c r="R1043">
        <f>SUM(student_scores[[#This Row],[math_score]:[geography_score]])</f>
        <v>575</v>
      </c>
      <c r="S1043" s="3">
        <f>student_scores[[#This Row],[Total_Score]]/7</f>
        <v>82.142857142857139</v>
      </c>
      <c r="T1043" s="3" t="str" cm="1">
        <f t="array" ref="T1043">_xlfn.IFS(student_scores[[#This Row],[weekly_self_study_hours]]&lt;=5,   "0 - 5", student_scores[[#This Row],[weekly_self_study_hours]]&lt;=10,  "6 - 10", student_scores[[#This Row],[weekly_self_study_hours]]&lt;=20,  "11 - 20",student_scores[[#This Row],[weekly_self_study_hours]]&lt;=30, "21 - 30",TRUE, "31+")</f>
        <v>21 - 30</v>
      </c>
      <c r="U1043" t="str" cm="1">
        <f t="array" ref="U1043">_xlfn.IFS(student_scores[[#This Row],[absence_days]]=0,"0", student_scores[[#This Row],[absence_days]]&lt;=3,"1-3", student_scores[[#This Row],[absence_days]]&lt;=6,"4-6", TRUE,"7-10")</f>
        <v>4-6</v>
      </c>
      <c r="V1043" t="str">
        <f>IF(student_scores[[#This Row],[Total_Score]] &gt;= _xlfn.PERCENTILE.INC(student_scores[Total_Score], 0.8), "Yes", "No")</f>
        <v>No</v>
      </c>
    </row>
    <row r="1044" spans="1:22" x14ac:dyDescent="0.35">
      <c r="A1044">
        <v>1043</v>
      </c>
      <c r="B1044" t="s">
        <v>160</v>
      </c>
      <c r="C1044" t="s">
        <v>373</v>
      </c>
      <c r="D1044" t="s">
        <v>1905</v>
      </c>
      <c r="E1044" t="s">
        <v>20</v>
      </c>
      <c r="F1044" t="b">
        <v>1</v>
      </c>
      <c r="G1044">
        <v>1</v>
      </c>
      <c r="H1044" t="b">
        <v>1</v>
      </c>
      <c r="I1044">
        <v>30</v>
      </c>
      <c r="J1044" t="s">
        <v>26</v>
      </c>
      <c r="K1044">
        <v>80</v>
      </c>
      <c r="L1044">
        <v>93</v>
      </c>
      <c r="M1044">
        <v>82</v>
      </c>
      <c r="N1044">
        <v>89</v>
      </c>
      <c r="O1044">
        <v>94</v>
      </c>
      <c r="P1044">
        <v>95</v>
      </c>
      <c r="Q1044">
        <v>70</v>
      </c>
      <c r="R1044">
        <f>SUM(student_scores[[#This Row],[math_score]:[geography_score]])</f>
        <v>603</v>
      </c>
      <c r="S1044" s="3">
        <f>student_scores[[#This Row],[Total_Score]]/7</f>
        <v>86.142857142857139</v>
      </c>
      <c r="T1044" s="3" t="str" cm="1">
        <f t="array" ref="T1044">_xlfn.IFS(student_scores[[#This Row],[weekly_self_study_hours]]&lt;=5,   "0 - 5", student_scores[[#This Row],[weekly_self_study_hours]]&lt;=10,  "6 - 10", student_scores[[#This Row],[weekly_self_study_hours]]&lt;=20,  "11 - 20",student_scores[[#This Row],[weekly_self_study_hours]]&lt;=30, "21 - 30",TRUE, "31+")</f>
        <v>21 - 30</v>
      </c>
      <c r="U1044" t="str" cm="1">
        <f t="array" ref="U1044">_xlfn.IFS(student_scores[[#This Row],[absence_days]]=0,"0", student_scores[[#This Row],[absence_days]]&lt;=3,"1-3", student_scores[[#This Row],[absence_days]]&lt;=6,"4-6", TRUE,"7-10")</f>
        <v>1-3</v>
      </c>
      <c r="V1044" t="str">
        <f>IF(student_scores[[#This Row],[Total_Score]] &gt;= _xlfn.PERCENTILE.INC(student_scores[Total_Score], 0.8), "Yes", "No")</f>
        <v>Yes</v>
      </c>
    </row>
    <row r="1045" spans="1:22" x14ac:dyDescent="0.35">
      <c r="A1045">
        <v>1044</v>
      </c>
      <c r="B1045" t="s">
        <v>145</v>
      </c>
      <c r="C1045" t="s">
        <v>1473</v>
      </c>
      <c r="D1045" t="s">
        <v>1906</v>
      </c>
      <c r="E1045" t="s">
        <v>20</v>
      </c>
      <c r="F1045" t="b">
        <v>0</v>
      </c>
      <c r="G1045">
        <v>8</v>
      </c>
      <c r="H1045" t="b">
        <v>0</v>
      </c>
      <c r="I1045">
        <v>31</v>
      </c>
      <c r="J1045" t="s">
        <v>21</v>
      </c>
      <c r="K1045">
        <v>97</v>
      </c>
      <c r="L1045">
        <v>80</v>
      </c>
      <c r="M1045">
        <v>60</v>
      </c>
      <c r="N1045">
        <v>98</v>
      </c>
      <c r="O1045">
        <v>86</v>
      </c>
      <c r="P1045">
        <v>83</v>
      </c>
      <c r="Q1045">
        <v>75</v>
      </c>
      <c r="R1045">
        <f>SUM(student_scores[[#This Row],[math_score]:[geography_score]])</f>
        <v>579</v>
      </c>
      <c r="S1045" s="3">
        <f>student_scores[[#This Row],[Total_Score]]/7</f>
        <v>82.714285714285708</v>
      </c>
      <c r="T1045" s="3" t="str" cm="1">
        <f t="array" ref="T1045">_xlfn.IFS(student_scores[[#This Row],[weekly_self_study_hours]]&lt;=5,   "0 - 5", student_scores[[#This Row],[weekly_self_study_hours]]&lt;=10,  "6 - 10", student_scores[[#This Row],[weekly_self_study_hours]]&lt;=20,  "11 - 20",student_scores[[#This Row],[weekly_self_study_hours]]&lt;=30, "21 - 30",TRUE, "31+")</f>
        <v>31+</v>
      </c>
      <c r="U1045" t="str" cm="1">
        <f t="array" ref="U1045">_xlfn.IFS(student_scores[[#This Row],[absence_days]]=0,"0", student_scores[[#This Row],[absence_days]]&lt;=3,"1-3", student_scores[[#This Row],[absence_days]]&lt;=6,"4-6", TRUE,"7-10")</f>
        <v>7-10</v>
      </c>
      <c r="V1045" t="str">
        <f>IF(student_scores[[#This Row],[Total_Score]] &gt;= _xlfn.PERCENTILE.INC(student_scores[Total_Score], 0.8), "Yes", "No")</f>
        <v>No</v>
      </c>
    </row>
    <row r="1046" spans="1:22" x14ac:dyDescent="0.35">
      <c r="A1046">
        <v>1045</v>
      </c>
      <c r="B1046" t="s">
        <v>167</v>
      </c>
      <c r="C1046" t="s">
        <v>1907</v>
      </c>
      <c r="D1046" t="s">
        <v>1908</v>
      </c>
      <c r="E1046" t="s">
        <v>20</v>
      </c>
      <c r="F1046" t="b">
        <v>0</v>
      </c>
      <c r="G1046">
        <v>3</v>
      </c>
      <c r="H1046" t="b">
        <v>1</v>
      </c>
      <c r="I1046">
        <v>33</v>
      </c>
      <c r="J1046" t="s">
        <v>44</v>
      </c>
      <c r="K1046">
        <v>85</v>
      </c>
      <c r="L1046">
        <v>90</v>
      </c>
      <c r="M1046">
        <v>100</v>
      </c>
      <c r="N1046">
        <v>84</v>
      </c>
      <c r="O1046">
        <v>95</v>
      </c>
      <c r="P1046">
        <v>77</v>
      </c>
      <c r="Q1046">
        <v>62</v>
      </c>
      <c r="R1046">
        <f>SUM(student_scores[[#This Row],[math_score]:[geography_score]])</f>
        <v>593</v>
      </c>
      <c r="S1046" s="3">
        <f>student_scores[[#This Row],[Total_Score]]/7</f>
        <v>84.714285714285708</v>
      </c>
      <c r="T1046" s="3" t="str" cm="1">
        <f t="array" ref="T1046">_xlfn.IFS(student_scores[[#This Row],[weekly_self_study_hours]]&lt;=5,   "0 - 5", student_scores[[#This Row],[weekly_self_study_hours]]&lt;=10,  "6 - 10", student_scores[[#This Row],[weekly_self_study_hours]]&lt;=20,  "11 - 20",student_scores[[#This Row],[weekly_self_study_hours]]&lt;=30, "21 - 30",TRUE, "31+")</f>
        <v>31+</v>
      </c>
      <c r="U1046" t="str" cm="1">
        <f t="array" ref="U1046">_xlfn.IFS(student_scores[[#This Row],[absence_days]]=0,"0", student_scores[[#This Row],[absence_days]]&lt;=3,"1-3", student_scores[[#This Row],[absence_days]]&lt;=6,"4-6", TRUE,"7-10")</f>
        <v>1-3</v>
      </c>
      <c r="V1046" t="str">
        <f>IF(student_scores[[#This Row],[Total_Score]] &gt;= _xlfn.PERCENTILE.INC(student_scores[Total_Score], 0.8), "Yes", "No")</f>
        <v>No</v>
      </c>
    </row>
    <row r="1047" spans="1:22" x14ac:dyDescent="0.35">
      <c r="A1047">
        <v>1046</v>
      </c>
      <c r="B1047" t="s">
        <v>1357</v>
      </c>
      <c r="C1047" t="s">
        <v>488</v>
      </c>
      <c r="D1047" t="s">
        <v>1909</v>
      </c>
      <c r="E1047" t="s">
        <v>25</v>
      </c>
      <c r="F1047" t="b">
        <v>0</v>
      </c>
      <c r="G1047">
        <v>2</v>
      </c>
      <c r="H1047" t="b">
        <v>0</v>
      </c>
      <c r="I1047">
        <v>28</v>
      </c>
      <c r="J1047" t="s">
        <v>105</v>
      </c>
      <c r="K1047">
        <v>87</v>
      </c>
      <c r="L1047">
        <v>76</v>
      </c>
      <c r="M1047">
        <v>87</v>
      </c>
      <c r="N1047">
        <v>98</v>
      </c>
      <c r="O1047">
        <v>61</v>
      </c>
      <c r="P1047">
        <v>92</v>
      </c>
      <c r="Q1047">
        <v>81</v>
      </c>
      <c r="R1047">
        <f>SUM(student_scores[[#This Row],[math_score]:[geography_score]])</f>
        <v>582</v>
      </c>
      <c r="S1047" s="3">
        <f>student_scores[[#This Row],[Total_Score]]/7</f>
        <v>83.142857142857139</v>
      </c>
      <c r="T1047" s="3" t="str" cm="1">
        <f t="array" ref="T1047">_xlfn.IFS(student_scores[[#This Row],[weekly_self_study_hours]]&lt;=5,   "0 - 5", student_scores[[#This Row],[weekly_self_study_hours]]&lt;=10,  "6 - 10", student_scores[[#This Row],[weekly_self_study_hours]]&lt;=20,  "11 - 20",student_scores[[#This Row],[weekly_self_study_hours]]&lt;=30, "21 - 30",TRUE, "31+")</f>
        <v>21 - 30</v>
      </c>
      <c r="U1047" t="str" cm="1">
        <f t="array" ref="U1047">_xlfn.IFS(student_scores[[#This Row],[absence_days]]=0,"0", student_scores[[#This Row],[absence_days]]&lt;=3,"1-3", student_scores[[#This Row],[absence_days]]&lt;=6,"4-6", TRUE,"7-10")</f>
        <v>1-3</v>
      </c>
      <c r="V1047" t="str">
        <f>IF(student_scores[[#This Row],[Total_Score]] &gt;= _xlfn.PERCENTILE.INC(student_scores[Total_Score], 0.8), "Yes", "No")</f>
        <v>No</v>
      </c>
    </row>
    <row r="1048" spans="1:22" x14ac:dyDescent="0.35">
      <c r="A1048">
        <v>1047</v>
      </c>
      <c r="B1048" t="s">
        <v>1009</v>
      </c>
      <c r="C1048" t="s">
        <v>616</v>
      </c>
      <c r="D1048" t="s">
        <v>1910</v>
      </c>
      <c r="E1048" t="s">
        <v>20</v>
      </c>
      <c r="F1048" t="b">
        <v>0</v>
      </c>
      <c r="G1048">
        <v>2</v>
      </c>
      <c r="H1048" t="b">
        <v>0</v>
      </c>
      <c r="I1048">
        <v>31</v>
      </c>
      <c r="J1048" t="s">
        <v>105</v>
      </c>
      <c r="K1048">
        <v>79</v>
      </c>
      <c r="L1048">
        <v>70</v>
      </c>
      <c r="M1048">
        <v>82</v>
      </c>
      <c r="N1048">
        <v>63</v>
      </c>
      <c r="O1048">
        <v>90</v>
      </c>
      <c r="P1048">
        <v>89</v>
      </c>
      <c r="Q1048">
        <v>96</v>
      </c>
      <c r="R1048">
        <f>SUM(student_scores[[#This Row],[math_score]:[geography_score]])</f>
        <v>569</v>
      </c>
      <c r="S1048" s="3">
        <f>student_scores[[#This Row],[Total_Score]]/7</f>
        <v>81.285714285714292</v>
      </c>
      <c r="T1048" s="3" t="str" cm="1">
        <f t="array" ref="T1048">_xlfn.IFS(student_scores[[#This Row],[weekly_self_study_hours]]&lt;=5,   "0 - 5", student_scores[[#This Row],[weekly_self_study_hours]]&lt;=10,  "6 - 10", student_scores[[#This Row],[weekly_self_study_hours]]&lt;=20,  "11 - 20",student_scores[[#This Row],[weekly_self_study_hours]]&lt;=30, "21 - 30",TRUE, "31+")</f>
        <v>31+</v>
      </c>
      <c r="U1048" t="str" cm="1">
        <f t="array" ref="U1048">_xlfn.IFS(student_scores[[#This Row],[absence_days]]=0,"0", student_scores[[#This Row],[absence_days]]&lt;=3,"1-3", student_scores[[#This Row],[absence_days]]&lt;=6,"4-6", TRUE,"7-10")</f>
        <v>1-3</v>
      </c>
      <c r="V1048" t="str">
        <f>IF(student_scores[[#This Row],[Total_Score]] &gt;= _xlfn.PERCENTILE.INC(student_scores[Total_Score], 0.8), "Yes", "No")</f>
        <v>No</v>
      </c>
    </row>
    <row r="1049" spans="1:22" x14ac:dyDescent="0.35">
      <c r="A1049">
        <v>1048</v>
      </c>
      <c r="B1049" t="s">
        <v>139</v>
      </c>
      <c r="C1049" t="s">
        <v>782</v>
      </c>
      <c r="D1049" t="s">
        <v>1911</v>
      </c>
      <c r="E1049" t="s">
        <v>20</v>
      </c>
      <c r="F1049" t="b">
        <v>1</v>
      </c>
      <c r="G1049">
        <v>3</v>
      </c>
      <c r="H1049" t="b">
        <v>0</v>
      </c>
      <c r="I1049">
        <v>7</v>
      </c>
      <c r="J1049" t="s">
        <v>30</v>
      </c>
      <c r="K1049">
        <v>87</v>
      </c>
      <c r="L1049">
        <v>86</v>
      </c>
      <c r="M1049">
        <v>73</v>
      </c>
      <c r="N1049">
        <v>88</v>
      </c>
      <c r="O1049">
        <v>98</v>
      </c>
      <c r="P1049">
        <v>71</v>
      </c>
      <c r="Q1049">
        <v>85</v>
      </c>
      <c r="R1049">
        <f>SUM(student_scores[[#This Row],[math_score]:[geography_score]])</f>
        <v>588</v>
      </c>
      <c r="S1049" s="3">
        <f>student_scores[[#This Row],[Total_Score]]/7</f>
        <v>84</v>
      </c>
      <c r="T1049" s="3" t="str" cm="1">
        <f t="array" ref="T1049">_xlfn.IFS(student_scores[[#This Row],[weekly_self_study_hours]]&lt;=5,   "0 - 5", student_scores[[#This Row],[weekly_self_study_hours]]&lt;=10,  "6 - 10", student_scores[[#This Row],[weekly_self_study_hours]]&lt;=20,  "11 - 20",student_scores[[#This Row],[weekly_self_study_hours]]&lt;=30, "21 - 30",TRUE, "31+")</f>
        <v>6 - 10</v>
      </c>
      <c r="U1049" t="str" cm="1">
        <f t="array" ref="U1049">_xlfn.IFS(student_scores[[#This Row],[absence_days]]=0,"0", student_scores[[#This Row],[absence_days]]&lt;=3,"1-3", student_scores[[#This Row],[absence_days]]&lt;=6,"4-6", TRUE,"7-10")</f>
        <v>1-3</v>
      </c>
      <c r="V1049" t="str">
        <f>IF(student_scores[[#This Row],[Total_Score]] &gt;= _xlfn.PERCENTILE.INC(student_scores[Total_Score], 0.8), "Yes", "No")</f>
        <v>No</v>
      </c>
    </row>
    <row r="1050" spans="1:22" x14ac:dyDescent="0.35">
      <c r="A1050">
        <v>1049</v>
      </c>
      <c r="B1050" t="s">
        <v>1912</v>
      </c>
      <c r="C1050" t="s">
        <v>1146</v>
      </c>
      <c r="D1050" t="s">
        <v>1913</v>
      </c>
      <c r="E1050" t="s">
        <v>25</v>
      </c>
      <c r="F1050" t="b">
        <v>0</v>
      </c>
      <c r="G1050">
        <v>6</v>
      </c>
      <c r="H1050" t="b">
        <v>0</v>
      </c>
      <c r="I1050">
        <v>28</v>
      </c>
      <c r="J1050" t="s">
        <v>21</v>
      </c>
      <c r="K1050">
        <v>72</v>
      </c>
      <c r="L1050">
        <v>88</v>
      </c>
      <c r="M1050">
        <v>62</v>
      </c>
      <c r="N1050">
        <v>60</v>
      </c>
      <c r="O1050">
        <v>97</v>
      </c>
      <c r="P1050">
        <v>86</v>
      </c>
      <c r="Q1050">
        <v>64</v>
      </c>
      <c r="R1050">
        <f>SUM(student_scores[[#This Row],[math_score]:[geography_score]])</f>
        <v>529</v>
      </c>
      <c r="S1050" s="3">
        <f>student_scores[[#This Row],[Total_Score]]/7</f>
        <v>75.571428571428569</v>
      </c>
      <c r="T1050" s="3" t="str" cm="1">
        <f t="array" ref="T1050">_xlfn.IFS(student_scores[[#This Row],[weekly_self_study_hours]]&lt;=5,   "0 - 5", student_scores[[#This Row],[weekly_self_study_hours]]&lt;=10,  "6 - 10", student_scores[[#This Row],[weekly_self_study_hours]]&lt;=20,  "11 - 20",student_scores[[#This Row],[weekly_self_study_hours]]&lt;=30, "21 - 30",TRUE, "31+")</f>
        <v>21 - 30</v>
      </c>
      <c r="U1050" t="str" cm="1">
        <f t="array" ref="U1050">_xlfn.IFS(student_scores[[#This Row],[absence_days]]=0,"0", student_scores[[#This Row],[absence_days]]&lt;=3,"1-3", student_scores[[#This Row],[absence_days]]&lt;=6,"4-6", TRUE,"7-10")</f>
        <v>4-6</v>
      </c>
      <c r="V1050" t="str">
        <f>IF(student_scores[[#This Row],[Total_Score]] &gt;= _xlfn.PERCENTILE.INC(student_scores[Total_Score], 0.8), "Yes", "No")</f>
        <v>No</v>
      </c>
    </row>
    <row r="1051" spans="1:22" x14ac:dyDescent="0.35">
      <c r="A1051">
        <v>1050</v>
      </c>
      <c r="B1051" t="s">
        <v>361</v>
      </c>
      <c r="C1051" t="s">
        <v>32</v>
      </c>
      <c r="D1051" t="s">
        <v>1914</v>
      </c>
      <c r="E1051" t="s">
        <v>25</v>
      </c>
      <c r="F1051" t="b">
        <v>0</v>
      </c>
      <c r="G1051">
        <v>4</v>
      </c>
      <c r="H1051" t="b">
        <v>1</v>
      </c>
      <c r="I1051">
        <v>44</v>
      </c>
      <c r="J1051" t="s">
        <v>26</v>
      </c>
      <c r="K1051">
        <v>89</v>
      </c>
      <c r="L1051">
        <v>99</v>
      </c>
      <c r="M1051">
        <v>93</v>
      </c>
      <c r="N1051">
        <v>99</v>
      </c>
      <c r="O1051">
        <v>87</v>
      </c>
      <c r="P1051">
        <v>89</v>
      </c>
      <c r="Q1051">
        <v>98</v>
      </c>
      <c r="R1051">
        <f>SUM(student_scores[[#This Row],[math_score]:[geography_score]])</f>
        <v>654</v>
      </c>
      <c r="S1051" s="3">
        <f>student_scores[[#This Row],[Total_Score]]/7</f>
        <v>93.428571428571431</v>
      </c>
      <c r="T1051" s="3" t="str" cm="1">
        <f t="array" ref="T1051">_xlfn.IFS(student_scores[[#This Row],[weekly_self_study_hours]]&lt;=5,   "0 - 5", student_scores[[#This Row],[weekly_self_study_hours]]&lt;=10,  "6 - 10", student_scores[[#This Row],[weekly_self_study_hours]]&lt;=20,  "11 - 20",student_scores[[#This Row],[weekly_self_study_hours]]&lt;=30, "21 - 30",TRUE, "31+")</f>
        <v>31+</v>
      </c>
      <c r="U1051" t="str" cm="1">
        <f t="array" ref="U1051">_xlfn.IFS(student_scores[[#This Row],[absence_days]]=0,"0", student_scores[[#This Row],[absence_days]]&lt;=3,"1-3", student_scores[[#This Row],[absence_days]]&lt;=6,"4-6", TRUE,"7-10")</f>
        <v>4-6</v>
      </c>
      <c r="V1051" t="str">
        <f>IF(student_scores[[#This Row],[Total_Score]] &gt;= _xlfn.PERCENTILE.INC(student_scores[Total_Score], 0.8), "Yes", "No")</f>
        <v>Yes</v>
      </c>
    </row>
    <row r="1052" spans="1:22" x14ac:dyDescent="0.35">
      <c r="A1052">
        <v>1051</v>
      </c>
      <c r="B1052" t="s">
        <v>251</v>
      </c>
      <c r="C1052" t="s">
        <v>146</v>
      </c>
      <c r="D1052" t="s">
        <v>1915</v>
      </c>
      <c r="E1052" t="s">
        <v>25</v>
      </c>
      <c r="F1052" t="b">
        <v>1</v>
      </c>
      <c r="G1052">
        <v>0</v>
      </c>
      <c r="H1052" t="b">
        <v>0</v>
      </c>
      <c r="I1052">
        <v>13</v>
      </c>
      <c r="J1052" t="s">
        <v>38</v>
      </c>
      <c r="K1052">
        <v>62</v>
      </c>
      <c r="L1052">
        <v>88</v>
      </c>
      <c r="M1052">
        <v>87</v>
      </c>
      <c r="N1052">
        <v>90</v>
      </c>
      <c r="O1052">
        <v>84</v>
      </c>
      <c r="P1052">
        <v>88</v>
      </c>
      <c r="Q1052">
        <v>95</v>
      </c>
      <c r="R1052">
        <f>SUM(student_scores[[#This Row],[math_score]:[geography_score]])</f>
        <v>594</v>
      </c>
      <c r="S1052" s="3">
        <f>student_scores[[#This Row],[Total_Score]]/7</f>
        <v>84.857142857142861</v>
      </c>
      <c r="T1052" s="3" t="str" cm="1">
        <f t="array" ref="T1052">_xlfn.IFS(student_scores[[#This Row],[weekly_self_study_hours]]&lt;=5,   "0 - 5", student_scores[[#This Row],[weekly_self_study_hours]]&lt;=10,  "6 - 10", student_scores[[#This Row],[weekly_self_study_hours]]&lt;=20,  "11 - 20",student_scores[[#This Row],[weekly_self_study_hours]]&lt;=30, "21 - 30",TRUE, "31+")</f>
        <v>11 - 20</v>
      </c>
      <c r="U1052" t="str" cm="1">
        <f t="array" ref="U1052">_xlfn.IFS(student_scores[[#This Row],[absence_days]]=0,"0", student_scores[[#This Row],[absence_days]]&lt;=3,"1-3", student_scores[[#This Row],[absence_days]]&lt;=6,"4-6", TRUE,"7-10")</f>
        <v>0</v>
      </c>
      <c r="V1052" t="str">
        <f>IF(student_scores[[#This Row],[Total_Score]] &gt;= _xlfn.PERCENTILE.INC(student_scores[Total_Score], 0.8), "Yes", "No")</f>
        <v>No</v>
      </c>
    </row>
    <row r="1053" spans="1:22" x14ac:dyDescent="0.35">
      <c r="A1053">
        <v>1052</v>
      </c>
      <c r="B1053" t="s">
        <v>110</v>
      </c>
      <c r="C1053" t="s">
        <v>1044</v>
      </c>
      <c r="D1053" t="s">
        <v>1916</v>
      </c>
      <c r="E1053" t="s">
        <v>20</v>
      </c>
      <c r="F1053" t="b">
        <v>0</v>
      </c>
      <c r="G1053">
        <v>2</v>
      </c>
      <c r="H1053" t="b">
        <v>0</v>
      </c>
      <c r="I1053">
        <v>15</v>
      </c>
      <c r="J1053" t="s">
        <v>105</v>
      </c>
      <c r="K1053">
        <v>93</v>
      </c>
      <c r="L1053">
        <v>84</v>
      </c>
      <c r="M1053">
        <v>86</v>
      </c>
      <c r="N1053">
        <v>82</v>
      </c>
      <c r="O1053">
        <v>62</v>
      </c>
      <c r="P1053">
        <v>87</v>
      </c>
      <c r="Q1053">
        <v>84</v>
      </c>
      <c r="R1053">
        <f>SUM(student_scores[[#This Row],[math_score]:[geography_score]])</f>
        <v>578</v>
      </c>
      <c r="S1053" s="3">
        <f>student_scores[[#This Row],[Total_Score]]/7</f>
        <v>82.571428571428569</v>
      </c>
      <c r="T1053" s="3" t="str" cm="1">
        <f t="array" ref="T1053">_xlfn.IFS(student_scores[[#This Row],[weekly_self_study_hours]]&lt;=5,   "0 - 5", student_scores[[#This Row],[weekly_self_study_hours]]&lt;=10,  "6 - 10", student_scores[[#This Row],[weekly_self_study_hours]]&lt;=20,  "11 - 20",student_scores[[#This Row],[weekly_self_study_hours]]&lt;=30, "21 - 30",TRUE, "31+")</f>
        <v>11 - 20</v>
      </c>
      <c r="U1053" t="str" cm="1">
        <f t="array" ref="U1053">_xlfn.IFS(student_scores[[#This Row],[absence_days]]=0,"0", student_scores[[#This Row],[absence_days]]&lt;=3,"1-3", student_scores[[#This Row],[absence_days]]&lt;=6,"4-6", TRUE,"7-10")</f>
        <v>1-3</v>
      </c>
      <c r="V1053" t="str">
        <f>IF(student_scores[[#This Row],[Total_Score]] &gt;= _xlfn.PERCENTILE.INC(student_scores[Total_Score], 0.8), "Yes", "No")</f>
        <v>No</v>
      </c>
    </row>
    <row r="1054" spans="1:22" x14ac:dyDescent="0.35">
      <c r="A1054">
        <v>1053</v>
      </c>
      <c r="B1054" t="s">
        <v>1079</v>
      </c>
      <c r="C1054" t="s">
        <v>1917</v>
      </c>
      <c r="D1054" t="s">
        <v>1918</v>
      </c>
      <c r="E1054" t="s">
        <v>25</v>
      </c>
      <c r="F1054" t="b">
        <v>0</v>
      </c>
      <c r="G1054">
        <v>3</v>
      </c>
      <c r="H1054" t="b">
        <v>0</v>
      </c>
      <c r="I1054">
        <v>16</v>
      </c>
      <c r="J1054" t="s">
        <v>113</v>
      </c>
      <c r="K1054">
        <v>75</v>
      </c>
      <c r="L1054">
        <v>97</v>
      </c>
      <c r="M1054">
        <v>97</v>
      </c>
      <c r="N1054">
        <v>83</v>
      </c>
      <c r="O1054">
        <v>74</v>
      </c>
      <c r="P1054">
        <v>74</v>
      </c>
      <c r="Q1054">
        <v>74</v>
      </c>
      <c r="R1054">
        <f>SUM(student_scores[[#This Row],[math_score]:[geography_score]])</f>
        <v>574</v>
      </c>
      <c r="S1054" s="3">
        <f>student_scores[[#This Row],[Total_Score]]/7</f>
        <v>82</v>
      </c>
      <c r="T1054" s="3" t="str" cm="1">
        <f t="array" ref="T1054">_xlfn.IFS(student_scores[[#This Row],[weekly_self_study_hours]]&lt;=5,   "0 - 5", student_scores[[#This Row],[weekly_self_study_hours]]&lt;=10,  "6 - 10", student_scores[[#This Row],[weekly_self_study_hours]]&lt;=20,  "11 - 20",student_scores[[#This Row],[weekly_self_study_hours]]&lt;=30, "21 - 30",TRUE, "31+")</f>
        <v>11 - 20</v>
      </c>
      <c r="U1054" t="str" cm="1">
        <f t="array" ref="U1054">_xlfn.IFS(student_scores[[#This Row],[absence_days]]=0,"0", student_scores[[#This Row],[absence_days]]&lt;=3,"1-3", student_scores[[#This Row],[absence_days]]&lt;=6,"4-6", TRUE,"7-10")</f>
        <v>1-3</v>
      </c>
      <c r="V1054" t="str">
        <f>IF(student_scores[[#This Row],[Total_Score]] &gt;= _xlfn.PERCENTILE.INC(student_scores[Total_Score], 0.8), "Yes", "No")</f>
        <v>No</v>
      </c>
    </row>
    <row r="1055" spans="1:22" x14ac:dyDescent="0.35">
      <c r="A1055">
        <v>1054</v>
      </c>
      <c r="B1055" t="s">
        <v>1919</v>
      </c>
      <c r="C1055" t="s">
        <v>750</v>
      </c>
      <c r="D1055" t="s">
        <v>1920</v>
      </c>
      <c r="E1055" t="s">
        <v>25</v>
      </c>
      <c r="F1055" t="b">
        <v>0</v>
      </c>
      <c r="G1055">
        <v>1</v>
      </c>
      <c r="H1055" t="b">
        <v>0</v>
      </c>
      <c r="I1055">
        <v>18</v>
      </c>
      <c r="J1055" t="s">
        <v>105</v>
      </c>
      <c r="K1055">
        <v>75</v>
      </c>
      <c r="L1055">
        <v>66</v>
      </c>
      <c r="M1055">
        <v>61</v>
      </c>
      <c r="N1055">
        <v>69</v>
      </c>
      <c r="O1055">
        <v>68</v>
      </c>
      <c r="P1055">
        <v>96</v>
      </c>
      <c r="Q1055">
        <v>63</v>
      </c>
      <c r="R1055">
        <f>SUM(student_scores[[#This Row],[math_score]:[geography_score]])</f>
        <v>498</v>
      </c>
      <c r="S1055" s="3">
        <f>student_scores[[#This Row],[Total_Score]]/7</f>
        <v>71.142857142857139</v>
      </c>
      <c r="T1055" s="3" t="str" cm="1">
        <f t="array" ref="T1055">_xlfn.IFS(student_scores[[#This Row],[weekly_self_study_hours]]&lt;=5,   "0 - 5", student_scores[[#This Row],[weekly_self_study_hours]]&lt;=10,  "6 - 10", student_scores[[#This Row],[weekly_self_study_hours]]&lt;=20,  "11 - 20",student_scores[[#This Row],[weekly_self_study_hours]]&lt;=30, "21 - 30",TRUE, "31+")</f>
        <v>11 - 20</v>
      </c>
      <c r="U1055" t="str" cm="1">
        <f t="array" ref="U1055">_xlfn.IFS(student_scores[[#This Row],[absence_days]]=0,"0", student_scores[[#This Row],[absence_days]]&lt;=3,"1-3", student_scores[[#This Row],[absence_days]]&lt;=6,"4-6", TRUE,"7-10")</f>
        <v>1-3</v>
      </c>
      <c r="V1055" t="str">
        <f>IF(student_scores[[#This Row],[Total_Score]] &gt;= _xlfn.PERCENTILE.INC(student_scores[Total_Score], 0.8), "Yes", "No")</f>
        <v>No</v>
      </c>
    </row>
    <row r="1056" spans="1:22" x14ac:dyDescent="0.35">
      <c r="A1056">
        <v>1055</v>
      </c>
      <c r="B1056" t="s">
        <v>465</v>
      </c>
      <c r="C1056" t="s">
        <v>1868</v>
      </c>
      <c r="D1056" t="s">
        <v>1921</v>
      </c>
      <c r="E1056" t="s">
        <v>25</v>
      </c>
      <c r="F1056" t="b">
        <v>0</v>
      </c>
      <c r="G1056">
        <v>1</v>
      </c>
      <c r="H1056" t="b">
        <v>0</v>
      </c>
      <c r="I1056">
        <v>28</v>
      </c>
      <c r="J1056" t="s">
        <v>38</v>
      </c>
      <c r="K1056">
        <v>88</v>
      </c>
      <c r="L1056">
        <v>93</v>
      </c>
      <c r="M1056">
        <v>92</v>
      </c>
      <c r="N1056">
        <v>70</v>
      </c>
      <c r="O1056">
        <v>90</v>
      </c>
      <c r="P1056">
        <v>94</v>
      </c>
      <c r="Q1056">
        <v>85</v>
      </c>
      <c r="R1056">
        <f>SUM(student_scores[[#This Row],[math_score]:[geography_score]])</f>
        <v>612</v>
      </c>
      <c r="S1056" s="3">
        <f>student_scores[[#This Row],[Total_Score]]/7</f>
        <v>87.428571428571431</v>
      </c>
      <c r="T1056" s="3" t="str" cm="1">
        <f t="array" ref="T1056">_xlfn.IFS(student_scores[[#This Row],[weekly_self_study_hours]]&lt;=5,   "0 - 5", student_scores[[#This Row],[weekly_self_study_hours]]&lt;=10,  "6 - 10", student_scores[[#This Row],[weekly_self_study_hours]]&lt;=20,  "11 - 20",student_scores[[#This Row],[weekly_self_study_hours]]&lt;=30, "21 - 30",TRUE, "31+")</f>
        <v>21 - 30</v>
      </c>
      <c r="U1056" t="str" cm="1">
        <f t="array" ref="U1056">_xlfn.IFS(student_scores[[#This Row],[absence_days]]=0,"0", student_scores[[#This Row],[absence_days]]&lt;=3,"1-3", student_scores[[#This Row],[absence_days]]&lt;=6,"4-6", TRUE,"7-10")</f>
        <v>1-3</v>
      </c>
      <c r="V1056" t="str">
        <f>IF(student_scores[[#This Row],[Total_Score]] &gt;= _xlfn.PERCENTILE.INC(student_scores[Total_Score], 0.8), "Yes", "No")</f>
        <v>Yes</v>
      </c>
    </row>
    <row r="1057" spans="1:22" x14ac:dyDescent="0.35">
      <c r="A1057">
        <v>1056</v>
      </c>
      <c r="B1057" t="s">
        <v>746</v>
      </c>
      <c r="C1057" t="s">
        <v>927</v>
      </c>
      <c r="D1057" t="s">
        <v>1922</v>
      </c>
      <c r="E1057" t="s">
        <v>25</v>
      </c>
      <c r="F1057" t="b">
        <v>0</v>
      </c>
      <c r="G1057">
        <v>5</v>
      </c>
      <c r="H1057" t="b">
        <v>0</v>
      </c>
      <c r="I1057">
        <v>29</v>
      </c>
      <c r="J1057" t="s">
        <v>21</v>
      </c>
      <c r="K1057">
        <v>86</v>
      </c>
      <c r="L1057">
        <v>95</v>
      </c>
      <c r="M1057">
        <v>95</v>
      </c>
      <c r="N1057">
        <v>72</v>
      </c>
      <c r="O1057">
        <v>72</v>
      </c>
      <c r="P1057">
        <v>80</v>
      </c>
      <c r="Q1057">
        <v>65</v>
      </c>
      <c r="R1057">
        <f>SUM(student_scores[[#This Row],[math_score]:[geography_score]])</f>
        <v>565</v>
      </c>
      <c r="S1057" s="3">
        <f>student_scores[[#This Row],[Total_Score]]/7</f>
        <v>80.714285714285708</v>
      </c>
      <c r="T1057" s="3" t="str" cm="1">
        <f t="array" ref="T1057">_xlfn.IFS(student_scores[[#This Row],[weekly_self_study_hours]]&lt;=5,   "0 - 5", student_scores[[#This Row],[weekly_self_study_hours]]&lt;=10,  "6 - 10", student_scores[[#This Row],[weekly_self_study_hours]]&lt;=20,  "11 - 20",student_scores[[#This Row],[weekly_self_study_hours]]&lt;=30, "21 - 30",TRUE, "31+")</f>
        <v>21 - 30</v>
      </c>
      <c r="U1057" t="str" cm="1">
        <f t="array" ref="U1057">_xlfn.IFS(student_scores[[#This Row],[absence_days]]=0,"0", student_scores[[#This Row],[absence_days]]&lt;=3,"1-3", student_scores[[#This Row],[absence_days]]&lt;=6,"4-6", TRUE,"7-10")</f>
        <v>4-6</v>
      </c>
      <c r="V1057" t="str">
        <f>IF(student_scores[[#This Row],[Total_Score]] &gt;= _xlfn.PERCENTILE.INC(student_scores[Total_Score], 0.8), "Yes", "No")</f>
        <v>No</v>
      </c>
    </row>
    <row r="1058" spans="1:22" x14ac:dyDescent="0.35">
      <c r="A1058">
        <v>1057</v>
      </c>
      <c r="B1058" t="s">
        <v>1923</v>
      </c>
      <c r="C1058" t="s">
        <v>466</v>
      </c>
      <c r="D1058" t="s">
        <v>1924</v>
      </c>
      <c r="E1058" t="s">
        <v>25</v>
      </c>
      <c r="F1058" t="b">
        <v>0</v>
      </c>
      <c r="G1058">
        <v>8</v>
      </c>
      <c r="H1058" t="b">
        <v>0</v>
      </c>
      <c r="I1058">
        <v>30</v>
      </c>
      <c r="J1058" t="s">
        <v>21</v>
      </c>
      <c r="K1058">
        <v>86</v>
      </c>
      <c r="L1058">
        <v>98</v>
      </c>
      <c r="M1058">
        <v>97</v>
      </c>
      <c r="N1058">
        <v>75</v>
      </c>
      <c r="O1058">
        <v>83</v>
      </c>
      <c r="P1058">
        <v>95</v>
      </c>
      <c r="Q1058">
        <v>80</v>
      </c>
      <c r="R1058">
        <f>SUM(student_scores[[#This Row],[math_score]:[geography_score]])</f>
        <v>614</v>
      </c>
      <c r="S1058" s="3">
        <f>student_scores[[#This Row],[Total_Score]]/7</f>
        <v>87.714285714285708</v>
      </c>
      <c r="T1058" s="3" t="str" cm="1">
        <f t="array" ref="T1058">_xlfn.IFS(student_scores[[#This Row],[weekly_self_study_hours]]&lt;=5,   "0 - 5", student_scores[[#This Row],[weekly_self_study_hours]]&lt;=10,  "6 - 10", student_scores[[#This Row],[weekly_self_study_hours]]&lt;=20,  "11 - 20",student_scores[[#This Row],[weekly_self_study_hours]]&lt;=30, "21 - 30",TRUE, "31+")</f>
        <v>21 - 30</v>
      </c>
      <c r="U1058" t="str" cm="1">
        <f t="array" ref="U1058">_xlfn.IFS(student_scores[[#This Row],[absence_days]]=0,"0", student_scores[[#This Row],[absence_days]]&lt;=3,"1-3", student_scores[[#This Row],[absence_days]]&lt;=6,"4-6", TRUE,"7-10")</f>
        <v>7-10</v>
      </c>
      <c r="V1058" t="str">
        <f>IF(student_scores[[#This Row],[Total_Score]] &gt;= _xlfn.PERCENTILE.INC(student_scores[Total_Score], 0.8), "Yes", "No")</f>
        <v>Yes</v>
      </c>
    </row>
    <row r="1059" spans="1:22" x14ac:dyDescent="0.35">
      <c r="A1059">
        <v>1058</v>
      </c>
      <c r="B1059" t="s">
        <v>83</v>
      </c>
      <c r="C1059" t="s">
        <v>429</v>
      </c>
      <c r="D1059" t="s">
        <v>1925</v>
      </c>
      <c r="E1059" t="s">
        <v>25</v>
      </c>
      <c r="F1059" t="b">
        <v>0</v>
      </c>
      <c r="G1059">
        <v>1</v>
      </c>
      <c r="H1059" t="b">
        <v>1</v>
      </c>
      <c r="I1059">
        <v>32</v>
      </c>
      <c r="J1059" t="s">
        <v>44</v>
      </c>
      <c r="K1059">
        <v>99</v>
      </c>
      <c r="L1059">
        <v>95</v>
      </c>
      <c r="M1059">
        <v>88</v>
      </c>
      <c r="N1059">
        <v>68</v>
      </c>
      <c r="O1059">
        <v>91</v>
      </c>
      <c r="P1059">
        <v>62</v>
      </c>
      <c r="Q1059">
        <v>75</v>
      </c>
      <c r="R1059">
        <f>SUM(student_scores[[#This Row],[math_score]:[geography_score]])</f>
        <v>578</v>
      </c>
      <c r="S1059" s="3">
        <f>student_scores[[#This Row],[Total_Score]]/7</f>
        <v>82.571428571428569</v>
      </c>
      <c r="T1059" s="3" t="str" cm="1">
        <f t="array" ref="T1059">_xlfn.IFS(student_scores[[#This Row],[weekly_self_study_hours]]&lt;=5,   "0 - 5", student_scores[[#This Row],[weekly_self_study_hours]]&lt;=10,  "6 - 10", student_scores[[#This Row],[weekly_self_study_hours]]&lt;=20,  "11 - 20",student_scores[[#This Row],[weekly_self_study_hours]]&lt;=30, "21 - 30",TRUE, "31+")</f>
        <v>31+</v>
      </c>
      <c r="U1059" t="str" cm="1">
        <f t="array" ref="U1059">_xlfn.IFS(student_scores[[#This Row],[absence_days]]=0,"0", student_scores[[#This Row],[absence_days]]&lt;=3,"1-3", student_scores[[#This Row],[absence_days]]&lt;=6,"4-6", TRUE,"7-10")</f>
        <v>1-3</v>
      </c>
      <c r="V1059" t="str">
        <f>IF(student_scores[[#This Row],[Total_Score]] &gt;= _xlfn.PERCENTILE.INC(student_scores[Total_Score], 0.8), "Yes", "No")</f>
        <v>No</v>
      </c>
    </row>
    <row r="1060" spans="1:22" x14ac:dyDescent="0.35">
      <c r="A1060">
        <v>1059</v>
      </c>
      <c r="B1060" t="s">
        <v>1057</v>
      </c>
      <c r="C1060" t="s">
        <v>375</v>
      </c>
      <c r="D1060" t="s">
        <v>1926</v>
      </c>
      <c r="E1060" t="s">
        <v>25</v>
      </c>
      <c r="F1060" t="b">
        <v>0</v>
      </c>
      <c r="G1060">
        <v>0</v>
      </c>
      <c r="H1060" t="b">
        <v>0</v>
      </c>
      <c r="I1060">
        <v>19</v>
      </c>
      <c r="J1060" t="s">
        <v>44</v>
      </c>
      <c r="K1060">
        <v>95</v>
      </c>
      <c r="L1060">
        <v>85</v>
      </c>
      <c r="M1060">
        <v>76</v>
      </c>
      <c r="N1060">
        <v>96</v>
      </c>
      <c r="O1060">
        <v>68</v>
      </c>
      <c r="P1060">
        <v>74</v>
      </c>
      <c r="Q1060">
        <v>93</v>
      </c>
      <c r="R1060">
        <f>SUM(student_scores[[#This Row],[math_score]:[geography_score]])</f>
        <v>587</v>
      </c>
      <c r="S1060" s="3">
        <f>student_scores[[#This Row],[Total_Score]]/7</f>
        <v>83.857142857142861</v>
      </c>
      <c r="T1060" s="3" t="str" cm="1">
        <f t="array" ref="T1060">_xlfn.IFS(student_scores[[#This Row],[weekly_self_study_hours]]&lt;=5,   "0 - 5", student_scores[[#This Row],[weekly_self_study_hours]]&lt;=10,  "6 - 10", student_scores[[#This Row],[weekly_self_study_hours]]&lt;=20,  "11 - 20",student_scores[[#This Row],[weekly_self_study_hours]]&lt;=30, "21 - 30",TRUE, "31+")</f>
        <v>11 - 20</v>
      </c>
      <c r="U1060" t="str" cm="1">
        <f t="array" ref="U1060">_xlfn.IFS(student_scores[[#This Row],[absence_days]]=0,"0", student_scores[[#This Row],[absence_days]]&lt;=3,"1-3", student_scores[[#This Row],[absence_days]]&lt;=6,"4-6", TRUE,"7-10")</f>
        <v>0</v>
      </c>
      <c r="V1060" t="str">
        <f>IF(student_scores[[#This Row],[Total_Score]] &gt;= _xlfn.PERCENTILE.INC(student_scores[Total_Score], 0.8), "Yes", "No")</f>
        <v>No</v>
      </c>
    </row>
    <row r="1061" spans="1:22" x14ac:dyDescent="0.35">
      <c r="A1061">
        <v>1060</v>
      </c>
      <c r="B1061" t="s">
        <v>465</v>
      </c>
      <c r="C1061" t="s">
        <v>1927</v>
      </c>
      <c r="D1061" t="s">
        <v>1928</v>
      </c>
      <c r="E1061" t="s">
        <v>25</v>
      </c>
      <c r="F1061" t="b">
        <v>0</v>
      </c>
      <c r="G1061">
        <v>2</v>
      </c>
      <c r="H1061" t="b">
        <v>0</v>
      </c>
      <c r="I1061">
        <v>18</v>
      </c>
      <c r="J1061" t="s">
        <v>44</v>
      </c>
      <c r="K1061">
        <v>92</v>
      </c>
      <c r="L1061">
        <v>72</v>
      </c>
      <c r="M1061">
        <v>61</v>
      </c>
      <c r="N1061">
        <v>93</v>
      </c>
      <c r="O1061">
        <v>86</v>
      </c>
      <c r="P1061">
        <v>97</v>
      </c>
      <c r="Q1061">
        <v>79</v>
      </c>
      <c r="R1061">
        <f>SUM(student_scores[[#This Row],[math_score]:[geography_score]])</f>
        <v>580</v>
      </c>
      <c r="S1061" s="3">
        <f>student_scores[[#This Row],[Total_Score]]/7</f>
        <v>82.857142857142861</v>
      </c>
      <c r="T1061" s="3" t="str" cm="1">
        <f t="array" ref="T1061">_xlfn.IFS(student_scores[[#This Row],[weekly_self_study_hours]]&lt;=5,   "0 - 5", student_scores[[#This Row],[weekly_self_study_hours]]&lt;=10,  "6 - 10", student_scores[[#This Row],[weekly_self_study_hours]]&lt;=20,  "11 - 20",student_scores[[#This Row],[weekly_self_study_hours]]&lt;=30, "21 - 30",TRUE, "31+")</f>
        <v>11 - 20</v>
      </c>
      <c r="U1061" t="str" cm="1">
        <f t="array" ref="U1061">_xlfn.IFS(student_scores[[#This Row],[absence_days]]=0,"0", student_scores[[#This Row],[absence_days]]&lt;=3,"1-3", student_scores[[#This Row],[absence_days]]&lt;=6,"4-6", TRUE,"7-10")</f>
        <v>1-3</v>
      </c>
      <c r="V1061" t="str">
        <f>IF(student_scores[[#This Row],[Total_Score]] &gt;= _xlfn.PERCENTILE.INC(student_scores[Total_Score], 0.8), "Yes", "No")</f>
        <v>No</v>
      </c>
    </row>
    <row r="1062" spans="1:22" x14ac:dyDescent="0.35">
      <c r="A1062">
        <v>1061</v>
      </c>
      <c r="B1062" t="s">
        <v>369</v>
      </c>
      <c r="C1062" t="s">
        <v>423</v>
      </c>
      <c r="D1062" t="s">
        <v>1929</v>
      </c>
      <c r="E1062" t="s">
        <v>25</v>
      </c>
      <c r="F1062" t="b">
        <v>0</v>
      </c>
      <c r="G1062">
        <v>5</v>
      </c>
      <c r="H1062" t="b">
        <v>0</v>
      </c>
      <c r="I1062">
        <v>23</v>
      </c>
      <c r="J1062" t="s">
        <v>26</v>
      </c>
      <c r="K1062">
        <v>88</v>
      </c>
      <c r="L1062">
        <v>91</v>
      </c>
      <c r="M1062">
        <v>96</v>
      </c>
      <c r="N1062">
        <v>99</v>
      </c>
      <c r="O1062">
        <v>85</v>
      </c>
      <c r="P1062">
        <v>62</v>
      </c>
      <c r="Q1062">
        <v>86</v>
      </c>
      <c r="R1062">
        <f>SUM(student_scores[[#This Row],[math_score]:[geography_score]])</f>
        <v>607</v>
      </c>
      <c r="S1062" s="3">
        <f>student_scores[[#This Row],[Total_Score]]/7</f>
        <v>86.714285714285708</v>
      </c>
      <c r="T1062" s="3" t="str" cm="1">
        <f t="array" ref="T1062">_xlfn.IFS(student_scores[[#This Row],[weekly_self_study_hours]]&lt;=5,   "0 - 5", student_scores[[#This Row],[weekly_self_study_hours]]&lt;=10,  "6 - 10", student_scores[[#This Row],[weekly_self_study_hours]]&lt;=20,  "11 - 20",student_scores[[#This Row],[weekly_self_study_hours]]&lt;=30, "21 - 30",TRUE, "31+")</f>
        <v>21 - 30</v>
      </c>
      <c r="U1062" t="str" cm="1">
        <f t="array" ref="U1062">_xlfn.IFS(student_scores[[#This Row],[absence_days]]=0,"0", student_scores[[#This Row],[absence_days]]&lt;=3,"1-3", student_scores[[#This Row],[absence_days]]&lt;=6,"4-6", TRUE,"7-10")</f>
        <v>4-6</v>
      </c>
      <c r="V1062" t="str">
        <f>IF(student_scores[[#This Row],[Total_Score]] &gt;= _xlfn.PERCENTILE.INC(student_scores[Total_Score], 0.8), "Yes", "No")</f>
        <v>Yes</v>
      </c>
    </row>
    <row r="1063" spans="1:22" x14ac:dyDescent="0.35">
      <c r="A1063">
        <v>1062</v>
      </c>
      <c r="B1063" t="s">
        <v>283</v>
      </c>
      <c r="C1063" t="s">
        <v>32</v>
      </c>
      <c r="D1063" t="s">
        <v>1930</v>
      </c>
      <c r="E1063" t="s">
        <v>20</v>
      </c>
      <c r="F1063" t="b">
        <v>0</v>
      </c>
      <c r="G1063">
        <v>7</v>
      </c>
      <c r="H1063" t="b">
        <v>0</v>
      </c>
      <c r="I1063">
        <v>16</v>
      </c>
      <c r="J1063" t="s">
        <v>105</v>
      </c>
      <c r="K1063">
        <v>92</v>
      </c>
      <c r="L1063">
        <v>60</v>
      </c>
      <c r="M1063">
        <v>76</v>
      </c>
      <c r="N1063">
        <v>61</v>
      </c>
      <c r="O1063">
        <v>94</v>
      </c>
      <c r="P1063">
        <v>93</v>
      </c>
      <c r="Q1063">
        <v>94</v>
      </c>
      <c r="R1063">
        <f>SUM(student_scores[[#This Row],[math_score]:[geography_score]])</f>
        <v>570</v>
      </c>
      <c r="S1063" s="3">
        <f>student_scores[[#This Row],[Total_Score]]/7</f>
        <v>81.428571428571431</v>
      </c>
      <c r="T1063" s="3" t="str" cm="1">
        <f t="array" ref="T1063">_xlfn.IFS(student_scores[[#This Row],[weekly_self_study_hours]]&lt;=5,   "0 - 5", student_scores[[#This Row],[weekly_self_study_hours]]&lt;=10,  "6 - 10", student_scores[[#This Row],[weekly_self_study_hours]]&lt;=20,  "11 - 20",student_scores[[#This Row],[weekly_self_study_hours]]&lt;=30, "21 - 30",TRUE, "31+")</f>
        <v>11 - 20</v>
      </c>
      <c r="U1063" t="str" cm="1">
        <f t="array" ref="U1063">_xlfn.IFS(student_scores[[#This Row],[absence_days]]=0,"0", student_scores[[#This Row],[absence_days]]&lt;=3,"1-3", student_scores[[#This Row],[absence_days]]&lt;=6,"4-6", TRUE,"7-10")</f>
        <v>7-10</v>
      </c>
      <c r="V1063" t="str">
        <f>IF(student_scores[[#This Row],[Total_Score]] &gt;= _xlfn.PERCENTILE.INC(student_scores[Total_Score], 0.8), "Yes", "No")</f>
        <v>No</v>
      </c>
    </row>
    <row r="1064" spans="1:22" x14ac:dyDescent="0.35">
      <c r="A1064">
        <v>1063</v>
      </c>
      <c r="B1064" t="s">
        <v>1051</v>
      </c>
      <c r="C1064" t="s">
        <v>1931</v>
      </c>
      <c r="D1064" t="s">
        <v>1932</v>
      </c>
      <c r="E1064" t="s">
        <v>25</v>
      </c>
      <c r="F1064" t="b">
        <v>1</v>
      </c>
      <c r="G1064">
        <v>8</v>
      </c>
      <c r="H1064" t="b">
        <v>0</v>
      </c>
      <c r="I1064">
        <v>1</v>
      </c>
      <c r="J1064" t="s">
        <v>64</v>
      </c>
      <c r="K1064">
        <v>70</v>
      </c>
      <c r="L1064">
        <v>70</v>
      </c>
      <c r="M1064">
        <v>75</v>
      </c>
      <c r="N1064">
        <v>83</v>
      </c>
      <c r="O1064">
        <v>60</v>
      </c>
      <c r="P1064">
        <v>86</v>
      </c>
      <c r="Q1064">
        <v>62</v>
      </c>
      <c r="R1064">
        <f>SUM(student_scores[[#This Row],[math_score]:[geography_score]])</f>
        <v>506</v>
      </c>
      <c r="S1064" s="3">
        <f>student_scores[[#This Row],[Total_Score]]/7</f>
        <v>72.285714285714292</v>
      </c>
      <c r="T1064" s="3" t="str" cm="1">
        <f t="array" ref="T1064">_xlfn.IFS(student_scores[[#This Row],[weekly_self_study_hours]]&lt;=5,   "0 - 5", student_scores[[#This Row],[weekly_self_study_hours]]&lt;=10,  "6 - 10", student_scores[[#This Row],[weekly_self_study_hours]]&lt;=20,  "11 - 20",student_scores[[#This Row],[weekly_self_study_hours]]&lt;=30, "21 - 30",TRUE, "31+")</f>
        <v>0 - 5</v>
      </c>
      <c r="U1064" t="str" cm="1">
        <f t="array" ref="U1064">_xlfn.IFS(student_scores[[#This Row],[absence_days]]=0,"0", student_scores[[#This Row],[absence_days]]&lt;=3,"1-3", student_scores[[#This Row],[absence_days]]&lt;=6,"4-6", TRUE,"7-10")</f>
        <v>7-10</v>
      </c>
      <c r="V1064" t="str">
        <f>IF(student_scores[[#This Row],[Total_Score]] &gt;= _xlfn.PERCENTILE.INC(student_scores[Total_Score], 0.8), "Yes", "No")</f>
        <v>No</v>
      </c>
    </row>
    <row r="1065" spans="1:22" x14ac:dyDescent="0.35">
      <c r="A1065">
        <v>1064</v>
      </c>
      <c r="B1065" t="s">
        <v>266</v>
      </c>
      <c r="C1065" t="s">
        <v>1460</v>
      </c>
      <c r="D1065" t="s">
        <v>1933</v>
      </c>
      <c r="E1065" t="s">
        <v>20</v>
      </c>
      <c r="F1065" t="b">
        <v>1</v>
      </c>
      <c r="G1065">
        <v>1</v>
      </c>
      <c r="H1065" t="b">
        <v>0</v>
      </c>
      <c r="I1065">
        <v>35</v>
      </c>
      <c r="J1065" t="s">
        <v>76</v>
      </c>
      <c r="K1065">
        <v>85</v>
      </c>
      <c r="L1065">
        <v>90</v>
      </c>
      <c r="M1065">
        <v>98</v>
      </c>
      <c r="N1065">
        <v>92</v>
      </c>
      <c r="O1065">
        <v>89</v>
      </c>
      <c r="P1065">
        <v>88</v>
      </c>
      <c r="Q1065">
        <v>95</v>
      </c>
      <c r="R1065">
        <f>SUM(student_scores[[#This Row],[math_score]:[geography_score]])</f>
        <v>637</v>
      </c>
      <c r="S1065" s="3">
        <f>student_scores[[#This Row],[Total_Score]]/7</f>
        <v>91</v>
      </c>
      <c r="T1065" s="3" t="str" cm="1">
        <f t="array" ref="T1065">_xlfn.IFS(student_scores[[#This Row],[weekly_self_study_hours]]&lt;=5,   "0 - 5", student_scores[[#This Row],[weekly_self_study_hours]]&lt;=10,  "6 - 10", student_scores[[#This Row],[weekly_self_study_hours]]&lt;=20,  "11 - 20",student_scores[[#This Row],[weekly_self_study_hours]]&lt;=30, "21 - 30",TRUE, "31+")</f>
        <v>31+</v>
      </c>
      <c r="U1065" t="str" cm="1">
        <f t="array" ref="U1065">_xlfn.IFS(student_scores[[#This Row],[absence_days]]=0,"0", student_scores[[#This Row],[absence_days]]&lt;=3,"1-3", student_scores[[#This Row],[absence_days]]&lt;=6,"4-6", TRUE,"7-10")</f>
        <v>1-3</v>
      </c>
      <c r="V1065" t="str">
        <f>IF(student_scores[[#This Row],[Total_Score]] &gt;= _xlfn.PERCENTILE.INC(student_scores[Total_Score], 0.8), "Yes", "No")</f>
        <v>Yes</v>
      </c>
    </row>
    <row r="1066" spans="1:22" x14ac:dyDescent="0.35">
      <c r="A1066">
        <v>1065</v>
      </c>
      <c r="B1066" t="s">
        <v>1024</v>
      </c>
      <c r="C1066" t="s">
        <v>1934</v>
      </c>
      <c r="D1066" t="s">
        <v>1935</v>
      </c>
      <c r="E1066" t="s">
        <v>20</v>
      </c>
      <c r="F1066" t="b">
        <v>0</v>
      </c>
      <c r="G1066">
        <v>3</v>
      </c>
      <c r="H1066" t="b">
        <v>0</v>
      </c>
      <c r="I1066">
        <v>32</v>
      </c>
      <c r="J1066" t="s">
        <v>38</v>
      </c>
      <c r="K1066">
        <v>79</v>
      </c>
      <c r="L1066">
        <v>78</v>
      </c>
      <c r="M1066">
        <v>69</v>
      </c>
      <c r="N1066">
        <v>80</v>
      </c>
      <c r="O1066">
        <v>72</v>
      </c>
      <c r="P1066">
        <v>71</v>
      </c>
      <c r="Q1066">
        <v>88</v>
      </c>
      <c r="R1066">
        <f>SUM(student_scores[[#This Row],[math_score]:[geography_score]])</f>
        <v>537</v>
      </c>
      <c r="S1066" s="3">
        <f>student_scores[[#This Row],[Total_Score]]/7</f>
        <v>76.714285714285708</v>
      </c>
      <c r="T1066" s="3" t="str" cm="1">
        <f t="array" ref="T1066">_xlfn.IFS(student_scores[[#This Row],[weekly_self_study_hours]]&lt;=5,   "0 - 5", student_scores[[#This Row],[weekly_self_study_hours]]&lt;=10,  "6 - 10", student_scores[[#This Row],[weekly_self_study_hours]]&lt;=20,  "11 - 20",student_scores[[#This Row],[weekly_self_study_hours]]&lt;=30, "21 - 30",TRUE, "31+")</f>
        <v>31+</v>
      </c>
      <c r="U1066" t="str" cm="1">
        <f t="array" ref="U1066">_xlfn.IFS(student_scores[[#This Row],[absence_days]]=0,"0", student_scores[[#This Row],[absence_days]]&lt;=3,"1-3", student_scores[[#This Row],[absence_days]]&lt;=6,"4-6", TRUE,"7-10")</f>
        <v>1-3</v>
      </c>
      <c r="V1066" t="str">
        <f>IF(student_scores[[#This Row],[Total_Score]] &gt;= _xlfn.PERCENTILE.INC(student_scores[Total_Score], 0.8), "Yes", "No")</f>
        <v>No</v>
      </c>
    </row>
    <row r="1067" spans="1:22" x14ac:dyDescent="0.35">
      <c r="A1067">
        <v>1066</v>
      </c>
      <c r="B1067" t="s">
        <v>805</v>
      </c>
      <c r="C1067" t="s">
        <v>1936</v>
      </c>
      <c r="D1067" t="s">
        <v>1937</v>
      </c>
      <c r="E1067" t="s">
        <v>20</v>
      </c>
      <c r="F1067" t="b">
        <v>0</v>
      </c>
      <c r="G1067">
        <v>0</v>
      </c>
      <c r="H1067" t="b">
        <v>0</v>
      </c>
      <c r="I1067">
        <v>31</v>
      </c>
      <c r="J1067" t="s">
        <v>38</v>
      </c>
      <c r="K1067">
        <v>60</v>
      </c>
      <c r="L1067">
        <v>88</v>
      </c>
      <c r="M1067">
        <v>75</v>
      </c>
      <c r="N1067">
        <v>94</v>
      </c>
      <c r="O1067">
        <v>87</v>
      </c>
      <c r="P1067">
        <v>82</v>
      </c>
      <c r="Q1067">
        <v>79</v>
      </c>
      <c r="R1067">
        <f>SUM(student_scores[[#This Row],[math_score]:[geography_score]])</f>
        <v>565</v>
      </c>
      <c r="S1067" s="3">
        <f>student_scores[[#This Row],[Total_Score]]/7</f>
        <v>80.714285714285708</v>
      </c>
      <c r="T1067" s="3" t="str" cm="1">
        <f t="array" ref="T1067">_xlfn.IFS(student_scores[[#This Row],[weekly_self_study_hours]]&lt;=5,   "0 - 5", student_scores[[#This Row],[weekly_self_study_hours]]&lt;=10,  "6 - 10", student_scores[[#This Row],[weekly_self_study_hours]]&lt;=20,  "11 - 20",student_scores[[#This Row],[weekly_self_study_hours]]&lt;=30, "21 - 30",TRUE, "31+")</f>
        <v>31+</v>
      </c>
      <c r="U1067" t="str" cm="1">
        <f t="array" ref="U1067">_xlfn.IFS(student_scores[[#This Row],[absence_days]]=0,"0", student_scores[[#This Row],[absence_days]]&lt;=3,"1-3", student_scores[[#This Row],[absence_days]]&lt;=6,"4-6", TRUE,"7-10")</f>
        <v>0</v>
      </c>
      <c r="V1067" t="str">
        <f>IF(student_scores[[#This Row],[Total_Score]] &gt;= _xlfn.PERCENTILE.INC(student_scores[Total_Score], 0.8), "Yes", "No")</f>
        <v>No</v>
      </c>
    </row>
    <row r="1068" spans="1:22" x14ac:dyDescent="0.35">
      <c r="A1068">
        <v>1067</v>
      </c>
      <c r="B1068" t="s">
        <v>163</v>
      </c>
      <c r="C1068" t="s">
        <v>856</v>
      </c>
      <c r="D1068" t="s">
        <v>1938</v>
      </c>
      <c r="E1068" t="s">
        <v>20</v>
      </c>
      <c r="F1068" t="b">
        <v>0</v>
      </c>
      <c r="G1068">
        <v>10</v>
      </c>
      <c r="H1068" t="b">
        <v>0</v>
      </c>
      <c r="I1068">
        <v>0</v>
      </c>
      <c r="J1068" t="s">
        <v>64</v>
      </c>
      <c r="K1068">
        <v>63</v>
      </c>
      <c r="L1068">
        <v>86</v>
      </c>
      <c r="M1068">
        <v>89</v>
      </c>
      <c r="N1068">
        <v>87</v>
      </c>
      <c r="O1068">
        <v>67</v>
      </c>
      <c r="P1068">
        <v>73</v>
      </c>
      <c r="Q1068">
        <v>80</v>
      </c>
      <c r="R1068">
        <f>SUM(student_scores[[#This Row],[math_score]:[geography_score]])</f>
        <v>545</v>
      </c>
      <c r="S1068" s="3">
        <f>student_scores[[#This Row],[Total_Score]]/7</f>
        <v>77.857142857142861</v>
      </c>
      <c r="T1068" s="3" t="str" cm="1">
        <f t="array" ref="T1068">_xlfn.IFS(student_scores[[#This Row],[weekly_self_study_hours]]&lt;=5,   "0 - 5", student_scores[[#This Row],[weekly_self_study_hours]]&lt;=10,  "6 - 10", student_scores[[#This Row],[weekly_self_study_hours]]&lt;=20,  "11 - 20",student_scores[[#This Row],[weekly_self_study_hours]]&lt;=30, "21 - 30",TRUE, "31+")</f>
        <v>0 - 5</v>
      </c>
      <c r="U1068" t="str" cm="1">
        <f t="array" ref="U1068">_xlfn.IFS(student_scores[[#This Row],[absence_days]]=0,"0", student_scores[[#This Row],[absence_days]]&lt;=3,"1-3", student_scores[[#This Row],[absence_days]]&lt;=6,"4-6", TRUE,"7-10")</f>
        <v>7-10</v>
      </c>
      <c r="V1068" t="str">
        <f>IF(student_scores[[#This Row],[Total_Score]] &gt;= _xlfn.PERCENTILE.INC(student_scores[Total_Score], 0.8), "Yes", "No")</f>
        <v>No</v>
      </c>
    </row>
    <row r="1069" spans="1:22" x14ac:dyDescent="0.35">
      <c r="A1069">
        <v>1068</v>
      </c>
      <c r="B1069" t="s">
        <v>163</v>
      </c>
      <c r="C1069" t="s">
        <v>1211</v>
      </c>
      <c r="D1069" t="s">
        <v>1939</v>
      </c>
      <c r="E1069" t="s">
        <v>20</v>
      </c>
      <c r="F1069" t="b">
        <v>0</v>
      </c>
      <c r="G1069">
        <v>3</v>
      </c>
      <c r="H1069" t="b">
        <v>0</v>
      </c>
      <c r="I1069">
        <v>24</v>
      </c>
      <c r="J1069" t="s">
        <v>105</v>
      </c>
      <c r="K1069">
        <v>99</v>
      </c>
      <c r="L1069">
        <v>77</v>
      </c>
      <c r="M1069">
        <v>82</v>
      </c>
      <c r="N1069">
        <v>60</v>
      </c>
      <c r="O1069">
        <v>88</v>
      </c>
      <c r="P1069">
        <v>91</v>
      </c>
      <c r="Q1069">
        <v>93</v>
      </c>
      <c r="R1069">
        <f>SUM(student_scores[[#This Row],[math_score]:[geography_score]])</f>
        <v>590</v>
      </c>
      <c r="S1069" s="3">
        <f>student_scores[[#This Row],[Total_Score]]/7</f>
        <v>84.285714285714292</v>
      </c>
      <c r="T1069" s="3" t="str" cm="1">
        <f t="array" ref="T1069">_xlfn.IFS(student_scores[[#This Row],[weekly_self_study_hours]]&lt;=5,   "0 - 5", student_scores[[#This Row],[weekly_self_study_hours]]&lt;=10,  "6 - 10", student_scores[[#This Row],[weekly_self_study_hours]]&lt;=20,  "11 - 20",student_scores[[#This Row],[weekly_self_study_hours]]&lt;=30, "21 - 30",TRUE, "31+")</f>
        <v>21 - 30</v>
      </c>
      <c r="U1069" t="str" cm="1">
        <f t="array" ref="U1069">_xlfn.IFS(student_scores[[#This Row],[absence_days]]=0,"0", student_scores[[#This Row],[absence_days]]&lt;=3,"1-3", student_scores[[#This Row],[absence_days]]&lt;=6,"4-6", TRUE,"7-10")</f>
        <v>1-3</v>
      </c>
      <c r="V1069" t="str">
        <f>IF(student_scores[[#This Row],[Total_Score]] &gt;= _xlfn.PERCENTILE.INC(student_scores[Total_Score], 0.8), "Yes", "No")</f>
        <v>No</v>
      </c>
    </row>
    <row r="1070" spans="1:22" x14ac:dyDescent="0.35">
      <c r="A1070">
        <v>1069</v>
      </c>
      <c r="B1070" t="s">
        <v>297</v>
      </c>
      <c r="C1070" t="s">
        <v>1244</v>
      </c>
      <c r="D1070" t="s">
        <v>1940</v>
      </c>
      <c r="E1070" t="s">
        <v>25</v>
      </c>
      <c r="F1070" t="b">
        <v>0</v>
      </c>
      <c r="G1070">
        <v>4</v>
      </c>
      <c r="H1070" t="b">
        <v>0</v>
      </c>
      <c r="I1070">
        <v>13</v>
      </c>
      <c r="J1070" t="s">
        <v>113</v>
      </c>
      <c r="K1070">
        <v>93</v>
      </c>
      <c r="L1070">
        <v>61</v>
      </c>
      <c r="M1070">
        <v>71</v>
      </c>
      <c r="N1070">
        <v>82</v>
      </c>
      <c r="O1070">
        <v>43</v>
      </c>
      <c r="P1070">
        <v>94</v>
      </c>
      <c r="Q1070">
        <v>88</v>
      </c>
      <c r="R1070">
        <f>SUM(student_scores[[#This Row],[math_score]:[geography_score]])</f>
        <v>532</v>
      </c>
      <c r="S1070" s="3">
        <f>student_scores[[#This Row],[Total_Score]]/7</f>
        <v>76</v>
      </c>
      <c r="T1070" s="3" t="str" cm="1">
        <f t="array" ref="T1070">_xlfn.IFS(student_scores[[#This Row],[weekly_self_study_hours]]&lt;=5,   "0 - 5", student_scores[[#This Row],[weekly_self_study_hours]]&lt;=10,  "6 - 10", student_scores[[#This Row],[weekly_self_study_hours]]&lt;=20,  "11 - 20",student_scores[[#This Row],[weekly_self_study_hours]]&lt;=30, "21 - 30",TRUE, "31+")</f>
        <v>11 - 20</v>
      </c>
      <c r="U1070" t="str" cm="1">
        <f t="array" ref="U1070">_xlfn.IFS(student_scores[[#This Row],[absence_days]]=0,"0", student_scores[[#This Row],[absence_days]]&lt;=3,"1-3", student_scores[[#This Row],[absence_days]]&lt;=6,"4-6", TRUE,"7-10")</f>
        <v>4-6</v>
      </c>
      <c r="V1070" t="str">
        <f>IF(student_scores[[#This Row],[Total_Score]] &gt;= _xlfn.PERCENTILE.INC(student_scores[Total_Score], 0.8), "Yes", "No")</f>
        <v>No</v>
      </c>
    </row>
    <row r="1071" spans="1:22" x14ac:dyDescent="0.35">
      <c r="A1071">
        <v>1070</v>
      </c>
      <c r="B1071" t="s">
        <v>160</v>
      </c>
      <c r="C1071" t="s">
        <v>997</v>
      </c>
      <c r="D1071" t="s">
        <v>1941</v>
      </c>
      <c r="E1071" t="s">
        <v>20</v>
      </c>
      <c r="F1071" t="b">
        <v>0</v>
      </c>
      <c r="G1071">
        <v>1</v>
      </c>
      <c r="H1071" t="b">
        <v>0</v>
      </c>
      <c r="I1071">
        <v>4</v>
      </c>
      <c r="J1071" t="s">
        <v>38</v>
      </c>
      <c r="K1071">
        <v>63</v>
      </c>
      <c r="L1071">
        <v>72</v>
      </c>
      <c r="M1071">
        <v>92</v>
      </c>
      <c r="N1071">
        <v>82</v>
      </c>
      <c r="O1071">
        <v>84</v>
      </c>
      <c r="P1071">
        <v>82</v>
      </c>
      <c r="Q1071">
        <v>60</v>
      </c>
      <c r="R1071">
        <f>SUM(student_scores[[#This Row],[math_score]:[geography_score]])</f>
        <v>535</v>
      </c>
      <c r="S1071" s="3">
        <f>student_scores[[#This Row],[Total_Score]]/7</f>
        <v>76.428571428571431</v>
      </c>
      <c r="T1071" s="3" t="str" cm="1">
        <f t="array" ref="T1071">_xlfn.IFS(student_scores[[#This Row],[weekly_self_study_hours]]&lt;=5,   "0 - 5", student_scores[[#This Row],[weekly_self_study_hours]]&lt;=10,  "6 - 10", student_scores[[#This Row],[weekly_self_study_hours]]&lt;=20,  "11 - 20",student_scores[[#This Row],[weekly_self_study_hours]]&lt;=30, "21 - 30",TRUE, "31+")</f>
        <v>0 - 5</v>
      </c>
      <c r="U1071" t="str" cm="1">
        <f t="array" ref="U1071">_xlfn.IFS(student_scores[[#This Row],[absence_days]]=0,"0", student_scores[[#This Row],[absence_days]]&lt;=3,"1-3", student_scores[[#This Row],[absence_days]]&lt;=6,"4-6", TRUE,"7-10")</f>
        <v>1-3</v>
      </c>
      <c r="V1071" t="str">
        <f>IF(student_scores[[#This Row],[Total_Score]] &gt;= _xlfn.PERCENTILE.INC(student_scores[Total_Score], 0.8), "Yes", "No")</f>
        <v>No</v>
      </c>
    </row>
    <row r="1072" spans="1:22" x14ac:dyDescent="0.35">
      <c r="A1072">
        <v>1071</v>
      </c>
      <c r="B1072" t="s">
        <v>193</v>
      </c>
      <c r="C1072" t="s">
        <v>316</v>
      </c>
      <c r="D1072" t="s">
        <v>1942</v>
      </c>
      <c r="E1072" t="s">
        <v>25</v>
      </c>
      <c r="F1072" t="b">
        <v>0</v>
      </c>
      <c r="G1072">
        <v>1</v>
      </c>
      <c r="H1072" t="b">
        <v>0</v>
      </c>
      <c r="I1072">
        <v>1</v>
      </c>
      <c r="J1072" t="s">
        <v>64</v>
      </c>
      <c r="K1072">
        <v>81</v>
      </c>
      <c r="L1072">
        <v>86</v>
      </c>
      <c r="M1072">
        <v>84</v>
      </c>
      <c r="N1072">
        <v>78</v>
      </c>
      <c r="O1072">
        <v>63</v>
      </c>
      <c r="P1072">
        <v>86</v>
      </c>
      <c r="Q1072">
        <v>73</v>
      </c>
      <c r="R1072">
        <f>SUM(student_scores[[#This Row],[math_score]:[geography_score]])</f>
        <v>551</v>
      </c>
      <c r="S1072" s="3">
        <f>student_scores[[#This Row],[Total_Score]]/7</f>
        <v>78.714285714285708</v>
      </c>
      <c r="T1072" s="3" t="str" cm="1">
        <f t="array" ref="T1072">_xlfn.IFS(student_scores[[#This Row],[weekly_self_study_hours]]&lt;=5,   "0 - 5", student_scores[[#This Row],[weekly_self_study_hours]]&lt;=10,  "6 - 10", student_scores[[#This Row],[weekly_self_study_hours]]&lt;=20,  "11 - 20",student_scores[[#This Row],[weekly_self_study_hours]]&lt;=30, "21 - 30",TRUE, "31+")</f>
        <v>0 - 5</v>
      </c>
      <c r="U1072" t="str" cm="1">
        <f t="array" ref="U1072">_xlfn.IFS(student_scores[[#This Row],[absence_days]]=0,"0", student_scores[[#This Row],[absence_days]]&lt;=3,"1-3", student_scores[[#This Row],[absence_days]]&lt;=6,"4-6", TRUE,"7-10")</f>
        <v>1-3</v>
      </c>
      <c r="V1072" t="str">
        <f>IF(student_scores[[#This Row],[Total_Score]] &gt;= _xlfn.PERCENTILE.INC(student_scores[Total_Score], 0.8), "Yes", "No")</f>
        <v>No</v>
      </c>
    </row>
    <row r="1073" spans="1:22" x14ac:dyDescent="0.35">
      <c r="A1073">
        <v>1072</v>
      </c>
      <c r="B1073" t="s">
        <v>1943</v>
      </c>
      <c r="C1073" t="s">
        <v>669</v>
      </c>
      <c r="D1073" t="s">
        <v>1944</v>
      </c>
      <c r="E1073" t="s">
        <v>25</v>
      </c>
      <c r="F1073" t="b">
        <v>0</v>
      </c>
      <c r="G1073">
        <v>5</v>
      </c>
      <c r="H1073" t="b">
        <v>0</v>
      </c>
      <c r="I1073">
        <v>27</v>
      </c>
      <c r="J1073" t="s">
        <v>38</v>
      </c>
      <c r="K1073">
        <v>60</v>
      </c>
      <c r="L1073">
        <v>61</v>
      </c>
      <c r="M1073">
        <v>66</v>
      </c>
      <c r="N1073">
        <v>82</v>
      </c>
      <c r="O1073">
        <v>100</v>
      </c>
      <c r="P1073">
        <v>76</v>
      </c>
      <c r="Q1073">
        <v>79</v>
      </c>
      <c r="R1073">
        <f>SUM(student_scores[[#This Row],[math_score]:[geography_score]])</f>
        <v>524</v>
      </c>
      <c r="S1073" s="3">
        <f>student_scores[[#This Row],[Total_Score]]/7</f>
        <v>74.857142857142861</v>
      </c>
      <c r="T1073" s="3" t="str" cm="1">
        <f t="array" ref="T1073">_xlfn.IFS(student_scores[[#This Row],[weekly_self_study_hours]]&lt;=5,   "0 - 5", student_scores[[#This Row],[weekly_self_study_hours]]&lt;=10,  "6 - 10", student_scores[[#This Row],[weekly_self_study_hours]]&lt;=20,  "11 - 20",student_scores[[#This Row],[weekly_self_study_hours]]&lt;=30, "21 - 30",TRUE, "31+")</f>
        <v>21 - 30</v>
      </c>
      <c r="U1073" t="str" cm="1">
        <f t="array" ref="U1073">_xlfn.IFS(student_scores[[#This Row],[absence_days]]=0,"0", student_scores[[#This Row],[absence_days]]&lt;=3,"1-3", student_scores[[#This Row],[absence_days]]&lt;=6,"4-6", TRUE,"7-10")</f>
        <v>4-6</v>
      </c>
      <c r="V1073" t="str">
        <f>IF(student_scores[[#This Row],[Total_Score]] &gt;= _xlfn.PERCENTILE.INC(student_scores[Total_Score], 0.8), "Yes", "No")</f>
        <v>No</v>
      </c>
    </row>
    <row r="1074" spans="1:22" x14ac:dyDescent="0.35">
      <c r="A1074">
        <v>1073</v>
      </c>
      <c r="B1074" t="s">
        <v>428</v>
      </c>
      <c r="C1074" t="s">
        <v>352</v>
      </c>
      <c r="D1074" t="s">
        <v>1945</v>
      </c>
      <c r="E1074" t="s">
        <v>25</v>
      </c>
      <c r="F1074" t="b">
        <v>1</v>
      </c>
      <c r="G1074">
        <v>7</v>
      </c>
      <c r="H1074" t="b">
        <v>0</v>
      </c>
      <c r="I1074">
        <v>4</v>
      </c>
      <c r="J1074" t="s">
        <v>64</v>
      </c>
      <c r="K1074">
        <v>68</v>
      </c>
      <c r="L1074">
        <v>50</v>
      </c>
      <c r="M1074">
        <v>68</v>
      </c>
      <c r="N1074">
        <v>53</v>
      </c>
      <c r="O1074">
        <v>58</v>
      </c>
      <c r="P1074">
        <v>87</v>
      </c>
      <c r="Q1074">
        <v>74</v>
      </c>
      <c r="R1074">
        <f>SUM(student_scores[[#This Row],[math_score]:[geography_score]])</f>
        <v>458</v>
      </c>
      <c r="S1074" s="3">
        <f>student_scores[[#This Row],[Total_Score]]/7</f>
        <v>65.428571428571431</v>
      </c>
      <c r="T1074" s="3" t="str" cm="1">
        <f t="array" ref="T1074">_xlfn.IFS(student_scores[[#This Row],[weekly_self_study_hours]]&lt;=5,   "0 - 5", student_scores[[#This Row],[weekly_self_study_hours]]&lt;=10,  "6 - 10", student_scores[[#This Row],[weekly_self_study_hours]]&lt;=20,  "11 - 20",student_scores[[#This Row],[weekly_self_study_hours]]&lt;=30, "21 - 30",TRUE, "31+")</f>
        <v>0 - 5</v>
      </c>
      <c r="U1074" t="str" cm="1">
        <f t="array" ref="U1074">_xlfn.IFS(student_scores[[#This Row],[absence_days]]=0,"0", student_scores[[#This Row],[absence_days]]&lt;=3,"1-3", student_scores[[#This Row],[absence_days]]&lt;=6,"4-6", TRUE,"7-10")</f>
        <v>7-10</v>
      </c>
      <c r="V1074" t="str">
        <f>IF(student_scores[[#This Row],[Total_Score]] &gt;= _xlfn.PERCENTILE.INC(student_scores[Total_Score], 0.8), "Yes", "No")</f>
        <v>No</v>
      </c>
    </row>
    <row r="1075" spans="1:22" x14ac:dyDescent="0.35">
      <c r="A1075">
        <v>1074</v>
      </c>
      <c r="B1075" t="s">
        <v>413</v>
      </c>
      <c r="C1075" t="s">
        <v>457</v>
      </c>
      <c r="D1075" t="s">
        <v>1946</v>
      </c>
      <c r="E1075" t="s">
        <v>20</v>
      </c>
      <c r="F1075" t="b">
        <v>0</v>
      </c>
      <c r="G1075">
        <v>7</v>
      </c>
      <c r="H1075" t="b">
        <v>0</v>
      </c>
      <c r="I1075">
        <v>8</v>
      </c>
      <c r="J1075" t="s">
        <v>172</v>
      </c>
      <c r="K1075">
        <v>89</v>
      </c>
      <c r="L1075">
        <v>97</v>
      </c>
      <c r="M1075">
        <v>65</v>
      </c>
      <c r="N1075">
        <v>75</v>
      </c>
      <c r="O1075">
        <v>61</v>
      </c>
      <c r="P1075">
        <v>60</v>
      </c>
      <c r="Q1075">
        <v>60</v>
      </c>
      <c r="R1075">
        <f>SUM(student_scores[[#This Row],[math_score]:[geography_score]])</f>
        <v>507</v>
      </c>
      <c r="S1075" s="3">
        <f>student_scores[[#This Row],[Total_Score]]/7</f>
        <v>72.428571428571431</v>
      </c>
      <c r="T1075" s="3" t="str" cm="1">
        <f t="array" ref="T1075">_xlfn.IFS(student_scores[[#This Row],[weekly_self_study_hours]]&lt;=5,   "0 - 5", student_scores[[#This Row],[weekly_self_study_hours]]&lt;=10,  "6 - 10", student_scores[[#This Row],[weekly_self_study_hours]]&lt;=20,  "11 - 20",student_scores[[#This Row],[weekly_self_study_hours]]&lt;=30, "21 - 30",TRUE, "31+")</f>
        <v>6 - 10</v>
      </c>
      <c r="U1075" t="str" cm="1">
        <f t="array" ref="U1075">_xlfn.IFS(student_scores[[#This Row],[absence_days]]=0,"0", student_scores[[#This Row],[absence_days]]&lt;=3,"1-3", student_scores[[#This Row],[absence_days]]&lt;=6,"4-6", TRUE,"7-10")</f>
        <v>7-10</v>
      </c>
      <c r="V1075" t="str">
        <f>IF(student_scores[[#This Row],[Total_Score]] &gt;= _xlfn.PERCENTILE.INC(student_scores[Total_Score], 0.8), "Yes", "No")</f>
        <v>No</v>
      </c>
    </row>
    <row r="1076" spans="1:22" x14ac:dyDescent="0.35">
      <c r="A1076">
        <v>1075</v>
      </c>
      <c r="B1076" t="s">
        <v>1947</v>
      </c>
      <c r="C1076" t="s">
        <v>1323</v>
      </c>
      <c r="D1076" t="s">
        <v>1948</v>
      </c>
      <c r="E1076" t="s">
        <v>20</v>
      </c>
      <c r="F1076" t="b">
        <v>0</v>
      </c>
      <c r="G1076">
        <v>1</v>
      </c>
      <c r="H1076" t="b">
        <v>1</v>
      </c>
      <c r="I1076">
        <v>35</v>
      </c>
      <c r="J1076" t="s">
        <v>76</v>
      </c>
      <c r="K1076">
        <v>86</v>
      </c>
      <c r="L1076">
        <v>87</v>
      </c>
      <c r="M1076">
        <v>89</v>
      </c>
      <c r="N1076">
        <v>91</v>
      </c>
      <c r="O1076">
        <v>90</v>
      </c>
      <c r="P1076">
        <v>85</v>
      </c>
      <c r="Q1076">
        <v>92</v>
      </c>
      <c r="R1076">
        <f>SUM(student_scores[[#This Row],[math_score]:[geography_score]])</f>
        <v>620</v>
      </c>
      <c r="S1076" s="3">
        <f>student_scores[[#This Row],[Total_Score]]/7</f>
        <v>88.571428571428569</v>
      </c>
      <c r="T1076" s="3" t="str" cm="1">
        <f t="array" ref="T1076">_xlfn.IFS(student_scores[[#This Row],[weekly_self_study_hours]]&lt;=5,   "0 - 5", student_scores[[#This Row],[weekly_self_study_hours]]&lt;=10,  "6 - 10", student_scores[[#This Row],[weekly_self_study_hours]]&lt;=20,  "11 - 20",student_scores[[#This Row],[weekly_self_study_hours]]&lt;=30, "21 - 30",TRUE, "31+")</f>
        <v>31+</v>
      </c>
      <c r="U1076" t="str" cm="1">
        <f t="array" ref="U1076">_xlfn.IFS(student_scores[[#This Row],[absence_days]]=0,"0", student_scores[[#This Row],[absence_days]]&lt;=3,"1-3", student_scores[[#This Row],[absence_days]]&lt;=6,"4-6", TRUE,"7-10")</f>
        <v>1-3</v>
      </c>
      <c r="V1076" t="str">
        <f>IF(student_scores[[#This Row],[Total_Score]] &gt;= _xlfn.PERCENTILE.INC(student_scores[Total_Score], 0.8), "Yes", "No")</f>
        <v>Yes</v>
      </c>
    </row>
    <row r="1077" spans="1:22" x14ac:dyDescent="0.35">
      <c r="A1077">
        <v>1076</v>
      </c>
      <c r="B1077" t="s">
        <v>160</v>
      </c>
      <c r="C1077" t="s">
        <v>1949</v>
      </c>
      <c r="D1077" t="s">
        <v>1950</v>
      </c>
      <c r="E1077" t="s">
        <v>20</v>
      </c>
      <c r="F1077" t="b">
        <v>0</v>
      </c>
      <c r="G1077">
        <v>2</v>
      </c>
      <c r="H1077" t="b">
        <v>1</v>
      </c>
      <c r="I1077">
        <v>7</v>
      </c>
      <c r="J1077" t="s">
        <v>224</v>
      </c>
      <c r="K1077">
        <v>71</v>
      </c>
      <c r="L1077">
        <v>96</v>
      </c>
      <c r="M1077">
        <v>83</v>
      </c>
      <c r="N1077">
        <v>76</v>
      </c>
      <c r="O1077">
        <v>60</v>
      </c>
      <c r="P1077">
        <v>87</v>
      </c>
      <c r="Q1077">
        <v>74</v>
      </c>
      <c r="R1077">
        <f>SUM(student_scores[[#This Row],[math_score]:[geography_score]])</f>
        <v>547</v>
      </c>
      <c r="S1077" s="3">
        <f>student_scores[[#This Row],[Total_Score]]/7</f>
        <v>78.142857142857139</v>
      </c>
      <c r="T1077" s="3" t="str" cm="1">
        <f t="array" ref="T1077">_xlfn.IFS(student_scores[[#This Row],[weekly_self_study_hours]]&lt;=5,   "0 - 5", student_scores[[#This Row],[weekly_self_study_hours]]&lt;=10,  "6 - 10", student_scores[[#This Row],[weekly_self_study_hours]]&lt;=20,  "11 - 20",student_scores[[#This Row],[weekly_self_study_hours]]&lt;=30, "21 - 30",TRUE, "31+")</f>
        <v>6 - 10</v>
      </c>
      <c r="U1077" t="str" cm="1">
        <f t="array" ref="U1077">_xlfn.IFS(student_scores[[#This Row],[absence_days]]=0,"0", student_scores[[#This Row],[absence_days]]&lt;=3,"1-3", student_scores[[#This Row],[absence_days]]&lt;=6,"4-6", TRUE,"7-10")</f>
        <v>1-3</v>
      </c>
      <c r="V1077" t="str">
        <f>IF(student_scores[[#This Row],[Total_Score]] &gt;= _xlfn.PERCENTILE.INC(student_scores[Total_Score], 0.8), "Yes", "No")</f>
        <v>No</v>
      </c>
    </row>
    <row r="1078" spans="1:22" x14ac:dyDescent="0.35">
      <c r="A1078">
        <v>1077</v>
      </c>
      <c r="B1078" t="s">
        <v>1951</v>
      </c>
      <c r="C1078" t="s">
        <v>284</v>
      </c>
      <c r="D1078" t="s">
        <v>1952</v>
      </c>
      <c r="E1078" t="s">
        <v>25</v>
      </c>
      <c r="F1078" t="b">
        <v>0</v>
      </c>
      <c r="G1078">
        <v>9</v>
      </c>
      <c r="H1078" t="b">
        <v>0</v>
      </c>
      <c r="I1078">
        <v>4</v>
      </c>
      <c r="J1078" t="s">
        <v>64</v>
      </c>
      <c r="K1078">
        <v>72</v>
      </c>
      <c r="L1078">
        <v>69</v>
      </c>
      <c r="M1078">
        <v>58</v>
      </c>
      <c r="N1078">
        <v>79</v>
      </c>
      <c r="O1078">
        <v>70</v>
      </c>
      <c r="P1078">
        <v>50</v>
      </c>
      <c r="Q1078">
        <v>98</v>
      </c>
      <c r="R1078">
        <f>SUM(student_scores[[#This Row],[math_score]:[geography_score]])</f>
        <v>496</v>
      </c>
      <c r="S1078" s="3">
        <f>student_scores[[#This Row],[Total_Score]]/7</f>
        <v>70.857142857142861</v>
      </c>
      <c r="T1078" s="3" t="str" cm="1">
        <f t="array" ref="T1078">_xlfn.IFS(student_scores[[#This Row],[weekly_self_study_hours]]&lt;=5,   "0 - 5", student_scores[[#This Row],[weekly_self_study_hours]]&lt;=10,  "6 - 10", student_scores[[#This Row],[weekly_self_study_hours]]&lt;=20,  "11 - 20",student_scores[[#This Row],[weekly_self_study_hours]]&lt;=30, "21 - 30",TRUE, "31+")</f>
        <v>0 - 5</v>
      </c>
      <c r="U1078" t="str" cm="1">
        <f t="array" ref="U1078">_xlfn.IFS(student_scores[[#This Row],[absence_days]]=0,"0", student_scores[[#This Row],[absence_days]]&lt;=3,"1-3", student_scores[[#This Row],[absence_days]]&lt;=6,"4-6", TRUE,"7-10")</f>
        <v>7-10</v>
      </c>
      <c r="V1078" t="str">
        <f>IF(student_scores[[#This Row],[Total_Score]] &gt;= _xlfn.PERCENTILE.INC(student_scores[Total_Score], 0.8), "Yes", "No")</f>
        <v>No</v>
      </c>
    </row>
    <row r="1079" spans="1:22" x14ac:dyDescent="0.35">
      <c r="A1079">
        <v>1078</v>
      </c>
      <c r="B1079" t="s">
        <v>1272</v>
      </c>
      <c r="C1079" t="s">
        <v>435</v>
      </c>
      <c r="D1079" t="s">
        <v>1953</v>
      </c>
      <c r="E1079" t="s">
        <v>20</v>
      </c>
      <c r="F1079" t="b">
        <v>0</v>
      </c>
      <c r="G1079">
        <v>2</v>
      </c>
      <c r="H1079" t="b">
        <v>0</v>
      </c>
      <c r="I1079">
        <v>25</v>
      </c>
      <c r="J1079" t="s">
        <v>38</v>
      </c>
      <c r="K1079">
        <v>74</v>
      </c>
      <c r="L1079">
        <v>67</v>
      </c>
      <c r="M1079">
        <v>90</v>
      </c>
      <c r="N1079">
        <v>69</v>
      </c>
      <c r="O1079">
        <v>83</v>
      </c>
      <c r="P1079">
        <v>89</v>
      </c>
      <c r="Q1079">
        <v>68</v>
      </c>
      <c r="R1079">
        <f>SUM(student_scores[[#This Row],[math_score]:[geography_score]])</f>
        <v>540</v>
      </c>
      <c r="S1079" s="3">
        <f>student_scores[[#This Row],[Total_Score]]/7</f>
        <v>77.142857142857139</v>
      </c>
      <c r="T1079" s="3" t="str" cm="1">
        <f t="array" ref="T1079">_xlfn.IFS(student_scores[[#This Row],[weekly_self_study_hours]]&lt;=5,   "0 - 5", student_scores[[#This Row],[weekly_self_study_hours]]&lt;=10,  "6 - 10", student_scores[[#This Row],[weekly_self_study_hours]]&lt;=20,  "11 - 20",student_scores[[#This Row],[weekly_self_study_hours]]&lt;=30, "21 - 30",TRUE, "31+")</f>
        <v>21 - 30</v>
      </c>
      <c r="U1079" t="str" cm="1">
        <f t="array" ref="U1079">_xlfn.IFS(student_scores[[#This Row],[absence_days]]=0,"0", student_scores[[#This Row],[absence_days]]&lt;=3,"1-3", student_scores[[#This Row],[absence_days]]&lt;=6,"4-6", TRUE,"7-10")</f>
        <v>1-3</v>
      </c>
      <c r="V1079" t="str">
        <f>IF(student_scores[[#This Row],[Total_Score]] &gt;= _xlfn.PERCENTILE.INC(student_scores[Total_Score], 0.8), "Yes", "No")</f>
        <v>No</v>
      </c>
    </row>
    <row r="1080" spans="1:22" x14ac:dyDescent="0.35">
      <c r="A1080">
        <v>1079</v>
      </c>
      <c r="B1080" t="s">
        <v>277</v>
      </c>
      <c r="C1080" t="s">
        <v>608</v>
      </c>
      <c r="D1080" t="s">
        <v>1954</v>
      </c>
      <c r="E1080" t="s">
        <v>20</v>
      </c>
      <c r="F1080" t="b">
        <v>0</v>
      </c>
      <c r="G1080">
        <v>2</v>
      </c>
      <c r="H1080" t="b">
        <v>0</v>
      </c>
      <c r="I1080">
        <v>28</v>
      </c>
      <c r="J1080" t="s">
        <v>44</v>
      </c>
      <c r="K1080">
        <v>99</v>
      </c>
      <c r="L1080">
        <v>84</v>
      </c>
      <c r="M1080">
        <v>75</v>
      </c>
      <c r="N1080">
        <v>81</v>
      </c>
      <c r="O1080">
        <v>91</v>
      </c>
      <c r="P1080">
        <v>87</v>
      </c>
      <c r="Q1080">
        <v>63</v>
      </c>
      <c r="R1080">
        <f>SUM(student_scores[[#This Row],[math_score]:[geography_score]])</f>
        <v>580</v>
      </c>
      <c r="S1080" s="3">
        <f>student_scores[[#This Row],[Total_Score]]/7</f>
        <v>82.857142857142861</v>
      </c>
      <c r="T1080" s="3" t="str" cm="1">
        <f t="array" ref="T1080">_xlfn.IFS(student_scores[[#This Row],[weekly_self_study_hours]]&lt;=5,   "0 - 5", student_scores[[#This Row],[weekly_self_study_hours]]&lt;=10,  "6 - 10", student_scores[[#This Row],[weekly_self_study_hours]]&lt;=20,  "11 - 20",student_scores[[#This Row],[weekly_self_study_hours]]&lt;=30, "21 - 30",TRUE, "31+")</f>
        <v>21 - 30</v>
      </c>
      <c r="U1080" t="str" cm="1">
        <f t="array" ref="U1080">_xlfn.IFS(student_scores[[#This Row],[absence_days]]=0,"0", student_scores[[#This Row],[absence_days]]&lt;=3,"1-3", student_scores[[#This Row],[absence_days]]&lt;=6,"4-6", TRUE,"7-10")</f>
        <v>1-3</v>
      </c>
      <c r="V1080" t="str">
        <f>IF(student_scores[[#This Row],[Total_Score]] &gt;= _xlfn.PERCENTILE.INC(student_scores[Total_Score], 0.8), "Yes", "No")</f>
        <v>No</v>
      </c>
    </row>
    <row r="1081" spans="1:22" x14ac:dyDescent="0.35">
      <c r="A1081">
        <v>1080</v>
      </c>
      <c r="B1081" t="s">
        <v>1515</v>
      </c>
      <c r="C1081" t="s">
        <v>1955</v>
      </c>
      <c r="D1081" t="s">
        <v>1956</v>
      </c>
      <c r="E1081" t="s">
        <v>20</v>
      </c>
      <c r="F1081" t="b">
        <v>0</v>
      </c>
      <c r="G1081">
        <v>4</v>
      </c>
      <c r="H1081" t="b">
        <v>0</v>
      </c>
      <c r="I1081">
        <v>19</v>
      </c>
      <c r="J1081" t="s">
        <v>172</v>
      </c>
      <c r="K1081">
        <v>99</v>
      </c>
      <c r="L1081">
        <v>78</v>
      </c>
      <c r="M1081">
        <v>74</v>
      </c>
      <c r="N1081">
        <v>95</v>
      </c>
      <c r="O1081">
        <v>72</v>
      </c>
      <c r="P1081">
        <v>65</v>
      </c>
      <c r="Q1081">
        <v>91</v>
      </c>
      <c r="R1081">
        <f>SUM(student_scores[[#This Row],[math_score]:[geography_score]])</f>
        <v>574</v>
      </c>
      <c r="S1081" s="3">
        <f>student_scores[[#This Row],[Total_Score]]/7</f>
        <v>82</v>
      </c>
      <c r="T1081" s="3" t="str" cm="1">
        <f t="array" ref="T1081">_xlfn.IFS(student_scores[[#This Row],[weekly_self_study_hours]]&lt;=5,   "0 - 5", student_scores[[#This Row],[weekly_self_study_hours]]&lt;=10,  "6 - 10", student_scores[[#This Row],[weekly_self_study_hours]]&lt;=20,  "11 - 20",student_scores[[#This Row],[weekly_self_study_hours]]&lt;=30, "21 - 30",TRUE, "31+")</f>
        <v>11 - 20</v>
      </c>
      <c r="U1081" t="str" cm="1">
        <f t="array" ref="U1081">_xlfn.IFS(student_scores[[#This Row],[absence_days]]=0,"0", student_scores[[#This Row],[absence_days]]&lt;=3,"1-3", student_scores[[#This Row],[absence_days]]&lt;=6,"4-6", TRUE,"7-10")</f>
        <v>4-6</v>
      </c>
      <c r="V1081" t="str">
        <f>IF(student_scores[[#This Row],[Total_Score]] &gt;= _xlfn.PERCENTILE.INC(student_scores[Total_Score], 0.8), "Yes", "No")</f>
        <v>No</v>
      </c>
    </row>
    <row r="1082" spans="1:22" x14ac:dyDescent="0.35">
      <c r="A1082">
        <v>1081</v>
      </c>
      <c r="B1082" t="s">
        <v>1957</v>
      </c>
      <c r="C1082" t="s">
        <v>1931</v>
      </c>
      <c r="D1082" t="s">
        <v>1958</v>
      </c>
      <c r="E1082" t="s">
        <v>20</v>
      </c>
      <c r="F1082" t="b">
        <v>0</v>
      </c>
      <c r="G1082">
        <v>2</v>
      </c>
      <c r="H1082" t="b">
        <v>0</v>
      </c>
      <c r="I1082">
        <v>16</v>
      </c>
      <c r="J1082" t="s">
        <v>44</v>
      </c>
      <c r="K1082">
        <v>88</v>
      </c>
      <c r="L1082">
        <v>71</v>
      </c>
      <c r="M1082">
        <v>82</v>
      </c>
      <c r="N1082">
        <v>98</v>
      </c>
      <c r="O1082">
        <v>91</v>
      </c>
      <c r="P1082">
        <v>73</v>
      </c>
      <c r="Q1082">
        <v>74</v>
      </c>
      <c r="R1082">
        <f>SUM(student_scores[[#This Row],[math_score]:[geography_score]])</f>
        <v>577</v>
      </c>
      <c r="S1082" s="3">
        <f>student_scores[[#This Row],[Total_Score]]/7</f>
        <v>82.428571428571431</v>
      </c>
      <c r="T1082" s="3" t="str" cm="1">
        <f t="array" ref="T1082">_xlfn.IFS(student_scores[[#This Row],[weekly_self_study_hours]]&lt;=5,   "0 - 5", student_scores[[#This Row],[weekly_self_study_hours]]&lt;=10,  "6 - 10", student_scores[[#This Row],[weekly_self_study_hours]]&lt;=20,  "11 - 20",student_scores[[#This Row],[weekly_self_study_hours]]&lt;=30, "21 - 30",TRUE, "31+")</f>
        <v>11 - 20</v>
      </c>
      <c r="U1082" t="str" cm="1">
        <f t="array" ref="U1082">_xlfn.IFS(student_scores[[#This Row],[absence_days]]=0,"0", student_scores[[#This Row],[absence_days]]&lt;=3,"1-3", student_scores[[#This Row],[absence_days]]&lt;=6,"4-6", TRUE,"7-10")</f>
        <v>1-3</v>
      </c>
      <c r="V1082" t="str">
        <f>IF(student_scores[[#This Row],[Total_Score]] &gt;= _xlfn.PERCENTILE.INC(student_scores[Total_Score], 0.8), "Yes", "No")</f>
        <v>No</v>
      </c>
    </row>
    <row r="1083" spans="1:22" x14ac:dyDescent="0.35">
      <c r="A1083">
        <v>1082</v>
      </c>
      <c r="B1083" t="s">
        <v>1735</v>
      </c>
      <c r="C1083" t="s">
        <v>518</v>
      </c>
      <c r="D1083" t="s">
        <v>1959</v>
      </c>
      <c r="E1083" t="s">
        <v>25</v>
      </c>
      <c r="F1083" t="b">
        <v>0</v>
      </c>
      <c r="G1083">
        <v>3</v>
      </c>
      <c r="H1083" t="b">
        <v>0</v>
      </c>
      <c r="I1083">
        <v>6</v>
      </c>
      <c r="J1083" t="s">
        <v>38</v>
      </c>
      <c r="K1083">
        <v>65</v>
      </c>
      <c r="L1083">
        <v>72</v>
      </c>
      <c r="M1083">
        <v>77</v>
      </c>
      <c r="N1083">
        <v>89</v>
      </c>
      <c r="O1083">
        <v>74</v>
      </c>
      <c r="P1083">
        <v>76</v>
      </c>
      <c r="Q1083">
        <v>61</v>
      </c>
      <c r="R1083">
        <f>SUM(student_scores[[#This Row],[math_score]:[geography_score]])</f>
        <v>514</v>
      </c>
      <c r="S1083" s="3">
        <f>student_scores[[#This Row],[Total_Score]]/7</f>
        <v>73.428571428571431</v>
      </c>
      <c r="T1083" s="3" t="str" cm="1">
        <f t="array" ref="T1083">_xlfn.IFS(student_scores[[#This Row],[weekly_self_study_hours]]&lt;=5,   "0 - 5", student_scores[[#This Row],[weekly_self_study_hours]]&lt;=10,  "6 - 10", student_scores[[#This Row],[weekly_self_study_hours]]&lt;=20,  "11 - 20",student_scores[[#This Row],[weekly_self_study_hours]]&lt;=30, "21 - 30",TRUE, "31+")</f>
        <v>6 - 10</v>
      </c>
      <c r="U1083" t="str" cm="1">
        <f t="array" ref="U1083">_xlfn.IFS(student_scores[[#This Row],[absence_days]]=0,"0", student_scores[[#This Row],[absence_days]]&lt;=3,"1-3", student_scores[[#This Row],[absence_days]]&lt;=6,"4-6", TRUE,"7-10")</f>
        <v>1-3</v>
      </c>
      <c r="V1083" t="str">
        <f>IF(student_scores[[#This Row],[Total_Score]] &gt;= _xlfn.PERCENTILE.INC(student_scores[Total_Score], 0.8), "Yes", "No")</f>
        <v>No</v>
      </c>
    </row>
    <row r="1084" spans="1:22" x14ac:dyDescent="0.35">
      <c r="A1084">
        <v>1083</v>
      </c>
      <c r="B1084" t="s">
        <v>1027</v>
      </c>
      <c r="C1084" t="s">
        <v>42</v>
      </c>
      <c r="D1084" t="s">
        <v>1960</v>
      </c>
      <c r="E1084" t="s">
        <v>25</v>
      </c>
      <c r="F1084" t="b">
        <v>1</v>
      </c>
      <c r="G1084">
        <v>5</v>
      </c>
      <c r="H1084" t="b">
        <v>0</v>
      </c>
      <c r="I1084">
        <v>4</v>
      </c>
      <c r="J1084" t="s">
        <v>64</v>
      </c>
      <c r="K1084">
        <v>90</v>
      </c>
      <c r="L1084">
        <v>99</v>
      </c>
      <c r="M1084">
        <v>87</v>
      </c>
      <c r="N1084">
        <v>81</v>
      </c>
      <c r="O1084">
        <v>90</v>
      </c>
      <c r="P1084">
        <v>80</v>
      </c>
      <c r="Q1084">
        <v>92</v>
      </c>
      <c r="R1084">
        <f>SUM(student_scores[[#This Row],[math_score]:[geography_score]])</f>
        <v>619</v>
      </c>
      <c r="S1084" s="3">
        <f>student_scores[[#This Row],[Total_Score]]/7</f>
        <v>88.428571428571431</v>
      </c>
      <c r="T1084" s="3" t="str" cm="1">
        <f t="array" ref="T1084">_xlfn.IFS(student_scores[[#This Row],[weekly_self_study_hours]]&lt;=5,   "0 - 5", student_scores[[#This Row],[weekly_self_study_hours]]&lt;=10,  "6 - 10", student_scores[[#This Row],[weekly_self_study_hours]]&lt;=20,  "11 - 20",student_scores[[#This Row],[weekly_self_study_hours]]&lt;=30, "21 - 30",TRUE, "31+")</f>
        <v>0 - 5</v>
      </c>
      <c r="U1084" t="str" cm="1">
        <f t="array" ref="U1084">_xlfn.IFS(student_scores[[#This Row],[absence_days]]=0,"0", student_scores[[#This Row],[absence_days]]&lt;=3,"1-3", student_scores[[#This Row],[absence_days]]&lt;=6,"4-6", TRUE,"7-10")</f>
        <v>4-6</v>
      </c>
      <c r="V1084" t="str">
        <f>IF(student_scores[[#This Row],[Total_Score]] &gt;= _xlfn.PERCENTILE.INC(student_scores[Total_Score], 0.8), "Yes", "No")</f>
        <v>Yes</v>
      </c>
    </row>
    <row r="1085" spans="1:22" x14ac:dyDescent="0.35">
      <c r="A1085">
        <v>1084</v>
      </c>
      <c r="B1085" t="s">
        <v>89</v>
      </c>
      <c r="C1085" t="s">
        <v>246</v>
      </c>
      <c r="D1085" t="s">
        <v>1961</v>
      </c>
      <c r="E1085" t="s">
        <v>20</v>
      </c>
      <c r="F1085" t="b">
        <v>0</v>
      </c>
      <c r="G1085">
        <v>9</v>
      </c>
      <c r="H1085" t="b">
        <v>0</v>
      </c>
      <c r="I1085">
        <v>34</v>
      </c>
      <c r="J1085" t="s">
        <v>21</v>
      </c>
      <c r="K1085">
        <v>91</v>
      </c>
      <c r="L1085">
        <v>88</v>
      </c>
      <c r="M1085">
        <v>79</v>
      </c>
      <c r="N1085">
        <v>60</v>
      </c>
      <c r="O1085">
        <v>82</v>
      </c>
      <c r="P1085">
        <v>96</v>
      </c>
      <c r="Q1085">
        <v>83</v>
      </c>
      <c r="R1085">
        <f>SUM(student_scores[[#This Row],[math_score]:[geography_score]])</f>
        <v>579</v>
      </c>
      <c r="S1085" s="3">
        <f>student_scores[[#This Row],[Total_Score]]/7</f>
        <v>82.714285714285708</v>
      </c>
      <c r="T1085" s="3" t="str" cm="1">
        <f t="array" ref="T1085">_xlfn.IFS(student_scores[[#This Row],[weekly_self_study_hours]]&lt;=5,   "0 - 5", student_scores[[#This Row],[weekly_self_study_hours]]&lt;=10,  "6 - 10", student_scores[[#This Row],[weekly_self_study_hours]]&lt;=20,  "11 - 20",student_scores[[#This Row],[weekly_self_study_hours]]&lt;=30, "21 - 30",TRUE, "31+")</f>
        <v>31+</v>
      </c>
      <c r="U1085" t="str" cm="1">
        <f t="array" ref="U1085">_xlfn.IFS(student_scores[[#This Row],[absence_days]]=0,"0", student_scores[[#This Row],[absence_days]]&lt;=3,"1-3", student_scores[[#This Row],[absence_days]]&lt;=6,"4-6", TRUE,"7-10")</f>
        <v>7-10</v>
      </c>
      <c r="V1085" t="str">
        <f>IF(student_scores[[#This Row],[Total_Score]] &gt;= _xlfn.PERCENTILE.INC(student_scores[Total_Score], 0.8), "Yes", "No")</f>
        <v>No</v>
      </c>
    </row>
    <row r="1086" spans="1:22" x14ac:dyDescent="0.35">
      <c r="A1086">
        <v>1085</v>
      </c>
      <c r="B1086" t="s">
        <v>550</v>
      </c>
      <c r="C1086" t="s">
        <v>1962</v>
      </c>
      <c r="D1086" t="s">
        <v>1963</v>
      </c>
      <c r="E1086" t="s">
        <v>20</v>
      </c>
      <c r="F1086" t="b">
        <v>1</v>
      </c>
      <c r="G1086">
        <v>3</v>
      </c>
      <c r="H1086" t="b">
        <v>0</v>
      </c>
      <c r="I1086">
        <v>31</v>
      </c>
      <c r="J1086" t="s">
        <v>21</v>
      </c>
      <c r="K1086">
        <v>86</v>
      </c>
      <c r="L1086">
        <v>92</v>
      </c>
      <c r="M1086">
        <v>66</v>
      </c>
      <c r="N1086">
        <v>66</v>
      </c>
      <c r="O1086">
        <v>100</v>
      </c>
      <c r="P1086">
        <v>99</v>
      </c>
      <c r="Q1086">
        <v>91</v>
      </c>
      <c r="R1086">
        <f>SUM(student_scores[[#This Row],[math_score]:[geography_score]])</f>
        <v>600</v>
      </c>
      <c r="S1086" s="3">
        <f>student_scores[[#This Row],[Total_Score]]/7</f>
        <v>85.714285714285708</v>
      </c>
      <c r="T1086" s="3" t="str" cm="1">
        <f t="array" ref="T1086">_xlfn.IFS(student_scores[[#This Row],[weekly_self_study_hours]]&lt;=5,   "0 - 5", student_scores[[#This Row],[weekly_self_study_hours]]&lt;=10,  "6 - 10", student_scores[[#This Row],[weekly_self_study_hours]]&lt;=20,  "11 - 20",student_scores[[#This Row],[weekly_self_study_hours]]&lt;=30, "21 - 30",TRUE, "31+")</f>
        <v>31+</v>
      </c>
      <c r="U1086" t="str" cm="1">
        <f t="array" ref="U1086">_xlfn.IFS(student_scores[[#This Row],[absence_days]]=0,"0", student_scores[[#This Row],[absence_days]]&lt;=3,"1-3", student_scores[[#This Row],[absence_days]]&lt;=6,"4-6", TRUE,"7-10")</f>
        <v>1-3</v>
      </c>
      <c r="V1086" t="str">
        <f>IF(student_scores[[#This Row],[Total_Score]] &gt;= _xlfn.PERCENTILE.INC(student_scores[Total_Score], 0.8), "Yes", "No")</f>
        <v>No</v>
      </c>
    </row>
    <row r="1087" spans="1:22" x14ac:dyDescent="0.35">
      <c r="A1087">
        <v>1086</v>
      </c>
      <c r="B1087" t="s">
        <v>1964</v>
      </c>
      <c r="C1087" t="s">
        <v>600</v>
      </c>
      <c r="D1087" t="s">
        <v>1965</v>
      </c>
      <c r="E1087" t="s">
        <v>20</v>
      </c>
      <c r="F1087" t="b">
        <v>0</v>
      </c>
      <c r="G1087">
        <v>2</v>
      </c>
      <c r="H1087" t="b">
        <v>0</v>
      </c>
      <c r="I1087">
        <v>27</v>
      </c>
      <c r="J1087" t="s">
        <v>44</v>
      </c>
      <c r="K1087">
        <v>86</v>
      </c>
      <c r="L1087">
        <v>84</v>
      </c>
      <c r="M1087">
        <v>98</v>
      </c>
      <c r="N1087">
        <v>67</v>
      </c>
      <c r="O1087">
        <v>76</v>
      </c>
      <c r="P1087">
        <v>75</v>
      </c>
      <c r="Q1087">
        <v>65</v>
      </c>
      <c r="R1087">
        <f>SUM(student_scores[[#This Row],[math_score]:[geography_score]])</f>
        <v>551</v>
      </c>
      <c r="S1087" s="3">
        <f>student_scores[[#This Row],[Total_Score]]/7</f>
        <v>78.714285714285708</v>
      </c>
      <c r="T1087" s="3" t="str" cm="1">
        <f t="array" ref="T1087">_xlfn.IFS(student_scores[[#This Row],[weekly_self_study_hours]]&lt;=5,   "0 - 5", student_scores[[#This Row],[weekly_self_study_hours]]&lt;=10,  "6 - 10", student_scores[[#This Row],[weekly_self_study_hours]]&lt;=20,  "11 - 20",student_scores[[#This Row],[weekly_self_study_hours]]&lt;=30, "21 - 30",TRUE, "31+")</f>
        <v>21 - 30</v>
      </c>
      <c r="U1087" t="str" cm="1">
        <f t="array" ref="U1087">_xlfn.IFS(student_scores[[#This Row],[absence_days]]=0,"0", student_scores[[#This Row],[absence_days]]&lt;=3,"1-3", student_scores[[#This Row],[absence_days]]&lt;=6,"4-6", TRUE,"7-10")</f>
        <v>1-3</v>
      </c>
      <c r="V1087" t="str">
        <f>IF(student_scores[[#This Row],[Total_Score]] &gt;= _xlfn.PERCENTILE.INC(student_scores[Total_Score], 0.8), "Yes", "No")</f>
        <v>No</v>
      </c>
    </row>
    <row r="1088" spans="1:22" x14ac:dyDescent="0.35">
      <c r="A1088">
        <v>1087</v>
      </c>
      <c r="B1088" t="s">
        <v>1966</v>
      </c>
      <c r="C1088" t="s">
        <v>143</v>
      </c>
      <c r="D1088" t="s">
        <v>1967</v>
      </c>
      <c r="E1088" t="s">
        <v>25</v>
      </c>
      <c r="F1088" t="b">
        <v>0</v>
      </c>
      <c r="G1088">
        <v>4</v>
      </c>
      <c r="H1088" t="b">
        <v>0</v>
      </c>
      <c r="I1088">
        <v>22</v>
      </c>
      <c r="J1088" t="s">
        <v>44</v>
      </c>
      <c r="K1088">
        <v>92</v>
      </c>
      <c r="L1088">
        <v>91</v>
      </c>
      <c r="M1088">
        <v>85</v>
      </c>
      <c r="N1088">
        <v>94</v>
      </c>
      <c r="O1088">
        <v>69</v>
      </c>
      <c r="P1088">
        <v>80</v>
      </c>
      <c r="Q1088">
        <v>71</v>
      </c>
      <c r="R1088">
        <f>SUM(student_scores[[#This Row],[math_score]:[geography_score]])</f>
        <v>582</v>
      </c>
      <c r="S1088" s="3">
        <f>student_scores[[#This Row],[Total_Score]]/7</f>
        <v>83.142857142857139</v>
      </c>
      <c r="T1088" s="3" t="str" cm="1">
        <f t="array" ref="T1088">_xlfn.IFS(student_scores[[#This Row],[weekly_self_study_hours]]&lt;=5,   "0 - 5", student_scores[[#This Row],[weekly_self_study_hours]]&lt;=10,  "6 - 10", student_scores[[#This Row],[weekly_self_study_hours]]&lt;=20,  "11 - 20",student_scores[[#This Row],[weekly_self_study_hours]]&lt;=30, "21 - 30",TRUE, "31+")</f>
        <v>21 - 30</v>
      </c>
      <c r="U1088" t="str" cm="1">
        <f t="array" ref="U1088">_xlfn.IFS(student_scores[[#This Row],[absence_days]]=0,"0", student_scores[[#This Row],[absence_days]]&lt;=3,"1-3", student_scores[[#This Row],[absence_days]]&lt;=6,"4-6", TRUE,"7-10")</f>
        <v>4-6</v>
      </c>
      <c r="V1088" t="str">
        <f>IF(student_scores[[#This Row],[Total_Score]] &gt;= _xlfn.PERCENTILE.INC(student_scores[Total_Score], 0.8), "Yes", "No")</f>
        <v>No</v>
      </c>
    </row>
    <row r="1089" spans="1:22" x14ac:dyDescent="0.35">
      <c r="A1089">
        <v>1088</v>
      </c>
      <c r="B1089" t="s">
        <v>634</v>
      </c>
      <c r="C1089" t="s">
        <v>1299</v>
      </c>
      <c r="D1089" t="s">
        <v>1968</v>
      </c>
      <c r="E1089" t="s">
        <v>25</v>
      </c>
      <c r="F1089" t="b">
        <v>0</v>
      </c>
      <c r="G1089">
        <v>3</v>
      </c>
      <c r="H1089" t="b">
        <v>1</v>
      </c>
      <c r="I1089">
        <v>25</v>
      </c>
      <c r="J1089" t="s">
        <v>105</v>
      </c>
      <c r="K1089">
        <v>90</v>
      </c>
      <c r="L1089">
        <v>97</v>
      </c>
      <c r="M1089">
        <v>64</v>
      </c>
      <c r="N1089">
        <v>64</v>
      </c>
      <c r="O1089">
        <v>61</v>
      </c>
      <c r="P1089">
        <v>81</v>
      </c>
      <c r="Q1089">
        <v>93</v>
      </c>
      <c r="R1089">
        <f>SUM(student_scores[[#This Row],[math_score]:[geography_score]])</f>
        <v>550</v>
      </c>
      <c r="S1089" s="3">
        <f>student_scores[[#This Row],[Total_Score]]/7</f>
        <v>78.571428571428569</v>
      </c>
      <c r="T1089" s="3" t="str" cm="1">
        <f t="array" ref="T1089">_xlfn.IFS(student_scores[[#This Row],[weekly_self_study_hours]]&lt;=5,   "0 - 5", student_scores[[#This Row],[weekly_self_study_hours]]&lt;=10,  "6 - 10", student_scores[[#This Row],[weekly_self_study_hours]]&lt;=20,  "11 - 20",student_scores[[#This Row],[weekly_self_study_hours]]&lt;=30, "21 - 30",TRUE, "31+")</f>
        <v>21 - 30</v>
      </c>
      <c r="U1089" t="str" cm="1">
        <f t="array" ref="U1089">_xlfn.IFS(student_scores[[#This Row],[absence_days]]=0,"0", student_scores[[#This Row],[absence_days]]&lt;=3,"1-3", student_scores[[#This Row],[absence_days]]&lt;=6,"4-6", TRUE,"7-10")</f>
        <v>1-3</v>
      </c>
      <c r="V1089" t="str">
        <f>IF(student_scores[[#This Row],[Total_Score]] &gt;= _xlfn.PERCENTILE.INC(student_scores[Total_Score], 0.8), "Yes", "No")</f>
        <v>No</v>
      </c>
    </row>
    <row r="1090" spans="1:22" x14ac:dyDescent="0.35">
      <c r="A1090">
        <v>1089</v>
      </c>
      <c r="B1090" t="s">
        <v>173</v>
      </c>
      <c r="C1090" t="s">
        <v>1876</v>
      </c>
      <c r="D1090" t="s">
        <v>1969</v>
      </c>
      <c r="E1090" t="s">
        <v>25</v>
      </c>
      <c r="F1090" t="b">
        <v>0</v>
      </c>
      <c r="G1090">
        <v>3</v>
      </c>
      <c r="H1090" t="b">
        <v>0</v>
      </c>
      <c r="I1090">
        <v>19</v>
      </c>
      <c r="J1090" t="s">
        <v>113</v>
      </c>
      <c r="K1090">
        <v>98</v>
      </c>
      <c r="L1090">
        <v>69</v>
      </c>
      <c r="M1090">
        <v>61</v>
      </c>
      <c r="N1090">
        <v>62</v>
      </c>
      <c r="O1090">
        <v>82</v>
      </c>
      <c r="P1090">
        <v>87</v>
      </c>
      <c r="Q1090">
        <v>64</v>
      </c>
      <c r="R1090">
        <f>SUM(student_scores[[#This Row],[math_score]:[geography_score]])</f>
        <v>523</v>
      </c>
      <c r="S1090" s="3">
        <f>student_scores[[#This Row],[Total_Score]]/7</f>
        <v>74.714285714285708</v>
      </c>
      <c r="T1090" s="3" t="str" cm="1">
        <f t="array" ref="T1090">_xlfn.IFS(student_scores[[#This Row],[weekly_self_study_hours]]&lt;=5,   "0 - 5", student_scores[[#This Row],[weekly_self_study_hours]]&lt;=10,  "6 - 10", student_scores[[#This Row],[weekly_self_study_hours]]&lt;=20,  "11 - 20",student_scores[[#This Row],[weekly_self_study_hours]]&lt;=30, "21 - 30",TRUE, "31+")</f>
        <v>11 - 20</v>
      </c>
      <c r="U1090" t="str" cm="1">
        <f t="array" ref="U1090">_xlfn.IFS(student_scores[[#This Row],[absence_days]]=0,"0", student_scores[[#This Row],[absence_days]]&lt;=3,"1-3", student_scores[[#This Row],[absence_days]]&lt;=6,"4-6", TRUE,"7-10")</f>
        <v>1-3</v>
      </c>
      <c r="V1090" t="str">
        <f>IF(student_scores[[#This Row],[Total_Score]] &gt;= _xlfn.PERCENTILE.INC(student_scores[Total_Score], 0.8), "Yes", "No")</f>
        <v>No</v>
      </c>
    </row>
    <row r="1091" spans="1:22" x14ac:dyDescent="0.35">
      <c r="A1091">
        <v>1090</v>
      </c>
      <c r="B1091" t="s">
        <v>280</v>
      </c>
      <c r="C1091" t="s">
        <v>1970</v>
      </c>
      <c r="D1091" t="s">
        <v>1971</v>
      </c>
      <c r="E1091" t="s">
        <v>20</v>
      </c>
      <c r="F1091" t="b">
        <v>0</v>
      </c>
      <c r="G1091">
        <v>1</v>
      </c>
      <c r="H1091" t="b">
        <v>0</v>
      </c>
      <c r="I1091">
        <v>28</v>
      </c>
      <c r="J1091" t="s">
        <v>21</v>
      </c>
      <c r="K1091">
        <v>72</v>
      </c>
      <c r="L1091">
        <v>93</v>
      </c>
      <c r="M1091">
        <v>68</v>
      </c>
      <c r="N1091">
        <v>62</v>
      </c>
      <c r="O1091">
        <v>83</v>
      </c>
      <c r="P1091">
        <v>98</v>
      </c>
      <c r="Q1091">
        <v>67</v>
      </c>
      <c r="R1091">
        <f>SUM(student_scores[[#This Row],[math_score]:[geography_score]])</f>
        <v>543</v>
      </c>
      <c r="S1091" s="3">
        <f>student_scores[[#This Row],[Total_Score]]/7</f>
        <v>77.571428571428569</v>
      </c>
      <c r="T1091" s="3" t="str" cm="1">
        <f t="array" ref="T1091">_xlfn.IFS(student_scores[[#This Row],[weekly_self_study_hours]]&lt;=5,   "0 - 5", student_scores[[#This Row],[weekly_self_study_hours]]&lt;=10,  "6 - 10", student_scores[[#This Row],[weekly_self_study_hours]]&lt;=20,  "11 - 20",student_scores[[#This Row],[weekly_self_study_hours]]&lt;=30, "21 - 30",TRUE, "31+")</f>
        <v>21 - 30</v>
      </c>
      <c r="U1091" t="str" cm="1">
        <f t="array" ref="U1091">_xlfn.IFS(student_scores[[#This Row],[absence_days]]=0,"0", student_scores[[#This Row],[absence_days]]&lt;=3,"1-3", student_scores[[#This Row],[absence_days]]&lt;=6,"4-6", TRUE,"7-10")</f>
        <v>1-3</v>
      </c>
      <c r="V1091" t="str">
        <f>IF(student_scores[[#This Row],[Total_Score]] &gt;= _xlfn.PERCENTILE.INC(student_scores[Total_Score], 0.8), "Yes", "No")</f>
        <v>No</v>
      </c>
    </row>
    <row r="1092" spans="1:22" x14ac:dyDescent="0.35">
      <c r="A1092">
        <v>1091</v>
      </c>
      <c r="B1092" t="s">
        <v>792</v>
      </c>
      <c r="C1092" t="s">
        <v>862</v>
      </c>
      <c r="D1092" t="s">
        <v>1972</v>
      </c>
      <c r="E1092" t="s">
        <v>20</v>
      </c>
      <c r="F1092" t="b">
        <v>1</v>
      </c>
      <c r="G1092">
        <v>3</v>
      </c>
      <c r="H1092" t="b">
        <v>1</v>
      </c>
      <c r="I1092">
        <v>34</v>
      </c>
      <c r="J1092" t="s">
        <v>76</v>
      </c>
      <c r="K1092">
        <v>77</v>
      </c>
      <c r="L1092">
        <v>93</v>
      </c>
      <c r="M1092">
        <v>83</v>
      </c>
      <c r="N1092">
        <v>84</v>
      </c>
      <c r="O1092">
        <v>83</v>
      </c>
      <c r="P1092">
        <v>84</v>
      </c>
      <c r="Q1092">
        <v>71</v>
      </c>
      <c r="R1092">
        <f>SUM(student_scores[[#This Row],[math_score]:[geography_score]])</f>
        <v>575</v>
      </c>
      <c r="S1092" s="3">
        <f>student_scores[[#This Row],[Total_Score]]/7</f>
        <v>82.142857142857139</v>
      </c>
      <c r="T1092" s="3" t="str" cm="1">
        <f t="array" ref="T1092">_xlfn.IFS(student_scores[[#This Row],[weekly_self_study_hours]]&lt;=5,   "0 - 5", student_scores[[#This Row],[weekly_self_study_hours]]&lt;=10,  "6 - 10", student_scores[[#This Row],[weekly_self_study_hours]]&lt;=20,  "11 - 20",student_scores[[#This Row],[weekly_self_study_hours]]&lt;=30, "21 - 30",TRUE, "31+")</f>
        <v>31+</v>
      </c>
      <c r="U1092" t="str" cm="1">
        <f t="array" ref="U1092">_xlfn.IFS(student_scores[[#This Row],[absence_days]]=0,"0", student_scores[[#This Row],[absence_days]]&lt;=3,"1-3", student_scores[[#This Row],[absence_days]]&lt;=6,"4-6", TRUE,"7-10")</f>
        <v>1-3</v>
      </c>
      <c r="V1092" t="str">
        <f>IF(student_scores[[#This Row],[Total_Score]] &gt;= _xlfn.PERCENTILE.INC(student_scores[Total_Score], 0.8), "Yes", "No")</f>
        <v>No</v>
      </c>
    </row>
    <row r="1093" spans="1:22" x14ac:dyDescent="0.35">
      <c r="A1093">
        <v>1092</v>
      </c>
      <c r="B1093" t="s">
        <v>473</v>
      </c>
      <c r="C1093" t="s">
        <v>400</v>
      </c>
      <c r="D1093" t="s">
        <v>1973</v>
      </c>
      <c r="E1093" t="s">
        <v>20</v>
      </c>
      <c r="F1093" t="b">
        <v>0</v>
      </c>
      <c r="G1093">
        <v>10</v>
      </c>
      <c r="H1093" t="b">
        <v>0</v>
      </c>
      <c r="I1093">
        <v>5</v>
      </c>
      <c r="J1093" t="s">
        <v>64</v>
      </c>
      <c r="K1093">
        <v>75</v>
      </c>
      <c r="L1093">
        <v>52</v>
      </c>
      <c r="M1093">
        <v>84</v>
      </c>
      <c r="N1093">
        <v>70</v>
      </c>
      <c r="O1093">
        <v>81</v>
      </c>
      <c r="P1093">
        <v>99</v>
      </c>
      <c r="Q1093">
        <v>85</v>
      </c>
      <c r="R1093">
        <f>SUM(student_scores[[#This Row],[math_score]:[geography_score]])</f>
        <v>546</v>
      </c>
      <c r="S1093" s="3">
        <f>student_scores[[#This Row],[Total_Score]]/7</f>
        <v>78</v>
      </c>
      <c r="T1093" s="3" t="str" cm="1">
        <f t="array" ref="T1093">_xlfn.IFS(student_scores[[#This Row],[weekly_self_study_hours]]&lt;=5,   "0 - 5", student_scores[[#This Row],[weekly_self_study_hours]]&lt;=10,  "6 - 10", student_scores[[#This Row],[weekly_self_study_hours]]&lt;=20,  "11 - 20",student_scores[[#This Row],[weekly_self_study_hours]]&lt;=30, "21 - 30",TRUE, "31+")</f>
        <v>0 - 5</v>
      </c>
      <c r="U1093" t="str" cm="1">
        <f t="array" ref="U1093">_xlfn.IFS(student_scores[[#This Row],[absence_days]]=0,"0", student_scores[[#This Row],[absence_days]]&lt;=3,"1-3", student_scores[[#This Row],[absence_days]]&lt;=6,"4-6", TRUE,"7-10")</f>
        <v>7-10</v>
      </c>
      <c r="V1093" t="str">
        <f>IF(student_scores[[#This Row],[Total_Score]] &gt;= _xlfn.PERCENTILE.INC(student_scores[Total_Score], 0.8), "Yes", "No")</f>
        <v>No</v>
      </c>
    </row>
    <row r="1094" spans="1:22" x14ac:dyDescent="0.35">
      <c r="A1094">
        <v>1093</v>
      </c>
      <c r="B1094" t="s">
        <v>45</v>
      </c>
      <c r="C1094" t="s">
        <v>1440</v>
      </c>
      <c r="D1094" t="s">
        <v>1974</v>
      </c>
      <c r="E1094" t="s">
        <v>20</v>
      </c>
      <c r="F1094" t="b">
        <v>1</v>
      </c>
      <c r="G1094">
        <v>1</v>
      </c>
      <c r="H1094" t="b">
        <v>0</v>
      </c>
      <c r="I1094">
        <v>34</v>
      </c>
      <c r="J1094" t="s">
        <v>21</v>
      </c>
      <c r="K1094">
        <v>94</v>
      </c>
      <c r="L1094">
        <v>82</v>
      </c>
      <c r="M1094">
        <v>83</v>
      </c>
      <c r="N1094">
        <v>76</v>
      </c>
      <c r="O1094">
        <v>83</v>
      </c>
      <c r="P1094">
        <v>93</v>
      </c>
      <c r="Q1094">
        <v>94</v>
      </c>
      <c r="R1094">
        <f>SUM(student_scores[[#This Row],[math_score]:[geography_score]])</f>
        <v>605</v>
      </c>
      <c r="S1094" s="3">
        <f>student_scores[[#This Row],[Total_Score]]/7</f>
        <v>86.428571428571431</v>
      </c>
      <c r="T1094" s="3" t="str" cm="1">
        <f t="array" ref="T1094">_xlfn.IFS(student_scores[[#This Row],[weekly_self_study_hours]]&lt;=5,   "0 - 5", student_scores[[#This Row],[weekly_self_study_hours]]&lt;=10,  "6 - 10", student_scores[[#This Row],[weekly_self_study_hours]]&lt;=20,  "11 - 20",student_scores[[#This Row],[weekly_self_study_hours]]&lt;=30, "21 - 30",TRUE, "31+")</f>
        <v>31+</v>
      </c>
      <c r="U1094" t="str" cm="1">
        <f t="array" ref="U1094">_xlfn.IFS(student_scores[[#This Row],[absence_days]]=0,"0", student_scores[[#This Row],[absence_days]]&lt;=3,"1-3", student_scores[[#This Row],[absence_days]]&lt;=6,"4-6", TRUE,"7-10")</f>
        <v>1-3</v>
      </c>
      <c r="V1094" t="str">
        <f>IF(student_scores[[#This Row],[Total_Score]] &gt;= _xlfn.PERCENTILE.INC(student_scores[Total_Score], 0.8), "Yes", "No")</f>
        <v>Yes</v>
      </c>
    </row>
    <row r="1095" spans="1:22" x14ac:dyDescent="0.35">
      <c r="A1095">
        <v>1094</v>
      </c>
      <c r="B1095" t="s">
        <v>163</v>
      </c>
      <c r="C1095" t="s">
        <v>1975</v>
      </c>
      <c r="D1095" t="s">
        <v>1976</v>
      </c>
      <c r="E1095" t="s">
        <v>20</v>
      </c>
      <c r="F1095" t="b">
        <v>0</v>
      </c>
      <c r="G1095">
        <v>7</v>
      </c>
      <c r="H1095" t="b">
        <v>0</v>
      </c>
      <c r="I1095">
        <v>34</v>
      </c>
      <c r="J1095" t="s">
        <v>105</v>
      </c>
      <c r="K1095">
        <v>75</v>
      </c>
      <c r="L1095">
        <v>88</v>
      </c>
      <c r="M1095">
        <v>71</v>
      </c>
      <c r="N1095">
        <v>62</v>
      </c>
      <c r="O1095">
        <v>90</v>
      </c>
      <c r="P1095">
        <v>78</v>
      </c>
      <c r="Q1095">
        <v>95</v>
      </c>
      <c r="R1095">
        <f>SUM(student_scores[[#This Row],[math_score]:[geography_score]])</f>
        <v>559</v>
      </c>
      <c r="S1095" s="3">
        <f>student_scores[[#This Row],[Total_Score]]/7</f>
        <v>79.857142857142861</v>
      </c>
      <c r="T1095" s="3" t="str" cm="1">
        <f t="array" ref="T1095">_xlfn.IFS(student_scores[[#This Row],[weekly_self_study_hours]]&lt;=5,   "0 - 5", student_scores[[#This Row],[weekly_self_study_hours]]&lt;=10,  "6 - 10", student_scores[[#This Row],[weekly_self_study_hours]]&lt;=20,  "11 - 20",student_scores[[#This Row],[weekly_self_study_hours]]&lt;=30, "21 - 30",TRUE, "31+")</f>
        <v>31+</v>
      </c>
      <c r="U1095" t="str" cm="1">
        <f t="array" ref="U1095">_xlfn.IFS(student_scores[[#This Row],[absence_days]]=0,"0", student_scores[[#This Row],[absence_days]]&lt;=3,"1-3", student_scores[[#This Row],[absence_days]]&lt;=6,"4-6", TRUE,"7-10")</f>
        <v>7-10</v>
      </c>
      <c r="V1095" t="str">
        <f>IF(student_scores[[#This Row],[Total_Score]] &gt;= _xlfn.PERCENTILE.INC(student_scores[Total_Score], 0.8), "Yes", "No")</f>
        <v>No</v>
      </c>
    </row>
    <row r="1096" spans="1:22" x14ac:dyDescent="0.35">
      <c r="A1096">
        <v>1095</v>
      </c>
      <c r="B1096" t="s">
        <v>1977</v>
      </c>
      <c r="C1096" t="s">
        <v>822</v>
      </c>
      <c r="D1096" t="s">
        <v>1978</v>
      </c>
      <c r="E1096" t="s">
        <v>25</v>
      </c>
      <c r="F1096" t="b">
        <v>0</v>
      </c>
      <c r="G1096">
        <v>0</v>
      </c>
      <c r="H1096" t="b">
        <v>0</v>
      </c>
      <c r="I1096">
        <v>19</v>
      </c>
      <c r="J1096" t="s">
        <v>44</v>
      </c>
      <c r="K1096">
        <v>91</v>
      </c>
      <c r="L1096">
        <v>91</v>
      </c>
      <c r="M1096">
        <v>66</v>
      </c>
      <c r="N1096">
        <v>97</v>
      </c>
      <c r="O1096">
        <v>62</v>
      </c>
      <c r="P1096">
        <v>89</v>
      </c>
      <c r="Q1096">
        <v>82</v>
      </c>
      <c r="R1096">
        <f>SUM(student_scores[[#This Row],[math_score]:[geography_score]])</f>
        <v>578</v>
      </c>
      <c r="S1096" s="3">
        <f>student_scores[[#This Row],[Total_Score]]/7</f>
        <v>82.571428571428569</v>
      </c>
      <c r="T1096" s="3" t="str" cm="1">
        <f t="array" ref="T1096">_xlfn.IFS(student_scores[[#This Row],[weekly_self_study_hours]]&lt;=5,   "0 - 5", student_scores[[#This Row],[weekly_self_study_hours]]&lt;=10,  "6 - 10", student_scores[[#This Row],[weekly_self_study_hours]]&lt;=20,  "11 - 20",student_scores[[#This Row],[weekly_self_study_hours]]&lt;=30, "21 - 30",TRUE, "31+")</f>
        <v>11 - 20</v>
      </c>
      <c r="U1096" t="str" cm="1">
        <f t="array" ref="U1096">_xlfn.IFS(student_scores[[#This Row],[absence_days]]=0,"0", student_scores[[#This Row],[absence_days]]&lt;=3,"1-3", student_scores[[#This Row],[absence_days]]&lt;=6,"4-6", TRUE,"7-10")</f>
        <v>0</v>
      </c>
      <c r="V1096" t="str">
        <f>IF(student_scores[[#This Row],[Total_Score]] &gt;= _xlfn.PERCENTILE.INC(student_scores[Total_Score], 0.8), "Yes", "No")</f>
        <v>No</v>
      </c>
    </row>
    <row r="1097" spans="1:22" x14ac:dyDescent="0.35">
      <c r="A1097">
        <v>1096</v>
      </c>
      <c r="B1097" t="s">
        <v>354</v>
      </c>
      <c r="C1097" t="s">
        <v>1979</v>
      </c>
      <c r="D1097" t="s">
        <v>1980</v>
      </c>
      <c r="E1097" t="s">
        <v>20</v>
      </c>
      <c r="F1097" t="b">
        <v>0</v>
      </c>
      <c r="G1097">
        <v>0</v>
      </c>
      <c r="H1097" t="b">
        <v>0</v>
      </c>
      <c r="I1097">
        <v>13</v>
      </c>
      <c r="J1097" t="s">
        <v>113</v>
      </c>
      <c r="K1097">
        <v>75</v>
      </c>
      <c r="L1097">
        <v>64</v>
      </c>
      <c r="M1097">
        <v>100</v>
      </c>
      <c r="N1097">
        <v>63</v>
      </c>
      <c r="O1097">
        <v>98</v>
      </c>
      <c r="P1097">
        <v>71</v>
      </c>
      <c r="Q1097">
        <v>73</v>
      </c>
      <c r="R1097">
        <f>SUM(student_scores[[#This Row],[math_score]:[geography_score]])</f>
        <v>544</v>
      </c>
      <c r="S1097" s="3">
        <f>student_scores[[#This Row],[Total_Score]]/7</f>
        <v>77.714285714285708</v>
      </c>
      <c r="T1097" s="3" t="str" cm="1">
        <f t="array" ref="T1097">_xlfn.IFS(student_scores[[#This Row],[weekly_self_study_hours]]&lt;=5,   "0 - 5", student_scores[[#This Row],[weekly_self_study_hours]]&lt;=10,  "6 - 10", student_scores[[#This Row],[weekly_self_study_hours]]&lt;=20,  "11 - 20",student_scores[[#This Row],[weekly_self_study_hours]]&lt;=30, "21 - 30",TRUE, "31+")</f>
        <v>11 - 20</v>
      </c>
      <c r="U1097" t="str" cm="1">
        <f t="array" ref="U1097">_xlfn.IFS(student_scores[[#This Row],[absence_days]]=0,"0", student_scores[[#This Row],[absence_days]]&lt;=3,"1-3", student_scores[[#This Row],[absence_days]]&lt;=6,"4-6", TRUE,"7-10")</f>
        <v>0</v>
      </c>
      <c r="V1097" t="str">
        <f>IF(student_scores[[#This Row],[Total_Score]] &gt;= _xlfn.PERCENTILE.INC(student_scores[Total_Score], 0.8), "Yes", "No")</f>
        <v>No</v>
      </c>
    </row>
    <row r="1098" spans="1:22" x14ac:dyDescent="0.35">
      <c r="A1098">
        <v>1097</v>
      </c>
      <c r="B1098" t="s">
        <v>1981</v>
      </c>
      <c r="C1098" t="s">
        <v>143</v>
      </c>
      <c r="D1098" t="s">
        <v>1982</v>
      </c>
      <c r="E1098" t="s">
        <v>20</v>
      </c>
      <c r="F1098" t="b">
        <v>0</v>
      </c>
      <c r="G1098">
        <v>3</v>
      </c>
      <c r="H1098" t="b">
        <v>0</v>
      </c>
      <c r="I1098">
        <v>18</v>
      </c>
      <c r="J1098" t="s">
        <v>113</v>
      </c>
      <c r="K1098">
        <v>93</v>
      </c>
      <c r="L1098">
        <v>79</v>
      </c>
      <c r="M1098">
        <v>86</v>
      </c>
      <c r="N1098">
        <v>72</v>
      </c>
      <c r="O1098">
        <v>89</v>
      </c>
      <c r="P1098">
        <v>61</v>
      </c>
      <c r="Q1098">
        <v>98</v>
      </c>
      <c r="R1098">
        <f>SUM(student_scores[[#This Row],[math_score]:[geography_score]])</f>
        <v>578</v>
      </c>
      <c r="S1098" s="3">
        <f>student_scores[[#This Row],[Total_Score]]/7</f>
        <v>82.571428571428569</v>
      </c>
      <c r="T1098" s="3" t="str" cm="1">
        <f t="array" ref="T1098">_xlfn.IFS(student_scores[[#This Row],[weekly_self_study_hours]]&lt;=5,   "0 - 5", student_scores[[#This Row],[weekly_self_study_hours]]&lt;=10,  "6 - 10", student_scores[[#This Row],[weekly_self_study_hours]]&lt;=20,  "11 - 20",student_scores[[#This Row],[weekly_self_study_hours]]&lt;=30, "21 - 30",TRUE, "31+")</f>
        <v>11 - 20</v>
      </c>
      <c r="U1098" t="str" cm="1">
        <f t="array" ref="U1098">_xlfn.IFS(student_scores[[#This Row],[absence_days]]=0,"0", student_scores[[#This Row],[absence_days]]&lt;=3,"1-3", student_scores[[#This Row],[absence_days]]&lt;=6,"4-6", TRUE,"7-10")</f>
        <v>1-3</v>
      </c>
      <c r="V1098" t="str">
        <f>IF(student_scores[[#This Row],[Total_Score]] &gt;= _xlfn.PERCENTILE.INC(student_scores[Total_Score], 0.8), "Yes", "No")</f>
        <v>No</v>
      </c>
    </row>
    <row r="1099" spans="1:22" x14ac:dyDescent="0.35">
      <c r="A1099">
        <v>1098</v>
      </c>
      <c r="B1099" t="s">
        <v>1036</v>
      </c>
      <c r="C1099" t="s">
        <v>1983</v>
      </c>
      <c r="D1099" t="s">
        <v>1984</v>
      </c>
      <c r="E1099" t="s">
        <v>25</v>
      </c>
      <c r="F1099" t="b">
        <v>0</v>
      </c>
      <c r="G1099">
        <v>5</v>
      </c>
      <c r="H1099" t="b">
        <v>0</v>
      </c>
      <c r="I1099">
        <v>1</v>
      </c>
      <c r="J1099" t="s">
        <v>159</v>
      </c>
      <c r="K1099">
        <v>86</v>
      </c>
      <c r="L1099">
        <v>81</v>
      </c>
      <c r="M1099">
        <v>80</v>
      </c>
      <c r="N1099">
        <v>85</v>
      </c>
      <c r="O1099">
        <v>62</v>
      </c>
      <c r="P1099">
        <v>86</v>
      </c>
      <c r="Q1099">
        <v>69</v>
      </c>
      <c r="R1099">
        <f>SUM(student_scores[[#This Row],[math_score]:[geography_score]])</f>
        <v>549</v>
      </c>
      <c r="S1099" s="3">
        <f>student_scores[[#This Row],[Total_Score]]/7</f>
        <v>78.428571428571431</v>
      </c>
      <c r="T1099" s="3" t="str" cm="1">
        <f t="array" ref="T1099">_xlfn.IFS(student_scores[[#This Row],[weekly_self_study_hours]]&lt;=5,   "0 - 5", student_scores[[#This Row],[weekly_self_study_hours]]&lt;=10,  "6 - 10", student_scores[[#This Row],[weekly_self_study_hours]]&lt;=20,  "11 - 20",student_scores[[#This Row],[weekly_self_study_hours]]&lt;=30, "21 - 30",TRUE, "31+")</f>
        <v>0 - 5</v>
      </c>
      <c r="U1099" t="str" cm="1">
        <f t="array" ref="U1099">_xlfn.IFS(student_scores[[#This Row],[absence_days]]=0,"0", student_scores[[#This Row],[absence_days]]&lt;=3,"1-3", student_scores[[#This Row],[absence_days]]&lt;=6,"4-6", TRUE,"7-10")</f>
        <v>4-6</v>
      </c>
      <c r="V1099" t="str">
        <f>IF(student_scores[[#This Row],[Total_Score]] &gt;= _xlfn.PERCENTILE.INC(student_scores[Total_Score], 0.8), "Yes", "No")</f>
        <v>No</v>
      </c>
    </row>
    <row r="1100" spans="1:22" x14ac:dyDescent="0.35">
      <c r="A1100">
        <v>1099</v>
      </c>
      <c r="B1100" t="s">
        <v>221</v>
      </c>
      <c r="C1100" t="s">
        <v>329</v>
      </c>
      <c r="D1100" t="s">
        <v>1985</v>
      </c>
      <c r="E1100" t="s">
        <v>20</v>
      </c>
      <c r="F1100" t="b">
        <v>0</v>
      </c>
      <c r="G1100">
        <v>1</v>
      </c>
      <c r="H1100" t="b">
        <v>0</v>
      </c>
      <c r="I1100">
        <v>29</v>
      </c>
      <c r="J1100" t="s">
        <v>38</v>
      </c>
      <c r="K1100">
        <v>92</v>
      </c>
      <c r="L1100">
        <v>61</v>
      </c>
      <c r="M1100">
        <v>96</v>
      </c>
      <c r="N1100">
        <v>79</v>
      </c>
      <c r="O1100">
        <v>97</v>
      </c>
      <c r="P1100">
        <v>89</v>
      </c>
      <c r="Q1100">
        <v>78</v>
      </c>
      <c r="R1100">
        <f>SUM(student_scores[[#This Row],[math_score]:[geography_score]])</f>
        <v>592</v>
      </c>
      <c r="S1100" s="3">
        <f>student_scores[[#This Row],[Total_Score]]/7</f>
        <v>84.571428571428569</v>
      </c>
      <c r="T1100" s="3" t="str" cm="1">
        <f t="array" ref="T1100">_xlfn.IFS(student_scores[[#This Row],[weekly_self_study_hours]]&lt;=5,   "0 - 5", student_scores[[#This Row],[weekly_self_study_hours]]&lt;=10,  "6 - 10", student_scores[[#This Row],[weekly_self_study_hours]]&lt;=20,  "11 - 20",student_scores[[#This Row],[weekly_self_study_hours]]&lt;=30, "21 - 30",TRUE, "31+")</f>
        <v>21 - 30</v>
      </c>
      <c r="U1100" t="str" cm="1">
        <f t="array" ref="U1100">_xlfn.IFS(student_scores[[#This Row],[absence_days]]=0,"0", student_scores[[#This Row],[absence_days]]&lt;=3,"1-3", student_scores[[#This Row],[absence_days]]&lt;=6,"4-6", TRUE,"7-10")</f>
        <v>1-3</v>
      </c>
      <c r="V1100" t="str">
        <f>IF(student_scores[[#This Row],[Total_Score]] &gt;= _xlfn.PERCENTILE.INC(student_scores[Total_Score], 0.8), "Yes", "No")</f>
        <v>No</v>
      </c>
    </row>
    <row r="1101" spans="1:22" x14ac:dyDescent="0.35">
      <c r="A1101">
        <v>1100</v>
      </c>
      <c r="B1101" t="s">
        <v>612</v>
      </c>
      <c r="C1101" t="s">
        <v>574</v>
      </c>
      <c r="D1101" t="s">
        <v>1986</v>
      </c>
      <c r="E1101" t="s">
        <v>20</v>
      </c>
      <c r="F1101" t="b">
        <v>0</v>
      </c>
      <c r="G1101">
        <v>5</v>
      </c>
      <c r="H1101" t="b">
        <v>0</v>
      </c>
      <c r="I1101">
        <v>34</v>
      </c>
      <c r="J1101" t="s">
        <v>44</v>
      </c>
      <c r="K1101">
        <v>90</v>
      </c>
      <c r="L1101">
        <v>91</v>
      </c>
      <c r="M1101">
        <v>61</v>
      </c>
      <c r="N1101">
        <v>72</v>
      </c>
      <c r="O1101">
        <v>64</v>
      </c>
      <c r="P1101">
        <v>84</v>
      </c>
      <c r="Q1101">
        <v>72</v>
      </c>
      <c r="R1101">
        <f>SUM(student_scores[[#This Row],[math_score]:[geography_score]])</f>
        <v>534</v>
      </c>
      <c r="S1101" s="3">
        <f>student_scores[[#This Row],[Total_Score]]/7</f>
        <v>76.285714285714292</v>
      </c>
      <c r="T1101" s="3" t="str" cm="1">
        <f t="array" ref="T1101">_xlfn.IFS(student_scores[[#This Row],[weekly_self_study_hours]]&lt;=5,   "0 - 5", student_scores[[#This Row],[weekly_self_study_hours]]&lt;=10,  "6 - 10", student_scores[[#This Row],[weekly_self_study_hours]]&lt;=20,  "11 - 20",student_scores[[#This Row],[weekly_self_study_hours]]&lt;=30, "21 - 30",TRUE, "31+")</f>
        <v>31+</v>
      </c>
      <c r="U1101" t="str" cm="1">
        <f t="array" ref="U1101">_xlfn.IFS(student_scores[[#This Row],[absence_days]]=0,"0", student_scores[[#This Row],[absence_days]]&lt;=3,"1-3", student_scores[[#This Row],[absence_days]]&lt;=6,"4-6", TRUE,"7-10")</f>
        <v>4-6</v>
      </c>
      <c r="V1101" t="str">
        <f>IF(student_scores[[#This Row],[Total_Score]] &gt;= _xlfn.PERCENTILE.INC(student_scores[Total_Score], 0.8), "Yes", "No")</f>
        <v>No</v>
      </c>
    </row>
    <row r="1102" spans="1:22" x14ac:dyDescent="0.35">
      <c r="A1102">
        <v>1101</v>
      </c>
      <c r="B1102" t="s">
        <v>741</v>
      </c>
      <c r="C1102" t="s">
        <v>1987</v>
      </c>
      <c r="D1102" t="s">
        <v>1988</v>
      </c>
      <c r="E1102" t="s">
        <v>25</v>
      </c>
      <c r="F1102" t="b">
        <v>0</v>
      </c>
      <c r="G1102">
        <v>1</v>
      </c>
      <c r="H1102" t="b">
        <v>0</v>
      </c>
      <c r="I1102">
        <v>31</v>
      </c>
      <c r="J1102" t="s">
        <v>76</v>
      </c>
      <c r="K1102">
        <v>92</v>
      </c>
      <c r="L1102">
        <v>78</v>
      </c>
      <c r="M1102">
        <v>96</v>
      </c>
      <c r="N1102">
        <v>91</v>
      </c>
      <c r="O1102">
        <v>82</v>
      </c>
      <c r="P1102">
        <v>98</v>
      </c>
      <c r="Q1102">
        <v>100</v>
      </c>
      <c r="R1102">
        <f>SUM(student_scores[[#This Row],[math_score]:[geography_score]])</f>
        <v>637</v>
      </c>
      <c r="S1102" s="3">
        <f>student_scores[[#This Row],[Total_Score]]/7</f>
        <v>91</v>
      </c>
      <c r="T1102" s="3" t="str" cm="1">
        <f t="array" ref="T1102">_xlfn.IFS(student_scores[[#This Row],[weekly_self_study_hours]]&lt;=5,   "0 - 5", student_scores[[#This Row],[weekly_self_study_hours]]&lt;=10,  "6 - 10", student_scores[[#This Row],[weekly_self_study_hours]]&lt;=20,  "11 - 20",student_scores[[#This Row],[weekly_self_study_hours]]&lt;=30, "21 - 30",TRUE, "31+")</f>
        <v>31+</v>
      </c>
      <c r="U1102" t="str" cm="1">
        <f t="array" ref="U1102">_xlfn.IFS(student_scores[[#This Row],[absence_days]]=0,"0", student_scores[[#This Row],[absence_days]]&lt;=3,"1-3", student_scores[[#This Row],[absence_days]]&lt;=6,"4-6", TRUE,"7-10")</f>
        <v>1-3</v>
      </c>
      <c r="V1102" t="str">
        <f>IF(student_scores[[#This Row],[Total_Score]] &gt;= _xlfn.PERCENTILE.INC(student_scores[Total_Score], 0.8), "Yes", "No")</f>
        <v>Yes</v>
      </c>
    </row>
    <row r="1103" spans="1:22" x14ac:dyDescent="0.35">
      <c r="A1103">
        <v>1102</v>
      </c>
      <c r="B1103" t="s">
        <v>1082</v>
      </c>
      <c r="C1103" t="s">
        <v>1989</v>
      </c>
      <c r="D1103" t="s">
        <v>1990</v>
      </c>
      <c r="E1103" t="s">
        <v>20</v>
      </c>
      <c r="F1103" t="b">
        <v>0</v>
      </c>
      <c r="G1103">
        <v>2</v>
      </c>
      <c r="H1103" t="b">
        <v>0</v>
      </c>
      <c r="I1103">
        <v>14</v>
      </c>
      <c r="J1103" t="s">
        <v>113</v>
      </c>
      <c r="K1103">
        <v>90</v>
      </c>
      <c r="L1103">
        <v>88</v>
      </c>
      <c r="M1103">
        <v>71</v>
      </c>
      <c r="N1103">
        <v>96</v>
      </c>
      <c r="O1103">
        <v>72</v>
      </c>
      <c r="P1103">
        <v>74</v>
      </c>
      <c r="Q1103">
        <v>80</v>
      </c>
      <c r="R1103">
        <f>SUM(student_scores[[#This Row],[math_score]:[geography_score]])</f>
        <v>571</v>
      </c>
      <c r="S1103" s="3">
        <f>student_scores[[#This Row],[Total_Score]]/7</f>
        <v>81.571428571428569</v>
      </c>
      <c r="T1103" s="3" t="str" cm="1">
        <f t="array" ref="T1103">_xlfn.IFS(student_scores[[#This Row],[weekly_self_study_hours]]&lt;=5,   "0 - 5", student_scores[[#This Row],[weekly_self_study_hours]]&lt;=10,  "6 - 10", student_scores[[#This Row],[weekly_self_study_hours]]&lt;=20,  "11 - 20",student_scores[[#This Row],[weekly_self_study_hours]]&lt;=30, "21 - 30",TRUE, "31+")</f>
        <v>11 - 20</v>
      </c>
      <c r="U1103" t="str" cm="1">
        <f t="array" ref="U1103">_xlfn.IFS(student_scores[[#This Row],[absence_days]]=0,"0", student_scores[[#This Row],[absence_days]]&lt;=3,"1-3", student_scores[[#This Row],[absence_days]]&lt;=6,"4-6", TRUE,"7-10")</f>
        <v>1-3</v>
      </c>
      <c r="V1103" t="str">
        <f>IF(student_scores[[#This Row],[Total_Score]] &gt;= _xlfn.PERCENTILE.INC(student_scores[Total_Score], 0.8), "Yes", "No")</f>
        <v>No</v>
      </c>
    </row>
    <row r="1104" spans="1:22" x14ac:dyDescent="0.35">
      <c r="A1104">
        <v>1103</v>
      </c>
      <c r="B1104" t="s">
        <v>190</v>
      </c>
      <c r="C1104" t="s">
        <v>1991</v>
      </c>
      <c r="D1104" t="s">
        <v>1992</v>
      </c>
      <c r="E1104" t="s">
        <v>25</v>
      </c>
      <c r="F1104" t="b">
        <v>0</v>
      </c>
      <c r="G1104">
        <v>6</v>
      </c>
      <c r="H1104" t="b">
        <v>1</v>
      </c>
      <c r="I1104">
        <v>32</v>
      </c>
      <c r="J1104" t="s">
        <v>21</v>
      </c>
      <c r="K1104">
        <v>78</v>
      </c>
      <c r="L1104">
        <v>92</v>
      </c>
      <c r="M1104">
        <v>77</v>
      </c>
      <c r="N1104">
        <v>100</v>
      </c>
      <c r="O1104">
        <v>61</v>
      </c>
      <c r="P1104">
        <v>82</v>
      </c>
      <c r="Q1104">
        <v>61</v>
      </c>
      <c r="R1104">
        <f>SUM(student_scores[[#This Row],[math_score]:[geography_score]])</f>
        <v>551</v>
      </c>
      <c r="S1104" s="3">
        <f>student_scores[[#This Row],[Total_Score]]/7</f>
        <v>78.714285714285708</v>
      </c>
      <c r="T1104" s="3" t="str" cm="1">
        <f t="array" ref="T1104">_xlfn.IFS(student_scores[[#This Row],[weekly_self_study_hours]]&lt;=5,   "0 - 5", student_scores[[#This Row],[weekly_self_study_hours]]&lt;=10,  "6 - 10", student_scores[[#This Row],[weekly_self_study_hours]]&lt;=20,  "11 - 20",student_scores[[#This Row],[weekly_self_study_hours]]&lt;=30, "21 - 30",TRUE, "31+")</f>
        <v>31+</v>
      </c>
      <c r="U1104" t="str" cm="1">
        <f t="array" ref="U1104">_xlfn.IFS(student_scores[[#This Row],[absence_days]]=0,"0", student_scores[[#This Row],[absence_days]]&lt;=3,"1-3", student_scores[[#This Row],[absence_days]]&lt;=6,"4-6", TRUE,"7-10")</f>
        <v>4-6</v>
      </c>
      <c r="V1104" t="str">
        <f>IF(student_scores[[#This Row],[Total_Score]] &gt;= _xlfn.PERCENTILE.INC(student_scores[Total_Score], 0.8), "Yes", "No")</f>
        <v>No</v>
      </c>
    </row>
    <row r="1105" spans="1:22" x14ac:dyDescent="0.35">
      <c r="A1105">
        <v>1104</v>
      </c>
      <c r="B1105" t="s">
        <v>473</v>
      </c>
      <c r="C1105" t="s">
        <v>768</v>
      </c>
      <c r="D1105" t="s">
        <v>1993</v>
      </c>
      <c r="E1105" t="s">
        <v>20</v>
      </c>
      <c r="F1105" t="b">
        <v>0</v>
      </c>
      <c r="G1105">
        <v>10</v>
      </c>
      <c r="H1105" t="b">
        <v>0</v>
      </c>
      <c r="I1105">
        <v>5</v>
      </c>
      <c r="J1105" t="s">
        <v>64</v>
      </c>
      <c r="K1105">
        <v>82</v>
      </c>
      <c r="L1105">
        <v>58</v>
      </c>
      <c r="M1105">
        <v>58</v>
      </c>
      <c r="N1105">
        <v>91</v>
      </c>
      <c r="O1105">
        <v>91</v>
      </c>
      <c r="P1105">
        <v>55</v>
      </c>
      <c r="Q1105">
        <v>98</v>
      </c>
      <c r="R1105">
        <f>SUM(student_scores[[#This Row],[math_score]:[geography_score]])</f>
        <v>533</v>
      </c>
      <c r="S1105" s="3">
        <f>student_scores[[#This Row],[Total_Score]]/7</f>
        <v>76.142857142857139</v>
      </c>
      <c r="T1105" s="3" t="str" cm="1">
        <f t="array" ref="T1105">_xlfn.IFS(student_scores[[#This Row],[weekly_self_study_hours]]&lt;=5,   "0 - 5", student_scores[[#This Row],[weekly_self_study_hours]]&lt;=10,  "6 - 10", student_scores[[#This Row],[weekly_self_study_hours]]&lt;=20,  "11 - 20",student_scores[[#This Row],[weekly_self_study_hours]]&lt;=30, "21 - 30",TRUE, "31+")</f>
        <v>0 - 5</v>
      </c>
      <c r="U1105" t="str" cm="1">
        <f t="array" ref="U1105">_xlfn.IFS(student_scores[[#This Row],[absence_days]]=0,"0", student_scores[[#This Row],[absence_days]]&lt;=3,"1-3", student_scores[[#This Row],[absence_days]]&lt;=6,"4-6", TRUE,"7-10")</f>
        <v>7-10</v>
      </c>
      <c r="V1105" t="str">
        <f>IF(student_scores[[#This Row],[Total_Score]] &gt;= _xlfn.PERCENTILE.INC(student_scores[Total_Score], 0.8), "Yes", "No")</f>
        <v>No</v>
      </c>
    </row>
    <row r="1106" spans="1:22" x14ac:dyDescent="0.35">
      <c r="A1106">
        <v>1105</v>
      </c>
      <c r="B1106" t="s">
        <v>493</v>
      </c>
      <c r="C1106" t="s">
        <v>1947</v>
      </c>
      <c r="D1106" t="s">
        <v>1994</v>
      </c>
      <c r="E1106" t="s">
        <v>25</v>
      </c>
      <c r="F1106" t="b">
        <v>0</v>
      </c>
      <c r="G1106">
        <v>5</v>
      </c>
      <c r="H1106" t="b">
        <v>0</v>
      </c>
      <c r="I1106">
        <v>33</v>
      </c>
      <c r="J1106" t="s">
        <v>44</v>
      </c>
      <c r="K1106">
        <v>86</v>
      </c>
      <c r="L1106">
        <v>62</v>
      </c>
      <c r="M1106">
        <v>81</v>
      </c>
      <c r="N1106">
        <v>63</v>
      </c>
      <c r="O1106">
        <v>75</v>
      </c>
      <c r="P1106">
        <v>92</v>
      </c>
      <c r="Q1106">
        <v>95</v>
      </c>
      <c r="R1106">
        <f>SUM(student_scores[[#This Row],[math_score]:[geography_score]])</f>
        <v>554</v>
      </c>
      <c r="S1106" s="3">
        <f>student_scores[[#This Row],[Total_Score]]/7</f>
        <v>79.142857142857139</v>
      </c>
      <c r="T1106" s="3" t="str" cm="1">
        <f t="array" ref="T1106">_xlfn.IFS(student_scores[[#This Row],[weekly_self_study_hours]]&lt;=5,   "0 - 5", student_scores[[#This Row],[weekly_self_study_hours]]&lt;=10,  "6 - 10", student_scores[[#This Row],[weekly_self_study_hours]]&lt;=20,  "11 - 20",student_scores[[#This Row],[weekly_self_study_hours]]&lt;=30, "21 - 30",TRUE, "31+")</f>
        <v>31+</v>
      </c>
      <c r="U1106" t="str" cm="1">
        <f t="array" ref="U1106">_xlfn.IFS(student_scores[[#This Row],[absence_days]]=0,"0", student_scores[[#This Row],[absence_days]]&lt;=3,"1-3", student_scores[[#This Row],[absence_days]]&lt;=6,"4-6", TRUE,"7-10")</f>
        <v>4-6</v>
      </c>
      <c r="V1106" t="str">
        <f>IF(student_scores[[#This Row],[Total_Score]] &gt;= _xlfn.PERCENTILE.INC(student_scores[Total_Score], 0.8), "Yes", "No")</f>
        <v>No</v>
      </c>
    </row>
    <row r="1107" spans="1:22" x14ac:dyDescent="0.35">
      <c r="A1107">
        <v>1106</v>
      </c>
      <c r="B1107" t="s">
        <v>1359</v>
      </c>
      <c r="C1107" t="s">
        <v>1995</v>
      </c>
      <c r="D1107" t="s">
        <v>1996</v>
      </c>
      <c r="E1107" t="s">
        <v>20</v>
      </c>
      <c r="F1107" t="b">
        <v>0</v>
      </c>
      <c r="G1107">
        <v>1</v>
      </c>
      <c r="H1107" t="b">
        <v>0</v>
      </c>
      <c r="I1107">
        <v>32</v>
      </c>
      <c r="J1107" t="s">
        <v>76</v>
      </c>
      <c r="K1107">
        <v>83</v>
      </c>
      <c r="L1107">
        <v>63</v>
      </c>
      <c r="M1107">
        <v>93</v>
      </c>
      <c r="N1107">
        <v>94</v>
      </c>
      <c r="O1107">
        <v>93</v>
      </c>
      <c r="P1107">
        <v>90</v>
      </c>
      <c r="Q1107">
        <v>78</v>
      </c>
      <c r="R1107">
        <f>SUM(student_scores[[#This Row],[math_score]:[geography_score]])</f>
        <v>594</v>
      </c>
      <c r="S1107" s="3">
        <f>student_scores[[#This Row],[Total_Score]]/7</f>
        <v>84.857142857142861</v>
      </c>
      <c r="T1107" s="3" t="str" cm="1">
        <f t="array" ref="T1107">_xlfn.IFS(student_scores[[#This Row],[weekly_self_study_hours]]&lt;=5,   "0 - 5", student_scores[[#This Row],[weekly_self_study_hours]]&lt;=10,  "6 - 10", student_scores[[#This Row],[weekly_self_study_hours]]&lt;=20,  "11 - 20",student_scores[[#This Row],[weekly_self_study_hours]]&lt;=30, "21 - 30",TRUE, "31+")</f>
        <v>31+</v>
      </c>
      <c r="U1107" t="str" cm="1">
        <f t="array" ref="U1107">_xlfn.IFS(student_scores[[#This Row],[absence_days]]=0,"0", student_scores[[#This Row],[absence_days]]&lt;=3,"1-3", student_scores[[#This Row],[absence_days]]&lt;=6,"4-6", TRUE,"7-10")</f>
        <v>1-3</v>
      </c>
      <c r="V1107" t="str">
        <f>IF(student_scores[[#This Row],[Total_Score]] &gt;= _xlfn.PERCENTILE.INC(student_scores[Total_Score], 0.8), "Yes", "No")</f>
        <v>No</v>
      </c>
    </row>
    <row r="1108" spans="1:22" x14ac:dyDescent="0.35">
      <c r="A1108">
        <v>1107</v>
      </c>
      <c r="B1108" t="s">
        <v>202</v>
      </c>
      <c r="C1108" t="s">
        <v>1692</v>
      </c>
      <c r="D1108" t="s">
        <v>1997</v>
      </c>
      <c r="E1108" t="s">
        <v>25</v>
      </c>
      <c r="F1108" t="b">
        <v>0</v>
      </c>
      <c r="G1108">
        <v>0</v>
      </c>
      <c r="H1108" t="b">
        <v>0</v>
      </c>
      <c r="I1108">
        <v>11</v>
      </c>
      <c r="J1108" t="s">
        <v>54</v>
      </c>
      <c r="K1108">
        <v>69</v>
      </c>
      <c r="L1108">
        <v>85</v>
      </c>
      <c r="M1108">
        <v>70</v>
      </c>
      <c r="N1108">
        <v>79</v>
      </c>
      <c r="O1108">
        <v>68</v>
      </c>
      <c r="P1108">
        <v>81</v>
      </c>
      <c r="Q1108">
        <v>89</v>
      </c>
      <c r="R1108">
        <f>SUM(student_scores[[#This Row],[math_score]:[geography_score]])</f>
        <v>541</v>
      </c>
      <c r="S1108" s="3">
        <f>student_scores[[#This Row],[Total_Score]]/7</f>
        <v>77.285714285714292</v>
      </c>
      <c r="T1108" s="3" t="str" cm="1">
        <f t="array" ref="T1108">_xlfn.IFS(student_scores[[#This Row],[weekly_self_study_hours]]&lt;=5,   "0 - 5", student_scores[[#This Row],[weekly_self_study_hours]]&lt;=10,  "6 - 10", student_scores[[#This Row],[weekly_self_study_hours]]&lt;=20,  "11 - 20",student_scores[[#This Row],[weekly_self_study_hours]]&lt;=30, "21 - 30",TRUE, "31+")</f>
        <v>11 - 20</v>
      </c>
      <c r="U1108" t="str" cm="1">
        <f t="array" ref="U1108">_xlfn.IFS(student_scores[[#This Row],[absence_days]]=0,"0", student_scores[[#This Row],[absence_days]]&lt;=3,"1-3", student_scores[[#This Row],[absence_days]]&lt;=6,"4-6", TRUE,"7-10")</f>
        <v>0</v>
      </c>
      <c r="V1108" t="str">
        <f>IF(student_scores[[#This Row],[Total_Score]] &gt;= _xlfn.PERCENTILE.INC(student_scores[Total_Score], 0.8), "Yes", "No")</f>
        <v>No</v>
      </c>
    </row>
    <row r="1109" spans="1:22" x14ac:dyDescent="0.35">
      <c r="A1109">
        <v>1108</v>
      </c>
      <c r="B1109" t="s">
        <v>300</v>
      </c>
      <c r="C1109" t="s">
        <v>45</v>
      </c>
      <c r="D1109" t="s">
        <v>1998</v>
      </c>
      <c r="E1109" t="s">
        <v>20</v>
      </c>
      <c r="F1109" t="b">
        <v>0</v>
      </c>
      <c r="G1109">
        <v>0</v>
      </c>
      <c r="H1109" t="b">
        <v>0</v>
      </c>
      <c r="I1109">
        <v>12</v>
      </c>
      <c r="J1109" t="s">
        <v>105</v>
      </c>
      <c r="K1109">
        <v>83</v>
      </c>
      <c r="L1109">
        <v>81</v>
      </c>
      <c r="M1109">
        <v>96</v>
      </c>
      <c r="N1109">
        <v>96</v>
      </c>
      <c r="O1109">
        <v>62</v>
      </c>
      <c r="P1109">
        <v>82</v>
      </c>
      <c r="Q1109">
        <v>77</v>
      </c>
      <c r="R1109">
        <f>SUM(student_scores[[#This Row],[math_score]:[geography_score]])</f>
        <v>577</v>
      </c>
      <c r="S1109" s="3">
        <f>student_scores[[#This Row],[Total_Score]]/7</f>
        <v>82.428571428571431</v>
      </c>
      <c r="T1109" s="3" t="str" cm="1">
        <f t="array" ref="T1109">_xlfn.IFS(student_scores[[#This Row],[weekly_self_study_hours]]&lt;=5,   "0 - 5", student_scores[[#This Row],[weekly_self_study_hours]]&lt;=10,  "6 - 10", student_scores[[#This Row],[weekly_self_study_hours]]&lt;=20,  "11 - 20",student_scores[[#This Row],[weekly_self_study_hours]]&lt;=30, "21 - 30",TRUE, "31+")</f>
        <v>11 - 20</v>
      </c>
      <c r="U1109" t="str" cm="1">
        <f t="array" ref="U1109">_xlfn.IFS(student_scores[[#This Row],[absence_days]]=0,"0", student_scores[[#This Row],[absence_days]]&lt;=3,"1-3", student_scores[[#This Row],[absence_days]]&lt;=6,"4-6", TRUE,"7-10")</f>
        <v>0</v>
      </c>
      <c r="V1109" t="str">
        <f>IF(student_scores[[#This Row],[Total_Score]] &gt;= _xlfn.PERCENTILE.INC(student_scores[Total_Score], 0.8), "Yes", "No")</f>
        <v>No</v>
      </c>
    </row>
    <row r="1110" spans="1:22" x14ac:dyDescent="0.35">
      <c r="A1110">
        <v>1109</v>
      </c>
      <c r="B1110" t="s">
        <v>263</v>
      </c>
      <c r="C1110" t="s">
        <v>589</v>
      </c>
      <c r="D1110" t="s">
        <v>1999</v>
      </c>
      <c r="E1110" t="s">
        <v>20</v>
      </c>
      <c r="F1110" t="b">
        <v>0</v>
      </c>
      <c r="G1110">
        <v>2</v>
      </c>
      <c r="H1110" t="b">
        <v>0</v>
      </c>
      <c r="I1110">
        <v>24</v>
      </c>
      <c r="J1110" t="s">
        <v>105</v>
      </c>
      <c r="K1110">
        <v>84</v>
      </c>
      <c r="L1110">
        <v>63</v>
      </c>
      <c r="M1110">
        <v>98</v>
      </c>
      <c r="N1110">
        <v>70</v>
      </c>
      <c r="O1110">
        <v>92</v>
      </c>
      <c r="P1110">
        <v>78</v>
      </c>
      <c r="Q1110">
        <v>93</v>
      </c>
      <c r="R1110">
        <f>SUM(student_scores[[#This Row],[math_score]:[geography_score]])</f>
        <v>578</v>
      </c>
      <c r="S1110" s="3">
        <f>student_scores[[#This Row],[Total_Score]]/7</f>
        <v>82.571428571428569</v>
      </c>
      <c r="T1110" s="3" t="str" cm="1">
        <f t="array" ref="T1110">_xlfn.IFS(student_scores[[#This Row],[weekly_self_study_hours]]&lt;=5,   "0 - 5", student_scores[[#This Row],[weekly_self_study_hours]]&lt;=10,  "6 - 10", student_scores[[#This Row],[weekly_self_study_hours]]&lt;=20,  "11 - 20",student_scores[[#This Row],[weekly_self_study_hours]]&lt;=30, "21 - 30",TRUE, "31+")</f>
        <v>21 - 30</v>
      </c>
      <c r="U1110" t="str" cm="1">
        <f t="array" ref="U1110">_xlfn.IFS(student_scores[[#This Row],[absence_days]]=0,"0", student_scores[[#This Row],[absence_days]]&lt;=3,"1-3", student_scores[[#This Row],[absence_days]]&lt;=6,"4-6", TRUE,"7-10")</f>
        <v>1-3</v>
      </c>
      <c r="V1110" t="str">
        <f>IF(student_scores[[#This Row],[Total_Score]] &gt;= _xlfn.PERCENTILE.INC(student_scores[Total_Score], 0.8), "Yes", "No")</f>
        <v>No</v>
      </c>
    </row>
    <row r="1111" spans="1:22" x14ac:dyDescent="0.35">
      <c r="A1111">
        <v>1110</v>
      </c>
      <c r="B1111" t="s">
        <v>80</v>
      </c>
      <c r="C1111" t="s">
        <v>2000</v>
      </c>
      <c r="D1111" t="s">
        <v>2001</v>
      </c>
      <c r="E1111" t="s">
        <v>20</v>
      </c>
      <c r="F1111" t="b">
        <v>0</v>
      </c>
      <c r="G1111">
        <v>2</v>
      </c>
      <c r="H1111" t="b">
        <v>1</v>
      </c>
      <c r="I1111">
        <v>29</v>
      </c>
      <c r="J1111" t="s">
        <v>105</v>
      </c>
      <c r="K1111">
        <v>89</v>
      </c>
      <c r="L1111">
        <v>71</v>
      </c>
      <c r="M1111">
        <v>77</v>
      </c>
      <c r="N1111">
        <v>88</v>
      </c>
      <c r="O1111">
        <v>66</v>
      </c>
      <c r="P1111">
        <v>80</v>
      </c>
      <c r="Q1111">
        <v>87</v>
      </c>
      <c r="R1111">
        <f>SUM(student_scores[[#This Row],[math_score]:[geography_score]])</f>
        <v>558</v>
      </c>
      <c r="S1111" s="3">
        <f>student_scores[[#This Row],[Total_Score]]/7</f>
        <v>79.714285714285708</v>
      </c>
      <c r="T1111" s="3" t="str" cm="1">
        <f t="array" ref="T1111">_xlfn.IFS(student_scores[[#This Row],[weekly_self_study_hours]]&lt;=5,   "0 - 5", student_scores[[#This Row],[weekly_self_study_hours]]&lt;=10,  "6 - 10", student_scores[[#This Row],[weekly_self_study_hours]]&lt;=20,  "11 - 20",student_scores[[#This Row],[weekly_self_study_hours]]&lt;=30, "21 - 30",TRUE, "31+")</f>
        <v>21 - 30</v>
      </c>
      <c r="U1111" t="str" cm="1">
        <f t="array" ref="U1111">_xlfn.IFS(student_scores[[#This Row],[absence_days]]=0,"0", student_scores[[#This Row],[absence_days]]&lt;=3,"1-3", student_scores[[#This Row],[absence_days]]&lt;=6,"4-6", TRUE,"7-10")</f>
        <v>1-3</v>
      </c>
      <c r="V1111" t="str">
        <f>IF(student_scores[[#This Row],[Total_Score]] &gt;= _xlfn.PERCENTILE.INC(student_scores[Total_Score], 0.8), "Yes", "No")</f>
        <v>No</v>
      </c>
    </row>
    <row r="1112" spans="1:22" x14ac:dyDescent="0.35">
      <c r="A1112">
        <v>1111</v>
      </c>
      <c r="B1112" t="s">
        <v>838</v>
      </c>
      <c r="C1112" t="s">
        <v>1424</v>
      </c>
      <c r="D1112" t="s">
        <v>2002</v>
      </c>
      <c r="E1112" t="s">
        <v>25</v>
      </c>
      <c r="F1112" t="b">
        <v>0</v>
      </c>
      <c r="G1112">
        <v>0</v>
      </c>
      <c r="H1112" t="b">
        <v>0</v>
      </c>
      <c r="I1112">
        <v>33</v>
      </c>
      <c r="J1112" t="s">
        <v>113</v>
      </c>
      <c r="K1112">
        <v>77</v>
      </c>
      <c r="L1112">
        <v>99</v>
      </c>
      <c r="M1112">
        <v>73</v>
      </c>
      <c r="N1112">
        <v>83</v>
      </c>
      <c r="O1112">
        <v>71</v>
      </c>
      <c r="P1112">
        <v>82</v>
      </c>
      <c r="Q1112">
        <v>80</v>
      </c>
      <c r="R1112">
        <f>SUM(student_scores[[#This Row],[math_score]:[geography_score]])</f>
        <v>565</v>
      </c>
      <c r="S1112" s="3">
        <f>student_scores[[#This Row],[Total_Score]]/7</f>
        <v>80.714285714285708</v>
      </c>
      <c r="T1112" s="3" t="str" cm="1">
        <f t="array" ref="T1112">_xlfn.IFS(student_scores[[#This Row],[weekly_self_study_hours]]&lt;=5,   "0 - 5", student_scores[[#This Row],[weekly_self_study_hours]]&lt;=10,  "6 - 10", student_scores[[#This Row],[weekly_self_study_hours]]&lt;=20,  "11 - 20",student_scores[[#This Row],[weekly_self_study_hours]]&lt;=30, "21 - 30",TRUE, "31+")</f>
        <v>31+</v>
      </c>
      <c r="U1112" t="str" cm="1">
        <f t="array" ref="U1112">_xlfn.IFS(student_scores[[#This Row],[absence_days]]=0,"0", student_scores[[#This Row],[absence_days]]&lt;=3,"1-3", student_scores[[#This Row],[absence_days]]&lt;=6,"4-6", TRUE,"7-10")</f>
        <v>0</v>
      </c>
      <c r="V1112" t="str">
        <f>IF(student_scores[[#This Row],[Total_Score]] &gt;= _xlfn.PERCENTILE.INC(student_scores[Total_Score], 0.8), "Yes", "No")</f>
        <v>No</v>
      </c>
    </row>
    <row r="1113" spans="1:22" x14ac:dyDescent="0.35">
      <c r="A1113">
        <v>1112</v>
      </c>
      <c r="B1113" t="s">
        <v>80</v>
      </c>
      <c r="C1113" t="s">
        <v>515</v>
      </c>
      <c r="D1113" t="s">
        <v>2003</v>
      </c>
      <c r="E1113" t="s">
        <v>20</v>
      </c>
      <c r="F1113" t="b">
        <v>0</v>
      </c>
      <c r="G1113">
        <v>0</v>
      </c>
      <c r="H1113" t="b">
        <v>0</v>
      </c>
      <c r="I1113">
        <v>13</v>
      </c>
      <c r="J1113" t="s">
        <v>138</v>
      </c>
      <c r="K1113">
        <v>94</v>
      </c>
      <c r="L1113">
        <v>88</v>
      </c>
      <c r="M1113">
        <v>98</v>
      </c>
      <c r="N1113">
        <v>64</v>
      </c>
      <c r="O1113">
        <v>99</v>
      </c>
      <c r="P1113">
        <v>98</v>
      </c>
      <c r="Q1113">
        <v>96</v>
      </c>
      <c r="R1113">
        <f>SUM(student_scores[[#This Row],[math_score]:[geography_score]])</f>
        <v>637</v>
      </c>
      <c r="S1113" s="3">
        <f>student_scores[[#This Row],[Total_Score]]/7</f>
        <v>91</v>
      </c>
      <c r="T1113" s="3" t="str" cm="1">
        <f t="array" ref="T1113">_xlfn.IFS(student_scores[[#This Row],[weekly_self_study_hours]]&lt;=5,   "0 - 5", student_scores[[#This Row],[weekly_self_study_hours]]&lt;=10,  "6 - 10", student_scores[[#This Row],[weekly_self_study_hours]]&lt;=20,  "11 - 20",student_scores[[#This Row],[weekly_self_study_hours]]&lt;=30, "21 - 30",TRUE, "31+")</f>
        <v>11 - 20</v>
      </c>
      <c r="U1113" t="str" cm="1">
        <f t="array" ref="U1113">_xlfn.IFS(student_scores[[#This Row],[absence_days]]=0,"0", student_scores[[#This Row],[absence_days]]&lt;=3,"1-3", student_scores[[#This Row],[absence_days]]&lt;=6,"4-6", TRUE,"7-10")</f>
        <v>0</v>
      </c>
      <c r="V1113" t="str">
        <f>IF(student_scores[[#This Row],[Total_Score]] &gt;= _xlfn.PERCENTILE.INC(student_scores[Total_Score], 0.8), "Yes", "No")</f>
        <v>Yes</v>
      </c>
    </row>
    <row r="1114" spans="1:22" x14ac:dyDescent="0.35">
      <c r="A1114">
        <v>1113</v>
      </c>
      <c r="B1114" t="s">
        <v>845</v>
      </c>
      <c r="C1114" t="s">
        <v>292</v>
      </c>
      <c r="D1114" t="s">
        <v>2004</v>
      </c>
      <c r="E1114" t="s">
        <v>25</v>
      </c>
      <c r="F1114" t="b">
        <v>0</v>
      </c>
      <c r="G1114">
        <v>3</v>
      </c>
      <c r="H1114" t="b">
        <v>0</v>
      </c>
      <c r="I1114">
        <v>10</v>
      </c>
      <c r="J1114" t="s">
        <v>54</v>
      </c>
      <c r="K1114">
        <v>93</v>
      </c>
      <c r="L1114">
        <v>64</v>
      </c>
      <c r="M1114">
        <v>81</v>
      </c>
      <c r="N1114">
        <v>74</v>
      </c>
      <c r="O1114">
        <v>96</v>
      </c>
      <c r="P1114">
        <v>94</v>
      </c>
      <c r="Q1114">
        <v>98</v>
      </c>
      <c r="R1114">
        <f>SUM(student_scores[[#This Row],[math_score]:[geography_score]])</f>
        <v>600</v>
      </c>
      <c r="S1114" s="3">
        <f>student_scores[[#This Row],[Total_Score]]/7</f>
        <v>85.714285714285708</v>
      </c>
      <c r="T1114" s="3" t="str" cm="1">
        <f t="array" ref="T1114">_xlfn.IFS(student_scores[[#This Row],[weekly_self_study_hours]]&lt;=5,   "0 - 5", student_scores[[#This Row],[weekly_self_study_hours]]&lt;=10,  "6 - 10", student_scores[[#This Row],[weekly_self_study_hours]]&lt;=20,  "11 - 20",student_scores[[#This Row],[weekly_self_study_hours]]&lt;=30, "21 - 30",TRUE, "31+")</f>
        <v>6 - 10</v>
      </c>
      <c r="U1114" t="str" cm="1">
        <f t="array" ref="U1114">_xlfn.IFS(student_scores[[#This Row],[absence_days]]=0,"0", student_scores[[#This Row],[absence_days]]&lt;=3,"1-3", student_scores[[#This Row],[absence_days]]&lt;=6,"4-6", TRUE,"7-10")</f>
        <v>1-3</v>
      </c>
      <c r="V1114" t="str">
        <f>IF(student_scores[[#This Row],[Total_Score]] &gt;= _xlfn.PERCENTILE.INC(student_scores[Total_Score], 0.8), "Yes", "No")</f>
        <v>No</v>
      </c>
    </row>
    <row r="1115" spans="1:22" x14ac:dyDescent="0.35">
      <c r="A1115">
        <v>1114</v>
      </c>
      <c r="B1115" t="s">
        <v>465</v>
      </c>
      <c r="C1115" t="s">
        <v>1878</v>
      </c>
      <c r="D1115" t="s">
        <v>2005</v>
      </c>
      <c r="E1115" t="s">
        <v>25</v>
      </c>
      <c r="F1115" t="b">
        <v>0</v>
      </c>
      <c r="G1115">
        <v>3</v>
      </c>
      <c r="H1115" t="b">
        <v>0</v>
      </c>
      <c r="I1115">
        <v>38</v>
      </c>
      <c r="J1115" t="s">
        <v>26</v>
      </c>
      <c r="K1115">
        <v>92</v>
      </c>
      <c r="L1115">
        <v>88</v>
      </c>
      <c r="M1115">
        <v>90</v>
      </c>
      <c r="N1115">
        <v>94</v>
      </c>
      <c r="O1115">
        <v>88</v>
      </c>
      <c r="P1115">
        <v>92</v>
      </c>
      <c r="Q1115">
        <v>96</v>
      </c>
      <c r="R1115">
        <f>SUM(student_scores[[#This Row],[math_score]:[geography_score]])</f>
        <v>640</v>
      </c>
      <c r="S1115" s="3">
        <f>student_scores[[#This Row],[Total_Score]]/7</f>
        <v>91.428571428571431</v>
      </c>
      <c r="T1115" s="3" t="str" cm="1">
        <f t="array" ref="T1115">_xlfn.IFS(student_scores[[#This Row],[weekly_self_study_hours]]&lt;=5,   "0 - 5", student_scores[[#This Row],[weekly_self_study_hours]]&lt;=10,  "6 - 10", student_scores[[#This Row],[weekly_self_study_hours]]&lt;=20,  "11 - 20",student_scores[[#This Row],[weekly_self_study_hours]]&lt;=30, "21 - 30",TRUE, "31+")</f>
        <v>31+</v>
      </c>
      <c r="U1115" t="str" cm="1">
        <f t="array" ref="U1115">_xlfn.IFS(student_scores[[#This Row],[absence_days]]=0,"0", student_scores[[#This Row],[absence_days]]&lt;=3,"1-3", student_scores[[#This Row],[absence_days]]&lt;=6,"4-6", TRUE,"7-10")</f>
        <v>1-3</v>
      </c>
      <c r="V1115" t="str">
        <f>IF(student_scores[[#This Row],[Total_Score]] &gt;= _xlfn.PERCENTILE.INC(student_scores[Total_Score], 0.8), "Yes", "No")</f>
        <v>Yes</v>
      </c>
    </row>
    <row r="1116" spans="1:22" x14ac:dyDescent="0.35">
      <c r="A1116">
        <v>1115</v>
      </c>
      <c r="B1116" t="s">
        <v>1007</v>
      </c>
      <c r="C1116" t="s">
        <v>1214</v>
      </c>
      <c r="D1116" t="s">
        <v>2006</v>
      </c>
      <c r="E1116" t="s">
        <v>20</v>
      </c>
      <c r="F1116" t="b">
        <v>0</v>
      </c>
      <c r="G1116">
        <v>2</v>
      </c>
      <c r="H1116" t="b">
        <v>0</v>
      </c>
      <c r="I1116">
        <v>5</v>
      </c>
      <c r="J1116" t="s">
        <v>224</v>
      </c>
      <c r="K1116">
        <v>73</v>
      </c>
      <c r="L1116">
        <v>87</v>
      </c>
      <c r="M1116">
        <v>92</v>
      </c>
      <c r="N1116">
        <v>99</v>
      </c>
      <c r="O1116">
        <v>84</v>
      </c>
      <c r="P1116">
        <v>91</v>
      </c>
      <c r="Q1116">
        <v>71</v>
      </c>
      <c r="R1116">
        <f>SUM(student_scores[[#This Row],[math_score]:[geography_score]])</f>
        <v>597</v>
      </c>
      <c r="S1116" s="3">
        <f>student_scores[[#This Row],[Total_Score]]/7</f>
        <v>85.285714285714292</v>
      </c>
      <c r="T1116" s="3" t="str" cm="1">
        <f t="array" ref="T1116">_xlfn.IFS(student_scores[[#This Row],[weekly_self_study_hours]]&lt;=5,   "0 - 5", student_scores[[#This Row],[weekly_self_study_hours]]&lt;=10,  "6 - 10", student_scores[[#This Row],[weekly_self_study_hours]]&lt;=20,  "11 - 20",student_scores[[#This Row],[weekly_self_study_hours]]&lt;=30, "21 - 30",TRUE, "31+")</f>
        <v>0 - 5</v>
      </c>
      <c r="U1116" t="str" cm="1">
        <f t="array" ref="U1116">_xlfn.IFS(student_scores[[#This Row],[absence_days]]=0,"0", student_scores[[#This Row],[absence_days]]&lt;=3,"1-3", student_scores[[#This Row],[absence_days]]&lt;=6,"4-6", TRUE,"7-10")</f>
        <v>1-3</v>
      </c>
      <c r="V1116" t="str">
        <f>IF(student_scores[[#This Row],[Total_Score]] &gt;= _xlfn.PERCENTILE.INC(student_scores[Total_Score], 0.8), "Yes", "No")</f>
        <v>No</v>
      </c>
    </row>
    <row r="1117" spans="1:22" x14ac:dyDescent="0.35">
      <c r="A1117">
        <v>1116</v>
      </c>
      <c r="B1117" t="s">
        <v>2007</v>
      </c>
      <c r="C1117" t="s">
        <v>1360</v>
      </c>
      <c r="D1117" t="s">
        <v>2008</v>
      </c>
      <c r="E1117" t="s">
        <v>25</v>
      </c>
      <c r="F1117" t="b">
        <v>0</v>
      </c>
      <c r="G1117">
        <v>3</v>
      </c>
      <c r="H1117" t="b">
        <v>1</v>
      </c>
      <c r="I1117">
        <v>35</v>
      </c>
      <c r="J1117" t="s">
        <v>38</v>
      </c>
      <c r="K1117">
        <v>90</v>
      </c>
      <c r="L1117">
        <v>87</v>
      </c>
      <c r="M1117">
        <v>100</v>
      </c>
      <c r="N1117">
        <v>98</v>
      </c>
      <c r="O1117">
        <v>91</v>
      </c>
      <c r="P1117">
        <v>98</v>
      </c>
      <c r="Q1117">
        <v>96</v>
      </c>
      <c r="R1117">
        <f>SUM(student_scores[[#This Row],[math_score]:[geography_score]])</f>
        <v>660</v>
      </c>
      <c r="S1117" s="3">
        <f>student_scores[[#This Row],[Total_Score]]/7</f>
        <v>94.285714285714292</v>
      </c>
      <c r="T1117" s="3" t="str" cm="1">
        <f t="array" ref="T1117">_xlfn.IFS(student_scores[[#This Row],[weekly_self_study_hours]]&lt;=5,   "0 - 5", student_scores[[#This Row],[weekly_self_study_hours]]&lt;=10,  "6 - 10", student_scores[[#This Row],[weekly_self_study_hours]]&lt;=20,  "11 - 20",student_scores[[#This Row],[weekly_self_study_hours]]&lt;=30, "21 - 30",TRUE, "31+")</f>
        <v>31+</v>
      </c>
      <c r="U1117" t="str" cm="1">
        <f t="array" ref="U1117">_xlfn.IFS(student_scores[[#This Row],[absence_days]]=0,"0", student_scores[[#This Row],[absence_days]]&lt;=3,"1-3", student_scores[[#This Row],[absence_days]]&lt;=6,"4-6", TRUE,"7-10")</f>
        <v>1-3</v>
      </c>
      <c r="V1117" t="str">
        <f>IF(student_scores[[#This Row],[Total_Score]] &gt;= _xlfn.PERCENTILE.INC(student_scores[Total_Score], 0.8), "Yes", "No")</f>
        <v>Yes</v>
      </c>
    </row>
    <row r="1118" spans="1:22" x14ac:dyDescent="0.35">
      <c r="A1118">
        <v>1117</v>
      </c>
      <c r="B1118" t="s">
        <v>560</v>
      </c>
      <c r="C1118" t="s">
        <v>406</v>
      </c>
      <c r="D1118" t="s">
        <v>2009</v>
      </c>
      <c r="E1118" t="s">
        <v>25</v>
      </c>
      <c r="F1118" t="b">
        <v>1</v>
      </c>
      <c r="G1118">
        <v>10</v>
      </c>
      <c r="H1118" t="b">
        <v>0</v>
      </c>
      <c r="I1118">
        <v>1</v>
      </c>
      <c r="J1118" t="s">
        <v>64</v>
      </c>
      <c r="K1118">
        <v>87</v>
      </c>
      <c r="L1118">
        <v>58</v>
      </c>
      <c r="M1118">
        <v>85</v>
      </c>
      <c r="N1118">
        <v>82</v>
      </c>
      <c r="O1118">
        <v>100</v>
      </c>
      <c r="P1118">
        <v>87</v>
      </c>
      <c r="Q1118">
        <v>91</v>
      </c>
      <c r="R1118">
        <f>SUM(student_scores[[#This Row],[math_score]:[geography_score]])</f>
        <v>590</v>
      </c>
      <c r="S1118" s="3">
        <f>student_scores[[#This Row],[Total_Score]]/7</f>
        <v>84.285714285714292</v>
      </c>
      <c r="T1118" s="3" t="str" cm="1">
        <f t="array" ref="T1118">_xlfn.IFS(student_scores[[#This Row],[weekly_self_study_hours]]&lt;=5,   "0 - 5", student_scores[[#This Row],[weekly_self_study_hours]]&lt;=10,  "6 - 10", student_scores[[#This Row],[weekly_self_study_hours]]&lt;=20,  "11 - 20",student_scores[[#This Row],[weekly_self_study_hours]]&lt;=30, "21 - 30",TRUE, "31+")</f>
        <v>0 - 5</v>
      </c>
      <c r="U1118" t="str" cm="1">
        <f t="array" ref="U1118">_xlfn.IFS(student_scores[[#This Row],[absence_days]]=0,"0", student_scores[[#This Row],[absence_days]]&lt;=3,"1-3", student_scores[[#This Row],[absence_days]]&lt;=6,"4-6", TRUE,"7-10")</f>
        <v>7-10</v>
      </c>
      <c r="V1118" t="str">
        <f>IF(student_scores[[#This Row],[Total_Score]] &gt;= _xlfn.PERCENTILE.INC(student_scores[Total_Score], 0.8), "Yes", "No")</f>
        <v>No</v>
      </c>
    </row>
    <row r="1119" spans="1:22" x14ac:dyDescent="0.35">
      <c r="A1119">
        <v>1118</v>
      </c>
      <c r="B1119" t="s">
        <v>2010</v>
      </c>
      <c r="C1119" t="s">
        <v>1803</v>
      </c>
      <c r="D1119" t="s">
        <v>2011</v>
      </c>
      <c r="E1119" t="s">
        <v>20</v>
      </c>
      <c r="F1119" t="b">
        <v>0</v>
      </c>
      <c r="G1119">
        <v>2</v>
      </c>
      <c r="H1119" t="b">
        <v>0</v>
      </c>
      <c r="I1119">
        <v>21</v>
      </c>
      <c r="J1119" t="s">
        <v>44</v>
      </c>
      <c r="K1119">
        <v>88</v>
      </c>
      <c r="L1119">
        <v>74</v>
      </c>
      <c r="M1119">
        <v>99</v>
      </c>
      <c r="N1119">
        <v>72</v>
      </c>
      <c r="O1119">
        <v>63</v>
      </c>
      <c r="P1119">
        <v>87</v>
      </c>
      <c r="Q1119">
        <v>79</v>
      </c>
      <c r="R1119">
        <f>SUM(student_scores[[#This Row],[math_score]:[geography_score]])</f>
        <v>562</v>
      </c>
      <c r="S1119" s="3">
        <f>student_scores[[#This Row],[Total_Score]]/7</f>
        <v>80.285714285714292</v>
      </c>
      <c r="T1119" s="3" t="str" cm="1">
        <f t="array" ref="T1119">_xlfn.IFS(student_scores[[#This Row],[weekly_self_study_hours]]&lt;=5,   "0 - 5", student_scores[[#This Row],[weekly_self_study_hours]]&lt;=10,  "6 - 10", student_scores[[#This Row],[weekly_self_study_hours]]&lt;=20,  "11 - 20",student_scores[[#This Row],[weekly_self_study_hours]]&lt;=30, "21 - 30",TRUE, "31+")</f>
        <v>21 - 30</v>
      </c>
      <c r="U1119" t="str" cm="1">
        <f t="array" ref="U1119">_xlfn.IFS(student_scores[[#This Row],[absence_days]]=0,"0", student_scores[[#This Row],[absence_days]]&lt;=3,"1-3", student_scores[[#This Row],[absence_days]]&lt;=6,"4-6", TRUE,"7-10")</f>
        <v>1-3</v>
      </c>
      <c r="V1119" t="str">
        <f>IF(student_scores[[#This Row],[Total_Score]] &gt;= _xlfn.PERCENTILE.INC(student_scores[Total_Score], 0.8), "Yes", "No")</f>
        <v>No</v>
      </c>
    </row>
    <row r="1120" spans="1:22" x14ac:dyDescent="0.35">
      <c r="A1120">
        <v>1119</v>
      </c>
      <c r="B1120" t="s">
        <v>205</v>
      </c>
      <c r="C1120" t="s">
        <v>639</v>
      </c>
      <c r="D1120" t="s">
        <v>2012</v>
      </c>
      <c r="E1120" t="s">
        <v>25</v>
      </c>
      <c r="F1120" t="b">
        <v>0</v>
      </c>
      <c r="G1120">
        <v>6</v>
      </c>
      <c r="H1120" t="b">
        <v>0</v>
      </c>
      <c r="I1120">
        <v>5</v>
      </c>
      <c r="J1120" t="s">
        <v>38</v>
      </c>
      <c r="K1120">
        <v>88</v>
      </c>
      <c r="L1120">
        <v>99</v>
      </c>
      <c r="M1120">
        <v>71</v>
      </c>
      <c r="N1120">
        <v>85</v>
      </c>
      <c r="O1120">
        <v>82</v>
      </c>
      <c r="P1120">
        <v>94</v>
      </c>
      <c r="Q1120">
        <v>90</v>
      </c>
      <c r="R1120">
        <f>SUM(student_scores[[#This Row],[math_score]:[geography_score]])</f>
        <v>609</v>
      </c>
      <c r="S1120" s="3">
        <f>student_scores[[#This Row],[Total_Score]]/7</f>
        <v>87</v>
      </c>
      <c r="T1120" s="3" t="str" cm="1">
        <f t="array" ref="T1120">_xlfn.IFS(student_scores[[#This Row],[weekly_self_study_hours]]&lt;=5,   "0 - 5", student_scores[[#This Row],[weekly_self_study_hours]]&lt;=10,  "6 - 10", student_scores[[#This Row],[weekly_self_study_hours]]&lt;=20,  "11 - 20",student_scores[[#This Row],[weekly_self_study_hours]]&lt;=30, "21 - 30",TRUE, "31+")</f>
        <v>0 - 5</v>
      </c>
      <c r="U1120" t="str" cm="1">
        <f t="array" ref="U1120">_xlfn.IFS(student_scores[[#This Row],[absence_days]]=0,"0", student_scores[[#This Row],[absence_days]]&lt;=3,"1-3", student_scores[[#This Row],[absence_days]]&lt;=6,"4-6", TRUE,"7-10")</f>
        <v>4-6</v>
      </c>
      <c r="V1120" t="str">
        <f>IF(student_scores[[#This Row],[Total_Score]] &gt;= _xlfn.PERCENTILE.INC(student_scores[Total_Score], 0.8), "Yes", "No")</f>
        <v>Yes</v>
      </c>
    </row>
    <row r="1121" spans="1:22" x14ac:dyDescent="0.35">
      <c r="A1121">
        <v>1120</v>
      </c>
      <c r="B1121" t="s">
        <v>193</v>
      </c>
      <c r="C1121" t="s">
        <v>728</v>
      </c>
      <c r="D1121" t="s">
        <v>2013</v>
      </c>
      <c r="E1121" t="s">
        <v>25</v>
      </c>
      <c r="F1121" t="b">
        <v>1</v>
      </c>
      <c r="G1121">
        <v>1</v>
      </c>
      <c r="H1121" t="b">
        <v>1</v>
      </c>
      <c r="I1121">
        <v>15</v>
      </c>
      <c r="J1121" t="s">
        <v>105</v>
      </c>
      <c r="K1121">
        <v>96</v>
      </c>
      <c r="L1121">
        <v>87</v>
      </c>
      <c r="M1121">
        <v>64</v>
      </c>
      <c r="N1121">
        <v>88</v>
      </c>
      <c r="O1121">
        <v>64</v>
      </c>
      <c r="P1121">
        <v>92</v>
      </c>
      <c r="Q1121">
        <v>77</v>
      </c>
      <c r="R1121">
        <f>SUM(student_scores[[#This Row],[math_score]:[geography_score]])</f>
        <v>568</v>
      </c>
      <c r="S1121" s="3">
        <f>student_scores[[#This Row],[Total_Score]]/7</f>
        <v>81.142857142857139</v>
      </c>
      <c r="T1121" s="3" t="str" cm="1">
        <f t="array" ref="T1121">_xlfn.IFS(student_scores[[#This Row],[weekly_self_study_hours]]&lt;=5,   "0 - 5", student_scores[[#This Row],[weekly_self_study_hours]]&lt;=10,  "6 - 10", student_scores[[#This Row],[weekly_self_study_hours]]&lt;=20,  "11 - 20",student_scores[[#This Row],[weekly_self_study_hours]]&lt;=30, "21 - 30",TRUE, "31+")</f>
        <v>11 - 20</v>
      </c>
      <c r="U1121" t="str" cm="1">
        <f t="array" ref="U1121">_xlfn.IFS(student_scores[[#This Row],[absence_days]]=0,"0", student_scores[[#This Row],[absence_days]]&lt;=3,"1-3", student_scores[[#This Row],[absence_days]]&lt;=6,"4-6", TRUE,"7-10")</f>
        <v>1-3</v>
      </c>
      <c r="V1121" t="str">
        <f>IF(student_scores[[#This Row],[Total_Score]] &gt;= _xlfn.PERCENTILE.INC(student_scores[Total_Score], 0.8), "Yes", "No")</f>
        <v>No</v>
      </c>
    </row>
    <row r="1122" spans="1:22" x14ac:dyDescent="0.35">
      <c r="A1122">
        <v>1121</v>
      </c>
      <c r="B1122" t="s">
        <v>710</v>
      </c>
      <c r="C1122" t="s">
        <v>231</v>
      </c>
      <c r="D1122" t="s">
        <v>2014</v>
      </c>
      <c r="E1122" t="s">
        <v>25</v>
      </c>
      <c r="F1122" t="b">
        <v>0</v>
      </c>
      <c r="G1122">
        <v>3</v>
      </c>
      <c r="H1122" t="b">
        <v>0</v>
      </c>
      <c r="I1122">
        <v>28</v>
      </c>
      <c r="J1122" t="s">
        <v>26</v>
      </c>
      <c r="K1122">
        <v>89</v>
      </c>
      <c r="L1122">
        <v>96</v>
      </c>
      <c r="M1122">
        <v>85</v>
      </c>
      <c r="N1122">
        <v>91</v>
      </c>
      <c r="O1122">
        <v>100</v>
      </c>
      <c r="P1122">
        <v>91</v>
      </c>
      <c r="Q1122">
        <v>91</v>
      </c>
      <c r="R1122">
        <f>SUM(student_scores[[#This Row],[math_score]:[geography_score]])</f>
        <v>643</v>
      </c>
      <c r="S1122" s="3">
        <f>student_scores[[#This Row],[Total_Score]]/7</f>
        <v>91.857142857142861</v>
      </c>
      <c r="T1122" s="3" t="str" cm="1">
        <f t="array" ref="T1122">_xlfn.IFS(student_scores[[#This Row],[weekly_self_study_hours]]&lt;=5,   "0 - 5", student_scores[[#This Row],[weekly_self_study_hours]]&lt;=10,  "6 - 10", student_scores[[#This Row],[weekly_self_study_hours]]&lt;=20,  "11 - 20",student_scores[[#This Row],[weekly_self_study_hours]]&lt;=30, "21 - 30",TRUE, "31+")</f>
        <v>21 - 30</v>
      </c>
      <c r="U1122" t="str" cm="1">
        <f t="array" ref="U1122">_xlfn.IFS(student_scores[[#This Row],[absence_days]]=0,"0", student_scores[[#This Row],[absence_days]]&lt;=3,"1-3", student_scores[[#This Row],[absence_days]]&lt;=6,"4-6", TRUE,"7-10")</f>
        <v>1-3</v>
      </c>
      <c r="V1122" t="str">
        <f>IF(student_scores[[#This Row],[Total_Score]] &gt;= _xlfn.PERCENTILE.INC(student_scores[Total_Score], 0.8), "Yes", "No")</f>
        <v>Yes</v>
      </c>
    </row>
    <row r="1123" spans="1:22" x14ac:dyDescent="0.35">
      <c r="A1123">
        <v>1122</v>
      </c>
      <c r="B1123" t="s">
        <v>211</v>
      </c>
      <c r="C1123" t="s">
        <v>2015</v>
      </c>
      <c r="D1123" t="s">
        <v>2016</v>
      </c>
      <c r="E1123" t="s">
        <v>25</v>
      </c>
      <c r="F1123" t="b">
        <v>0</v>
      </c>
      <c r="G1123">
        <v>1</v>
      </c>
      <c r="H1123" t="b">
        <v>0</v>
      </c>
      <c r="I1123">
        <v>5</v>
      </c>
      <c r="J1123" t="s">
        <v>224</v>
      </c>
      <c r="K1123">
        <v>58</v>
      </c>
      <c r="L1123">
        <v>77</v>
      </c>
      <c r="M1123">
        <v>69</v>
      </c>
      <c r="N1123">
        <v>83</v>
      </c>
      <c r="O1123">
        <v>94</v>
      </c>
      <c r="P1123">
        <v>70</v>
      </c>
      <c r="Q1123">
        <v>97</v>
      </c>
      <c r="R1123">
        <f>SUM(student_scores[[#This Row],[math_score]:[geography_score]])</f>
        <v>548</v>
      </c>
      <c r="S1123" s="3">
        <f>student_scores[[#This Row],[Total_Score]]/7</f>
        <v>78.285714285714292</v>
      </c>
      <c r="T1123" s="3" t="str" cm="1">
        <f t="array" ref="T1123">_xlfn.IFS(student_scores[[#This Row],[weekly_self_study_hours]]&lt;=5,   "0 - 5", student_scores[[#This Row],[weekly_self_study_hours]]&lt;=10,  "6 - 10", student_scores[[#This Row],[weekly_self_study_hours]]&lt;=20,  "11 - 20",student_scores[[#This Row],[weekly_self_study_hours]]&lt;=30, "21 - 30",TRUE, "31+")</f>
        <v>0 - 5</v>
      </c>
      <c r="U1123" t="str" cm="1">
        <f t="array" ref="U1123">_xlfn.IFS(student_scores[[#This Row],[absence_days]]=0,"0", student_scores[[#This Row],[absence_days]]&lt;=3,"1-3", student_scores[[#This Row],[absence_days]]&lt;=6,"4-6", TRUE,"7-10")</f>
        <v>1-3</v>
      </c>
      <c r="V1123" t="str">
        <f>IF(student_scores[[#This Row],[Total_Score]] &gt;= _xlfn.PERCENTILE.INC(student_scores[Total_Score], 0.8), "Yes", "No")</f>
        <v>No</v>
      </c>
    </row>
    <row r="1124" spans="1:22" x14ac:dyDescent="0.35">
      <c r="A1124">
        <v>1123</v>
      </c>
      <c r="B1124" t="s">
        <v>1007</v>
      </c>
      <c r="C1124" t="s">
        <v>209</v>
      </c>
      <c r="D1124" t="s">
        <v>2017</v>
      </c>
      <c r="E1124" t="s">
        <v>20</v>
      </c>
      <c r="F1124" t="b">
        <v>0</v>
      </c>
      <c r="G1124">
        <v>2</v>
      </c>
      <c r="H1124" t="b">
        <v>0</v>
      </c>
      <c r="I1124">
        <v>35</v>
      </c>
      <c r="J1124" t="s">
        <v>26</v>
      </c>
      <c r="K1124">
        <v>95</v>
      </c>
      <c r="L1124">
        <v>98</v>
      </c>
      <c r="M1124">
        <v>97</v>
      </c>
      <c r="N1124">
        <v>94</v>
      </c>
      <c r="O1124">
        <v>88</v>
      </c>
      <c r="P1124">
        <v>99</v>
      </c>
      <c r="Q1124">
        <v>96</v>
      </c>
      <c r="R1124">
        <f>SUM(student_scores[[#This Row],[math_score]:[geography_score]])</f>
        <v>667</v>
      </c>
      <c r="S1124" s="3">
        <f>student_scores[[#This Row],[Total_Score]]/7</f>
        <v>95.285714285714292</v>
      </c>
      <c r="T1124" s="3" t="str" cm="1">
        <f t="array" ref="T1124">_xlfn.IFS(student_scores[[#This Row],[weekly_self_study_hours]]&lt;=5,   "0 - 5", student_scores[[#This Row],[weekly_self_study_hours]]&lt;=10,  "6 - 10", student_scores[[#This Row],[weekly_self_study_hours]]&lt;=20,  "11 - 20",student_scores[[#This Row],[weekly_self_study_hours]]&lt;=30, "21 - 30",TRUE, "31+")</f>
        <v>31+</v>
      </c>
      <c r="U1124" t="str" cm="1">
        <f t="array" ref="U1124">_xlfn.IFS(student_scores[[#This Row],[absence_days]]=0,"0", student_scores[[#This Row],[absence_days]]&lt;=3,"1-3", student_scores[[#This Row],[absence_days]]&lt;=6,"4-6", TRUE,"7-10")</f>
        <v>1-3</v>
      </c>
      <c r="V1124" t="str">
        <f>IF(student_scores[[#This Row],[Total_Score]] &gt;= _xlfn.PERCENTILE.INC(student_scores[Total_Score], 0.8), "Yes", "No")</f>
        <v>Yes</v>
      </c>
    </row>
    <row r="1125" spans="1:22" x14ac:dyDescent="0.35">
      <c r="A1125">
        <v>1124</v>
      </c>
      <c r="B1125" t="s">
        <v>2018</v>
      </c>
      <c r="C1125" t="s">
        <v>836</v>
      </c>
      <c r="D1125" t="s">
        <v>2019</v>
      </c>
      <c r="E1125" t="s">
        <v>25</v>
      </c>
      <c r="F1125" t="b">
        <v>0</v>
      </c>
      <c r="G1125">
        <v>8</v>
      </c>
      <c r="H1125" t="b">
        <v>1</v>
      </c>
      <c r="I1125">
        <v>28</v>
      </c>
      <c r="J1125" t="s">
        <v>105</v>
      </c>
      <c r="K1125">
        <v>76</v>
      </c>
      <c r="L1125">
        <v>69</v>
      </c>
      <c r="M1125">
        <v>86</v>
      </c>
      <c r="N1125">
        <v>72</v>
      </c>
      <c r="O1125">
        <v>71</v>
      </c>
      <c r="P1125">
        <v>79</v>
      </c>
      <c r="Q1125">
        <v>63</v>
      </c>
      <c r="R1125">
        <f>SUM(student_scores[[#This Row],[math_score]:[geography_score]])</f>
        <v>516</v>
      </c>
      <c r="S1125" s="3">
        <f>student_scores[[#This Row],[Total_Score]]/7</f>
        <v>73.714285714285708</v>
      </c>
      <c r="T1125" s="3" t="str" cm="1">
        <f t="array" ref="T1125">_xlfn.IFS(student_scores[[#This Row],[weekly_self_study_hours]]&lt;=5,   "0 - 5", student_scores[[#This Row],[weekly_self_study_hours]]&lt;=10,  "6 - 10", student_scores[[#This Row],[weekly_self_study_hours]]&lt;=20,  "11 - 20",student_scores[[#This Row],[weekly_self_study_hours]]&lt;=30, "21 - 30",TRUE, "31+")</f>
        <v>21 - 30</v>
      </c>
      <c r="U1125" t="str" cm="1">
        <f t="array" ref="U1125">_xlfn.IFS(student_scores[[#This Row],[absence_days]]=0,"0", student_scores[[#This Row],[absence_days]]&lt;=3,"1-3", student_scores[[#This Row],[absence_days]]&lt;=6,"4-6", TRUE,"7-10")</f>
        <v>7-10</v>
      </c>
      <c r="V1125" t="str">
        <f>IF(student_scores[[#This Row],[Total_Score]] &gt;= _xlfn.PERCENTILE.INC(student_scores[Total_Score], 0.8), "Yes", "No")</f>
        <v>No</v>
      </c>
    </row>
    <row r="1126" spans="1:22" x14ac:dyDescent="0.35">
      <c r="A1126">
        <v>1125</v>
      </c>
      <c r="B1126" t="s">
        <v>312</v>
      </c>
      <c r="C1126" t="s">
        <v>854</v>
      </c>
      <c r="D1126" t="s">
        <v>2020</v>
      </c>
      <c r="E1126" t="s">
        <v>20</v>
      </c>
      <c r="F1126" t="b">
        <v>0</v>
      </c>
      <c r="G1126">
        <v>2</v>
      </c>
      <c r="H1126" t="b">
        <v>0</v>
      </c>
      <c r="I1126">
        <v>16</v>
      </c>
      <c r="J1126" t="s">
        <v>138</v>
      </c>
      <c r="K1126">
        <v>87</v>
      </c>
      <c r="L1126">
        <v>89</v>
      </c>
      <c r="M1126">
        <v>91</v>
      </c>
      <c r="N1126">
        <v>76</v>
      </c>
      <c r="O1126">
        <v>77</v>
      </c>
      <c r="P1126">
        <v>97</v>
      </c>
      <c r="Q1126">
        <v>61</v>
      </c>
      <c r="R1126">
        <f>SUM(student_scores[[#This Row],[math_score]:[geography_score]])</f>
        <v>578</v>
      </c>
      <c r="S1126" s="3">
        <f>student_scores[[#This Row],[Total_Score]]/7</f>
        <v>82.571428571428569</v>
      </c>
      <c r="T1126" s="3" t="str" cm="1">
        <f t="array" ref="T1126">_xlfn.IFS(student_scores[[#This Row],[weekly_self_study_hours]]&lt;=5,   "0 - 5", student_scores[[#This Row],[weekly_self_study_hours]]&lt;=10,  "6 - 10", student_scores[[#This Row],[weekly_self_study_hours]]&lt;=20,  "11 - 20",student_scores[[#This Row],[weekly_self_study_hours]]&lt;=30, "21 - 30",TRUE, "31+")</f>
        <v>11 - 20</v>
      </c>
      <c r="U1126" t="str" cm="1">
        <f t="array" ref="U1126">_xlfn.IFS(student_scores[[#This Row],[absence_days]]=0,"0", student_scores[[#This Row],[absence_days]]&lt;=3,"1-3", student_scores[[#This Row],[absence_days]]&lt;=6,"4-6", TRUE,"7-10")</f>
        <v>1-3</v>
      </c>
      <c r="V1126" t="str">
        <f>IF(student_scores[[#This Row],[Total_Score]] &gt;= _xlfn.PERCENTILE.INC(student_scores[Total_Score], 0.8), "Yes", "No")</f>
        <v>No</v>
      </c>
    </row>
    <row r="1127" spans="1:22" x14ac:dyDescent="0.35">
      <c r="A1127">
        <v>1126</v>
      </c>
      <c r="B1127" t="s">
        <v>348</v>
      </c>
      <c r="C1127" t="s">
        <v>1767</v>
      </c>
      <c r="D1127" t="s">
        <v>2021</v>
      </c>
      <c r="E1127" t="s">
        <v>20</v>
      </c>
      <c r="F1127" t="b">
        <v>0</v>
      </c>
      <c r="G1127">
        <v>2</v>
      </c>
      <c r="H1127" t="b">
        <v>0</v>
      </c>
      <c r="I1127">
        <v>29</v>
      </c>
      <c r="J1127" t="s">
        <v>38</v>
      </c>
      <c r="K1127">
        <v>60</v>
      </c>
      <c r="L1127">
        <v>65</v>
      </c>
      <c r="M1127">
        <v>86</v>
      </c>
      <c r="N1127">
        <v>66</v>
      </c>
      <c r="O1127">
        <v>61</v>
      </c>
      <c r="P1127">
        <v>99</v>
      </c>
      <c r="Q1127">
        <v>89</v>
      </c>
      <c r="R1127">
        <f>SUM(student_scores[[#This Row],[math_score]:[geography_score]])</f>
        <v>526</v>
      </c>
      <c r="S1127" s="3">
        <f>student_scores[[#This Row],[Total_Score]]/7</f>
        <v>75.142857142857139</v>
      </c>
      <c r="T1127" s="3" t="str" cm="1">
        <f t="array" ref="T1127">_xlfn.IFS(student_scores[[#This Row],[weekly_self_study_hours]]&lt;=5,   "0 - 5", student_scores[[#This Row],[weekly_self_study_hours]]&lt;=10,  "6 - 10", student_scores[[#This Row],[weekly_self_study_hours]]&lt;=20,  "11 - 20",student_scores[[#This Row],[weekly_self_study_hours]]&lt;=30, "21 - 30",TRUE, "31+")</f>
        <v>21 - 30</v>
      </c>
      <c r="U1127" t="str" cm="1">
        <f t="array" ref="U1127">_xlfn.IFS(student_scores[[#This Row],[absence_days]]=0,"0", student_scores[[#This Row],[absence_days]]&lt;=3,"1-3", student_scores[[#This Row],[absence_days]]&lt;=6,"4-6", TRUE,"7-10")</f>
        <v>1-3</v>
      </c>
      <c r="V1127" t="str">
        <f>IF(student_scores[[#This Row],[Total_Score]] &gt;= _xlfn.PERCENTILE.INC(student_scores[Total_Score], 0.8), "Yes", "No")</f>
        <v>No</v>
      </c>
    </row>
    <row r="1128" spans="1:22" x14ac:dyDescent="0.35">
      <c r="A1128">
        <v>1127</v>
      </c>
      <c r="B1128" t="s">
        <v>160</v>
      </c>
      <c r="C1128" t="s">
        <v>2022</v>
      </c>
      <c r="D1128" t="s">
        <v>2023</v>
      </c>
      <c r="E1128" t="s">
        <v>20</v>
      </c>
      <c r="F1128" t="b">
        <v>0</v>
      </c>
      <c r="G1128">
        <v>10</v>
      </c>
      <c r="H1128" t="b">
        <v>0</v>
      </c>
      <c r="I1128">
        <v>3</v>
      </c>
      <c r="J1128" t="s">
        <v>64</v>
      </c>
      <c r="K1128">
        <v>70</v>
      </c>
      <c r="L1128">
        <v>61</v>
      </c>
      <c r="M1128">
        <v>83</v>
      </c>
      <c r="N1128">
        <v>52</v>
      </c>
      <c r="O1128">
        <v>81</v>
      </c>
      <c r="P1128">
        <v>97</v>
      </c>
      <c r="Q1128">
        <v>69</v>
      </c>
      <c r="R1128">
        <f>SUM(student_scores[[#This Row],[math_score]:[geography_score]])</f>
        <v>513</v>
      </c>
      <c r="S1128" s="3">
        <f>student_scores[[#This Row],[Total_Score]]/7</f>
        <v>73.285714285714292</v>
      </c>
      <c r="T1128" s="3" t="str" cm="1">
        <f t="array" ref="T1128">_xlfn.IFS(student_scores[[#This Row],[weekly_self_study_hours]]&lt;=5,   "0 - 5", student_scores[[#This Row],[weekly_self_study_hours]]&lt;=10,  "6 - 10", student_scores[[#This Row],[weekly_self_study_hours]]&lt;=20,  "11 - 20",student_scores[[#This Row],[weekly_self_study_hours]]&lt;=30, "21 - 30",TRUE, "31+")</f>
        <v>0 - 5</v>
      </c>
      <c r="U1128" t="str" cm="1">
        <f t="array" ref="U1128">_xlfn.IFS(student_scores[[#This Row],[absence_days]]=0,"0", student_scores[[#This Row],[absence_days]]&lt;=3,"1-3", student_scores[[#This Row],[absence_days]]&lt;=6,"4-6", TRUE,"7-10")</f>
        <v>7-10</v>
      </c>
      <c r="V1128" t="str">
        <f>IF(student_scores[[#This Row],[Total_Score]] &gt;= _xlfn.PERCENTILE.INC(student_scores[Total_Score], 0.8), "Yes", "No")</f>
        <v>No</v>
      </c>
    </row>
    <row r="1129" spans="1:22" x14ac:dyDescent="0.35">
      <c r="A1129">
        <v>1128</v>
      </c>
      <c r="B1129" t="s">
        <v>17</v>
      </c>
      <c r="C1129" t="s">
        <v>146</v>
      </c>
      <c r="D1129" t="s">
        <v>2024</v>
      </c>
      <c r="E1129" t="s">
        <v>20</v>
      </c>
      <c r="F1129" t="b">
        <v>0</v>
      </c>
      <c r="G1129">
        <v>6</v>
      </c>
      <c r="H1129" t="b">
        <v>0</v>
      </c>
      <c r="I1129">
        <v>35</v>
      </c>
      <c r="J1129" t="s">
        <v>138</v>
      </c>
      <c r="K1129">
        <v>90</v>
      </c>
      <c r="L1129">
        <v>86</v>
      </c>
      <c r="M1129">
        <v>99</v>
      </c>
      <c r="N1129">
        <v>94</v>
      </c>
      <c r="O1129">
        <v>100</v>
      </c>
      <c r="P1129">
        <v>89</v>
      </c>
      <c r="Q1129">
        <v>85</v>
      </c>
      <c r="R1129">
        <f>SUM(student_scores[[#This Row],[math_score]:[geography_score]])</f>
        <v>643</v>
      </c>
      <c r="S1129" s="3">
        <f>student_scores[[#This Row],[Total_Score]]/7</f>
        <v>91.857142857142861</v>
      </c>
      <c r="T1129" s="3" t="str" cm="1">
        <f t="array" ref="T1129">_xlfn.IFS(student_scores[[#This Row],[weekly_self_study_hours]]&lt;=5,   "0 - 5", student_scores[[#This Row],[weekly_self_study_hours]]&lt;=10,  "6 - 10", student_scores[[#This Row],[weekly_self_study_hours]]&lt;=20,  "11 - 20",student_scores[[#This Row],[weekly_self_study_hours]]&lt;=30, "21 - 30",TRUE, "31+")</f>
        <v>31+</v>
      </c>
      <c r="U1129" t="str" cm="1">
        <f t="array" ref="U1129">_xlfn.IFS(student_scores[[#This Row],[absence_days]]=0,"0", student_scores[[#This Row],[absence_days]]&lt;=3,"1-3", student_scores[[#This Row],[absence_days]]&lt;=6,"4-6", TRUE,"7-10")</f>
        <v>4-6</v>
      </c>
      <c r="V1129" t="str">
        <f>IF(student_scores[[#This Row],[Total_Score]] &gt;= _xlfn.PERCENTILE.INC(student_scores[Total_Score], 0.8), "Yes", "No")</f>
        <v>Yes</v>
      </c>
    </row>
    <row r="1130" spans="1:22" x14ac:dyDescent="0.35">
      <c r="A1130">
        <v>1129</v>
      </c>
      <c r="B1130" t="s">
        <v>205</v>
      </c>
      <c r="C1130" t="s">
        <v>2025</v>
      </c>
      <c r="D1130" t="s">
        <v>2026</v>
      </c>
      <c r="E1130" t="s">
        <v>25</v>
      </c>
      <c r="F1130" t="b">
        <v>0</v>
      </c>
      <c r="G1130">
        <v>2</v>
      </c>
      <c r="H1130" t="b">
        <v>0</v>
      </c>
      <c r="I1130">
        <v>29</v>
      </c>
      <c r="J1130" t="s">
        <v>38</v>
      </c>
      <c r="K1130">
        <v>75</v>
      </c>
      <c r="L1130">
        <v>96</v>
      </c>
      <c r="M1130">
        <v>61</v>
      </c>
      <c r="N1130">
        <v>73</v>
      </c>
      <c r="O1130">
        <v>60</v>
      </c>
      <c r="P1130">
        <v>77</v>
      </c>
      <c r="Q1130">
        <v>81</v>
      </c>
      <c r="R1130">
        <f>SUM(student_scores[[#This Row],[math_score]:[geography_score]])</f>
        <v>523</v>
      </c>
      <c r="S1130" s="3">
        <f>student_scores[[#This Row],[Total_Score]]/7</f>
        <v>74.714285714285708</v>
      </c>
      <c r="T1130" s="3" t="str" cm="1">
        <f t="array" ref="T1130">_xlfn.IFS(student_scores[[#This Row],[weekly_self_study_hours]]&lt;=5,   "0 - 5", student_scores[[#This Row],[weekly_self_study_hours]]&lt;=10,  "6 - 10", student_scores[[#This Row],[weekly_self_study_hours]]&lt;=20,  "11 - 20",student_scores[[#This Row],[weekly_self_study_hours]]&lt;=30, "21 - 30",TRUE, "31+")</f>
        <v>21 - 30</v>
      </c>
      <c r="U1130" t="str" cm="1">
        <f t="array" ref="U1130">_xlfn.IFS(student_scores[[#This Row],[absence_days]]=0,"0", student_scores[[#This Row],[absence_days]]&lt;=3,"1-3", student_scores[[#This Row],[absence_days]]&lt;=6,"4-6", TRUE,"7-10")</f>
        <v>1-3</v>
      </c>
      <c r="V1130" t="str">
        <f>IF(student_scores[[#This Row],[Total_Score]] &gt;= _xlfn.PERCENTILE.INC(student_scores[Total_Score], 0.8), "Yes", "No")</f>
        <v>No</v>
      </c>
    </row>
    <row r="1131" spans="1:22" x14ac:dyDescent="0.35">
      <c r="A1131">
        <v>1130</v>
      </c>
      <c r="B1131" t="s">
        <v>315</v>
      </c>
      <c r="C1131" t="s">
        <v>295</v>
      </c>
      <c r="D1131" t="s">
        <v>2027</v>
      </c>
      <c r="E1131" t="s">
        <v>25</v>
      </c>
      <c r="F1131" t="b">
        <v>0</v>
      </c>
      <c r="G1131">
        <v>3</v>
      </c>
      <c r="H1131" t="b">
        <v>1</v>
      </c>
      <c r="I1131">
        <v>14</v>
      </c>
      <c r="J1131" t="s">
        <v>113</v>
      </c>
      <c r="K1131">
        <v>96</v>
      </c>
      <c r="L1131">
        <v>100</v>
      </c>
      <c r="M1131">
        <v>96</v>
      </c>
      <c r="N1131">
        <v>87</v>
      </c>
      <c r="O1131">
        <v>83</v>
      </c>
      <c r="P1131">
        <v>81</v>
      </c>
      <c r="Q1131">
        <v>95</v>
      </c>
      <c r="R1131">
        <f>SUM(student_scores[[#This Row],[math_score]:[geography_score]])</f>
        <v>638</v>
      </c>
      <c r="S1131" s="3">
        <f>student_scores[[#This Row],[Total_Score]]/7</f>
        <v>91.142857142857139</v>
      </c>
      <c r="T1131" s="3" t="str" cm="1">
        <f t="array" ref="T1131">_xlfn.IFS(student_scores[[#This Row],[weekly_self_study_hours]]&lt;=5,   "0 - 5", student_scores[[#This Row],[weekly_self_study_hours]]&lt;=10,  "6 - 10", student_scores[[#This Row],[weekly_self_study_hours]]&lt;=20,  "11 - 20",student_scores[[#This Row],[weekly_self_study_hours]]&lt;=30, "21 - 30",TRUE, "31+")</f>
        <v>11 - 20</v>
      </c>
      <c r="U1131" t="str" cm="1">
        <f t="array" ref="U1131">_xlfn.IFS(student_scores[[#This Row],[absence_days]]=0,"0", student_scores[[#This Row],[absence_days]]&lt;=3,"1-3", student_scores[[#This Row],[absence_days]]&lt;=6,"4-6", TRUE,"7-10")</f>
        <v>1-3</v>
      </c>
      <c r="V1131" t="str">
        <f>IF(student_scores[[#This Row],[Total_Score]] &gt;= _xlfn.PERCENTILE.INC(student_scores[Total_Score], 0.8), "Yes", "No")</f>
        <v>Yes</v>
      </c>
    </row>
    <row r="1132" spans="1:22" x14ac:dyDescent="0.35">
      <c r="A1132">
        <v>1131</v>
      </c>
      <c r="B1132" t="s">
        <v>413</v>
      </c>
      <c r="C1132" t="s">
        <v>2028</v>
      </c>
      <c r="D1132" t="s">
        <v>2029</v>
      </c>
      <c r="E1132" t="s">
        <v>20</v>
      </c>
      <c r="F1132" t="b">
        <v>0</v>
      </c>
      <c r="G1132">
        <v>2</v>
      </c>
      <c r="H1132" t="b">
        <v>0</v>
      </c>
      <c r="I1132">
        <v>11</v>
      </c>
      <c r="J1132" t="s">
        <v>105</v>
      </c>
      <c r="K1132">
        <v>88</v>
      </c>
      <c r="L1132">
        <v>98</v>
      </c>
      <c r="M1132">
        <v>81</v>
      </c>
      <c r="N1132">
        <v>61</v>
      </c>
      <c r="O1132">
        <v>62</v>
      </c>
      <c r="P1132">
        <v>96</v>
      </c>
      <c r="Q1132">
        <v>60</v>
      </c>
      <c r="R1132">
        <f>SUM(student_scores[[#This Row],[math_score]:[geography_score]])</f>
        <v>546</v>
      </c>
      <c r="S1132" s="3">
        <f>student_scores[[#This Row],[Total_Score]]/7</f>
        <v>78</v>
      </c>
      <c r="T1132" s="3" t="str" cm="1">
        <f t="array" ref="T1132">_xlfn.IFS(student_scores[[#This Row],[weekly_self_study_hours]]&lt;=5,   "0 - 5", student_scores[[#This Row],[weekly_self_study_hours]]&lt;=10,  "6 - 10", student_scores[[#This Row],[weekly_self_study_hours]]&lt;=20,  "11 - 20",student_scores[[#This Row],[weekly_self_study_hours]]&lt;=30, "21 - 30",TRUE, "31+")</f>
        <v>11 - 20</v>
      </c>
      <c r="U1132" t="str" cm="1">
        <f t="array" ref="U1132">_xlfn.IFS(student_scores[[#This Row],[absence_days]]=0,"0", student_scores[[#This Row],[absence_days]]&lt;=3,"1-3", student_scores[[#This Row],[absence_days]]&lt;=6,"4-6", TRUE,"7-10")</f>
        <v>1-3</v>
      </c>
      <c r="V1132" t="str">
        <f>IF(student_scores[[#This Row],[Total_Score]] &gt;= _xlfn.PERCENTILE.INC(student_scores[Total_Score], 0.8), "Yes", "No")</f>
        <v>No</v>
      </c>
    </row>
    <row r="1133" spans="1:22" x14ac:dyDescent="0.35">
      <c r="A1133">
        <v>1132</v>
      </c>
      <c r="B1133" t="s">
        <v>1843</v>
      </c>
      <c r="C1133" t="s">
        <v>520</v>
      </c>
      <c r="D1133" t="s">
        <v>2030</v>
      </c>
      <c r="E1133" t="s">
        <v>20</v>
      </c>
      <c r="F1133" t="b">
        <v>0</v>
      </c>
      <c r="G1133">
        <v>2</v>
      </c>
      <c r="H1133" t="b">
        <v>1</v>
      </c>
      <c r="I1133">
        <v>1</v>
      </c>
      <c r="J1133" t="s">
        <v>159</v>
      </c>
      <c r="K1133">
        <v>99</v>
      </c>
      <c r="L1133">
        <v>60</v>
      </c>
      <c r="M1133">
        <v>87</v>
      </c>
      <c r="N1133">
        <v>94</v>
      </c>
      <c r="O1133">
        <v>71</v>
      </c>
      <c r="P1133">
        <v>93</v>
      </c>
      <c r="Q1133">
        <v>93</v>
      </c>
      <c r="R1133">
        <f>SUM(student_scores[[#This Row],[math_score]:[geography_score]])</f>
        <v>597</v>
      </c>
      <c r="S1133" s="3">
        <f>student_scores[[#This Row],[Total_Score]]/7</f>
        <v>85.285714285714292</v>
      </c>
      <c r="T1133" s="3" t="str" cm="1">
        <f t="array" ref="T1133">_xlfn.IFS(student_scores[[#This Row],[weekly_self_study_hours]]&lt;=5,   "0 - 5", student_scores[[#This Row],[weekly_self_study_hours]]&lt;=10,  "6 - 10", student_scores[[#This Row],[weekly_self_study_hours]]&lt;=20,  "11 - 20",student_scores[[#This Row],[weekly_self_study_hours]]&lt;=30, "21 - 30",TRUE, "31+")</f>
        <v>0 - 5</v>
      </c>
      <c r="U1133" t="str" cm="1">
        <f t="array" ref="U1133">_xlfn.IFS(student_scores[[#This Row],[absence_days]]=0,"0", student_scores[[#This Row],[absence_days]]&lt;=3,"1-3", student_scores[[#This Row],[absence_days]]&lt;=6,"4-6", TRUE,"7-10")</f>
        <v>1-3</v>
      </c>
      <c r="V1133" t="str">
        <f>IF(student_scores[[#This Row],[Total_Score]] &gt;= _xlfn.PERCENTILE.INC(student_scores[Total_Score], 0.8), "Yes", "No")</f>
        <v>No</v>
      </c>
    </row>
    <row r="1134" spans="1:22" x14ac:dyDescent="0.35">
      <c r="A1134">
        <v>1133</v>
      </c>
      <c r="B1134" t="s">
        <v>130</v>
      </c>
      <c r="C1134" t="s">
        <v>1167</v>
      </c>
      <c r="D1134" t="s">
        <v>2031</v>
      </c>
      <c r="E1134" t="s">
        <v>25</v>
      </c>
      <c r="F1134" t="b">
        <v>0</v>
      </c>
      <c r="G1134">
        <v>4</v>
      </c>
      <c r="H1134" t="b">
        <v>0</v>
      </c>
      <c r="I1134">
        <v>14</v>
      </c>
      <c r="J1134" t="s">
        <v>54</v>
      </c>
      <c r="K1134">
        <v>86</v>
      </c>
      <c r="L1134">
        <v>99</v>
      </c>
      <c r="M1134">
        <v>64</v>
      </c>
      <c r="N1134">
        <v>88</v>
      </c>
      <c r="O1134">
        <v>84</v>
      </c>
      <c r="P1134">
        <v>95</v>
      </c>
      <c r="Q1134">
        <v>97</v>
      </c>
      <c r="R1134">
        <f>SUM(student_scores[[#This Row],[math_score]:[geography_score]])</f>
        <v>613</v>
      </c>
      <c r="S1134" s="3">
        <f>student_scores[[#This Row],[Total_Score]]/7</f>
        <v>87.571428571428569</v>
      </c>
      <c r="T1134" s="3" t="str" cm="1">
        <f t="array" ref="T1134">_xlfn.IFS(student_scores[[#This Row],[weekly_self_study_hours]]&lt;=5,   "0 - 5", student_scores[[#This Row],[weekly_self_study_hours]]&lt;=10,  "6 - 10", student_scores[[#This Row],[weekly_self_study_hours]]&lt;=20,  "11 - 20",student_scores[[#This Row],[weekly_self_study_hours]]&lt;=30, "21 - 30",TRUE, "31+")</f>
        <v>11 - 20</v>
      </c>
      <c r="U1134" t="str" cm="1">
        <f t="array" ref="U1134">_xlfn.IFS(student_scores[[#This Row],[absence_days]]=0,"0", student_scores[[#This Row],[absence_days]]&lt;=3,"1-3", student_scores[[#This Row],[absence_days]]&lt;=6,"4-6", TRUE,"7-10")</f>
        <v>4-6</v>
      </c>
      <c r="V1134" t="str">
        <f>IF(student_scores[[#This Row],[Total_Score]] &gt;= _xlfn.PERCENTILE.INC(student_scores[Total_Score], 0.8), "Yes", "No")</f>
        <v>Yes</v>
      </c>
    </row>
    <row r="1135" spans="1:22" x14ac:dyDescent="0.35">
      <c r="A1135">
        <v>1134</v>
      </c>
      <c r="B1135" t="s">
        <v>1034</v>
      </c>
      <c r="C1135" t="s">
        <v>329</v>
      </c>
      <c r="D1135" t="s">
        <v>2032</v>
      </c>
      <c r="E1135" t="s">
        <v>25</v>
      </c>
      <c r="F1135" t="b">
        <v>0</v>
      </c>
      <c r="G1135">
        <v>4</v>
      </c>
      <c r="H1135" t="b">
        <v>1</v>
      </c>
      <c r="I1135">
        <v>11</v>
      </c>
      <c r="J1135" t="s">
        <v>123</v>
      </c>
      <c r="K1135">
        <v>96</v>
      </c>
      <c r="L1135">
        <v>61</v>
      </c>
      <c r="M1135">
        <v>85</v>
      </c>
      <c r="N1135">
        <v>87</v>
      </c>
      <c r="O1135">
        <v>83</v>
      </c>
      <c r="P1135">
        <v>80</v>
      </c>
      <c r="Q1135">
        <v>79</v>
      </c>
      <c r="R1135">
        <f>SUM(student_scores[[#This Row],[math_score]:[geography_score]])</f>
        <v>571</v>
      </c>
      <c r="S1135" s="3">
        <f>student_scores[[#This Row],[Total_Score]]/7</f>
        <v>81.571428571428569</v>
      </c>
      <c r="T1135" s="3" t="str" cm="1">
        <f t="array" ref="T1135">_xlfn.IFS(student_scores[[#This Row],[weekly_self_study_hours]]&lt;=5,   "0 - 5", student_scores[[#This Row],[weekly_self_study_hours]]&lt;=10,  "6 - 10", student_scores[[#This Row],[weekly_self_study_hours]]&lt;=20,  "11 - 20",student_scores[[#This Row],[weekly_self_study_hours]]&lt;=30, "21 - 30",TRUE, "31+")</f>
        <v>11 - 20</v>
      </c>
      <c r="U1135" t="str" cm="1">
        <f t="array" ref="U1135">_xlfn.IFS(student_scores[[#This Row],[absence_days]]=0,"0", student_scores[[#This Row],[absence_days]]&lt;=3,"1-3", student_scores[[#This Row],[absence_days]]&lt;=6,"4-6", TRUE,"7-10")</f>
        <v>4-6</v>
      </c>
      <c r="V1135" t="str">
        <f>IF(student_scores[[#This Row],[Total_Score]] &gt;= _xlfn.PERCENTILE.INC(student_scores[Total_Score], 0.8), "Yes", "No")</f>
        <v>No</v>
      </c>
    </row>
    <row r="1136" spans="1:22" x14ac:dyDescent="0.35">
      <c r="A1136">
        <v>1135</v>
      </c>
      <c r="B1136" t="s">
        <v>465</v>
      </c>
      <c r="C1136" t="s">
        <v>32</v>
      </c>
      <c r="D1136" t="s">
        <v>2033</v>
      </c>
      <c r="E1136" t="s">
        <v>25</v>
      </c>
      <c r="F1136" t="b">
        <v>0</v>
      </c>
      <c r="G1136">
        <v>3</v>
      </c>
      <c r="H1136" t="b">
        <v>0</v>
      </c>
      <c r="I1136">
        <v>28</v>
      </c>
      <c r="J1136" t="s">
        <v>21</v>
      </c>
      <c r="K1136">
        <v>87</v>
      </c>
      <c r="L1136">
        <v>99</v>
      </c>
      <c r="M1136">
        <v>70</v>
      </c>
      <c r="N1136">
        <v>81</v>
      </c>
      <c r="O1136">
        <v>62</v>
      </c>
      <c r="P1136">
        <v>90</v>
      </c>
      <c r="Q1136">
        <v>91</v>
      </c>
      <c r="R1136">
        <f>SUM(student_scores[[#This Row],[math_score]:[geography_score]])</f>
        <v>580</v>
      </c>
      <c r="S1136" s="3">
        <f>student_scores[[#This Row],[Total_Score]]/7</f>
        <v>82.857142857142861</v>
      </c>
      <c r="T1136" s="3" t="str" cm="1">
        <f t="array" ref="T1136">_xlfn.IFS(student_scores[[#This Row],[weekly_self_study_hours]]&lt;=5,   "0 - 5", student_scores[[#This Row],[weekly_self_study_hours]]&lt;=10,  "6 - 10", student_scores[[#This Row],[weekly_self_study_hours]]&lt;=20,  "11 - 20",student_scores[[#This Row],[weekly_self_study_hours]]&lt;=30, "21 - 30",TRUE, "31+")</f>
        <v>21 - 30</v>
      </c>
      <c r="U1136" t="str" cm="1">
        <f t="array" ref="U1136">_xlfn.IFS(student_scores[[#This Row],[absence_days]]=0,"0", student_scores[[#This Row],[absence_days]]&lt;=3,"1-3", student_scores[[#This Row],[absence_days]]&lt;=6,"4-6", TRUE,"7-10")</f>
        <v>1-3</v>
      </c>
      <c r="V1136" t="str">
        <f>IF(student_scores[[#This Row],[Total_Score]] &gt;= _xlfn.PERCENTILE.INC(student_scores[Total_Score], 0.8), "Yes", "No")</f>
        <v>No</v>
      </c>
    </row>
    <row r="1137" spans="1:22" x14ac:dyDescent="0.35">
      <c r="A1137">
        <v>1136</v>
      </c>
      <c r="B1137" t="s">
        <v>348</v>
      </c>
      <c r="C1137" t="s">
        <v>658</v>
      </c>
      <c r="D1137" t="s">
        <v>2034</v>
      </c>
      <c r="E1137" t="s">
        <v>20</v>
      </c>
      <c r="F1137" t="b">
        <v>0</v>
      </c>
      <c r="G1137">
        <v>6</v>
      </c>
      <c r="H1137" t="b">
        <v>0</v>
      </c>
      <c r="I1137">
        <v>18</v>
      </c>
      <c r="J1137" t="s">
        <v>44</v>
      </c>
      <c r="K1137">
        <v>89</v>
      </c>
      <c r="L1137">
        <v>90</v>
      </c>
      <c r="M1137">
        <v>96</v>
      </c>
      <c r="N1137">
        <v>97</v>
      </c>
      <c r="O1137">
        <v>87</v>
      </c>
      <c r="P1137">
        <v>84</v>
      </c>
      <c r="Q1137">
        <v>63</v>
      </c>
      <c r="R1137">
        <f>SUM(student_scores[[#This Row],[math_score]:[geography_score]])</f>
        <v>606</v>
      </c>
      <c r="S1137" s="3">
        <f>student_scores[[#This Row],[Total_Score]]/7</f>
        <v>86.571428571428569</v>
      </c>
      <c r="T1137" s="3" t="str" cm="1">
        <f t="array" ref="T1137">_xlfn.IFS(student_scores[[#This Row],[weekly_self_study_hours]]&lt;=5,   "0 - 5", student_scores[[#This Row],[weekly_self_study_hours]]&lt;=10,  "6 - 10", student_scores[[#This Row],[weekly_self_study_hours]]&lt;=20,  "11 - 20",student_scores[[#This Row],[weekly_self_study_hours]]&lt;=30, "21 - 30",TRUE, "31+")</f>
        <v>11 - 20</v>
      </c>
      <c r="U1137" t="str" cm="1">
        <f t="array" ref="U1137">_xlfn.IFS(student_scores[[#This Row],[absence_days]]=0,"0", student_scores[[#This Row],[absence_days]]&lt;=3,"1-3", student_scores[[#This Row],[absence_days]]&lt;=6,"4-6", TRUE,"7-10")</f>
        <v>4-6</v>
      </c>
      <c r="V1137" t="str">
        <f>IF(student_scores[[#This Row],[Total_Score]] &gt;= _xlfn.PERCENTILE.INC(student_scores[Total_Score], 0.8), "Yes", "No")</f>
        <v>Yes</v>
      </c>
    </row>
    <row r="1138" spans="1:22" x14ac:dyDescent="0.35">
      <c r="A1138">
        <v>1137</v>
      </c>
      <c r="B1138" t="s">
        <v>1535</v>
      </c>
      <c r="C1138" t="s">
        <v>1186</v>
      </c>
      <c r="D1138" t="s">
        <v>2035</v>
      </c>
      <c r="E1138" t="s">
        <v>25</v>
      </c>
      <c r="F1138" t="b">
        <v>0</v>
      </c>
      <c r="G1138">
        <v>1</v>
      </c>
      <c r="H1138" t="b">
        <v>0</v>
      </c>
      <c r="I1138">
        <v>31</v>
      </c>
      <c r="J1138" t="s">
        <v>109</v>
      </c>
      <c r="K1138">
        <v>77</v>
      </c>
      <c r="L1138">
        <v>98</v>
      </c>
      <c r="M1138">
        <v>67</v>
      </c>
      <c r="N1138">
        <v>67</v>
      </c>
      <c r="O1138">
        <v>80</v>
      </c>
      <c r="P1138">
        <v>90</v>
      </c>
      <c r="Q1138">
        <v>66</v>
      </c>
      <c r="R1138">
        <f>SUM(student_scores[[#This Row],[math_score]:[geography_score]])</f>
        <v>545</v>
      </c>
      <c r="S1138" s="3">
        <f>student_scores[[#This Row],[Total_Score]]/7</f>
        <v>77.857142857142861</v>
      </c>
      <c r="T1138" s="3" t="str" cm="1">
        <f t="array" ref="T1138">_xlfn.IFS(student_scores[[#This Row],[weekly_self_study_hours]]&lt;=5,   "0 - 5", student_scores[[#This Row],[weekly_self_study_hours]]&lt;=10,  "6 - 10", student_scores[[#This Row],[weekly_self_study_hours]]&lt;=20,  "11 - 20",student_scores[[#This Row],[weekly_self_study_hours]]&lt;=30, "21 - 30",TRUE, "31+")</f>
        <v>31+</v>
      </c>
      <c r="U1138" t="str" cm="1">
        <f t="array" ref="U1138">_xlfn.IFS(student_scores[[#This Row],[absence_days]]=0,"0", student_scores[[#This Row],[absence_days]]&lt;=3,"1-3", student_scores[[#This Row],[absence_days]]&lt;=6,"4-6", TRUE,"7-10")</f>
        <v>1-3</v>
      </c>
      <c r="V1138" t="str">
        <f>IF(student_scores[[#This Row],[Total_Score]] &gt;= _xlfn.PERCENTILE.INC(student_scores[Total_Score], 0.8), "Yes", "No")</f>
        <v>No</v>
      </c>
    </row>
    <row r="1139" spans="1:22" x14ac:dyDescent="0.35">
      <c r="A1139">
        <v>1138</v>
      </c>
      <c r="B1139" t="s">
        <v>2036</v>
      </c>
      <c r="C1139" t="s">
        <v>2037</v>
      </c>
      <c r="D1139" t="s">
        <v>2038</v>
      </c>
      <c r="E1139" t="s">
        <v>25</v>
      </c>
      <c r="F1139" t="b">
        <v>1</v>
      </c>
      <c r="G1139">
        <v>6</v>
      </c>
      <c r="H1139" t="b">
        <v>0</v>
      </c>
      <c r="I1139">
        <v>2</v>
      </c>
      <c r="J1139" t="s">
        <v>64</v>
      </c>
      <c r="K1139">
        <v>57</v>
      </c>
      <c r="L1139">
        <v>71</v>
      </c>
      <c r="M1139">
        <v>51</v>
      </c>
      <c r="N1139">
        <v>59</v>
      </c>
      <c r="O1139">
        <v>84</v>
      </c>
      <c r="P1139">
        <v>74</v>
      </c>
      <c r="Q1139">
        <v>68</v>
      </c>
      <c r="R1139">
        <f>SUM(student_scores[[#This Row],[math_score]:[geography_score]])</f>
        <v>464</v>
      </c>
      <c r="S1139" s="3">
        <f>student_scores[[#This Row],[Total_Score]]/7</f>
        <v>66.285714285714292</v>
      </c>
      <c r="T1139" s="3" t="str" cm="1">
        <f t="array" ref="T1139">_xlfn.IFS(student_scores[[#This Row],[weekly_self_study_hours]]&lt;=5,   "0 - 5", student_scores[[#This Row],[weekly_self_study_hours]]&lt;=10,  "6 - 10", student_scores[[#This Row],[weekly_self_study_hours]]&lt;=20,  "11 - 20",student_scores[[#This Row],[weekly_self_study_hours]]&lt;=30, "21 - 30",TRUE, "31+")</f>
        <v>0 - 5</v>
      </c>
      <c r="U1139" t="str" cm="1">
        <f t="array" ref="U1139">_xlfn.IFS(student_scores[[#This Row],[absence_days]]=0,"0", student_scores[[#This Row],[absence_days]]&lt;=3,"1-3", student_scores[[#This Row],[absence_days]]&lt;=6,"4-6", TRUE,"7-10")</f>
        <v>4-6</v>
      </c>
      <c r="V1139" t="str">
        <f>IF(student_scores[[#This Row],[Total_Score]] &gt;= _xlfn.PERCENTILE.INC(student_scores[Total_Score], 0.8), "Yes", "No")</f>
        <v>No</v>
      </c>
    </row>
    <row r="1140" spans="1:22" x14ac:dyDescent="0.35">
      <c r="A1140">
        <v>1139</v>
      </c>
      <c r="B1140" t="s">
        <v>845</v>
      </c>
      <c r="C1140" t="s">
        <v>1007</v>
      </c>
      <c r="D1140" t="s">
        <v>2039</v>
      </c>
      <c r="E1140" t="s">
        <v>25</v>
      </c>
      <c r="F1140" t="b">
        <v>0</v>
      </c>
      <c r="G1140">
        <v>0</v>
      </c>
      <c r="H1140" t="b">
        <v>0</v>
      </c>
      <c r="I1140">
        <v>32</v>
      </c>
      <c r="J1140" t="s">
        <v>113</v>
      </c>
      <c r="K1140">
        <v>88</v>
      </c>
      <c r="L1140">
        <v>93</v>
      </c>
      <c r="M1140">
        <v>91</v>
      </c>
      <c r="N1140">
        <v>92</v>
      </c>
      <c r="O1140">
        <v>53</v>
      </c>
      <c r="P1140">
        <v>65</v>
      </c>
      <c r="Q1140">
        <v>88</v>
      </c>
      <c r="R1140">
        <f>SUM(student_scores[[#This Row],[math_score]:[geography_score]])</f>
        <v>570</v>
      </c>
      <c r="S1140" s="3">
        <f>student_scores[[#This Row],[Total_Score]]/7</f>
        <v>81.428571428571431</v>
      </c>
      <c r="T1140" s="3" t="str" cm="1">
        <f t="array" ref="T1140">_xlfn.IFS(student_scores[[#This Row],[weekly_self_study_hours]]&lt;=5,   "0 - 5", student_scores[[#This Row],[weekly_self_study_hours]]&lt;=10,  "6 - 10", student_scores[[#This Row],[weekly_self_study_hours]]&lt;=20,  "11 - 20",student_scores[[#This Row],[weekly_self_study_hours]]&lt;=30, "21 - 30",TRUE, "31+")</f>
        <v>31+</v>
      </c>
      <c r="U1140" t="str" cm="1">
        <f t="array" ref="U1140">_xlfn.IFS(student_scores[[#This Row],[absence_days]]=0,"0", student_scores[[#This Row],[absence_days]]&lt;=3,"1-3", student_scores[[#This Row],[absence_days]]&lt;=6,"4-6", TRUE,"7-10")</f>
        <v>0</v>
      </c>
      <c r="V1140" t="str">
        <f>IF(student_scores[[#This Row],[Total_Score]] &gt;= _xlfn.PERCENTILE.INC(student_scores[Total_Score], 0.8), "Yes", "No")</f>
        <v>No</v>
      </c>
    </row>
    <row r="1141" spans="1:22" x14ac:dyDescent="0.35">
      <c r="A1141">
        <v>1140</v>
      </c>
      <c r="B1141" t="s">
        <v>655</v>
      </c>
      <c r="C1141" t="s">
        <v>1492</v>
      </c>
      <c r="D1141" t="s">
        <v>2040</v>
      </c>
      <c r="E1141" t="s">
        <v>25</v>
      </c>
      <c r="F1141" t="b">
        <v>0</v>
      </c>
      <c r="G1141">
        <v>3</v>
      </c>
      <c r="H1141" t="b">
        <v>0</v>
      </c>
      <c r="I1141">
        <v>3</v>
      </c>
      <c r="J1141" t="s">
        <v>224</v>
      </c>
      <c r="K1141">
        <v>56</v>
      </c>
      <c r="L1141">
        <v>75</v>
      </c>
      <c r="M1141">
        <v>78</v>
      </c>
      <c r="N1141">
        <v>82</v>
      </c>
      <c r="O1141">
        <v>98</v>
      </c>
      <c r="P1141">
        <v>99</v>
      </c>
      <c r="Q1141">
        <v>81</v>
      </c>
      <c r="R1141">
        <f>SUM(student_scores[[#This Row],[math_score]:[geography_score]])</f>
        <v>569</v>
      </c>
      <c r="S1141" s="3">
        <f>student_scores[[#This Row],[Total_Score]]/7</f>
        <v>81.285714285714292</v>
      </c>
      <c r="T1141" s="3" t="str" cm="1">
        <f t="array" ref="T1141">_xlfn.IFS(student_scores[[#This Row],[weekly_self_study_hours]]&lt;=5,   "0 - 5", student_scores[[#This Row],[weekly_self_study_hours]]&lt;=10,  "6 - 10", student_scores[[#This Row],[weekly_self_study_hours]]&lt;=20,  "11 - 20",student_scores[[#This Row],[weekly_self_study_hours]]&lt;=30, "21 - 30",TRUE, "31+")</f>
        <v>0 - 5</v>
      </c>
      <c r="U1141" t="str" cm="1">
        <f t="array" ref="U1141">_xlfn.IFS(student_scores[[#This Row],[absence_days]]=0,"0", student_scores[[#This Row],[absence_days]]&lt;=3,"1-3", student_scores[[#This Row],[absence_days]]&lt;=6,"4-6", TRUE,"7-10")</f>
        <v>1-3</v>
      </c>
      <c r="V1141" t="str">
        <f>IF(student_scores[[#This Row],[Total_Score]] &gt;= _xlfn.PERCENTILE.INC(student_scores[Total_Score], 0.8), "Yes", "No")</f>
        <v>No</v>
      </c>
    </row>
    <row r="1142" spans="1:22" x14ac:dyDescent="0.35">
      <c r="A1142">
        <v>1141</v>
      </c>
      <c r="B1142" t="s">
        <v>68</v>
      </c>
      <c r="C1142" t="s">
        <v>995</v>
      </c>
      <c r="D1142" t="s">
        <v>2041</v>
      </c>
      <c r="E1142" t="s">
        <v>25</v>
      </c>
      <c r="F1142" t="b">
        <v>1</v>
      </c>
      <c r="G1142">
        <v>1</v>
      </c>
      <c r="H1142" t="b">
        <v>0</v>
      </c>
      <c r="I1142">
        <v>33</v>
      </c>
      <c r="J1142" t="s">
        <v>113</v>
      </c>
      <c r="K1142">
        <v>94</v>
      </c>
      <c r="L1142">
        <v>79</v>
      </c>
      <c r="M1142">
        <v>64</v>
      </c>
      <c r="N1142">
        <v>79</v>
      </c>
      <c r="O1142">
        <v>96</v>
      </c>
      <c r="P1142">
        <v>98</v>
      </c>
      <c r="Q1142">
        <v>93</v>
      </c>
      <c r="R1142">
        <f>SUM(student_scores[[#This Row],[math_score]:[geography_score]])</f>
        <v>603</v>
      </c>
      <c r="S1142" s="3">
        <f>student_scores[[#This Row],[Total_Score]]/7</f>
        <v>86.142857142857139</v>
      </c>
      <c r="T1142" s="3" t="str" cm="1">
        <f t="array" ref="T1142">_xlfn.IFS(student_scores[[#This Row],[weekly_self_study_hours]]&lt;=5,   "0 - 5", student_scores[[#This Row],[weekly_self_study_hours]]&lt;=10,  "6 - 10", student_scores[[#This Row],[weekly_self_study_hours]]&lt;=20,  "11 - 20",student_scores[[#This Row],[weekly_self_study_hours]]&lt;=30, "21 - 30",TRUE, "31+")</f>
        <v>31+</v>
      </c>
      <c r="U1142" t="str" cm="1">
        <f t="array" ref="U1142">_xlfn.IFS(student_scores[[#This Row],[absence_days]]=0,"0", student_scores[[#This Row],[absence_days]]&lt;=3,"1-3", student_scores[[#This Row],[absence_days]]&lt;=6,"4-6", TRUE,"7-10")</f>
        <v>1-3</v>
      </c>
      <c r="V1142" t="str">
        <f>IF(student_scores[[#This Row],[Total_Score]] &gt;= _xlfn.PERCENTILE.INC(student_scores[Total_Score], 0.8), "Yes", "No")</f>
        <v>Yes</v>
      </c>
    </row>
    <row r="1143" spans="1:22" x14ac:dyDescent="0.35">
      <c r="A1143">
        <v>1142</v>
      </c>
      <c r="B1143" t="s">
        <v>1357</v>
      </c>
      <c r="C1143" t="s">
        <v>2042</v>
      </c>
      <c r="D1143" t="s">
        <v>2043</v>
      </c>
      <c r="E1143" t="s">
        <v>25</v>
      </c>
      <c r="F1143" t="b">
        <v>0</v>
      </c>
      <c r="G1143">
        <v>3</v>
      </c>
      <c r="H1143" t="b">
        <v>0</v>
      </c>
      <c r="I1143">
        <v>4</v>
      </c>
      <c r="J1143" t="s">
        <v>64</v>
      </c>
      <c r="K1143">
        <v>57</v>
      </c>
      <c r="L1143">
        <v>71</v>
      </c>
      <c r="M1143">
        <v>76</v>
      </c>
      <c r="N1143">
        <v>59</v>
      </c>
      <c r="O1143">
        <v>58</v>
      </c>
      <c r="P1143">
        <v>84</v>
      </c>
      <c r="Q1143">
        <v>73</v>
      </c>
      <c r="R1143">
        <f>SUM(student_scores[[#This Row],[math_score]:[geography_score]])</f>
        <v>478</v>
      </c>
      <c r="S1143" s="3">
        <f>student_scores[[#This Row],[Total_Score]]/7</f>
        <v>68.285714285714292</v>
      </c>
      <c r="T1143" s="3" t="str" cm="1">
        <f t="array" ref="T1143">_xlfn.IFS(student_scores[[#This Row],[weekly_self_study_hours]]&lt;=5,   "0 - 5", student_scores[[#This Row],[weekly_self_study_hours]]&lt;=10,  "6 - 10", student_scores[[#This Row],[weekly_self_study_hours]]&lt;=20,  "11 - 20",student_scores[[#This Row],[weekly_self_study_hours]]&lt;=30, "21 - 30",TRUE, "31+")</f>
        <v>0 - 5</v>
      </c>
      <c r="U1143" t="str" cm="1">
        <f t="array" ref="U1143">_xlfn.IFS(student_scores[[#This Row],[absence_days]]=0,"0", student_scores[[#This Row],[absence_days]]&lt;=3,"1-3", student_scores[[#This Row],[absence_days]]&lt;=6,"4-6", TRUE,"7-10")</f>
        <v>1-3</v>
      </c>
      <c r="V1143" t="str">
        <f>IF(student_scores[[#This Row],[Total_Score]] &gt;= _xlfn.PERCENTILE.INC(student_scores[Total_Score], 0.8), "Yes", "No")</f>
        <v>No</v>
      </c>
    </row>
    <row r="1144" spans="1:22" x14ac:dyDescent="0.35">
      <c r="A1144">
        <v>1143</v>
      </c>
      <c r="B1144" t="s">
        <v>593</v>
      </c>
      <c r="C1144" t="s">
        <v>2044</v>
      </c>
      <c r="D1144" t="s">
        <v>2045</v>
      </c>
      <c r="E1144" t="s">
        <v>25</v>
      </c>
      <c r="F1144" t="b">
        <v>1</v>
      </c>
      <c r="G1144">
        <v>4</v>
      </c>
      <c r="H1144" t="b">
        <v>0</v>
      </c>
      <c r="I1144">
        <v>0</v>
      </c>
      <c r="J1144" t="s">
        <v>64</v>
      </c>
      <c r="K1144">
        <v>81</v>
      </c>
      <c r="L1144">
        <v>86</v>
      </c>
      <c r="M1144">
        <v>68</v>
      </c>
      <c r="N1144">
        <v>65</v>
      </c>
      <c r="O1144">
        <v>87</v>
      </c>
      <c r="P1144">
        <v>78</v>
      </c>
      <c r="Q1144">
        <v>82</v>
      </c>
      <c r="R1144">
        <f>SUM(student_scores[[#This Row],[math_score]:[geography_score]])</f>
        <v>547</v>
      </c>
      <c r="S1144" s="3">
        <f>student_scores[[#This Row],[Total_Score]]/7</f>
        <v>78.142857142857139</v>
      </c>
      <c r="T1144" s="3" t="str" cm="1">
        <f t="array" ref="T1144">_xlfn.IFS(student_scores[[#This Row],[weekly_self_study_hours]]&lt;=5,   "0 - 5", student_scores[[#This Row],[weekly_self_study_hours]]&lt;=10,  "6 - 10", student_scores[[#This Row],[weekly_self_study_hours]]&lt;=20,  "11 - 20",student_scores[[#This Row],[weekly_self_study_hours]]&lt;=30, "21 - 30",TRUE, "31+")</f>
        <v>0 - 5</v>
      </c>
      <c r="U1144" t="str" cm="1">
        <f t="array" ref="U1144">_xlfn.IFS(student_scores[[#This Row],[absence_days]]=0,"0", student_scores[[#This Row],[absence_days]]&lt;=3,"1-3", student_scores[[#This Row],[absence_days]]&lt;=6,"4-6", TRUE,"7-10")</f>
        <v>4-6</v>
      </c>
      <c r="V1144" t="str">
        <f>IF(student_scores[[#This Row],[Total_Score]] &gt;= _xlfn.PERCENTILE.INC(student_scores[Total_Score], 0.8), "Yes", "No")</f>
        <v>No</v>
      </c>
    </row>
    <row r="1145" spans="1:22" x14ac:dyDescent="0.35">
      <c r="A1145">
        <v>1144</v>
      </c>
      <c r="B1145" t="s">
        <v>555</v>
      </c>
      <c r="C1145" t="s">
        <v>28</v>
      </c>
      <c r="D1145" t="s">
        <v>2046</v>
      </c>
      <c r="E1145" t="s">
        <v>25</v>
      </c>
      <c r="F1145" t="b">
        <v>0</v>
      </c>
      <c r="G1145">
        <v>2</v>
      </c>
      <c r="H1145" t="b">
        <v>0</v>
      </c>
      <c r="I1145">
        <v>10</v>
      </c>
      <c r="J1145" t="s">
        <v>172</v>
      </c>
      <c r="K1145">
        <v>96</v>
      </c>
      <c r="L1145">
        <v>83</v>
      </c>
      <c r="M1145">
        <v>64</v>
      </c>
      <c r="N1145">
        <v>84</v>
      </c>
      <c r="O1145">
        <v>98</v>
      </c>
      <c r="P1145">
        <v>79</v>
      </c>
      <c r="Q1145">
        <v>99</v>
      </c>
      <c r="R1145">
        <f>SUM(student_scores[[#This Row],[math_score]:[geography_score]])</f>
        <v>603</v>
      </c>
      <c r="S1145" s="3">
        <f>student_scores[[#This Row],[Total_Score]]/7</f>
        <v>86.142857142857139</v>
      </c>
      <c r="T1145" s="3" t="str" cm="1">
        <f t="array" ref="T1145">_xlfn.IFS(student_scores[[#This Row],[weekly_self_study_hours]]&lt;=5,   "0 - 5", student_scores[[#This Row],[weekly_self_study_hours]]&lt;=10,  "6 - 10", student_scores[[#This Row],[weekly_self_study_hours]]&lt;=20,  "11 - 20",student_scores[[#This Row],[weekly_self_study_hours]]&lt;=30, "21 - 30",TRUE, "31+")</f>
        <v>6 - 10</v>
      </c>
      <c r="U1145" t="str" cm="1">
        <f t="array" ref="U1145">_xlfn.IFS(student_scores[[#This Row],[absence_days]]=0,"0", student_scores[[#This Row],[absence_days]]&lt;=3,"1-3", student_scores[[#This Row],[absence_days]]&lt;=6,"4-6", TRUE,"7-10")</f>
        <v>1-3</v>
      </c>
      <c r="V1145" t="str">
        <f>IF(student_scores[[#This Row],[Total_Score]] &gt;= _xlfn.PERCENTILE.INC(student_scores[Total_Score], 0.8), "Yes", "No")</f>
        <v>Yes</v>
      </c>
    </row>
    <row r="1146" spans="1:22" x14ac:dyDescent="0.35">
      <c r="A1146">
        <v>1145</v>
      </c>
      <c r="B1146" t="s">
        <v>527</v>
      </c>
      <c r="C1146" t="s">
        <v>739</v>
      </c>
      <c r="D1146" t="s">
        <v>2047</v>
      </c>
      <c r="E1146" t="s">
        <v>25</v>
      </c>
      <c r="F1146" t="b">
        <v>0</v>
      </c>
      <c r="G1146">
        <v>8</v>
      </c>
      <c r="H1146" t="b">
        <v>0</v>
      </c>
      <c r="I1146">
        <v>11</v>
      </c>
      <c r="J1146" t="s">
        <v>105</v>
      </c>
      <c r="K1146">
        <v>97</v>
      </c>
      <c r="L1146">
        <v>66</v>
      </c>
      <c r="M1146">
        <v>76</v>
      </c>
      <c r="N1146">
        <v>80</v>
      </c>
      <c r="O1146">
        <v>81</v>
      </c>
      <c r="P1146">
        <v>82</v>
      </c>
      <c r="Q1146">
        <v>64</v>
      </c>
      <c r="R1146">
        <f>SUM(student_scores[[#This Row],[math_score]:[geography_score]])</f>
        <v>546</v>
      </c>
      <c r="S1146" s="3">
        <f>student_scores[[#This Row],[Total_Score]]/7</f>
        <v>78</v>
      </c>
      <c r="T1146" s="3" t="str" cm="1">
        <f t="array" ref="T1146">_xlfn.IFS(student_scores[[#This Row],[weekly_self_study_hours]]&lt;=5,   "0 - 5", student_scores[[#This Row],[weekly_self_study_hours]]&lt;=10,  "6 - 10", student_scores[[#This Row],[weekly_self_study_hours]]&lt;=20,  "11 - 20",student_scores[[#This Row],[weekly_self_study_hours]]&lt;=30, "21 - 30",TRUE, "31+")</f>
        <v>11 - 20</v>
      </c>
      <c r="U1146" t="str" cm="1">
        <f t="array" ref="U1146">_xlfn.IFS(student_scores[[#This Row],[absence_days]]=0,"0", student_scores[[#This Row],[absence_days]]&lt;=3,"1-3", student_scores[[#This Row],[absence_days]]&lt;=6,"4-6", TRUE,"7-10")</f>
        <v>7-10</v>
      </c>
      <c r="V1146" t="str">
        <f>IF(student_scores[[#This Row],[Total_Score]] &gt;= _xlfn.PERCENTILE.INC(student_scores[Total_Score], 0.8), "Yes", "No")</f>
        <v>No</v>
      </c>
    </row>
    <row r="1147" spans="1:22" x14ac:dyDescent="0.35">
      <c r="A1147">
        <v>1146</v>
      </c>
      <c r="B1147" t="s">
        <v>139</v>
      </c>
      <c r="C1147" t="s">
        <v>2048</v>
      </c>
      <c r="D1147" t="s">
        <v>2049</v>
      </c>
      <c r="E1147" t="s">
        <v>20</v>
      </c>
      <c r="F1147" t="b">
        <v>0</v>
      </c>
      <c r="G1147">
        <v>3</v>
      </c>
      <c r="H1147" t="b">
        <v>0</v>
      </c>
      <c r="I1147">
        <v>5</v>
      </c>
      <c r="J1147" t="s">
        <v>159</v>
      </c>
      <c r="K1147">
        <v>86</v>
      </c>
      <c r="L1147">
        <v>76</v>
      </c>
      <c r="M1147">
        <v>92</v>
      </c>
      <c r="N1147">
        <v>86</v>
      </c>
      <c r="O1147">
        <v>75</v>
      </c>
      <c r="P1147">
        <v>67</v>
      </c>
      <c r="Q1147">
        <v>79</v>
      </c>
      <c r="R1147">
        <f>SUM(student_scores[[#This Row],[math_score]:[geography_score]])</f>
        <v>561</v>
      </c>
      <c r="S1147" s="3">
        <f>student_scores[[#This Row],[Total_Score]]/7</f>
        <v>80.142857142857139</v>
      </c>
      <c r="T1147" s="3" t="str" cm="1">
        <f t="array" ref="T1147">_xlfn.IFS(student_scores[[#This Row],[weekly_self_study_hours]]&lt;=5,   "0 - 5", student_scores[[#This Row],[weekly_self_study_hours]]&lt;=10,  "6 - 10", student_scores[[#This Row],[weekly_self_study_hours]]&lt;=20,  "11 - 20",student_scores[[#This Row],[weekly_self_study_hours]]&lt;=30, "21 - 30",TRUE, "31+")</f>
        <v>0 - 5</v>
      </c>
      <c r="U1147" t="str" cm="1">
        <f t="array" ref="U1147">_xlfn.IFS(student_scores[[#This Row],[absence_days]]=0,"0", student_scores[[#This Row],[absence_days]]&lt;=3,"1-3", student_scores[[#This Row],[absence_days]]&lt;=6,"4-6", TRUE,"7-10")</f>
        <v>1-3</v>
      </c>
      <c r="V1147" t="str">
        <f>IF(student_scores[[#This Row],[Total_Score]] &gt;= _xlfn.PERCENTILE.INC(student_scores[Total_Score], 0.8), "Yes", "No")</f>
        <v>No</v>
      </c>
    </row>
    <row r="1148" spans="1:22" x14ac:dyDescent="0.35">
      <c r="A1148">
        <v>1147</v>
      </c>
      <c r="B1148" t="s">
        <v>208</v>
      </c>
      <c r="C1148" t="s">
        <v>520</v>
      </c>
      <c r="D1148" t="s">
        <v>2050</v>
      </c>
      <c r="E1148" t="s">
        <v>20</v>
      </c>
      <c r="F1148" t="b">
        <v>0</v>
      </c>
      <c r="G1148">
        <v>4</v>
      </c>
      <c r="H1148" t="b">
        <v>0</v>
      </c>
      <c r="I1148">
        <v>33</v>
      </c>
      <c r="J1148" t="s">
        <v>26</v>
      </c>
      <c r="K1148">
        <v>94</v>
      </c>
      <c r="L1148">
        <v>74</v>
      </c>
      <c r="M1148">
        <v>95</v>
      </c>
      <c r="N1148">
        <v>82</v>
      </c>
      <c r="O1148">
        <v>100</v>
      </c>
      <c r="P1148">
        <v>63</v>
      </c>
      <c r="Q1148">
        <v>97</v>
      </c>
      <c r="R1148">
        <f>SUM(student_scores[[#This Row],[math_score]:[geography_score]])</f>
        <v>605</v>
      </c>
      <c r="S1148" s="3">
        <f>student_scores[[#This Row],[Total_Score]]/7</f>
        <v>86.428571428571431</v>
      </c>
      <c r="T1148" s="3" t="str" cm="1">
        <f t="array" ref="T1148">_xlfn.IFS(student_scores[[#This Row],[weekly_self_study_hours]]&lt;=5,   "0 - 5", student_scores[[#This Row],[weekly_self_study_hours]]&lt;=10,  "6 - 10", student_scores[[#This Row],[weekly_self_study_hours]]&lt;=20,  "11 - 20",student_scores[[#This Row],[weekly_self_study_hours]]&lt;=30, "21 - 30",TRUE, "31+")</f>
        <v>31+</v>
      </c>
      <c r="U1148" t="str" cm="1">
        <f t="array" ref="U1148">_xlfn.IFS(student_scores[[#This Row],[absence_days]]=0,"0", student_scores[[#This Row],[absence_days]]&lt;=3,"1-3", student_scores[[#This Row],[absence_days]]&lt;=6,"4-6", TRUE,"7-10")</f>
        <v>4-6</v>
      </c>
      <c r="V1148" t="str">
        <f>IF(student_scores[[#This Row],[Total_Score]] &gt;= _xlfn.PERCENTILE.INC(student_scores[Total_Score], 0.8), "Yes", "No")</f>
        <v>Yes</v>
      </c>
    </row>
    <row r="1149" spans="1:22" x14ac:dyDescent="0.35">
      <c r="A1149">
        <v>1148</v>
      </c>
      <c r="B1149" t="s">
        <v>1057</v>
      </c>
      <c r="C1149" t="s">
        <v>600</v>
      </c>
      <c r="D1149" t="s">
        <v>2051</v>
      </c>
      <c r="E1149" t="s">
        <v>25</v>
      </c>
      <c r="F1149" t="b">
        <v>0</v>
      </c>
      <c r="G1149">
        <v>2</v>
      </c>
      <c r="H1149" t="b">
        <v>1</v>
      </c>
      <c r="I1149">
        <v>29</v>
      </c>
      <c r="J1149" t="s">
        <v>44</v>
      </c>
      <c r="K1149">
        <v>88</v>
      </c>
      <c r="L1149">
        <v>83</v>
      </c>
      <c r="M1149">
        <v>94</v>
      </c>
      <c r="N1149">
        <v>80</v>
      </c>
      <c r="O1149">
        <v>97</v>
      </c>
      <c r="P1149">
        <v>95</v>
      </c>
      <c r="Q1149">
        <v>78</v>
      </c>
      <c r="R1149">
        <f>SUM(student_scores[[#This Row],[math_score]:[geography_score]])</f>
        <v>615</v>
      </c>
      <c r="S1149" s="3">
        <f>student_scores[[#This Row],[Total_Score]]/7</f>
        <v>87.857142857142861</v>
      </c>
      <c r="T1149" s="3" t="str" cm="1">
        <f t="array" ref="T1149">_xlfn.IFS(student_scores[[#This Row],[weekly_self_study_hours]]&lt;=5,   "0 - 5", student_scores[[#This Row],[weekly_self_study_hours]]&lt;=10,  "6 - 10", student_scores[[#This Row],[weekly_self_study_hours]]&lt;=20,  "11 - 20",student_scores[[#This Row],[weekly_self_study_hours]]&lt;=30, "21 - 30",TRUE, "31+")</f>
        <v>21 - 30</v>
      </c>
      <c r="U1149" t="str" cm="1">
        <f t="array" ref="U1149">_xlfn.IFS(student_scores[[#This Row],[absence_days]]=0,"0", student_scores[[#This Row],[absence_days]]&lt;=3,"1-3", student_scores[[#This Row],[absence_days]]&lt;=6,"4-6", TRUE,"7-10")</f>
        <v>1-3</v>
      </c>
      <c r="V1149" t="str">
        <f>IF(student_scores[[#This Row],[Total_Score]] &gt;= _xlfn.PERCENTILE.INC(student_scores[Total_Score], 0.8), "Yes", "No")</f>
        <v>Yes</v>
      </c>
    </row>
    <row r="1150" spans="1:22" x14ac:dyDescent="0.35">
      <c r="A1150">
        <v>1149</v>
      </c>
      <c r="B1150" t="s">
        <v>2052</v>
      </c>
      <c r="C1150" t="s">
        <v>934</v>
      </c>
      <c r="D1150" t="s">
        <v>2053</v>
      </c>
      <c r="E1150" t="s">
        <v>20</v>
      </c>
      <c r="F1150" t="b">
        <v>0</v>
      </c>
      <c r="G1150">
        <v>3</v>
      </c>
      <c r="H1150" t="b">
        <v>0</v>
      </c>
      <c r="I1150">
        <v>26</v>
      </c>
      <c r="J1150" t="s">
        <v>38</v>
      </c>
      <c r="K1150">
        <v>84</v>
      </c>
      <c r="L1150">
        <v>74</v>
      </c>
      <c r="M1150">
        <v>74</v>
      </c>
      <c r="N1150">
        <v>67</v>
      </c>
      <c r="O1150">
        <v>72</v>
      </c>
      <c r="P1150">
        <v>99</v>
      </c>
      <c r="Q1150">
        <v>65</v>
      </c>
      <c r="R1150">
        <f>SUM(student_scores[[#This Row],[math_score]:[geography_score]])</f>
        <v>535</v>
      </c>
      <c r="S1150" s="3">
        <f>student_scores[[#This Row],[Total_Score]]/7</f>
        <v>76.428571428571431</v>
      </c>
      <c r="T1150" s="3" t="str" cm="1">
        <f t="array" ref="T1150">_xlfn.IFS(student_scores[[#This Row],[weekly_self_study_hours]]&lt;=5,   "0 - 5", student_scores[[#This Row],[weekly_self_study_hours]]&lt;=10,  "6 - 10", student_scores[[#This Row],[weekly_self_study_hours]]&lt;=20,  "11 - 20",student_scores[[#This Row],[weekly_self_study_hours]]&lt;=30, "21 - 30",TRUE, "31+")</f>
        <v>21 - 30</v>
      </c>
      <c r="U1150" t="str" cm="1">
        <f t="array" ref="U1150">_xlfn.IFS(student_scores[[#This Row],[absence_days]]=0,"0", student_scores[[#This Row],[absence_days]]&lt;=3,"1-3", student_scores[[#This Row],[absence_days]]&lt;=6,"4-6", TRUE,"7-10")</f>
        <v>1-3</v>
      </c>
      <c r="V1150" t="str">
        <f>IF(student_scores[[#This Row],[Total_Score]] &gt;= _xlfn.PERCENTILE.INC(student_scores[Total_Score], 0.8), "Yes", "No")</f>
        <v>No</v>
      </c>
    </row>
    <row r="1151" spans="1:22" x14ac:dyDescent="0.35">
      <c r="A1151">
        <v>1150</v>
      </c>
      <c r="B1151" t="s">
        <v>1007</v>
      </c>
      <c r="C1151" t="s">
        <v>222</v>
      </c>
      <c r="D1151" t="s">
        <v>2054</v>
      </c>
      <c r="E1151" t="s">
        <v>20</v>
      </c>
      <c r="F1151" t="b">
        <v>0</v>
      </c>
      <c r="G1151">
        <v>1</v>
      </c>
      <c r="H1151" t="b">
        <v>0</v>
      </c>
      <c r="I1151">
        <v>25</v>
      </c>
      <c r="J1151" t="s">
        <v>172</v>
      </c>
      <c r="K1151">
        <v>85</v>
      </c>
      <c r="L1151">
        <v>82</v>
      </c>
      <c r="M1151">
        <v>88</v>
      </c>
      <c r="N1151">
        <v>62</v>
      </c>
      <c r="O1151">
        <v>71</v>
      </c>
      <c r="P1151">
        <v>71</v>
      </c>
      <c r="Q1151">
        <v>75</v>
      </c>
      <c r="R1151">
        <f>SUM(student_scores[[#This Row],[math_score]:[geography_score]])</f>
        <v>534</v>
      </c>
      <c r="S1151" s="3">
        <f>student_scores[[#This Row],[Total_Score]]/7</f>
        <v>76.285714285714292</v>
      </c>
      <c r="T1151" s="3" t="str" cm="1">
        <f t="array" ref="T1151">_xlfn.IFS(student_scores[[#This Row],[weekly_self_study_hours]]&lt;=5,   "0 - 5", student_scores[[#This Row],[weekly_self_study_hours]]&lt;=10,  "6 - 10", student_scores[[#This Row],[weekly_self_study_hours]]&lt;=20,  "11 - 20",student_scores[[#This Row],[weekly_self_study_hours]]&lt;=30, "21 - 30",TRUE, "31+")</f>
        <v>21 - 30</v>
      </c>
      <c r="U1151" t="str" cm="1">
        <f t="array" ref="U1151">_xlfn.IFS(student_scores[[#This Row],[absence_days]]=0,"0", student_scores[[#This Row],[absence_days]]&lt;=3,"1-3", student_scores[[#This Row],[absence_days]]&lt;=6,"4-6", TRUE,"7-10")</f>
        <v>1-3</v>
      </c>
      <c r="V1151" t="str">
        <f>IF(student_scores[[#This Row],[Total_Score]] &gt;= _xlfn.PERCENTILE.INC(student_scores[Total_Score], 0.8), "Yes", "No")</f>
        <v>No</v>
      </c>
    </row>
    <row r="1152" spans="1:22" x14ac:dyDescent="0.35">
      <c r="A1152">
        <v>1151</v>
      </c>
      <c r="B1152" t="s">
        <v>792</v>
      </c>
      <c r="C1152" t="s">
        <v>2055</v>
      </c>
      <c r="D1152" t="s">
        <v>2056</v>
      </c>
      <c r="E1152" t="s">
        <v>20</v>
      </c>
      <c r="F1152" t="b">
        <v>0</v>
      </c>
      <c r="G1152">
        <v>2</v>
      </c>
      <c r="H1152" t="b">
        <v>1</v>
      </c>
      <c r="I1152">
        <v>30</v>
      </c>
      <c r="J1152" t="s">
        <v>38</v>
      </c>
      <c r="K1152">
        <v>78</v>
      </c>
      <c r="L1152">
        <v>89</v>
      </c>
      <c r="M1152">
        <v>95</v>
      </c>
      <c r="N1152">
        <v>71</v>
      </c>
      <c r="O1152">
        <v>68</v>
      </c>
      <c r="P1152">
        <v>71</v>
      </c>
      <c r="Q1152">
        <v>69</v>
      </c>
      <c r="R1152">
        <f>SUM(student_scores[[#This Row],[math_score]:[geography_score]])</f>
        <v>541</v>
      </c>
      <c r="S1152" s="3">
        <f>student_scores[[#This Row],[Total_Score]]/7</f>
        <v>77.285714285714292</v>
      </c>
      <c r="T1152" s="3" t="str" cm="1">
        <f t="array" ref="T1152">_xlfn.IFS(student_scores[[#This Row],[weekly_self_study_hours]]&lt;=5,   "0 - 5", student_scores[[#This Row],[weekly_self_study_hours]]&lt;=10,  "6 - 10", student_scores[[#This Row],[weekly_self_study_hours]]&lt;=20,  "11 - 20",student_scores[[#This Row],[weekly_self_study_hours]]&lt;=30, "21 - 30",TRUE, "31+")</f>
        <v>21 - 30</v>
      </c>
      <c r="U1152" t="str" cm="1">
        <f t="array" ref="U1152">_xlfn.IFS(student_scores[[#This Row],[absence_days]]=0,"0", student_scores[[#This Row],[absence_days]]&lt;=3,"1-3", student_scores[[#This Row],[absence_days]]&lt;=6,"4-6", TRUE,"7-10")</f>
        <v>1-3</v>
      </c>
      <c r="V1152" t="str">
        <f>IF(student_scores[[#This Row],[Total_Score]] &gt;= _xlfn.PERCENTILE.INC(student_scores[Total_Score], 0.8), "Yes", "No")</f>
        <v>No</v>
      </c>
    </row>
    <row r="1153" spans="1:22" x14ac:dyDescent="0.35">
      <c r="A1153">
        <v>1152</v>
      </c>
      <c r="B1153" t="s">
        <v>160</v>
      </c>
      <c r="C1153" t="s">
        <v>682</v>
      </c>
      <c r="D1153" t="s">
        <v>2057</v>
      </c>
      <c r="E1153" t="s">
        <v>20</v>
      </c>
      <c r="F1153" t="b">
        <v>0</v>
      </c>
      <c r="G1153">
        <v>2</v>
      </c>
      <c r="H1153" t="b">
        <v>0</v>
      </c>
      <c r="I1153">
        <v>13</v>
      </c>
      <c r="J1153" t="s">
        <v>38</v>
      </c>
      <c r="K1153">
        <v>86</v>
      </c>
      <c r="L1153">
        <v>66</v>
      </c>
      <c r="M1153">
        <v>77</v>
      </c>
      <c r="N1153">
        <v>74</v>
      </c>
      <c r="O1153">
        <v>84</v>
      </c>
      <c r="P1153">
        <v>72</v>
      </c>
      <c r="Q1153">
        <v>95</v>
      </c>
      <c r="R1153">
        <f>SUM(student_scores[[#This Row],[math_score]:[geography_score]])</f>
        <v>554</v>
      </c>
      <c r="S1153" s="3">
        <f>student_scores[[#This Row],[Total_Score]]/7</f>
        <v>79.142857142857139</v>
      </c>
      <c r="T1153" s="3" t="str" cm="1">
        <f t="array" ref="T1153">_xlfn.IFS(student_scores[[#This Row],[weekly_self_study_hours]]&lt;=5,   "0 - 5", student_scores[[#This Row],[weekly_self_study_hours]]&lt;=10,  "6 - 10", student_scores[[#This Row],[weekly_self_study_hours]]&lt;=20,  "11 - 20",student_scores[[#This Row],[weekly_self_study_hours]]&lt;=30, "21 - 30",TRUE, "31+")</f>
        <v>11 - 20</v>
      </c>
      <c r="U1153" t="str" cm="1">
        <f t="array" ref="U1153">_xlfn.IFS(student_scores[[#This Row],[absence_days]]=0,"0", student_scores[[#This Row],[absence_days]]&lt;=3,"1-3", student_scores[[#This Row],[absence_days]]&lt;=6,"4-6", TRUE,"7-10")</f>
        <v>1-3</v>
      </c>
      <c r="V1153" t="str">
        <f>IF(student_scores[[#This Row],[Total_Score]] &gt;= _xlfn.PERCENTILE.INC(student_scores[Total_Score], 0.8), "Yes", "No")</f>
        <v>No</v>
      </c>
    </row>
    <row r="1154" spans="1:22" x14ac:dyDescent="0.35">
      <c r="A1154">
        <v>1153</v>
      </c>
      <c r="B1154" t="s">
        <v>2058</v>
      </c>
      <c r="C1154" t="s">
        <v>429</v>
      </c>
      <c r="D1154" t="s">
        <v>2059</v>
      </c>
      <c r="E1154" t="s">
        <v>25</v>
      </c>
      <c r="F1154" t="b">
        <v>0</v>
      </c>
      <c r="G1154">
        <v>1</v>
      </c>
      <c r="H1154" t="b">
        <v>0</v>
      </c>
      <c r="I1154">
        <v>25</v>
      </c>
      <c r="J1154" t="s">
        <v>44</v>
      </c>
      <c r="K1154">
        <v>99</v>
      </c>
      <c r="L1154">
        <v>98</v>
      </c>
      <c r="M1154">
        <v>80</v>
      </c>
      <c r="N1154">
        <v>83</v>
      </c>
      <c r="O1154">
        <v>89</v>
      </c>
      <c r="P1154">
        <v>68</v>
      </c>
      <c r="Q1154">
        <v>61</v>
      </c>
      <c r="R1154">
        <f>SUM(student_scores[[#This Row],[math_score]:[geography_score]])</f>
        <v>578</v>
      </c>
      <c r="S1154" s="3">
        <f>student_scores[[#This Row],[Total_Score]]/7</f>
        <v>82.571428571428569</v>
      </c>
      <c r="T1154" s="3" t="str" cm="1">
        <f t="array" ref="T1154">_xlfn.IFS(student_scores[[#This Row],[weekly_self_study_hours]]&lt;=5,   "0 - 5", student_scores[[#This Row],[weekly_self_study_hours]]&lt;=10,  "6 - 10", student_scores[[#This Row],[weekly_self_study_hours]]&lt;=20,  "11 - 20",student_scores[[#This Row],[weekly_self_study_hours]]&lt;=30, "21 - 30",TRUE, "31+")</f>
        <v>21 - 30</v>
      </c>
      <c r="U1154" t="str" cm="1">
        <f t="array" ref="U1154">_xlfn.IFS(student_scores[[#This Row],[absence_days]]=0,"0", student_scores[[#This Row],[absence_days]]&lt;=3,"1-3", student_scores[[#This Row],[absence_days]]&lt;=6,"4-6", TRUE,"7-10")</f>
        <v>1-3</v>
      </c>
      <c r="V1154" t="str">
        <f>IF(student_scores[[#This Row],[Total_Score]] &gt;= _xlfn.PERCENTILE.INC(student_scores[Total_Score], 0.8), "Yes", "No")</f>
        <v>No</v>
      </c>
    </row>
    <row r="1155" spans="1:22" x14ac:dyDescent="0.35">
      <c r="A1155">
        <v>1154</v>
      </c>
      <c r="B1155" t="s">
        <v>388</v>
      </c>
      <c r="C1155" t="s">
        <v>339</v>
      </c>
      <c r="D1155" t="s">
        <v>2060</v>
      </c>
      <c r="E1155" t="s">
        <v>25</v>
      </c>
      <c r="F1155" t="b">
        <v>0</v>
      </c>
      <c r="G1155">
        <v>0</v>
      </c>
      <c r="H1155" t="b">
        <v>0</v>
      </c>
      <c r="I1155">
        <v>15</v>
      </c>
      <c r="J1155" t="s">
        <v>54</v>
      </c>
      <c r="K1155">
        <v>67</v>
      </c>
      <c r="L1155">
        <v>64</v>
      </c>
      <c r="M1155">
        <v>99</v>
      </c>
      <c r="N1155">
        <v>84</v>
      </c>
      <c r="O1155">
        <v>100</v>
      </c>
      <c r="P1155">
        <v>81</v>
      </c>
      <c r="Q1155">
        <v>78</v>
      </c>
      <c r="R1155">
        <f>SUM(student_scores[[#This Row],[math_score]:[geography_score]])</f>
        <v>573</v>
      </c>
      <c r="S1155" s="3">
        <f>student_scores[[#This Row],[Total_Score]]/7</f>
        <v>81.857142857142861</v>
      </c>
      <c r="T1155" s="3" t="str" cm="1">
        <f t="array" ref="T1155">_xlfn.IFS(student_scores[[#This Row],[weekly_self_study_hours]]&lt;=5,   "0 - 5", student_scores[[#This Row],[weekly_self_study_hours]]&lt;=10,  "6 - 10", student_scores[[#This Row],[weekly_self_study_hours]]&lt;=20,  "11 - 20",student_scores[[#This Row],[weekly_self_study_hours]]&lt;=30, "21 - 30",TRUE, "31+")</f>
        <v>11 - 20</v>
      </c>
      <c r="U1155" t="str" cm="1">
        <f t="array" ref="U1155">_xlfn.IFS(student_scores[[#This Row],[absence_days]]=0,"0", student_scores[[#This Row],[absence_days]]&lt;=3,"1-3", student_scores[[#This Row],[absence_days]]&lt;=6,"4-6", TRUE,"7-10")</f>
        <v>0</v>
      </c>
      <c r="V1155" t="str">
        <f>IF(student_scores[[#This Row],[Total_Score]] &gt;= _xlfn.PERCENTILE.INC(student_scores[Total_Score], 0.8), "Yes", "No")</f>
        <v>No</v>
      </c>
    </row>
    <row r="1156" spans="1:22" x14ac:dyDescent="0.35">
      <c r="A1156">
        <v>1155</v>
      </c>
      <c r="B1156" t="s">
        <v>796</v>
      </c>
      <c r="C1156" t="s">
        <v>2061</v>
      </c>
      <c r="D1156" t="s">
        <v>2062</v>
      </c>
      <c r="E1156" t="s">
        <v>20</v>
      </c>
      <c r="F1156" t="b">
        <v>0</v>
      </c>
      <c r="G1156">
        <v>6</v>
      </c>
      <c r="H1156" t="b">
        <v>0</v>
      </c>
      <c r="I1156">
        <v>10</v>
      </c>
      <c r="J1156" t="s">
        <v>105</v>
      </c>
      <c r="K1156">
        <v>84</v>
      </c>
      <c r="L1156">
        <v>94</v>
      </c>
      <c r="M1156">
        <v>60</v>
      </c>
      <c r="N1156">
        <v>83</v>
      </c>
      <c r="O1156">
        <v>97</v>
      </c>
      <c r="P1156">
        <v>75</v>
      </c>
      <c r="Q1156">
        <v>97</v>
      </c>
      <c r="R1156">
        <f>SUM(student_scores[[#This Row],[math_score]:[geography_score]])</f>
        <v>590</v>
      </c>
      <c r="S1156" s="3">
        <f>student_scores[[#This Row],[Total_Score]]/7</f>
        <v>84.285714285714292</v>
      </c>
      <c r="T1156" s="3" t="str" cm="1">
        <f t="array" ref="T1156">_xlfn.IFS(student_scores[[#This Row],[weekly_self_study_hours]]&lt;=5,   "0 - 5", student_scores[[#This Row],[weekly_self_study_hours]]&lt;=10,  "6 - 10", student_scores[[#This Row],[weekly_self_study_hours]]&lt;=20,  "11 - 20",student_scores[[#This Row],[weekly_self_study_hours]]&lt;=30, "21 - 30",TRUE, "31+")</f>
        <v>6 - 10</v>
      </c>
      <c r="U1156" t="str" cm="1">
        <f t="array" ref="U1156">_xlfn.IFS(student_scores[[#This Row],[absence_days]]=0,"0", student_scores[[#This Row],[absence_days]]&lt;=3,"1-3", student_scores[[#This Row],[absence_days]]&lt;=6,"4-6", TRUE,"7-10")</f>
        <v>4-6</v>
      </c>
      <c r="V1156" t="str">
        <f>IF(student_scores[[#This Row],[Total_Score]] &gt;= _xlfn.PERCENTILE.INC(student_scores[Total_Score], 0.8), "Yes", "No")</f>
        <v>No</v>
      </c>
    </row>
    <row r="1157" spans="1:22" x14ac:dyDescent="0.35">
      <c r="A1157">
        <v>1156</v>
      </c>
      <c r="B1157" t="s">
        <v>97</v>
      </c>
      <c r="C1157" t="s">
        <v>684</v>
      </c>
      <c r="D1157" t="s">
        <v>2063</v>
      </c>
      <c r="E1157" t="s">
        <v>25</v>
      </c>
      <c r="F1157" t="b">
        <v>1</v>
      </c>
      <c r="G1157">
        <v>3</v>
      </c>
      <c r="H1157" t="b">
        <v>1</v>
      </c>
      <c r="I1157">
        <v>0</v>
      </c>
      <c r="J1157" t="s">
        <v>34</v>
      </c>
      <c r="K1157">
        <v>72</v>
      </c>
      <c r="L1157">
        <v>62</v>
      </c>
      <c r="M1157">
        <v>96</v>
      </c>
      <c r="N1157">
        <v>95</v>
      </c>
      <c r="O1157">
        <v>97</v>
      </c>
      <c r="P1157">
        <v>71</v>
      </c>
      <c r="Q1157">
        <v>83</v>
      </c>
      <c r="R1157">
        <f>SUM(student_scores[[#This Row],[math_score]:[geography_score]])</f>
        <v>576</v>
      </c>
      <c r="S1157" s="3">
        <f>student_scores[[#This Row],[Total_Score]]/7</f>
        <v>82.285714285714292</v>
      </c>
      <c r="T1157" s="3" t="str" cm="1">
        <f t="array" ref="T1157">_xlfn.IFS(student_scores[[#This Row],[weekly_self_study_hours]]&lt;=5,   "0 - 5", student_scores[[#This Row],[weekly_self_study_hours]]&lt;=10,  "6 - 10", student_scores[[#This Row],[weekly_self_study_hours]]&lt;=20,  "11 - 20",student_scores[[#This Row],[weekly_self_study_hours]]&lt;=30, "21 - 30",TRUE, "31+")</f>
        <v>0 - 5</v>
      </c>
      <c r="U1157" t="str" cm="1">
        <f t="array" ref="U1157">_xlfn.IFS(student_scores[[#This Row],[absence_days]]=0,"0", student_scores[[#This Row],[absence_days]]&lt;=3,"1-3", student_scores[[#This Row],[absence_days]]&lt;=6,"4-6", TRUE,"7-10")</f>
        <v>1-3</v>
      </c>
      <c r="V1157" t="str">
        <f>IF(student_scores[[#This Row],[Total_Score]] &gt;= _xlfn.PERCENTILE.INC(student_scores[Total_Score], 0.8), "Yes", "No")</f>
        <v>No</v>
      </c>
    </row>
    <row r="1158" spans="1:22" x14ac:dyDescent="0.35">
      <c r="A1158">
        <v>1157</v>
      </c>
      <c r="B1158" t="s">
        <v>142</v>
      </c>
      <c r="C1158" t="s">
        <v>518</v>
      </c>
      <c r="D1158" t="s">
        <v>2064</v>
      </c>
      <c r="E1158" t="s">
        <v>20</v>
      </c>
      <c r="F1158" t="b">
        <v>1</v>
      </c>
      <c r="G1158">
        <v>1</v>
      </c>
      <c r="H1158" t="b">
        <v>0</v>
      </c>
      <c r="I1158">
        <v>17</v>
      </c>
      <c r="J1158" t="s">
        <v>123</v>
      </c>
      <c r="K1158">
        <v>74</v>
      </c>
      <c r="L1158">
        <v>88</v>
      </c>
      <c r="M1158">
        <v>99</v>
      </c>
      <c r="N1158">
        <v>92</v>
      </c>
      <c r="O1158">
        <v>93</v>
      </c>
      <c r="P1158">
        <v>85</v>
      </c>
      <c r="Q1158">
        <v>81</v>
      </c>
      <c r="R1158">
        <f>SUM(student_scores[[#This Row],[math_score]:[geography_score]])</f>
        <v>612</v>
      </c>
      <c r="S1158" s="3">
        <f>student_scores[[#This Row],[Total_Score]]/7</f>
        <v>87.428571428571431</v>
      </c>
      <c r="T1158" s="3" t="str" cm="1">
        <f t="array" ref="T1158">_xlfn.IFS(student_scores[[#This Row],[weekly_self_study_hours]]&lt;=5,   "0 - 5", student_scores[[#This Row],[weekly_self_study_hours]]&lt;=10,  "6 - 10", student_scores[[#This Row],[weekly_self_study_hours]]&lt;=20,  "11 - 20",student_scores[[#This Row],[weekly_self_study_hours]]&lt;=30, "21 - 30",TRUE, "31+")</f>
        <v>11 - 20</v>
      </c>
      <c r="U1158" t="str" cm="1">
        <f t="array" ref="U1158">_xlfn.IFS(student_scores[[#This Row],[absence_days]]=0,"0", student_scores[[#This Row],[absence_days]]&lt;=3,"1-3", student_scores[[#This Row],[absence_days]]&lt;=6,"4-6", TRUE,"7-10")</f>
        <v>1-3</v>
      </c>
      <c r="V1158" t="str">
        <f>IF(student_scores[[#This Row],[Total_Score]] &gt;= _xlfn.PERCENTILE.INC(student_scores[Total_Score], 0.8), "Yes", "No")</f>
        <v>Yes</v>
      </c>
    </row>
    <row r="1159" spans="1:22" x14ac:dyDescent="0.35">
      <c r="A1159">
        <v>1158</v>
      </c>
      <c r="B1159" t="s">
        <v>205</v>
      </c>
      <c r="C1159" t="s">
        <v>1553</v>
      </c>
      <c r="D1159" t="s">
        <v>2065</v>
      </c>
      <c r="E1159" t="s">
        <v>25</v>
      </c>
      <c r="F1159" t="b">
        <v>1</v>
      </c>
      <c r="G1159">
        <v>5</v>
      </c>
      <c r="H1159" t="b">
        <v>0</v>
      </c>
      <c r="I1159">
        <v>4</v>
      </c>
      <c r="J1159" t="s">
        <v>64</v>
      </c>
      <c r="K1159">
        <v>74</v>
      </c>
      <c r="L1159">
        <v>74</v>
      </c>
      <c r="M1159">
        <v>83</v>
      </c>
      <c r="N1159">
        <v>52</v>
      </c>
      <c r="O1159">
        <v>70</v>
      </c>
      <c r="P1159">
        <v>87</v>
      </c>
      <c r="Q1159">
        <v>95</v>
      </c>
      <c r="R1159">
        <f>SUM(student_scores[[#This Row],[math_score]:[geography_score]])</f>
        <v>535</v>
      </c>
      <c r="S1159" s="3">
        <f>student_scores[[#This Row],[Total_Score]]/7</f>
        <v>76.428571428571431</v>
      </c>
      <c r="T1159" s="3" t="str" cm="1">
        <f t="array" ref="T1159">_xlfn.IFS(student_scores[[#This Row],[weekly_self_study_hours]]&lt;=5,   "0 - 5", student_scores[[#This Row],[weekly_self_study_hours]]&lt;=10,  "6 - 10", student_scores[[#This Row],[weekly_self_study_hours]]&lt;=20,  "11 - 20",student_scores[[#This Row],[weekly_self_study_hours]]&lt;=30, "21 - 30",TRUE, "31+")</f>
        <v>0 - 5</v>
      </c>
      <c r="U1159" t="str" cm="1">
        <f t="array" ref="U1159">_xlfn.IFS(student_scores[[#This Row],[absence_days]]=0,"0", student_scores[[#This Row],[absence_days]]&lt;=3,"1-3", student_scores[[#This Row],[absence_days]]&lt;=6,"4-6", TRUE,"7-10")</f>
        <v>4-6</v>
      </c>
      <c r="V1159" t="str">
        <f>IF(student_scores[[#This Row],[Total_Score]] &gt;= _xlfn.PERCENTILE.INC(student_scores[Total_Score], 0.8), "Yes", "No")</f>
        <v>No</v>
      </c>
    </row>
    <row r="1160" spans="1:22" x14ac:dyDescent="0.35">
      <c r="A1160">
        <v>1159</v>
      </c>
      <c r="B1160" t="s">
        <v>277</v>
      </c>
      <c r="C1160" t="s">
        <v>1272</v>
      </c>
      <c r="D1160" t="s">
        <v>2066</v>
      </c>
      <c r="E1160" t="s">
        <v>20</v>
      </c>
      <c r="F1160" t="b">
        <v>0</v>
      </c>
      <c r="G1160">
        <v>3</v>
      </c>
      <c r="H1160" t="b">
        <v>0</v>
      </c>
      <c r="I1160">
        <v>32</v>
      </c>
      <c r="J1160" t="s">
        <v>21</v>
      </c>
      <c r="K1160">
        <v>91</v>
      </c>
      <c r="L1160">
        <v>92</v>
      </c>
      <c r="M1160">
        <v>64</v>
      </c>
      <c r="N1160">
        <v>69</v>
      </c>
      <c r="O1160">
        <v>82</v>
      </c>
      <c r="P1160">
        <v>94</v>
      </c>
      <c r="Q1160">
        <v>61</v>
      </c>
      <c r="R1160">
        <f>SUM(student_scores[[#This Row],[math_score]:[geography_score]])</f>
        <v>553</v>
      </c>
      <c r="S1160" s="3">
        <f>student_scores[[#This Row],[Total_Score]]/7</f>
        <v>79</v>
      </c>
      <c r="T1160" s="3" t="str" cm="1">
        <f t="array" ref="T1160">_xlfn.IFS(student_scores[[#This Row],[weekly_self_study_hours]]&lt;=5,   "0 - 5", student_scores[[#This Row],[weekly_self_study_hours]]&lt;=10,  "6 - 10", student_scores[[#This Row],[weekly_self_study_hours]]&lt;=20,  "11 - 20",student_scores[[#This Row],[weekly_self_study_hours]]&lt;=30, "21 - 30",TRUE, "31+")</f>
        <v>31+</v>
      </c>
      <c r="U1160" t="str" cm="1">
        <f t="array" ref="U1160">_xlfn.IFS(student_scores[[#This Row],[absence_days]]=0,"0", student_scores[[#This Row],[absence_days]]&lt;=3,"1-3", student_scores[[#This Row],[absence_days]]&lt;=6,"4-6", TRUE,"7-10")</f>
        <v>1-3</v>
      </c>
      <c r="V1160" t="str">
        <f>IF(student_scores[[#This Row],[Total_Score]] &gt;= _xlfn.PERCENTILE.INC(student_scores[Total_Score], 0.8), "Yes", "No")</f>
        <v>No</v>
      </c>
    </row>
    <row r="1161" spans="1:22" x14ac:dyDescent="0.35">
      <c r="A1161">
        <v>1160</v>
      </c>
      <c r="B1161" t="s">
        <v>190</v>
      </c>
      <c r="C1161" t="s">
        <v>56</v>
      </c>
      <c r="D1161" t="s">
        <v>2067</v>
      </c>
      <c r="E1161" t="s">
        <v>25</v>
      </c>
      <c r="F1161" t="b">
        <v>0</v>
      </c>
      <c r="G1161">
        <v>5</v>
      </c>
      <c r="H1161" t="b">
        <v>0</v>
      </c>
      <c r="I1161">
        <v>34</v>
      </c>
      <c r="J1161" t="s">
        <v>113</v>
      </c>
      <c r="K1161">
        <v>77</v>
      </c>
      <c r="L1161">
        <v>66</v>
      </c>
      <c r="M1161">
        <v>94</v>
      </c>
      <c r="N1161">
        <v>77</v>
      </c>
      <c r="O1161">
        <v>49</v>
      </c>
      <c r="P1161">
        <v>83</v>
      </c>
      <c r="Q1161">
        <v>64</v>
      </c>
      <c r="R1161">
        <f>SUM(student_scores[[#This Row],[math_score]:[geography_score]])</f>
        <v>510</v>
      </c>
      <c r="S1161" s="3">
        <f>student_scores[[#This Row],[Total_Score]]/7</f>
        <v>72.857142857142861</v>
      </c>
      <c r="T1161" s="3" t="str" cm="1">
        <f t="array" ref="T1161">_xlfn.IFS(student_scores[[#This Row],[weekly_self_study_hours]]&lt;=5,   "0 - 5", student_scores[[#This Row],[weekly_self_study_hours]]&lt;=10,  "6 - 10", student_scores[[#This Row],[weekly_self_study_hours]]&lt;=20,  "11 - 20",student_scores[[#This Row],[weekly_self_study_hours]]&lt;=30, "21 - 30",TRUE, "31+")</f>
        <v>31+</v>
      </c>
      <c r="U1161" t="str" cm="1">
        <f t="array" ref="U1161">_xlfn.IFS(student_scores[[#This Row],[absence_days]]=0,"0", student_scores[[#This Row],[absence_days]]&lt;=3,"1-3", student_scores[[#This Row],[absence_days]]&lt;=6,"4-6", TRUE,"7-10")</f>
        <v>4-6</v>
      </c>
      <c r="V1161" t="str">
        <f>IF(student_scores[[#This Row],[Total_Score]] &gt;= _xlfn.PERCENTILE.INC(student_scores[Total_Score], 0.8), "Yes", "No")</f>
        <v>No</v>
      </c>
    </row>
    <row r="1162" spans="1:22" x14ac:dyDescent="0.35">
      <c r="A1162">
        <v>1161</v>
      </c>
      <c r="B1162" t="s">
        <v>465</v>
      </c>
      <c r="C1162" t="s">
        <v>42</v>
      </c>
      <c r="D1162" t="s">
        <v>2068</v>
      </c>
      <c r="E1162" t="s">
        <v>25</v>
      </c>
      <c r="F1162" t="b">
        <v>0</v>
      </c>
      <c r="G1162">
        <v>7</v>
      </c>
      <c r="H1162" t="b">
        <v>0</v>
      </c>
      <c r="I1162">
        <v>8</v>
      </c>
      <c r="J1162" t="s">
        <v>30</v>
      </c>
      <c r="K1162">
        <v>87</v>
      </c>
      <c r="L1162">
        <v>90</v>
      </c>
      <c r="M1162">
        <v>91</v>
      </c>
      <c r="N1162">
        <v>60</v>
      </c>
      <c r="O1162">
        <v>95</v>
      </c>
      <c r="P1162">
        <v>67</v>
      </c>
      <c r="Q1162">
        <v>62</v>
      </c>
      <c r="R1162">
        <f>SUM(student_scores[[#This Row],[math_score]:[geography_score]])</f>
        <v>552</v>
      </c>
      <c r="S1162" s="3">
        <f>student_scores[[#This Row],[Total_Score]]/7</f>
        <v>78.857142857142861</v>
      </c>
      <c r="T1162" s="3" t="str" cm="1">
        <f t="array" ref="T1162">_xlfn.IFS(student_scores[[#This Row],[weekly_self_study_hours]]&lt;=5,   "0 - 5", student_scores[[#This Row],[weekly_self_study_hours]]&lt;=10,  "6 - 10", student_scores[[#This Row],[weekly_self_study_hours]]&lt;=20,  "11 - 20",student_scores[[#This Row],[weekly_self_study_hours]]&lt;=30, "21 - 30",TRUE, "31+")</f>
        <v>6 - 10</v>
      </c>
      <c r="U1162" t="str" cm="1">
        <f t="array" ref="U1162">_xlfn.IFS(student_scores[[#This Row],[absence_days]]=0,"0", student_scores[[#This Row],[absence_days]]&lt;=3,"1-3", student_scores[[#This Row],[absence_days]]&lt;=6,"4-6", TRUE,"7-10")</f>
        <v>7-10</v>
      </c>
      <c r="V1162" t="str">
        <f>IF(student_scores[[#This Row],[Total_Score]] &gt;= _xlfn.PERCENTILE.INC(student_scores[Total_Score], 0.8), "Yes", "No")</f>
        <v>No</v>
      </c>
    </row>
    <row r="1163" spans="1:22" x14ac:dyDescent="0.35">
      <c r="A1163">
        <v>1162</v>
      </c>
      <c r="B1163" t="s">
        <v>388</v>
      </c>
      <c r="C1163" t="s">
        <v>2069</v>
      </c>
      <c r="D1163" t="s">
        <v>2070</v>
      </c>
      <c r="E1163" t="s">
        <v>25</v>
      </c>
      <c r="F1163" t="b">
        <v>0</v>
      </c>
      <c r="G1163">
        <v>1</v>
      </c>
      <c r="H1163" t="b">
        <v>1</v>
      </c>
      <c r="I1163">
        <v>3</v>
      </c>
      <c r="J1163" t="s">
        <v>38</v>
      </c>
      <c r="K1163">
        <v>60</v>
      </c>
      <c r="L1163">
        <v>70</v>
      </c>
      <c r="M1163">
        <v>61</v>
      </c>
      <c r="N1163">
        <v>63</v>
      </c>
      <c r="O1163">
        <v>61</v>
      </c>
      <c r="P1163">
        <v>71</v>
      </c>
      <c r="Q1163">
        <v>73</v>
      </c>
      <c r="R1163">
        <f>SUM(student_scores[[#This Row],[math_score]:[geography_score]])</f>
        <v>459</v>
      </c>
      <c r="S1163" s="3">
        <f>student_scores[[#This Row],[Total_Score]]/7</f>
        <v>65.571428571428569</v>
      </c>
      <c r="T1163" s="3" t="str" cm="1">
        <f t="array" ref="T1163">_xlfn.IFS(student_scores[[#This Row],[weekly_self_study_hours]]&lt;=5,   "0 - 5", student_scores[[#This Row],[weekly_self_study_hours]]&lt;=10,  "6 - 10", student_scores[[#This Row],[weekly_self_study_hours]]&lt;=20,  "11 - 20",student_scores[[#This Row],[weekly_self_study_hours]]&lt;=30, "21 - 30",TRUE, "31+")</f>
        <v>0 - 5</v>
      </c>
      <c r="U1163" t="str" cm="1">
        <f t="array" ref="U1163">_xlfn.IFS(student_scores[[#This Row],[absence_days]]=0,"0", student_scores[[#This Row],[absence_days]]&lt;=3,"1-3", student_scores[[#This Row],[absence_days]]&lt;=6,"4-6", TRUE,"7-10")</f>
        <v>1-3</v>
      </c>
      <c r="V1163" t="str">
        <f>IF(student_scores[[#This Row],[Total_Score]] &gt;= _xlfn.PERCENTILE.INC(student_scores[Total_Score], 0.8), "Yes", "No")</f>
        <v>No</v>
      </c>
    </row>
    <row r="1164" spans="1:22" x14ac:dyDescent="0.35">
      <c r="A1164">
        <v>1163</v>
      </c>
      <c r="B1164" t="s">
        <v>476</v>
      </c>
      <c r="C1164" t="s">
        <v>2071</v>
      </c>
      <c r="D1164" t="s">
        <v>2072</v>
      </c>
      <c r="E1164" t="s">
        <v>20</v>
      </c>
      <c r="F1164" t="b">
        <v>0</v>
      </c>
      <c r="G1164">
        <v>1</v>
      </c>
      <c r="H1164" t="b">
        <v>1</v>
      </c>
      <c r="I1164">
        <v>3</v>
      </c>
      <c r="J1164" t="s">
        <v>64</v>
      </c>
      <c r="K1164">
        <v>92</v>
      </c>
      <c r="L1164">
        <v>84</v>
      </c>
      <c r="M1164">
        <v>86</v>
      </c>
      <c r="N1164">
        <v>80</v>
      </c>
      <c r="O1164">
        <v>73</v>
      </c>
      <c r="P1164">
        <v>97</v>
      </c>
      <c r="Q1164">
        <v>88</v>
      </c>
      <c r="R1164">
        <f>SUM(student_scores[[#This Row],[math_score]:[geography_score]])</f>
        <v>600</v>
      </c>
      <c r="S1164" s="3">
        <f>student_scores[[#This Row],[Total_Score]]/7</f>
        <v>85.714285714285708</v>
      </c>
      <c r="T1164" s="3" t="str" cm="1">
        <f t="array" ref="T1164">_xlfn.IFS(student_scores[[#This Row],[weekly_self_study_hours]]&lt;=5,   "0 - 5", student_scores[[#This Row],[weekly_self_study_hours]]&lt;=10,  "6 - 10", student_scores[[#This Row],[weekly_self_study_hours]]&lt;=20,  "11 - 20",student_scores[[#This Row],[weekly_self_study_hours]]&lt;=30, "21 - 30",TRUE, "31+")</f>
        <v>0 - 5</v>
      </c>
      <c r="U1164" t="str" cm="1">
        <f t="array" ref="U1164">_xlfn.IFS(student_scores[[#This Row],[absence_days]]=0,"0", student_scores[[#This Row],[absence_days]]&lt;=3,"1-3", student_scores[[#This Row],[absence_days]]&lt;=6,"4-6", TRUE,"7-10")</f>
        <v>1-3</v>
      </c>
      <c r="V1164" t="str">
        <f>IF(student_scores[[#This Row],[Total_Score]] &gt;= _xlfn.PERCENTILE.INC(student_scores[Total_Score], 0.8), "Yes", "No")</f>
        <v>No</v>
      </c>
    </row>
    <row r="1165" spans="1:22" x14ac:dyDescent="0.35">
      <c r="A1165">
        <v>1164</v>
      </c>
      <c r="B1165" t="s">
        <v>1486</v>
      </c>
      <c r="C1165" t="s">
        <v>1975</v>
      </c>
      <c r="D1165" t="s">
        <v>2073</v>
      </c>
      <c r="E1165" t="s">
        <v>25</v>
      </c>
      <c r="F1165" t="b">
        <v>1</v>
      </c>
      <c r="G1165">
        <v>9</v>
      </c>
      <c r="H1165" t="b">
        <v>0</v>
      </c>
      <c r="I1165">
        <v>4</v>
      </c>
      <c r="J1165" t="s">
        <v>64</v>
      </c>
      <c r="K1165">
        <v>71</v>
      </c>
      <c r="L1165">
        <v>89</v>
      </c>
      <c r="M1165">
        <v>63</v>
      </c>
      <c r="N1165">
        <v>50</v>
      </c>
      <c r="O1165">
        <v>63</v>
      </c>
      <c r="P1165">
        <v>64</v>
      </c>
      <c r="Q1165">
        <v>69</v>
      </c>
      <c r="R1165">
        <f>SUM(student_scores[[#This Row],[math_score]:[geography_score]])</f>
        <v>469</v>
      </c>
      <c r="S1165" s="3">
        <f>student_scores[[#This Row],[Total_Score]]/7</f>
        <v>67</v>
      </c>
      <c r="T1165" s="3" t="str" cm="1">
        <f t="array" ref="T1165">_xlfn.IFS(student_scores[[#This Row],[weekly_self_study_hours]]&lt;=5,   "0 - 5", student_scores[[#This Row],[weekly_self_study_hours]]&lt;=10,  "6 - 10", student_scores[[#This Row],[weekly_self_study_hours]]&lt;=20,  "11 - 20",student_scores[[#This Row],[weekly_self_study_hours]]&lt;=30, "21 - 30",TRUE, "31+")</f>
        <v>0 - 5</v>
      </c>
      <c r="U1165" t="str" cm="1">
        <f t="array" ref="U1165">_xlfn.IFS(student_scores[[#This Row],[absence_days]]=0,"0", student_scores[[#This Row],[absence_days]]&lt;=3,"1-3", student_scores[[#This Row],[absence_days]]&lt;=6,"4-6", TRUE,"7-10")</f>
        <v>7-10</v>
      </c>
      <c r="V1165" t="str">
        <f>IF(student_scores[[#This Row],[Total_Score]] &gt;= _xlfn.PERCENTILE.INC(student_scores[Total_Score], 0.8), "Yes", "No")</f>
        <v>No</v>
      </c>
    </row>
    <row r="1166" spans="1:22" x14ac:dyDescent="0.35">
      <c r="A1166">
        <v>1165</v>
      </c>
      <c r="B1166" t="s">
        <v>465</v>
      </c>
      <c r="C1166" t="s">
        <v>203</v>
      </c>
      <c r="D1166" t="s">
        <v>2074</v>
      </c>
      <c r="E1166" t="s">
        <v>25</v>
      </c>
      <c r="F1166" t="b">
        <v>0</v>
      </c>
      <c r="G1166">
        <v>1</v>
      </c>
      <c r="H1166" t="b">
        <v>0</v>
      </c>
      <c r="I1166">
        <v>2</v>
      </c>
      <c r="J1166" t="s">
        <v>34</v>
      </c>
      <c r="K1166">
        <v>62</v>
      </c>
      <c r="L1166">
        <v>100</v>
      </c>
      <c r="M1166">
        <v>91</v>
      </c>
      <c r="N1166">
        <v>75</v>
      </c>
      <c r="O1166">
        <v>99</v>
      </c>
      <c r="P1166">
        <v>76</v>
      </c>
      <c r="Q1166">
        <v>78</v>
      </c>
      <c r="R1166">
        <f>SUM(student_scores[[#This Row],[math_score]:[geography_score]])</f>
        <v>581</v>
      </c>
      <c r="S1166" s="3">
        <f>student_scores[[#This Row],[Total_Score]]/7</f>
        <v>83</v>
      </c>
      <c r="T1166" s="3" t="str" cm="1">
        <f t="array" ref="T1166">_xlfn.IFS(student_scores[[#This Row],[weekly_self_study_hours]]&lt;=5,   "0 - 5", student_scores[[#This Row],[weekly_self_study_hours]]&lt;=10,  "6 - 10", student_scores[[#This Row],[weekly_self_study_hours]]&lt;=20,  "11 - 20",student_scores[[#This Row],[weekly_self_study_hours]]&lt;=30, "21 - 30",TRUE, "31+")</f>
        <v>0 - 5</v>
      </c>
      <c r="U1166" t="str" cm="1">
        <f t="array" ref="U1166">_xlfn.IFS(student_scores[[#This Row],[absence_days]]=0,"0", student_scores[[#This Row],[absence_days]]&lt;=3,"1-3", student_scores[[#This Row],[absence_days]]&lt;=6,"4-6", TRUE,"7-10")</f>
        <v>1-3</v>
      </c>
      <c r="V1166" t="str">
        <f>IF(student_scores[[#This Row],[Total_Score]] &gt;= _xlfn.PERCENTILE.INC(student_scores[Total_Score], 0.8), "Yes", "No")</f>
        <v>No</v>
      </c>
    </row>
    <row r="1167" spans="1:22" x14ac:dyDescent="0.35">
      <c r="A1167">
        <v>1166</v>
      </c>
      <c r="B1167" t="s">
        <v>1755</v>
      </c>
      <c r="C1167" t="s">
        <v>501</v>
      </c>
      <c r="D1167" t="s">
        <v>2075</v>
      </c>
      <c r="E1167" t="s">
        <v>20</v>
      </c>
      <c r="F1167" t="b">
        <v>0</v>
      </c>
      <c r="G1167">
        <v>0</v>
      </c>
      <c r="H1167" t="b">
        <v>0</v>
      </c>
      <c r="I1167">
        <v>0</v>
      </c>
      <c r="J1167" t="s">
        <v>224</v>
      </c>
      <c r="K1167">
        <v>100</v>
      </c>
      <c r="L1167">
        <v>85</v>
      </c>
      <c r="M1167">
        <v>81</v>
      </c>
      <c r="N1167">
        <v>91</v>
      </c>
      <c r="O1167">
        <v>75</v>
      </c>
      <c r="P1167">
        <v>64</v>
      </c>
      <c r="Q1167">
        <v>83</v>
      </c>
      <c r="R1167">
        <f>SUM(student_scores[[#This Row],[math_score]:[geography_score]])</f>
        <v>579</v>
      </c>
      <c r="S1167" s="3">
        <f>student_scores[[#This Row],[Total_Score]]/7</f>
        <v>82.714285714285708</v>
      </c>
      <c r="T1167" s="3" t="str" cm="1">
        <f t="array" ref="T1167">_xlfn.IFS(student_scores[[#This Row],[weekly_self_study_hours]]&lt;=5,   "0 - 5", student_scores[[#This Row],[weekly_self_study_hours]]&lt;=10,  "6 - 10", student_scores[[#This Row],[weekly_self_study_hours]]&lt;=20,  "11 - 20",student_scores[[#This Row],[weekly_self_study_hours]]&lt;=30, "21 - 30",TRUE, "31+")</f>
        <v>0 - 5</v>
      </c>
      <c r="U1167" t="str" cm="1">
        <f t="array" ref="U1167">_xlfn.IFS(student_scores[[#This Row],[absence_days]]=0,"0", student_scores[[#This Row],[absence_days]]&lt;=3,"1-3", student_scores[[#This Row],[absence_days]]&lt;=6,"4-6", TRUE,"7-10")</f>
        <v>0</v>
      </c>
      <c r="V1167" t="str">
        <f>IF(student_scores[[#This Row],[Total_Score]] &gt;= _xlfn.PERCENTILE.INC(student_scores[Total_Score], 0.8), "Yes", "No")</f>
        <v>No</v>
      </c>
    </row>
    <row r="1168" spans="1:22" x14ac:dyDescent="0.35">
      <c r="A1168">
        <v>1167</v>
      </c>
      <c r="B1168" t="s">
        <v>300</v>
      </c>
      <c r="C1168" t="s">
        <v>518</v>
      </c>
      <c r="D1168" t="s">
        <v>2076</v>
      </c>
      <c r="E1168" t="s">
        <v>20</v>
      </c>
      <c r="F1168" t="b">
        <v>0</v>
      </c>
      <c r="G1168">
        <v>5</v>
      </c>
      <c r="H1168" t="b">
        <v>1</v>
      </c>
      <c r="I1168">
        <v>3</v>
      </c>
      <c r="J1168" t="s">
        <v>159</v>
      </c>
      <c r="K1168">
        <v>94</v>
      </c>
      <c r="L1168">
        <v>65</v>
      </c>
      <c r="M1168">
        <v>100</v>
      </c>
      <c r="N1168">
        <v>77</v>
      </c>
      <c r="O1168">
        <v>66</v>
      </c>
      <c r="P1168">
        <v>96</v>
      </c>
      <c r="Q1168">
        <v>68</v>
      </c>
      <c r="R1168">
        <f>SUM(student_scores[[#This Row],[math_score]:[geography_score]])</f>
        <v>566</v>
      </c>
      <c r="S1168" s="3">
        <f>student_scores[[#This Row],[Total_Score]]/7</f>
        <v>80.857142857142861</v>
      </c>
      <c r="T1168" s="3" t="str" cm="1">
        <f t="array" ref="T1168">_xlfn.IFS(student_scores[[#This Row],[weekly_self_study_hours]]&lt;=5,   "0 - 5", student_scores[[#This Row],[weekly_self_study_hours]]&lt;=10,  "6 - 10", student_scores[[#This Row],[weekly_self_study_hours]]&lt;=20,  "11 - 20",student_scores[[#This Row],[weekly_self_study_hours]]&lt;=30, "21 - 30",TRUE, "31+")</f>
        <v>0 - 5</v>
      </c>
      <c r="U1168" t="str" cm="1">
        <f t="array" ref="U1168">_xlfn.IFS(student_scores[[#This Row],[absence_days]]=0,"0", student_scores[[#This Row],[absence_days]]&lt;=3,"1-3", student_scores[[#This Row],[absence_days]]&lt;=6,"4-6", TRUE,"7-10")</f>
        <v>4-6</v>
      </c>
      <c r="V1168" t="str">
        <f>IF(student_scores[[#This Row],[Total_Score]] &gt;= _xlfn.PERCENTILE.INC(student_scores[Total_Score], 0.8), "Yes", "No")</f>
        <v>No</v>
      </c>
    </row>
    <row r="1169" spans="1:22" x14ac:dyDescent="0.35">
      <c r="A1169">
        <v>1168</v>
      </c>
      <c r="B1169" t="s">
        <v>351</v>
      </c>
      <c r="C1169" t="s">
        <v>118</v>
      </c>
      <c r="D1169" t="s">
        <v>2077</v>
      </c>
      <c r="E1169" t="s">
        <v>25</v>
      </c>
      <c r="F1169" t="b">
        <v>0</v>
      </c>
      <c r="G1169">
        <v>4</v>
      </c>
      <c r="H1169" t="b">
        <v>0</v>
      </c>
      <c r="I1169">
        <v>4</v>
      </c>
      <c r="J1169" t="s">
        <v>34</v>
      </c>
      <c r="K1169">
        <v>98</v>
      </c>
      <c r="L1169">
        <v>80</v>
      </c>
      <c r="M1169">
        <v>66</v>
      </c>
      <c r="N1169">
        <v>94</v>
      </c>
      <c r="O1169">
        <v>86</v>
      </c>
      <c r="P1169">
        <v>72</v>
      </c>
      <c r="Q1169">
        <v>86</v>
      </c>
      <c r="R1169">
        <f>SUM(student_scores[[#This Row],[math_score]:[geography_score]])</f>
        <v>582</v>
      </c>
      <c r="S1169" s="3">
        <f>student_scores[[#This Row],[Total_Score]]/7</f>
        <v>83.142857142857139</v>
      </c>
      <c r="T1169" s="3" t="str" cm="1">
        <f t="array" ref="T1169">_xlfn.IFS(student_scores[[#This Row],[weekly_self_study_hours]]&lt;=5,   "0 - 5", student_scores[[#This Row],[weekly_self_study_hours]]&lt;=10,  "6 - 10", student_scores[[#This Row],[weekly_self_study_hours]]&lt;=20,  "11 - 20",student_scores[[#This Row],[weekly_self_study_hours]]&lt;=30, "21 - 30",TRUE, "31+")</f>
        <v>0 - 5</v>
      </c>
      <c r="U1169" t="str" cm="1">
        <f t="array" ref="U1169">_xlfn.IFS(student_scores[[#This Row],[absence_days]]=0,"0", student_scores[[#This Row],[absence_days]]&lt;=3,"1-3", student_scores[[#This Row],[absence_days]]&lt;=6,"4-6", TRUE,"7-10")</f>
        <v>4-6</v>
      </c>
      <c r="V1169" t="str">
        <f>IF(student_scores[[#This Row],[Total_Score]] &gt;= _xlfn.PERCENTILE.INC(student_scores[Total_Score], 0.8), "Yes", "No")</f>
        <v>No</v>
      </c>
    </row>
    <row r="1170" spans="1:22" x14ac:dyDescent="0.35">
      <c r="A1170">
        <v>1169</v>
      </c>
      <c r="B1170" t="s">
        <v>446</v>
      </c>
      <c r="C1170" t="s">
        <v>2078</v>
      </c>
      <c r="D1170" t="s">
        <v>2079</v>
      </c>
      <c r="E1170" t="s">
        <v>20</v>
      </c>
      <c r="F1170" t="b">
        <v>0</v>
      </c>
      <c r="G1170">
        <v>3</v>
      </c>
      <c r="H1170" t="b">
        <v>0</v>
      </c>
      <c r="I1170">
        <v>21</v>
      </c>
      <c r="J1170" t="s">
        <v>138</v>
      </c>
      <c r="K1170">
        <v>94</v>
      </c>
      <c r="L1170">
        <v>81</v>
      </c>
      <c r="M1170">
        <v>88</v>
      </c>
      <c r="N1170">
        <v>81</v>
      </c>
      <c r="O1170">
        <v>71</v>
      </c>
      <c r="P1170">
        <v>92</v>
      </c>
      <c r="Q1170">
        <v>73</v>
      </c>
      <c r="R1170">
        <f>SUM(student_scores[[#This Row],[math_score]:[geography_score]])</f>
        <v>580</v>
      </c>
      <c r="S1170" s="3">
        <f>student_scores[[#This Row],[Total_Score]]/7</f>
        <v>82.857142857142861</v>
      </c>
      <c r="T1170" s="3" t="str" cm="1">
        <f t="array" ref="T1170">_xlfn.IFS(student_scores[[#This Row],[weekly_self_study_hours]]&lt;=5,   "0 - 5", student_scores[[#This Row],[weekly_self_study_hours]]&lt;=10,  "6 - 10", student_scores[[#This Row],[weekly_self_study_hours]]&lt;=20,  "11 - 20",student_scores[[#This Row],[weekly_self_study_hours]]&lt;=30, "21 - 30",TRUE, "31+")</f>
        <v>21 - 30</v>
      </c>
      <c r="U1170" t="str" cm="1">
        <f t="array" ref="U1170">_xlfn.IFS(student_scores[[#This Row],[absence_days]]=0,"0", student_scores[[#This Row],[absence_days]]&lt;=3,"1-3", student_scores[[#This Row],[absence_days]]&lt;=6,"4-6", TRUE,"7-10")</f>
        <v>1-3</v>
      </c>
      <c r="V1170" t="str">
        <f>IF(student_scores[[#This Row],[Total_Score]] &gt;= _xlfn.PERCENTILE.INC(student_scores[Total_Score], 0.8), "Yes", "No")</f>
        <v>No</v>
      </c>
    </row>
    <row r="1171" spans="1:22" x14ac:dyDescent="0.35">
      <c r="A1171">
        <v>1170</v>
      </c>
      <c r="B1171" t="s">
        <v>1832</v>
      </c>
      <c r="C1171" t="s">
        <v>281</v>
      </c>
      <c r="D1171" t="s">
        <v>2080</v>
      </c>
      <c r="E1171" t="s">
        <v>20</v>
      </c>
      <c r="F1171" t="b">
        <v>0</v>
      </c>
      <c r="G1171">
        <v>3</v>
      </c>
      <c r="H1171" t="b">
        <v>0</v>
      </c>
      <c r="I1171">
        <v>4</v>
      </c>
      <c r="J1171" t="s">
        <v>159</v>
      </c>
      <c r="K1171">
        <v>92</v>
      </c>
      <c r="L1171">
        <v>69</v>
      </c>
      <c r="M1171">
        <v>93</v>
      </c>
      <c r="N1171">
        <v>67</v>
      </c>
      <c r="O1171">
        <v>79</v>
      </c>
      <c r="P1171">
        <v>84</v>
      </c>
      <c r="Q1171">
        <v>69</v>
      </c>
      <c r="R1171">
        <f>SUM(student_scores[[#This Row],[math_score]:[geography_score]])</f>
        <v>553</v>
      </c>
      <c r="S1171" s="3">
        <f>student_scores[[#This Row],[Total_Score]]/7</f>
        <v>79</v>
      </c>
      <c r="T1171" s="3" t="str" cm="1">
        <f t="array" ref="T1171">_xlfn.IFS(student_scores[[#This Row],[weekly_self_study_hours]]&lt;=5,   "0 - 5", student_scores[[#This Row],[weekly_self_study_hours]]&lt;=10,  "6 - 10", student_scores[[#This Row],[weekly_self_study_hours]]&lt;=20,  "11 - 20",student_scores[[#This Row],[weekly_self_study_hours]]&lt;=30, "21 - 30",TRUE, "31+")</f>
        <v>0 - 5</v>
      </c>
      <c r="U1171" t="str" cm="1">
        <f t="array" ref="U1171">_xlfn.IFS(student_scores[[#This Row],[absence_days]]=0,"0", student_scores[[#This Row],[absence_days]]&lt;=3,"1-3", student_scores[[#This Row],[absence_days]]&lt;=6,"4-6", TRUE,"7-10")</f>
        <v>1-3</v>
      </c>
      <c r="V1171" t="str">
        <f>IF(student_scores[[#This Row],[Total_Score]] &gt;= _xlfn.PERCENTILE.INC(student_scores[Total_Score], 0.8), "Yes", "No")</f>
        <v>No</v>
      </c>
    </row>
    <row r="1172" spans="1:22" x14ac:dyDescent="0.35">
      <c r="A1172">
        <v>1171</v>
      </c>
      <c r="B1172" t="s">
        <v>1082</v>
      </c>
      <c r="C1172" t="s">
        <v>2081</v>
      </c>
      <c r="D1172" t="s">
        <v>2082</v>
      </c>
      <c r="E1172" t="s">
        <v>20</v>
      </c>
      <c r="F1172" t="b">
        <v>0</v>
      </c>
      <c r="G1172">
        <v>5</v>
      </c>
      <c r="H1172" t="b">
        <v>1</v>
      </c>
      <c r="I1172">
        <v>1</v>
      </c>
      <c r="J1172" t="s">
        <v>64</v>
      </c>
      <c r="K1172">
        <v>50</v>
      </c>
      <c r="L1172">
        <v>87</v>
      </c>
      <c r="M1172">
        <v>93</v>
      </c>
      <c r="N1172">
        <v>84</v>
      </c>
      <c r="O1172">
        <v>86</v>
      </c>
      <c r="P1172">
        <v>73</v>
      </c>
      <c r="Q1172">
        <v>74</v>
      </c>
      <c r="R1172">
        <f>SUM(student_scores[[#This Row],[math_score]:[geography_score]])</f>
        <v>547</v>
      </c>
      <c r="S1172" s="3">
        <f>student_scores[[#This Row],[Total_Score]]/7</f>
        <v>78.142857142857139</v>
      </c>
      <c r="T1172" s="3" t="str" cm="1">
        <f t="array" ref="T1172">_xlfn.IFS(student_scores[[#This Row],[weekly_self_study_hours]]&lt;=5,   "0 - 5", student_scores[[#This Row],[weekly_self_study_hours]]&lt;=10,  "6 - 10", student_scores[[#This Row],[weekly_self_study_hours]]&lt;=20,  "11 - 20",student_scores[[#This Row],[weekly_self_study_hours]]&lt;=30, "21 - 30",TRUE, "31+")</f>
        <v>0 - 5</v>
      </c>
      <c r="U1172" t="str" cm="1">
        <f t="array" ref="U1172">_xlfn.IFS(student_scores[[#This Row],[absence_days]]=0,"0", student_scores[[#This Row],[absence_days]]&lt;=3,"1-3", student_scores[[#This Row],[absence_days]]&lt;=6,"4-6", TRUE,"7-10")</f>
        <v>4-6</v>
      </c>
      <c r="V1172" t="str">
        <f>IF(student_scores[[#This Row],[Total_Score]] &gt;= _xlfn.PERCENTILE.INC(student_scores[Total_Score], 0.8), "Yes", "No")</f>
        <v>No</v>
      </c>
    </row>
    <row r="1173" spans="1:22" x14ac:dyDescent="0.35">
      <c r="A1173">
        <v>1172</v>
      </c>
      <c r="B1173" t="s">
        <v>1486</v>
      </c>
      <c r="C1173" t="s">
        <v>977</v>
      </c>
      <c r="D1173" t="s">
        <v>2083</v>
      </c>
      <c r="E1173" t="s">
        <v>25</v>
      </c>
      <c r="F1173" t="b">
        <v>0</v>
      </c>
      <c r="G1173">
        <v>7</v>
      </c>
      <c r="H1173" t="b">
        <v>0</v>
      </c>
      <c r="I1173">
        <v>49</v>
      </c>
      <c r="J1173" t="s">
        <v>26</v>
      </c>
      <c r="K1173">
        <v>99</v>
      </c>
      <c r="L1173">
        <v>98</v>
      </c>
      <c r="M1173">
        <v>94</v>
      </c>
      <c r="N1173">
        <v>96</v>
      </c>
      <c r="O1173">
        <v>95</v>
      </c>
      <c r="P1173">
        <v>88</v>
      </c>
      <c r="Q1173">
        <v>92</v>
      </c>
      <c r="R1173">
        <f>SUM(student_scores[[#This Row],[math_score]:[geography_score]])</f>
        <v>662</v>
      </c>
      <c r="S1173" s="3">
        <f>student_scores[[#This Row],[Total_Score]]/7</f>
        <v>94.571428571428569</v>
      </c>
      <c r="T1173" s="3" t="str" cm="1">
        <f t="array" ref="T1173">_xlfn.IFS(student_scores[[#This Row],[weekly_self_study_hours]]&lt;=5,   "0 - 5", student_scores[[#This Row],[weekly_self_study_hours]]&lt;=10,  "6 - 10", student_scores[[#This Row],[weekly_self_study_hours]]&lt;=20,  "11 - 20",student_scores[[#This Row],[weekly_self_study_hours]]&lt;=30, "21 - 30",TRUE, "31+")</f>
        <v>31+</v>
      </c>
      <c r="U1173" t="str" cm="1">
        <f t="array" ref="U1173">_xlfn.IFS(student_scores[[#This Row],[absence_days]]=0,"0", student_scores[[#This Row],[absence_days]]&lt;=3,"1-3", student_scores[[#This Row],[absence_days]]&lt;=6,"4-6", TRUE,"7-10")</f>
        <v>7-10</v>
      </c>
      <c r="V1173" t="str">
        <f>IF(student_scores[[#This Row],[Total_Score]] &gt;= _xlfn.PERCENTILE.INC(student_scores[Total_Score], 0.8), "Yes", "No")</f>
        <v>Yes</v>
      </c>
    </row>
    <row r="1174" spans="1:22" x14ac:dyDescent="0.35">
      <c r="A1174">
        <v>1173</v>
      </c>
      <c r="B1174" t="s">
        <v>27</v>
      </c>
      <c r="C1174" t="s">
        <v>782</v>
      </c>
      <c r="D1174" t="s">
        <v>2084</v>
      </c>
      <c r="E1174" t="s">
        <v>25</v>
      </c>
      <c r="F1174" t="b">
        <v>0</v>
      </c>
      <c r="G1174">
        <v>3</v>
      </c>
      <c r="H1174" t="b">
        <v>0</v>
      </c>
      <c r="I1174">
        <v>12</v>
      </c>
      <c r="J1174" t="s">
        <v>54</v>
      </c>
      <c r="K1174">
        <v>70</v>
      </c>
      <c r="L1174">
        <v>68</v>
      </c>
      <c r="M1174">
        <v>89</v>
      </c>
      <c r="N1174">
        <v>60</v>
      </c>
      <c r="O1174">
        <v>79</v>
      </c>
      <c r="P1174">
        <v>85</v>
      </c>
      <c r="Q1174">
        <v>66</v>
      </c>
      <c r="R1174">
        <f>SUM(student_scores[[#This Row],[math_score]:[geography_score]])</f>
        <v>517</v>
      </c>
      <c r="S1174" s="3">
        <f>student_scores[[#This Row],[Total_Score]]/7</f>
        <v>73.857142857142861</v>
      </c>
      <c r="T1174" s="3" t="str" cm="1">
        <f t="array" ref="T1174">_xlfn.IFS(student_scores[[#This Row],[weekly_self_study_hours]]&lt;=5,   "0 - 5", student_scores[[#This Row],[weekly_self_study_hours]]&lt;=10,  "6 - 10", student_scores[[#This Row],[weekly_self_study_hours]]&lt;=20,  "11 - 20",student_scores[[#This Row],[weekly_self_study_hours]]&lt;=30, "21 - 30",TRUE, "31+")</f>
        <v>11 - 20</v>
      </c>
      <c r="U1174" t="str" cm="1">
        <f t="array" ref="U1174">_xlfn.IFS(student_scores[[#This Row],[absence_days]]=0,"0", student_scores[[#This Row],[absence_days]]&lt;=3,"1-3", student_scores[[#This Row],[absence_days]]&lt;=6,"4-6", TRUE,"7-10")</f>
        <v>1-3</v>
      </c>
      <c r="V1174" t="str">
        <f>IF(student_scores[[#This Row],[Total_Score]] &gt;= _xlfn.PERCENTILE.INC(student_scores[Total_Score], 0.8), "Yes", "No")</f>
        <v>No</v>
      </c>
    </row>
    <row r="1175" spans="1:22" x14ac:dyDescent="0.35">
      <c r="A1175">
        <v>1174</v>
      </c>
      <c r="B1175" t="s">
        <v>465</v>
      </c>
      <c r="C1175" t="s">
        <v>2085</v>
      </c>
      <c r="D1175" t="s">
        <v>2086</v>
      </c>
      <c r="E1175" t="s">
        <v>25</v>
      </c>
      <c r="F1175" t="b">
        <v>0</v>
      </c>
      <c r="G1175">
        <v>6</v>
      </c>
      <c r="H1175" t="b">
        <v>0</v>
      </c>
      <c r="I1175">
        <v>9</v>
      </c>
      <c r="J1175" t="s">
        <v>30</v>
      </c>
      <c r="K1175">
        <v>92</v>
      </c>
      <c r="L1175">
        <v>93</v>
      </c>
      <c r="M1175">
        <v>86</v>
      </c>
      <c r="N1175">
        <v>61</v>
      </c>
      <c r="O1175">
        <v>78</v>
      </c>
      <c r="P1175">
        <v>80</v>
      </c>
      <c r="Q1175">
        <v>62</v>
      </c>
      <c r="R1175">
        <f>SUM(student_scores[[#This Row],[math_score]:[geography_score]])</f>
        <v>552</v>
      </c>
      <c r="S1175" s="3">
        <f>student_scores[[#This Row],[Total_Score]]/7</f>
        <v>78.857142857142861</v>
      </c>
      <c r="T1175" s="3" t="str" cm="1">
        <f t="array" ref="T1175">_xlfn.IFS(student_scores[[#This Row],[weekly_self_study_hours]]&lt;=5,   "0 - 5", student_scores[[#This Row],[weekly_self_study_hours]]&lt;=10,  "6 - 10", student_scores[[#This Row],[weekly_self_study_hours]]&lt;=20,  "11 - 20",student_scores[[#This Row],[weekly_self_study_hours]]&lt;=30, "21 - 30",TRUE, "31+")</f>
        <v>6 - 10</v>
      </c>
      <c r="U1175" t="str" cm="1">
        <f t="array" ref="U1175">_xlfn.IFS(student_scores[[#This Row],[absence_days]]=0,"0", student_scores[[#This Row],[absence_days]]&lt;=3,"1-3", student_scores[[#This Row],[absence_days]]&lt;=6,"4-6", TRUE,"7-10")</f>
        <v>4-6</v>
      </c>
      <c r="V1175" t="str">
        <f>IF(student_scores[[#This Row],[Total_Score]] &gt;= _xlfn.PERCENTILE.INC(student_scores[Total_Score], 0.8), "Yes", "No")</f>
        <v>No</v>
      </c>
    </row>
    <row r="1176" spans="1:22" x14ac:dyDescent="0.35">
      <c r="A1176">
        <v>1175</v>
      </c>
      <c r="B1176" t="s">
        <v>728</v>
      </c>
      <c r="C1176" t="s">
        <v>1515</v>
      </c>
      <c r="D1176" t="s">
        <v>2087</v>
      </c>
      <c r="E1176" t="s">
        <v>20</v>
      </c>
      <c r="F1176" t="b">
        <v>1</v>
      </c>
      <c r="G1176">
        <v>1</v>
      </c>
      <c r="H1176" t="b">
        <v>0</v>
      </c>
      <c r="I1176">
        <v>20</v>
      </c>
      <c r="J1176" t="s">
        <v>105</v>
      </c>
      <c r="K1176">
        <v>82</v>
      </c>
      <c r="L1176">
        <v>70</v>
      </c>
      <c r="M1176">
        <v>86</v>
      </c>
      <c r="N1176">
        <v>66</v>
      </c>
      <c r="O1176">
        <v>97</v>
      </c>
      <c r="P1176">
        <v>93</v>
      </c>
      <c r="Q1176">
        <v>91</v>
      </c>
      <c r="R1176">
        <f>SUM(student_scores[[#This Row],[math_score]:[geography_score]])</f>
        <v>585</v>
      </c>
      <c r="S1176" s="3">
        <f>student_scores[[#This Row],[Total_Score]]/7</f>
        <v>83.571428571428569</v>
      </c>
      <c r="T1176" s="3" t="str" cm="1">
        <f t="array" ref="T1176">_xlfn.IFS(student_scores[[#This Row],[weekly_self_study_hours]]&lt;=5,   "0 - 5", student_scores[[#This Row],[weekly_self_study_hours]]&lt;=10,  "6 - 10", student_scores[[#This Row],[weekly_self_study_hours]]&lt;=20,  "11 - 20",student_scores[[#This Row],[weekly_self_study_hours]]&lt;=30, "21 - 30",TRUE, "31+")</f>
        <v>11 - 20</v>
      </c>
      <c r="U1176" t="str" cm="1">
        <f t="array" ref="U1176">_xlfn.IFS(student_scores[[#This Row],[absence_days]]=0,"0", student_scores[[#This Row],[absence_days]]&lt;=3,"1-3", student_scores[[#This Row],[absence_days]]&lt;=6,"4-6", TRUE,"7-10")</f>
        <v>1-3</v>
      </c>
      <c r="V1176" t="str">
        <f>IF(student_scores[[#This Row],[Total_Score]] &gt;= _xlfn.PERCENTILE.INC(student_scores[Total_Score], 0.8), "Yes", "No")</f>
        <v>No</v>
      </c>
    </row>
    <row r="1177" spans="1:22" x14ac:dyDescent="0.35">
      <c r="A1177">
        <v>1176</v>
      </c>
      <c r="B1177" t="s">
        <v>1218</v>
      </c>
      <c r="C1177" t="s">
        <v>167</v>
      </c>
      <c r="D1177" t="s">
        <v>2088</v>
      </c>
      <c r="E1177" t="s">
        <v>20</v>
      </c>
      <c r="F1177" t="b">
        <v>0</v>
      </c>
      <c r="G1177">
        <v>7</v>
      </c>
      <c r="H1177" t="b">
        <v>1</v>
      </c>
      <c r="I1177">
        <v>16</v>
      </c>
      <c r="J1177" t="s">
        <v>138</v>
      </c>
      <c r="K1177">
        <v>83</v>
      </c>
      <c r="L1177">
        <v>73</v>
      </c>
      <c r="M1177">
        <v>82</v>
      </c>
      <c r="N1177">
        <v>62</v>
      </c>
      <c r="O1177">
        <v>92</v>
      </c>
      <c r="P1177">
        <v>68</v>
      </c>
      <c r="Q1177">
        <v>76</v>
      </c>
      <c r="R1177">
        <f>SUM(student_scores[[#This Row],[math_score]:[geography_score]])</f>
        <v>536</v>
      </c>
      <c r="S1177" s="3">
        <f>student_scores[[#This Row],[Total_Score]]/7</f>
        <v>76.571428571428569</v>
      </c>
      <c r="T1177" s="3" t="str" cm="1">
        <f t="array" ref="T1177">_xlfn.IFS(student_scores[[#This Row],[weekly_self_study_hours]]&lt;=5,   "0 - 5", student_scores[[#This Row],[weekly_self_study_hours]]&lt;=10,  "6 - 10", student_scores[[#This Row],[weekly_self_study_hours]]&lt;=20,  "11 - 20",student_scores[[#This Row],[weekly_self_study_hours]]&lt;=30, "21 - 30",TRUE, "31+")</f>
        <v>11 - 20</v>
      </c>
      <c r="U1177" t="str" cm="1">
        <f t="array" ref="U1177">_xlfn.IFS(student_scores[[#This Row],[absence_days]]=0,"0", student_scores[[#This Row],[absence_days]]&lt;=3,"1-3", student_scores[[#This Row],[absence_days]]&lt;=6,"4-6", TRUE,"7-10")</f>
        <v>7-10</v>
      </c>
      <c r="V1177" t="str">
        <f>IF(student_scores[[#This Row],[Total_Score]] &gt;= _xlfn.PERCENTILE.INC(student_scores[Total_Score], 0.8), "Yes", "No")</f>
        <v>No</v>
      </c>
    </row>
    <row r="1178" spans="1:22" x14ac:dyDescent="0.35">
      <c r="A1178">
        <v>1177</v>
      </c>
      <c r="B1178" t="s">
        <v>302</v>
      </c>
      <c r="C1178" t="s">
        <v>2022</v>
      </c>
      <c r="D1178" t="s">
        <v>2089</v>
      </c>
      <c r="E1178" t="s">
        <v>20</v>
      </c>
      <c r="F1178" t="b">
        <v>0</v>
      </c>
      <c r="G1178">
        <v>1</v>
      </c>
      <c r="H1178" t="b">
        <v>0</v>
      </c>
      <c r="I1178">
        <v>13</v>
      </c>
      <c r="J1178" t="s">
        <v>172</v>
      </c>
      <c r="K1178">
        <v>84</v>
      </c>
      <c r="L1178">
        <v>85</v>
      </c>
      <c r="M1178">
        <v>64</v>
      </c>
      <c r="N1178">
        <v>74</v>
      </c>
      <c r="O1178">
        <v>79</v>
      </c>
      <c r="P1178">
        <v>92</v>
      </c>
      <c r="Q1178">
        <v>64</v>
      </c>
      <c r="R1178">
        <f>SUM(student_scores[[#This Row],[math_score]:[geography_score]])</f>
        <v>542</v>
      </c>
      <c r="S1178" s="3">
        <f>student_scores[[#This Row],[Total_Score]]/7</f>
        <v>77.428571428571431</v>
      </c>
      <c r="T1178" s="3" t="str" cm="1">
        <f t="array" ref="T1178">_xlfn.IFS(student_scores[[#This Row],[weekly_self_study_hours]]&lt;=5,   "0 - 5", student_scores[[#This Row],[weekly_self_study_hours]]&lt;=10,  "6 - 10", student_scores[[#This Row],[weekly_self_study_hours]]&lt;=20,  "11 - 20",student_scores[[#This Row],[weekly_self_study_hours]]&lt;=30, "21 - 30",TRUE, "31+")</f>
        <v>11 - 20</v>
      </c>
      <c r="U1178" t="str" cm="1">
        <f t="array" ref="U1178">_xlfn.IFS(student_scores[[#This Row],[absence_days]]=0,"0", student_scores[[#This Row],[absence_days]]&lt;=3,"1-3", student_scores[[#This Row],[absence_days]]&lt;=6,"4-6", TRUE,"7-10")</f>
        <v>1-3</v>
      </c>
      <c r="V1178" t="str">
        <f>IF(student_scores[[#This Row],[Total_Score]] &gt;= _xlfn.PERCENTILE.INC(student_scores[Total_Score], 0.8), "Yes", "No")</f>
        <v>No</v>
      </c>
    </row>
    <row r="1179" spans="1:22" x14ac:dyDescent="0.35">
      <c r="A1179">
        <v>1178</v>
      </c>
      <c r="B1179" t="s">
        <v>410</v>
      </c>
      <c r="C1179" t="s">
        <v>2090</v>
      </c>
      <c r="D1179" t="s">
        <v>2091</v>
      </c>
      <c r="E1179" t="s">
        <v>20</v>
      </c>
      <c r="F1179" t="b">
        <v>0</v>
      </c>
      <c r="G1179">
        <v>0</v>
      </c>
      <c r="H1179" t="b">
        <v>0</v>
      </c>
      <c r="I1179">
        <v>30</v>
      </c>
      <c r="J1179" t="s">
        <v>38</v>
      </c>
      <c r="K1179">
        <v>60</v>
      </c>
      <c r="L1179">
        <v>71</v>
      </c>
      <c r="M1179">
        <v>91</v>
      </c>
      <c r="N1179">
        <v>83</v>
      </c>
      <c r="O1179">
        <v>93</v>
      </c>
      <c r="P1179">
        <v>88</v>
      </c>
      <c r="Q1179">
        <v>97</v>
      </c>
      <c r="R1179">
        <f>SUM(student_scores[[#This Row],[math_score]:[geography_score]])</f>
        <v>583</v>
      </c>
      <c r="S1179" s="3">
        <f>student_scores[[#This Row],[Total_Score]]/7</f>
        <v>83.285714285714292</v>
      </c>
      <c r="T1179" s="3" t="str" cm="1">
        <f t="array" ref="T1179">_xlfn.IFS(student_scores[[#This Row],[weekly_self_study_hours]]&lt;=5,   "0 - 5", student_scores[[#This Row],[weekly_self_study_hours]]&lt;=10,  "6 - 10", student_scores[[#This Row],[weekly_self_study_hours]]&lt;=20,  "11 - 20",student_scores[[#This Row],[weekly_self_study_hours]]&lt;=30, "21 - 30",TRUE, "31+")</f>
        <v>21 - 30</v>
      </c>
      <c r="U1179" t="str" cm="1">
        <f t="array" ref="U1179">_xlfn.IFS(student_scores[[#This Row],[absence_days]]=0,"0", student_scores[[#This Row],[absence_days]]&lt;=3,"1-3", student_scores[[#This Row],[absence_days]]&lt;=6,"4-6", TRUE,"7-10")</f>
        <v>0</v>
      </c>
      <c r="V1179" t="str">
        <f>IF(student_scores[[#This Row],[Total_Score]] &gt;= _xlfn.PERCENTILE.INC(student_scores[Total_Score], 0.8), "Yes", "No")</f>
        <v>No</v>
      </c>
    </row>
    <row r="1180" spans="1:22" x14ac:dyDescent="0.35">
      <c r="A1180">
        <v>1179</v>
      </c>
      <c r="B1180" t="s">
        <v>796</v>
      </c>
      <c r="C1180" t="s">
        <v>2092</v>
      </c>
      <c r="D1180" t="s">
        <v>2093</v>
      </c>
      <c r="E1180" t="s">
        <v>20</v>
      </c>
      <c r="F1180" t="b">
        <v>0</v>
      </c>
      <c r="G1180">
        <v>3</v>
      </c>
      <c r="H1180" t="b">
        <v>0</v>
      </c>
      <c r="I1180">
        <v>7</v>
      </c>
      <c r="J1180" t="s">
        <v>38</v>
      </c>
      <c r="K1180">
        <v>67</v>
      </c>
      <c r="L1180">
        <v>60</v>
      </c>
      <c r="M1180">
        <v>99</v>
      </c>
      <c r="N1180">
        <v>60</v>
      </c>
      <c r="O1180">
        <v>82</v>
      </c>
      <c r="P1180">
        <v>81</v>
      </c>
      <c r="Q1180">
        <v>63</v>
      </c>
      <c r="R1180">
        <f>SUM(student_scores[[#This Row],[math_score]:[geography_score]])</f>
        <v>512</v>
      </c>
      <c r="S1180" s="3">
        <f>student_scores[[#This Row],[Total_Score]]/7</f>
        <v>73.142857142857139</v>
      </c>
      <c r="T1180" s="3" t="str" cm="1">
        <f t="array" ref="T1180">_xlfn.IFS(student_scores[[#This Row],[weekly_self_study_hours]]&lt;=5,   "0 - 5", student_scores[[#This Row],[weekly_self_study_hours]]&lt;=10,  "6 - 10", student_scores[[#This Row],[weekly_self_study_hours]]&lt;=20,  "11 - 20",student_scores[[#This Row],[weekly_self_study_hours]]&lt;=30, "21 - 30",TRUE, "31+")</f>
        <v>6 - 10</v>
      </c>
      <c r="U1180" t="str" cm="1">
        <f t="array" ref="U1180">_xlfn.IFS(student_scores[[#This Row],[absence_days]]=0,"0", student_scores[[#This Row],[absence_days]]&lt;=3,"1-3", student_scores[[#This Row],[absence_days]]&lt;=6,"4-6", TRUE,"7-10")</f>
        <v>1-3</v>
      </c>
      <c r="V1180" t="str">
        <f>IF(student_scores[[#This Row],[Total_Score]] &gt;= _xlfn.PERCENTILE.INC(student_scores[Total_Score], 0.8), "Yes", "No")</f>
        <v>No</v>
      </c>
    </row>
    <row r="1181" spans="1:22" x14ac:dyDescent="0.35">
      <c r="A1181">
        <v>1180</v>
      </c>
      <c r="B1181" t="s">
        <v>193</v>
      </c>
      <c r="C1181" t="s">
        <v>2094</v>
      </c>
      <c r="D1181" t="s">
        <v>2095</v>
      </c>
      <c r="E1181" t="s">
        <v>25</v>
      </c>
      <c r="F1181" t="b">
        <v>0</v>
      </c>
      <c r="G1181">
        <v>3</v>
      </c>
      <c r="H1181" t="b">
        <v>0</v>
      </c>
      <c r="I1181">
        <v>38</v>
      </c>
      <c r="J1181" t="s">
        <v>26</v>
      </c>
      <c r="K1181">
        <v>96</v>
      </c>
      <c r="L1181">
        <v>92</v>
      </c>
      <c r="M1181">
        <v>93</v>
      </c>
      <c r="N1181">
        <v>91</v>
      </c>
      <c r="O1181">
        <v>88</v>
      </c>
      <c r="P1181">
        <v>90</v>
      </c>
      <c r="Q1181">
        <v>88</v>
      </c>
      <c r="R1181">
        <f>SUM(student_scores[[#This Row],[math_score]:[geography_score]])</f>
        <v>638</v>
      </c>
      <c r="S1181" s="3">
        <f>student_scores[[#This Row],[Total_Score]]/7</f>
        <v>91.142857142857139</v>
      </c>
      <c r="T1181" s="3" t="str" cm="1">
        <f t="array" ref="T1181">_xlfn.IFS(student_scores[[#This Row],[weekly_self_study_hours]]&lt;=5,   "0 - 5", student_scores[[#This Row],[weekly_self_study_hours]]&lt;=10,  "6 - 10", student_scores[[#This Row],[weekly_self_study_hours]]&lt;=20,  "11 - 20",student_scores[[#This Row],[weekly_self_study_hours]]&lt;=30, "21 - 30",TRUE, "31+")</f>
        <v>31+</v>
      </c>
      <c r="U1181" t="str" cm="1">
        <f t="array" ref="U1181">_xlfn.IFS(student_scores[[#This Row],[absence_days]]=0,"0", student_scores[[#This Row],[absence_days]]&lt;=3,"1-3", student_scores[[#This Row],[absence_days]]&lt;=6,"4-6", TRUE,"7-10")</f>
        <v>1-3</v>
      </c>
      <c r="V1181" t="str">
        <f>IF(student_scores[[#This Row],[Total_Score]] &gt;= _xlfn.PERCENTILE.INC(student_scores[Total_Score], 0.8), "Yes", "No")</f>
        <v>Yes</v>
      </c>
    </row>
    <row r="1182" spans="1:22" x14ac:dyDescent="0.35">
      <c r="A1182">
        <v>1181</v>
      </c>
      <c r="B1182" t="s">
        <v>845</v>
      </c>
      <c r="C1182" t="s">
        <v>431</v>
      </c>
      <c r="D1182" t="s">
        <v>2096</v>
      </c>
      <c r="E1182" t="s">
        <v>25</v>
      </c>
      <c r="F1182" t="b">
        <v>0</v>
      </c>
      <c r="G1182">
        <v>4</v>
      </c>
      <c r="H1182" t="b">
        <v>0</v>
      </c>
      <c r="I1182">
        <v>7</v>
      </c>
      <c r="J1182" t="s">
        <v>172</v>
      </c>
      <c r="K1182">
        <v>97</v>
      </c>
      <c r="L1182">
        <v>63</v>
      </c>
      <c r="M1182">
        <v>61</v>
      </c>
      <c r="N1182">
        <v>77</v>
      </c>
      <c r="O1182">
        <v>74</v>
      </c>
      <c r="P1182">
        <v>94</v>
      </c>
      <c r="Q1182">
        <v>61</v>
      </c>
      <c r="R1182">
        <f>SUM(student_scores[[#This Row],[math_score]:[geography_score]])</f>
        <v>527</v>
      </c>
      <c r="S1182" s="3">
        <f>student_scores[[#This Row],[Total_Score]]/7</f>
        <v>75.285714285714292</v>
      </c>
      <c r="T1182" s="3" t="str" cm="1">
        <f t="array" ref="T1182">_xlfn.IFS(student_scores[[#This Row],[weekly_self_study_hours]]&lt;=5,   "0 - 5", student_scores[[#This Row],[weekly_self_study_hours]]&lt;=10,  "6 - 10", student_scores[[#This Row],[weekly_self_study_hours]]&lt;=20,  "11 - 20",student_scores[[#This Row],[weekly_self_study_hours]]&lt;=30, "21 - 30",TRUE, "31+")</f>
        <v>6 - 10</v>
      </c>
      <c r="U1182" t="str" cm="1">
        <f t="array" ref="U1182">_xlfn.IFS(student_scores[[#This Row],[absence_days]]=0,"0", student_scores[[#This Row],[absence_days]]&lt;=3,"1-3", student_scores[[#This Row],[absence_days]]&lt;=6,"4-6", TRUE,"7-10")</f>
        <v>4-6</v>
      </c>
      <c r="V1182" t="str">
        <f>IF(student_scores[[#This Row],[Total_Score]] &gt;= _xlfn.PERCENTILE.INC(student_scores[Total_Score], 0.8), "Yes", "No")</f>
        <v>No</v>
      </c>
    </row>
    <row r="1183" spans="1:22" x14ac:dyDescent="0.35">
      <c r="A1183">
        <v>1182</v>
      </c>
      <c r="B1183" t="s">
        <v>1608</v>
      </c>
      <c r="C1183" t="s">
        <v>2097</v>
      </c>
      <c r="D1183" t="s">
        <v>2098</v>
      </c>
      <c r="E1183" t="s">
        <v>20</v>
      </c>
      <c r="F1183" t="b">
        <v>0</v>
      </c>
      <c r="G1183">
        <v>1</v>
      </c>
      <c r="H1183" t="b">
        <v>0</v>
      </c>
      <c r="I1183">
        <v>8</v>
      </c>
      <c r="J1183" t="s">
        <v>38</v>
      </c>
      <c r="K1183">
        <v>89</v>
      </c>
      <c r="L1183">
        <v>62</v>
      </c>
      <c r="M1183">
        <v>79</v>
      </c>
      <c r="N1183">
        <v>60</v>
      </c>
      <c r="O1183">
        <v>93</v>
      </c>
      <c r="P1183">
        <v>77</v>
      </c>
      <c r="Q1183">
        <v>73</v>
      </c>
      <c r="R1183">
        <f>SUM(student_scores[[#This Row],[math_score]:[geography_score]])</f>
        <v>533</v>
      </c>
      <c r="S1183" s="3">
        <f>student_scores[[#This Row],[Total_Score]]/7</f>
        <v>76.142857142857139</v>
      </c>
      <c r="T1183" s="3" t="str" cm="1">
        <f t="array" ref="T1183">_xlfn.IFS(student_scores[[#This Row],[weekly_self_study_hours]]&lt;=5,   "0 - 5", student_scores[[#This Row],[weekly_self_study_hours]]&lt;=10,  "6 - 10", student_scores[[#This Row],[weekly_self_study_hours]]&lt;=20,  "11 - 20",student_scores[[#This Row],[weekly_self_study_hours]]&lt;=30, "21 - 30",TRUE, "31+")</f>
        <v>6 - 10</v>
      </c>
      <c r="U1183" t="str" cm="1">
        <f t="array" ref="U1183">_xlfn.IFS(student_scores[[#This Row],[absence_days]]=0,"0", student_scores[[#This Row],[absence_days]]&lt;=3,"1-3", student_scores[[#This Row],[absence_days]]&lt;=6,"4-6", TRUE,"7-10")</f>
        <v>1-3</v>
      </c>
      <c r="V1183" t="str">
        <f>IF(student_scores[[#This Row],[Total_Score]] &gt;= _xlfn.PERCENTILE.INC(student_scores[Total_Score], 0.8), "Yes", "No")</f>
        <v>No</v>
      </c>
    </row>
    <row r="1184" spans="1:22" x14ac:dyDescent="0.35">
      <c r="A1184">
        <v>1183</v>
      </c>
      <c r="B1184" t="s">
        <v>408</v>
      </c>
      <c r="C1184" t="s">
        <v>2099</v>
      </c>
      <c r="D1184" t="s">
        <v>2100</v>
      </c>
      <c r="E1184" t="s">
        <v>20</v>
      </c>
      <c r="F1184" t="b">
        <v>0</v>
      </c>
      <c r="G1184">
        <v>0</v>
      </c>
      <c r="H1184" t="b">
        <v>0</v>
      </c>
      <c r="I1184">
        <v>8</v>
      </c>
      <c r="J1184" t="s">
        <v>224</v>
      </c>
      <c r="K1184">
        <v>68</v>
      </c>
      <c r="L1184">
        <v>95</v>
      </c>
      <c r="M1184">
        <v>62</v>
      </c>
      <c r="N1184">
        <v>65</v>
      </c>
      <c r="O1184">
        <v>70</v>
      </c>
      <c r="P1184">
        <v>65</v>
      </c>
      <c r="Q1184">
        <v>64</v>
      </c>
      <c r="R1184">
        <f>SUM(student_scores[[#This Row],[math_score]:[geography_score]])</f>
        <v>489</v>
      </c>
      <c r="S1184" s="3">
        <f>student_scores[[#This Row],[Total_Score]]/7</f>
        <v>69.857142857142861</v>
      </c>
      <c r="T1184" s="3" t="str" cm="1">
        <f t="array" ref="T1184">_xlfn.IFS(student_scores[[#This Row],[weekly_self_study_hours]]&lt;=5,   "0 - 5", student_scores[[#This Row],[weekly_self_study_hours]]&lt;=10,  "6 - 10", student_scores[[#This Row],[weekly_self_study_hours]]&lt;=20,  "11 - 20",student_scores[[#This Row],[weekly_self_study_hours]]&lt;=30, "21 - 30",TRUE, "31+")</f>
        <v>6 - 10</v>
      </c>
      <c r="U1184" t="str" cm="1">
        <f t="array" ref="U1184">_xlfn.IFS(student_scores[[#This Row],[absence_days]]=0,"0", student_scores[[#This Row],[absence_days]]&lt;=3,"1-3", student_scores[[#This Row],[absence_days]]&lt;=6,"4-6", TRUE,"7-10")</f>
        <v>0</v>
      </c>
      <c r="V1184" t="str">
        <f>IF(student_scores[[#This Row],[Total_Score]] &gt;= _xlfn.PERCENTILE.INC(student_scores[Total_Score], 0.8), "Yes", "No")</f>
        <v>No</v>
      </c>
    </row>
    <row r="1185" spans="1:22" x14ac:dyDescent="0.35">
      <c r="A1185">
        <v>1184</v>
      </c>
      <c r="B1185" t="s">
        <v>163</v>
      </c>
      <c r="C1185" t="s">
        <v>339</v>
      </c>
      <c r="D1185" t="s">
        <v>2101</v>
      </c>
      <c r="E1185" t="s">
        <v>20</v>
      </c>
      <c r="F1185" t="b">
        <v>0</v>
      </c>
      <c r="G1185">
        <v>9</v>
      </c>
      <c r="H1185" t="b">
        <v>1</v>
      </c>
      <c r="I1185">
        <v>11</v>
      </c>
      <c r="J1185" t="s">
        <v>138</v>
      </c>
      <c r="K1185">
        <v>82</v>
      </c>
      <c r="L1185">
        <v>85</v>
      </c>
      <c r="M1185">
        <v>94</v>
      </c>
      <c r="N1185">
        <v>75</v>
      </c>
      <c r="O1185">
        <v>97</v>
      </c>
      <c r="P1185">
        <v>98</v>
      </c>
      <c r="Q1185">
        <v>76</v>
      </c>
      <c r="R1185">
        <f>SUM(student_scores[[#This Row],[math_score]:[geography_score]])</f>
        <v>607</v>
      </c>
      <c r="S1185" s="3">
        <f>student_scores[[#This Row],[Total_Score]]/7</f>
        <v>86.714285714285708</v>
      </c>
      <c r="T1185" s="3" t="str" cm="1">
        <f t="array" ref="T1185">_xlfn.IFS(student_scores[[#This Row],[weekly_self_study_hours]]&lt;=5,   "0 - 5", student_scores[[#This Row],[weekly_self_study_hours]]&lt;=10,  "6 - 10", student_scores[[#This Row],[weekly_self_study_hours]]&lt;=20,  "11 - 20",student_scores[[#This Row],[weekly_self_study_hours]]&lt;=30, "21 - 30",TRUE, "31+")</f>
        <v>11 - 20</v>
      </c>
      <c r="U1185" t="str" cm="1">
        <f t="array" ref="U1185">_xlfn.IFS(student_scores[[#This Row],[absence_days]]=0,"0", student_scores[[#This Row],[absence_days]]&lt;=3,"1-3", student_scores[[#This Row],[absence_days]]&lt;=6,"4-6", TRUE,"7-10")</f>
        <v>7-10</v>
      </c>
      <c r="V1185" t="str">
        <f>IF(student_scores[[#This Row],[Total_Score]] &gt;= _xlfn.PERCENTILE.INC(student_scores[Total_Score], 0.8), "Yes", "No")</f>
        <v>Yes</v>
      </c>
    </row>
    <row r="1186" spans="1:22" x14ac:dyDescent="0.35">
      <c r="A1186">
        <v>1185</v>
      </c>
      <c r="B1186" t="s">
        <v>130</v>
      </c>
      <c r="C1186" t="s">
        <v>2102</v>
      </c>
      <c r="D1186" t="s">
        <v>2103</v>
      </c>
      <c r="E1186" t="s">
        <v>25</v>
      </c>
      <c r="F1186" t="b">
        <v>0</v>
      </c>
      <c r="G1186">
        <v>3</v>
      </c>
      <c r="H1186" t="b">
        <v>1</v>
      </c>
      <c r="I1186">
        <v>30</v>
      </c>
      <c r="J1186" t="s">
        <v>44</v>
      </c>
      <c r="K1186">
        <v>85</v>
      </c>
      <c r="L1186">
        <v>78</v>
      </c>
      <c r="M1186">
        <v>99</v>
      </c>
      <c r="N1186">
        <v>81</v>
      </c>
      <c r="O1186">
        <v>60</v>
      </c>
      <c r="P1186">
        <v>83</v>
      </c>
      <c r="Q1186">
        <v>75</v>
      </c>
      <c r="R1186">
        <f>SUM(student_scores[[#This Row],[math_score]:[geography_score]])</f>
        <v>561</v>
      </c>
      <c r="S1186" s="3">
        <f>student_scores[[#This Row],[Total_Score]]/7</f>
        <v>80.142857142857139</v>
      </c>
      <c r="T1186" s="3" t="str" cm="1">
        <f t="array" ref="T1186">_xlfn.IFS(student_scores[[#This Row],[weekly_self_study_hours]]&lt;=5,   "0 - 5", student_scores[[#This Row],[weekly_self_study_hours]]&lt;=10,  "6 - 10", student_scores[[#This Row],[weekly_self_study_hours]]&lt;=20,  "11 - 20",student_scores[[#This Row],[weekly_self_study_hours]]&lt;=30, "21 - 30",TRUE, "31+")</f>
        <v>21 - 30</v>
      </c>
      <c r="U1186" t="str" cm="1">
        <f t="array" ref="U1186">_xlfn.IFS(student_scores[[#This Row],[absence_days]]=0,"0", student_scores[[#This Row],[absence_days]]&lt;=3,"1-3", student_scores[[#This Row],[absence_days]]&lt;=6,"4-6", TRUE,"7-10")</f>
        <v>1-3</v>
      </c>
      <c r="V1186" t="str">
        <f>IF(student_scores[[#This Row],[Total_Score]] &gt;= _xlfn.PERCENTILE.INC(student_scores[Total_Score], 0.8), "Yes", "No")</f>
        <v>No</v>
      </c>
    </row>
    <row r="1187" spans="1:22" x14ac:dyDescent="0.35">
      <c r="A1187">
        <v>1186</v>
      </c>
      <c r="B1187" t="s">
        <v>428</v>
      </c>
      <c r="C1187" t="s">
        <v>1623</v>
      </c>
      <c r="D1187" t="s">
        <v>2104</v>
      </c>
      <c r="E1187" t="s">
        <v>25</v>
      </c>
      <c r="F1187" t="b">
        <v>0</v>
      </c>
      <c r="G1187">
        <v>3</v>
      </c>
      <c r="H1187" t="b">
        <v>1</v>
      </c>
      <c r="I1187">
        <v>11</v>
      </c>
      <c r="J1187" t="s">
        <v>38</v>
      </c>
      <c r="K1187">
        <v>86</v>
      </c>
      <c r="L1187">
        <v>66</v>
      </c>
      <c r="M1187">
        <v>84</v>
      </c>
      <c r="N1187">
        <v>86</v>
      </c>
      <c r="O1187">
        <v>74</v>
      </c>
      <c r="P1187">
        <v>91</v>
      </c>
      <c r="Q1187">
        <v>66</v>
      </c>
      <c r="R1187">
        <f>SUM(student_scores[[#This Row],[math_score]:[geography_score]])</f>
        <v>553</v>
      </c>
      <c r="S1187" s="3">
        <f>student_scores[[#This Row],[Total_Score]]/7</f>
        <v>79</v>
      </c>
      <c r="T1187" s="3" t="str" cm="1">
        <f t="array" ref="T1187">_xlfn.IFS(student_scores[[#This Row],[weekly_self_study_hours]]&lt;=5,   "0 - 5", student_scores[[#This Row],[weekly_self_study_hours]]&lt;=10,  "6 - 10", student_scores[[#This Row],[weekly_self_study_hours]]&lt;=20,  "11 - 20",student_scores[[#This Row],[weekly_self_study_hours]]&lt;=30, "21 - 30",TRUE, "31+")</f>
        <v>11 - 20</v>
      </c>
      <c r="U1187" t="str" cm="1">
        <f t="array" ref="U1187">_xlfn.IFS(student_scores[[#This Row],[absence_days]]=0,"0", student_scores[[#This Row],[absence_days]]&lt;=3,"1-3", student_scores[[#This Row],[absence_days]]&lt;=6,"4-6", TRUE,"7-10")</f>
        <v>1-3</v>
      </c>
      <c r="V1187" t="str">
        <f>IF(student_scores[[#This Row],[Total_Score]] &gt;= _xlfn.PERCENTILE.INC(student_scores[Total_Score], 0.8), "Yes", "No")</f>
        <v>No</v>
      </c>
    </row>
    <row r="1188" spans="1:22" x14ac:dyDescent="0.35">
      <c r="A1188">
        <v>1187</v>
      </c>
      <c r="B1188" t="s">
        <v>2105</v>
      </c>
      <c r="C1188" t="s">
        <v>400</v>
      </c>
      <c r="D1188" t="s">
        <v>2106</v>
      </c>
      <c r="E1188" t="s">
        <v>20</v>
      </c>
      <c r="F1188" t="b">
        <v>0</v>
      </c>
      <c r="G1188">
        <v>2</v>
      </c>
      <c r="H1188" t="b">
        <v>0</v>
      </c>
      <c r="I1188">
        <v>35</v>
      </c>
      <c r="J1188" t="s">
        <v>113</v>
      </c>
      <c r="K1188">
        <v>87</v>
      </c>
      <c r="L1188">
        <v>86</v>
      </c>
      <c r="M1188">
        <v>89</v>
      </c>
      <c r="N1188">
        <v>94</v>
      </c>
      <c r="O1188">
        <v>93</v>
      </c>
      <c r="P1188">
        <v>91</v>
      </c>
      <c r="Q1188">
        <v>88</v>
      </c>
      <c r="R1188">
        <f>SUM(student_scores[[#This Row],[math_score]:[geography_score]])</f>
        <v>628</v>
      </c>
      <c r="S1188" s="3">
        <f>student_scores[[#This Row],[Total_Score]]/7</f>
        <v>89.714285714285708</v>
      </c>
      <c r="T1188" s="3" t="str" cm="1">
        <f t="array" ref="T1188">_xlfn.IFS(student_scores[[#This Row],[weekly_self_study_hours]]&lt;=5,   "0 - 5", student_scores[[#This Row],[weekly_self_study_hours]]&lt;=10,  "6 - 10", student_scores[[#This Row],[weekly_self_study_hours]]&lt;=20,  "11 - 20",student_scores[[#This Row],[weekly_self_study_hours]]&lt;=30, "21 - 30",TRUE, "31+")</f>
        <v>31+</v>
      </c>
      <c r="U1188" t="str" cm="1">
        <f t="array" ref="U1188">_xlfn.IFS(student_scores[[#This Row],[absence_days]]=0,"0", student_scores[[#This Row],[absence_days]]&lt;=3,"1-3", student_scores[[#This Row],[absence_days]]&lt;=6,"4-6", TRUE,"7-10")</f>
        <v>1-3</v>
      </c>
      <c r="V1188" t="str">
        <f>IF(student_scores[[#This Row],[Total_Score]] &gt;= _xlfn.PERCENTILE.INC(student_scores[Total_Score], 0.8), "Yes", "No")</f>
        <v>Yes</v>
      </c>
    </row>
    <row r="1189" spans="1:22" x14ac:dyDescent="0.35">
      <c r="A1189">
        <v>1188</v>
      </c>
      <c r="B1189" t="s">
        <v>243</v>
      </c>
      <c r="C1189" t="s">
        <v>778</v>
      </c>
      <c r="D1189" t="s">
        <v>2107</v>
      </c>
      <c r="E1189" t="s">
        <v>25</v>
      </c>
      <c r="F1189" t="b">
        <v>0</v>
      </c>
      <c r="G1189">
        <v>7</v>
      </c>
      <c r="H1189" t="b">
        <v>0</v>
      </c>
      <c r="I1189">
        <v>4</v>
      </c>
      <c r="J1189" t="s">
        <v>64</v>
      </c>
      <c r="K1189">
        <v>98</v>
      </c>
      <c r="L1189">
        <v>81</v>
      </c>
      <c r="M1189">
        <v>58</v>
      </c>
      <c r="N1189">
        <v>78</v>
      </c>
      <c r="O1189">
        <v>91</v>
      </c>
      <c r="P1189">
        <v>74</v>
      </c>
      <c r="Q1189">
        <v>75</v>
      </c>
      <c r="R1189">
        <f>SUM(student_scores[[#This Row],[math_score]:[geography_score]])</f>
        <v>555</v>
      </c>
      <c r="S1189" s="3">
        <f>student_scores[[#This Row],[Total_Score]]/7</f>
        <v>79.285714285714292</v>
      </c>
      <c r="T1189" s="3" t="str" cm="1">
        <f t="array" ref="T1189">_xlfn.IFS(student_scores[[#This Row],[weekly_self_study_hours]]&lt;=5,   "0 - 5", student_scores[[#This Row],[weekly_self_study_hours]]&lt;=10,  "6 - 10", student_scores[[#This Row],[weekly_self_study_hours]]&lt;=20,  "11 - 20",student_scores[[#This Row],[weekly_self_study_hours]]&lt;=30, "21 - 30",TRUE, "31+")</f>
        <v>0 - 5</v>
      </c>
      <c r="U1189" t="str" cm="1">
        <f t="array" ref="U1189">_xlfn.IFS(student_scores[[#This Row],[absence_days]]=0,"0", student_scores[[#This Row],[absence_days]]&lt;=3,"1-3", student_scores[[#This Row],[absence_days]]&lt;=6,"4-6", TRUE,"7-10")</f>
        <v>7-10</v>
      </c>
      <c r="V1189" t="str">
        <f>IF(student_scores[[#This Row],[Total_Score]] &gt;= _xlfn.PERCENTILE.INC(student_scores[Total_Score], 0.8), "Yes", "No")</f>
        <v>No</v>
      </c>
    </row>
    <row r="1190" spans="1:22" x14ac:dyDescent="0.35">
      <c r="A1190">
        <v>1189</v>
      </c>
      <c r="B1190" t="s">
        <v>388</v>
      </c>
      <c r="C1190" t="s">
        <v>103</v>
      </c>
      <c r="D1190" t="s">
        <v>2108</v>
      </c>
      <c r="E1190" t="s">
        <v>25</v>
      </c>
      <c r="F1190" t="b">
        <v>0</v>
      </c>
      <c r="G1190">
        <v>9</v>
      </c>
      <c r="H1190" t="b">
        <v>1</v>
      </c>
      <c r="I1190">
        <v>6</v>
      </c>
      <c r="J1190" t="s">
        <v>224</v>
      </c>
      <c r="K1190">
        <v>91</v>
      </c>
      <c r="L1190">
        <v>94</v>
      </c>
      <c r="M1190">
        <v>75</v>
      </c>
      <c r="N1190">
        <v>86</v>
      </c>
      <c r="O1190">
        <v>84</v>
      </c>
      <c r="P1190">
        <v>67</v>
      </c>
      <c r="Q1190">
        <v>97</v>
      </c>
      <c r="R1190">
        <f>SUM(student_scores[[#This Row],[math_score]:[geography_score]])</f>
        <v>594</v>
      </c>
      <c r="S1190" s="3">
        <f>student_scores[[#This Row],[Total_Score]]/7</f>
        <v>84.857142857142861</v>
      </c>
      <c r="T1190" s="3" t="str" cm="1">
        <f t="array" ref="T1190">_xlfn.IFS(student_scores[[#This Row],[weekly_self_study_hours]]&lt;=5,   "0 - 5", student_scores[[#This Row],[weekly_self_study_hours]]&lt;=10,  "6 - 10", student_scores[[#This Row],[weekly_self_study_hours]]&lt;=20,  "11 - 20",student_scores[[#This Row],[weekly_self_study_hours]]&lt;=30, "21 - 30",TRUE, "31+")</f>
        <v>6 - 10</v>
      </c>
      <c r="U1190" t="str" cm="1">
        <f t="array" ref="U1190">_xlfn.IFS(student_scores[[#This Row],[absence_days]]=0,"0", student_scores[[#This Row],[absence_days]]&lt;=3,"1-3", student_scores[[#This Row],[absence_days]]&lt;=6,"4-6", TRUE,"7-10")</f>
        <v>7-10</v>
      </c>
      <c r="V1190" t="str">
        <f>IF(student_scores[[#This Row],[Total_Score]] &gt;= _xlfn.PERCENTILE.INC(student_scores[Total_Score], 0.8), "Yes", "No")</f>
        <v>No</v>
      </c>
    </row>
    <row r="1191" spans="1:22" x14ac:dyDescent="0.35">
      <c r="A1191">
        <v>1190</v>
      </c>
      <c r="B1191" t="s">
        <v>2109</v>
      </c>
      <c r="C1191" t="s">
        <v>491</v>
      </c>
      <c r="D1191" t="s">
        <v>2110</v>
      </c>
      <c r="E1191" t="s">
        <v>20</v>
      </c>
      <c r="F1191" t="b">
        <v>0</v>
      </c>
      <c r="G1191">
        <v>1</v>
      </c>
      <c r="H1191" t="b">
        <v>0</v>
      </c>
      <c r="I1191">
        <v>33</v>
      </c>
      <c r="J1191" t="s">
        <v>26</v>
      </c>
      <c r="K1191">
        <v>100</v>
      </c>
      <c r="L1191">
        <v>90</v>
      </c>
      <c r="M1191">
        <v>89</v>
      </c>
      <c r="N1191">
        <v>91</v>
      </c>
      <c r="O1191">
        <v>86</v>
      </c>
      <c r="P1191">
        <v>75</v>
      </c>
      <c r="Q1191">
        <v>72</v>
      </c>
      <c r="R1191">
        <f>SUM(student_scores[[#This Row],[math_score]:[geography_score]])</f>
        <v>603</v>
      </c>
      <c r="S1191" s="3">
        <f>student_scores[[#This Row],[Total_Score]]/7</f>
        <v>86.142857142857139</v>
      </c>
      <c r="T1191" s="3" t="str" cm="1">
        <f t="array" ref="T1191">_xlfn.IFS(student_scores[[#This Row],[weekly_self_study_hours]]&lt;=5,   "0 - 5", student_scores[[#This Row],[weekly_self_study_hours]]&lt;=10,  "6 - 10", student_scores[[#This Row],[weekly_self_study_hours]]&lt;=20,  "11 - 20",student_scores[[#This Row],[weekly_self_study_hours]]&lt;=30, "21 - 30",TRUE, "31+")</f>
        <v>31+</v>
      </c>
      <c r="U1191" t="str" cm="1">
        <f t="array" ref="U1191">_xlfn.IFS(student_scores[[#This Row],[absence_days]]=0,"0", student_scores[[#This Row],[absence_days]]&lt;=3,"1-3", student_scores[[#This Row],[absence_days]]&lt;=6,"4-6", TRUE,"7-10")</f>
        <v>1-3</v>
      </c>
      <c r="V1191" t="str">
        <f>IF(student_scores[[#This Row],[Total_Score]] &gt;= _xlfn.PERCENTILE.INC(student_scores[Total_Score], 0.8), "Yes", "No")</f>
        <v>Yes</v>
      </c>
    </row>
    <row r="1192" spans="1:22" x14ac:dyDescent="0.35">
      <c r="A1192">
        <v>1191</v>
      </c>
      <c r="B1192" t="s">
        <v>202</v>
      </c>
      <c r="C1192" t="s">
        <v>997</v>
      </c>
      <c r="D1192" t="s">
        <v>2111</v>
      </c>
      <c r="E1192" t="s">
        <v>25</v>
      </c>
      <c r="F1192" t="b">
        <v>0</v>
      </c>
      <c r="G1192">
        <v>1</v>
      </c>
      <c r="H1192" t="b">
        <v>0</v>
      </c>
      <c r="I1192">
        <v>1</v>
      </c>
      <c r="J1192" t="s">
        <v>224</v>
      </c>
      <c r="K1192">
        <v>50</v>
      </c>
      <c r="L1192">
        <v>60</v>
      </c>
      <c r="M1192">
        <v>70</v>
      </c>
      <c r="N1192">
        <v>75</v>
      </c>
      <c r="O1192">
        <v>100</v>
      </c>
      <c r="P1192">
        <v>62</v>
      </c>
      <c r="Q1192">
        <v>100</v>
      </c>
      <c r="R1192">
        <f>SUM(student_scores[[#This Row],[math_score]:[geography_score]])</f>
        <v>517</v>
      </c>
      <c r="S1192" s="3">
        <f>student_scores[[#This Row],[Total_Score]]/7</f>
        <v>73.857142857142861</v>
      </c>
      <c r="T1192" s="3" t="str" cm="1">
        <f t="array" ref="T1192">_xlfn.IFS(student_scores[[#This Row],[weekly_self_study_hours]]&lt;=5,   "0 - 5", student_scores[[#This Row],[weekly_self_study_hours]]&lt;=10,  "6 - 10", student_scores[[#This Row],[weekly_self_study_hours]]&lt;=20,  "11 - 20",student_scores[[#This Row],[weekly_self_study_hours]]&lt;=30, "21 - 30",TRUE, "31+")</f>
        <v>0 - 5</v>
      </c>
      <c r="U1192" t="str" cm="1">
        <f t="array" ref="U1192">_xlfn.IFS(student_scores[[#This Row],[absence_days]]=0,"0", student_scores[[#This Row],[absence_days]]&lt;=3,"1-3", student_scores[[#This Row],[absence_days]]&lt;=6,"4-6", TRUE,"7-10")</f>
        <v>1-3</v>
      </c>
      <c r="V1192" t="str">
        <f>IF(student_scores[[#This Row],[Total_Score]] &gt;= _xlfn.PERCENTILE.INC(student_scores[Total_Score], 0.8), "Yes", "No")</f>
        <v>No</v>
      </c>
    </row>
    <row r="1193" spans="1:22" x14ac:dyDescent="0.35">
      <c r="A1193">
        <v>1192</v>
      </c>
      <c r="B1193" t="s">
        <v>402</v>
      </c>
      <c r="C1193" t="s">
        <v>2078</v>
      </c>
      <c r="D1193" t="s">
        <v>2112</v>
      </c>
      <c r="E1193" t="s">
        <v>20</v>
      </c>
      <c r="F1193" t="b">
        <v>0</v>
      </c>
      <c r="G1193">
        <v>3</v>
      </c>
      <c r="H1193" t="b">
        <v>0</v>
      </c>
      <c r="I1193">
        <v>11</v>
      </c>
      <c r="J1193" t="s">
        <v>123</v>
      </c>
      <c r="K1193">
        <v>75</v>
      </c>
      <c r="L1193">
        <v>92</v>
      </c>
      <c r="M1193">
        <v>70</v>
      </c>
      <c r="N1193">
        <v>62</v>
      </c>
      <c r="O1193">
        <v>87</v>
      </c>
      <c r="P1193">
        <v>87</v>
      </c>
      <c r="Q1193">
        <v>98</v>
      </c>
      <c r="R1193">
        <f>SUM(student_scores[[#This Row],[math_score]:[geography_score]])</f>
        <v>571</v>
      </c>
      <c r="S1193" s="3">
        <f>student_scores[[#This Row],[Total_Score]]/7</f>
        <v>81.571428571428569</v>
      </c>
      <c r="T1193" s="3" t="str" cm="1">
        <f t="array" ref="T1193">_xlfn.IFS(student_scores[[#This Row],[weekly_self_study_hours]]&lt;=5,   "0 - 5", student_scores[[#This Row],[weekly_self_study_hours]]&lt;=10,  "6 - 10", student_scores[[#This Row],[weekly_self_study_hours]]&lt;=20,  "11 - 20",student_scores[[#This Row],[weekly_self_study_hours]]&lt;=30, "21 - 30",TRUE, "31+")</f>
        <v>11 - 20</v>
      </c>
      <c r="U1193" t="str" cm="1">
        <f t="array" ref="U1193">_xlfn.IFS(student_scores[[#This Row],[absence_days]]=0,"0", student_scores[[#This Row],[absence_days]]&lt;=3,"1-3", student_scores[[#This Row],[absence_days]]&lt;=6,"4-6", TRUE,"7-10")</f>
        <v>1-3</v>
      </c>
      <c r="V1193" t="str">
        <f>IF(student_scores[[#This Row],[Total_Score]] &gt;= _xlfn.PERCENTILE.INC(student_scores[Total_Score], 0.8), "Yes", "No")</f>
        <v>No</v>
      </c>
    </row>
    <row r="1194" spans="1:22" x14ac:dyDescent="0.35">
      <c r="A1194">
        <v>1193</v>
      </c>
      <c r="B1194" t="s">
        <v>39</v>
      </c>
      <c r="C1194" t="s">
        <v>259</v>
      </c>
      <c r="D1194" t="s">
        <v>2113</v>
      </c>
      <c r="E1194" t="s">
        <v>25</v>
      </c>
      <c r="F1194" t="b">
        <v>0</v>
      </c>
      <c r="G1194">
        <v>7</v>
      </c>
      <c r="H1194" t="b">
        <v>0</v>
      </c>
      <c r="I1194">
        <v>21</v>
      </c>
      <c r="J1194" t="s">
        <v>172</v>
      </c>
      <c r="K1194">
        <v>86</v>
      </c>
      <c r="L1194">
        <v>62</v>
      </c>
      <c r="M1194">
        <v>81</v>
      </c>
      <c r="N1194">
        <v>63</v>
      </c>
      <c r="O1194">
        <v>92</v>
      </c>
      <c r="P1194">
        <v>75</v>
      </c>
      <c r="Q1194">
        <v>79</v>
      </c>
      <c r="R1194">
        <f>SUM(student_scores[[#This Row],[math_score]:[geography_score]])</f>
        <v>538</v>
      </c>
      <c r="S1194" s="3">
        <f>student_scores[[#This Row],[Total_Score]]/7</f>
        <v>76.857142857142861</v>
      </c>
      <c r="T1194" s="3" t="str" cm="1">
        <f t="array" ref="T1194">_xlfn.IFS(student_scores[[#This Row],[weekly_self_study_hours]]&lt;=5,   "0 - 5", student_scores[[#This Row],[weekly_self_study_hours]]&lt;=10,  "6 - 10", student_scores[[#This Row],[weekly_self_study_hours]]&lt;=20,  "11 - 20",student_scores[[#This Row],[weekly_self_study_hours]]&lt;=30, "21 - 30",TRUE, "31+")</f>
        <v>21 - 30</v>
      </c>
      <c r="U1194" t="str" cm="1">
        <f t="array" ref="U1194">_xlfn.IFS(student_scores[[#This Row],[absence_days]]=0,"0", student_scores[[#This Row],[absence_days]]&lt;=3,"1-3", student_scores[[#This Row],[absence_days]]&lt;=6,"4-6", TRUE,"7-10")</f>
        <v>7-10</v>
      </c>
      <c r="V1194" t="str">
        <f>IF(student_scores[[#This Row],[Total_Score]] &gt;= _xlfn.PERCENTILE.INC(student_scores[Total_Score], 0.8), "Yes", "No")</f>
        <v>No</v>
      </c>
    </row>
    <row r="1195" spans="1:22" x14ac:dyDescent="0.35">
      <c r="A1195">
        <v>1194</v>
      </c>
      <c r="B1195" t="s">
        <v>35</v>
      </c>
      <c r="C1195" t="s">
        <v>32</v>
      </c>
      <c r="D1195" t="s">
        <v>2114</v>
      </c>
      <c r="E1195" t="s">
        <v>20</v>
      </c>
      <c r="F1195" t="b">
        <v>0</v>
      </c>
      <c r="G1195">
        <v>3</v>
      </c>
      <c r="H1195" t="b">
        <v>0</v>
      </c>
      <c r="I1195">
        <v>24</v>
      </c>
      <c r="J1195" t="s">
        <v>105</v>
      </c>
      <c r="K1195">
        <v>80</v>
      </c>
      <c r="L1195">
        <v>66</v>
      </c>
      <c r="M1195">
        <v>67</v>
      </c>
      <c r="N1195">
        <v>72</v>
      </c>
      <c r="O1195">
        <v>78</v>
      </c>
      <c r="P1195">
        <v>99</v>
      </c>
      <c r="Q1195">
        <v>67</v>
      </c>
      <c r="R1195">
        <f>SUM(student_scores[[#This Row],[math_score]:[geography_score]])</f>
        <v>529</v>
      </c>
      <c r="S1195" s="3">
        <f>student_scores[[#This Row],[Total_Score]]/7</f>
        <v>75.571428571428569</v>
      </c>
      <c r="T1195" s="3" t="str" cm="1">
        <f t="array" ref="T1195">_xlfn.IFS(student_scores[[#This Row],[weekly_self_study_hours]]&lt;=5,   "0 - 5", student_scores[[#This Row],[weekly_self_study_hours]]&lt;=10,  "6 - 10", student_scores[[#This Row],[weekly_self_study_hours]]&lt;=20,  "11 - 20",student_scores[[#This Row],[weekly_self_study_hours]]&lt;=30, "21 - 30",TRUE, "31+")</f>
        <v>21 - 30</v>
      </c>
      <c r="U1195" t="str" cm="1">
        <f t="array" ref="U1195">_xlfn.IFS(student_scores[[#This Row],[absence_days]]=0,"0", student_scores[[#This Row],[absence_days]]&lt;=3,"1-3", student_scores[[#This Row],[absence_days]]&lt;=6,"4-6", TRUE,"7-10")</f>
        <v>1-3</v>
      </c>
      <c r="V1195" t="str">
        <f>IF(student_scores[[#This Row],[Total_Score]] &gt;= _xlfn.PERCENTILE.INC(student_scores[Total_Score], 0.8), "Yes", "No")</f>
        <v>No</v>
      </c>
    </row>
    <row r="1196" spans="1:22" x14ac:dyDescent="0.35">
      <c r="A1196">
        <v>1195</v>
      </c>
      <c r="B1196" t="s">
        <v>2115</v>
      </c>
      <c r="C1196" t="s">
        <v>1575</v>
      </c>
      <c r="D1196" t="s">
        <v>2116</v>
      </c>
      <c r="E1196" t="s">
        <v>20</v>
      </c>
      <c r="F1196" t="b">
        <v>0</v>
      </c>
      <c r="G1196">
        <v>7</v>
      </c>
      <c r="H1196" t="b">
        <v>0</v>
      </c>
      <c r="I1196">
        <v>4</v>
      </c>
      <c r="J1196" t="s">
        <v>64</v>
      </c>
      <c r="K1196">
        <v>56</v>
      </c>
      <c r="L1196">
        <v>66</v>
      </c>
      <c r="M1196">
        <v>92</v>
      </c>
      <c r="N1196">
        <v>74</v>
      </c>
      <c r="O1196">
        <v>79</v>
      </c>
      <c r="P1196">
        <v>80</v>
      </c>
      <c r="Q1196">
        <v>68</v>
      </c>
      <c r="R1196">
        <f>SUM(student_scores[[#This Row],[math_score]:[geography_score]])</f>
        <v>515</v>
      </c>
      <c r="S1196" s="3">
        <f>student_scores[[#This Row],[Total_Score]]/7</f>
        <v>73.571428571428569</v>
      </c>
      <c r="T1196" s="3" t="str" cm="1">
        <f t="array" ref="T1196">_xlfn.IFS(student_scores[[#This Row],[weekly_self_study_hours]]&lt;=5,   "0 - 5", student_scores[[#This Row],[weekly_self_study_hours]]&lt;=10,  "6 - 10", student_scores[[#This Row],[weekly_self_study_hours]]&lt;=20,  "11 - 20",student_scores[[#This Row],[weekly_self_study_hours]]&lt;=30, "21 - 30",TRUE, "31+")</f>
        <v>0 - 5</v>
      </c>
      <c r="U1196" t="str" cm="1">
        <f t="array" ref="U1196">_xlfn.IFS(student_scores[[#This Row],[absence_days]]=0,"0", student_scores[[#This Row],[absence_days]]&lt;=3,"1-3", student_scores[[#This Row],[absence_days]]&lt;=6,"4-6", TRUE,"7-10")</f>
        <v>7-10</v>
      </c>
      <c r="V1196" t="str">
        <f>IF(student_scores[[#This Row],[Total_Score]] &gt;= _xlfn.PERCENTILE.INC(student_scores[Total_Score], 0.8), "Yes", "No")</f>
        <v>No</v>
      </c>
    </row>
    <row r="1197" spans="1:22" x14ac:dyDescent="0.35">
      <c r="A1197">
        <v>1196</v>
      </c>
      <c r="B1197" t="s">
        <v>135</v>
      </c>
      <c r="C1197" t="s">
        <v>644</v>
      </c>
      <c r="D1197" t="s">
        <v>2117</v>
      </c>
      <c r="E1197" t="s">
        <v>20</v>
      </c>
      <c r="F1197" t="b">
        <v>0</v>
      </c>
      <c r="G1197">
        <v>1</v>
      </c>
      <c r="H1197" t="b">
        <v>0</v>
      </c>
      <c r="I1197">
        <v>1</v>
      </c>
      <c r="J1197" t="s">
        <v>159</v>
      </c>
      <c r="K1197">
        <v>91</v>
      </c>
      <c r="L1197">
        <v>72</v>
      </c>
      <c r="M1197">
        <v>85</v>
      </c>
      <c r="N1197">
        <v>78</v>
      </c>
      <c r="O1197">
        <v>92</v>
      </c>
      <c r="P1197">
        <v>82</v>
      </c>
      <c r="Q1197">
        <v>85</v>
      </c>
      <c r="R1197">
        <f>SUM(student_scores[[#This Row],[math_score]:[geography_score]])</f>
        <v>585</v>
      </c>
      <c r="S1197" s="3">
        <f>student_scores[[#This Row],[Total_Score]]/7</f>
        <v>83.571428571428569</v>
      </c>
      <c r="T1197" s="3" t="str" cm="1">
        <f t="array" ref="T1197">_xlfn.IFS(student_scores[[#This Row],[weekly_self_study_hours]]&lt;=5,   "0 - 5", student_scores[[#This Row],[weekly_self_study_hours]]&lt;=10,  "6 - 10", student_scores[[#This Row],[weekly_self_study_hours]]&lt;=20,  "11 - 20",student_scores[[#This Row],[weekly_self_study_hours]]&lt;=30, "21 - 30",TRUE, "31+")</f>
        <v>0 - 5</v>
      </c>
      <c r="U1197" t="str" cm="1">
        <f t="array" ref="U1197">_xlfn.IFS(student_scores[[#This Row],[absence_days]]=0,"0", student_scores[[#This Row],[absence_days]]&lt;=3,"1-3", student_scores[[#This Row],[absence_days]]&lt;=6,"4-6", TRUE,"7-10")</f>
        <v>1-3</v>
      </c>
      <c r="V1197" t="str">
        <f>IF(student_scores[[#This Row],[Total_Score]] &gt;= _xlfn.PERCENTILE.INC(student_scores[Total_Score], 0.8), "Yes", "No")</f>
        <v>No</v>
      </c>
    </row>
    <row r="1198" spans="1:22" x14ac:dyDescent="0.35">
      <c r="A1198">
        <v>1197</v>
      </c>
      <c r="B1198" t="s">
        <v>2118</v>
      </c>
      <c r="C1198" t="s">
        <v>246</v>
      </c>
      <c r="D1198" t="s">
        <v>2119</v>
      </c>
      <c r="E1198" t="s">
        <v>20</v>
      </c>
      <c r="F1198" t="b">
        <v>0</v>
      </c>
      <c r="G1198">
        <v>1</v>
      </c>
      <c r="H1198" t="b">
        <v>1</v>
      </c>
      <c r="I1198">
        <v>12</v>
      </c>
      <c r="J1198" t="s">
        <v>138</v>
      </c>
      <c r="K1198">
        <v>94</v>
      </c>
      <c r="L1198">
        <v>65</v>
      </c>
      <c r="M1198">
        <v>90</v>
      </c>
      <c r="N1198">
        <v>79</v>
      </c>
      <c r="O1198">
        <v>97</v>
      </c>
      <c r="P1198">
        <v>76</v>
      </c>
      <c r="Q1198">
        <v>75</v>
      </c>
      <c r="R1198">
        <f>SUM(student_scores[[#This Row],[math_score]:[geography_score]])</f>
        <v>576</v>
      </c>
      <c r="S1198" s="3">
        <f>student_scores[[#This Row],[Total_Score]]/7</f>
        <v>82.285714285714292</v>
      </c>
      <c r="T1198" s="3" t="str" cm="1">
        <f t="array" ref="T1198">_xlfn.IFS(student_scores[[#This Row],[weekly_self_study_hours]]&lt;=5,   "0 - 5", student_scores[[#This Row],[weekly_self_study_hours]]&lt;=10,  "6 - 10", student_scores[[#This Row],[weekly_self_study_hours]]&lt;=20,  "11 - 20",student_scores[[#This Row],[weekly_self_study_hours]]&lt;=30, "21 - 30",TRUE, "31+")</f>
        <v>11 - 20</v>
      </c>
      <c r="U1198" t="str" cm="1">
        <f t="array" ref="U1198">_xlfn.IFS(student_scores[[#This Row],[absence_days]]=0,"0", student_scores[[#This Row],[absence_days]]&lt;=3,"1-3", student_scores[[#This Row],[absence_days]]&lt;=6,"4-6", TRUE,"7-10")</f>
        <v>1-3</v>
      </c>
      <c r="V1198" t="str">
        <f>IF(student_scores[[#This Row],[Total_Score]] &gt;= _xlfn.PERCENTILE.INC(student_scores[Total_Score], 0.8), "Yes", "No")</f>
        <v>No</v>
      </c>
    </row>
    <row r="1199" spans="1:22" x14ac:dyDescent="0.35">
      <c r="A1199">
        <v>1198</v>
      </c>
      <c r="B1199" t="s">
        <v>1755</v>
      </c>
      <c r="C1199" t="s">
        <v>2120</v>
      </c>
      <c r="D1199" t="s">
        <v>2121</v>
      </c>
      <c r="E1199" t="s">
        <v>20</v>
      </c>
      <c r="F1199" t="b">
        <v>0</v>
      </c>
      <c r="G1199">
        <v>7</v>
      </c>
      <c r="H1199" t="b">
        <v>0</v>
      </c>
      <c r="I1199">
        <v>28</v>
      </c>
      <c r="J1199" t="s">
        <v>138</v>
      </c>
      <c r="K1199">
        <v>81</v>
      </c>
      <c r="L1199">
        <v>82</v>
      </c>
      <c r="M1199">
        <v>99</v>
      </c>
      <c r="N1199">
        <v>86</v>
      </c>
      <c r="O1199">
        <v>88</v>
      </c>
      <c r="P1199">
        <v>60</v>
      </c>
      <c r="Q1199">
        <v>89</v>
      </c>
      <c r="R1199">
        <f>SUM(student_scores[[#This Row],[math_score]:[geography_score]])</f>
        <v>585</v>
      </c>
      <c r="S1199" s="3">
        <f>student_scores[[#This Row],[Total_Score]]/7</f>
        <v>83.571428571428569</v>
      </c>
      <c r="T1199" s="3" t="str" cm="1">
        <f t="array" ref="T1199">_xlfn.IFS(student_scores[[#This Row],[weekly_self_study_hours]]&lt;=5,   "0 - 5", student_scores[[#This Row],[weekly_self_study_hours]]&lt;=10,  "6 - 10", student_scores[[#This Row],[weekly_self_study_hours]]&lt;=20,  "11 - 20",student_scores[[#This Row],[weekly_self_study_hours]]&lt;=30, "21 - 30",TRUE, "31+")</f>
        <v>21 - 30</v>
      </c>
      <c r="U1199" t="str" cm="1">
        <f t="array" ref="U1199">_xlfn.IFS(student_scores[[#This Row],[absence_days]]=0,"0", student_scores[[#This Row],[absence_days]]&lt;=3,"1-3", student_scores[[#This Row],[absence_days]]&lt;=6,"4-6", TRUE,"7-10")</f>
        <v>7-10</v>
      </c>
      <c r="V1199" t="str">
        <f>IF(student_scores[[#This Row],[Total_Score]] &gt;= _xlfn.PERCENTILE.INC(student_scores[Total_Score], 0.8), "Yes", "No")</f>
        <v>No</v>
      </c>
    </row>
    <row r="1200" spans="1:22" x14ac:dyDescent="0.35">
      <c r="A1200">
        <v>1199</v>
      </c>
      <c r="B1200" t="s">
        <v>2122</v>
      </c>
      <c r="C1200" t="s">
        <v>2123</v>
      </c>
      <c r="D1200" t="s">
        <v>2124</v>
      </c>
      <c r="E1200" t="s">
        <v>20</v>
      </c>
      <c r="F1200" t="b">
        <v>0</v>
      </c>
      <c r="G1200">
        <v>2</v>
      </c>
      <c r="H1200" t="b">
        <v>0</v>
      </c>
      <c r="I1200">
        <v>20</v>
      </c>
      <c r="J1200" t="s">
        <v>113</v>
      </c>
      <c r="K1200">
        <v>94</v>
      </c>
      <c r="L1200">
        <v>82</v>
      </c>
      <c r="M1200">
        <v>91</v>
      </c>
      <c r="N1200">
        <v>94</v>
      </c>
      <c r="O1200">
        <v>100</v>
      </c>
      <c r="P1200">
        <v>99</v>
      </c>
      <c r="Q1200">
        <v>69</v>
      </c>
      <c r="R1200">
        <f>SUM(student_scores[[#This Row],[math_score]:[geography_score]])</f>
        <v>629</v>
      </c>
      <c r="S1200" s="3">
        <f>student_scores[[#This Row],[Total_Score]]/7</f>
        <v>89.857142857142861</v>
      </c>
      <c r="T1200" s="3" t="str" cm="1">
        <f t="array" ref="T1200">_xlfn.IFS(student_scores[[#This Row],[weekly_self_study_hours]]&lt;=5,   "0 - 5", student_scores[[#This Row],[weekly_self_study_hours]]&lt;=10,  "6 - 10", student_scores[[#This Row],[weekly_self_study_hours]]&lt;=20,  "11 - 20",student_scores[[#This Row],[weekly_self_study_hours]]&lt;=30, "21 - 30",TRUE, "31+")</f>
        <v>11 - 20</v>
      </c>
      <c r="U1200" t="str" cm="1">
        <f t="array" ref="U1200">_xlfn.IFS(student_scores[[#This Row],[absence_days]]=0,"0", student_scores[[#This Row],[absence_days]]&lt;=3,"1-3", student_scores[[#This Row],[absence_days]]&lt;=6,"4-6", TRUE,"7-10")</f>
        <v>1-3</v>
      </c>
      <c r="V1200" t="str">
        <f>IF(student_scores[[#This Row],[Total_Score]] &gt;= _xlfn.PERCENTILE.INC(student_scores[Total_Score], 0.8), "Yes", "No")</f>
        <v>Yes</v>
      </c>
    </row>
    <row r="1201" spans="1:22" x14ac:dyDescent="0.35">
      <c r="A1201">
        <v>1200</v>
      </c>
      <c r="B1201" t="s">
        <v>154</v>
      </c>
      <c r="C1201" t="s">
        <v>62</v>
      </c>
      <c r="D1201" t="s">
        <v>2125</v>
      </c>
      <c r="E1201" t="s">
        <v>25</v>
      </c>
      <c r="F1201" t="b">
        <v>0</v>
      </c>
      <c r="G1201">
        <v>3</v>
      </c>
      <c r="H1201" t="b">
        <v>0</v>
      </c>
      <c r="I1201">
        <v>35</v>
      </c>
      <c r="J1201" t="s">
        <v>26</v>
      </c>
      <c r="K1201">
        <v>99</v>
      </c>
      <c r="L1201">
        <v>89</v>
      </c>
      <c r="M1201">
        <v>93</v>
      </c>
      <c r="N1201">
        <v>87</v>
      </c>
      <c r="O1201">
        <v>86</v>
      </c>
      <c r="P1201">
        <v>90</v>
      </c>
      <c r="Q1201">
        <v>96</v>
      </c>
      <c r="R1201">
        <f>SUM(student_scores[[#This Row],[math_score]:[geography_score]])</f>
        <v>640</v>
      </c>
      <c r="S1201" s="3">
        <f>student_scores[[#This Row],[Total_Score]]/7</f>
        <v>91.428571428571431</v>
      </c>
      <c r="T1201" s="3" t="str" cm="1">
        <f t="array" ref="T1201">_xlfn.IFS(student_scores[[#This Row],[weekly_self_study_hours]]&lt;=5,   "0 - 5", student_scores[[#This Row],[weekly_self_study_hours]]&lt;=10,  "6 - 10", student_scores[[#This Row],[weekly_self_study_hours]]&lt;=20,  "11 - 20",student_scores[[#This Row],[weekly_self_study_hours]]&lt;=30, "21 - 30",TRUE, "31+")</f>
        <v>31+</v>
      </c>
      <c r="U1201" t="str" cm="1">
        <f t="array" ref="U1201">_xlfn.IFS(student_scores[[#This Row],[absence_days]]=0,"0", student_scores[[#This Row],[absence_days]]&lt;=3,"1-3", student_scores[[#This Row],[absence_days]]&lt;=6,"4-6", TRUE,"7-10")</f>
        <v>1-3</v>
      </c>
      <c r="V1201" t="str">
        <f>IF(student_scores[[#This Row],[Total_Score]] &gt;= _xlfn.PERCENTILE.INC(student_scores[Total_Score], 0.8), "Yes", "No")</f>
        <v>Yes</v>
      </c>
    </row>
    <row r="1202" spans="1:22" x14ac:dyDescent="0.35">
      <c r="A1202">
        <v>1201</v>
      </c>
      <c r="B1202" t="s">
        <v>1357</v>
      </c>
      <c r="C1202" t="s">
        <v>146</v>
      </c>
      <c r="D1202" t="s">
        <v>2126</v>
      </c>
      <c r="E1202" t="s">
        <v>25</v>
      </c>
      <c r="F1202" t="b">
        <v>0</v>
      </c>
      <c r="G1202">
        <v>0</v>
      </c>
      <c r="H1202" t="b">
        <v>0</v>
      </c>
      <c r="I1202">
        <v>33</v>
      </c>
      <c r="J1202" t="s">
        <v>21</v>
      </c>
      <c r="K1202">
        <v>88</v>
      </c>
      <c r="L1202">
        <v>83</v>
      </c>
      <c r="M1202">
        <v>62</v>
      </c>
      <c r="N1202">
        <v>88</v>
      </c>
      <c r="O1202">
        <v>100</v>
      </c>
      <c r="P1202">
        <v>83</v>
      </c>
      <c r="Q1202">
        <v>84</v>
      </c>
      <c r="R1202">
        <f>SUM(student_scores[[#This Row],[math_score]:[geography_score]])</f>
        <v>588</v>
      </c>
      <c r="S1202" s="3">
        <f>student_scores[[#This Row],[Total_Score]]/7</f>
        <v>84</v>
      </c>
      <c r="T1202" s="3" t="str" cm="1">
        <f t="array" ref="T1202">_xlfn.IFS(student_scores[[#This Row],[weekly_self_study_hours]]&lt;=5,   "0 - 5", student_scores[[#This Row],[weekly_self_study_hours]]&lt;=10,  "6 - 10", student_scores[[#This Row],[weekly_self_study_hours]]&lt;=20,  "11 - 20",student_scores[[#This Row],[weekly_self_study_hours]]&lt;=30, "21 - 30",TRUE, "31+")</f>
        <v>31+</v>
      </c>
      <c r="U1202" t="str" cm="1">
        <f t="array" ref="U1202">_xlfn.IFS(student_scores[[#This Row],[absence_days]]=0,"0", student_scores[[#This Row],[absence_days]]&lt;=3,"1-3", student_scores[[#This Row],[absence_days]]&lt;=6,"4-6", TRUE,"7-10")</f>
        <v>0</v>
      </c>
      <c r="V1202" t="str">
        <f>IF(student_scores[[#This Row],[Total_Score]] &gt;= _xlfn.PERCENTILE.INC(student_scores[Total_Score], 0.8), "Yes", "No")</f>
        <v>No</v>
      </c>
    </row>
    <row r="1203" spans="1:22" x14ac:dyDescent="0.35">
      <c r="A1203">
        <v>1202</v>
      </c>
      <c r="B1203" t="s">
        <v>746</v>
      </c>
      <c r="C1203" t="s">
        <v>576</v>
      </c>
      <c r="D1203" t="s">
        <v>2127</v>
      </c>
      <c r="E1203" t="s">
        <v>25</v>
      </c>
      <c r="F1203" t="b">
        <v>0</v>
      </c>
      <c r="G1203">
        <v>6</v>
      </c>
      <c r="H1203" t="b">
        <v>0</v>
      </c>
      <c r="I1203">
        <v>4</v>
      </c>
      <c r="J1203" t="s">
        <v>224</v>
      </c>
      <c r="K1203">
        <v>79</v>
      </c>
      <c r="L1203">
        <v>74</v>
      </c>
      <c r="M1203">
        <v>68</v>
      </c>
      <c r="N1203">
        <v>82</v>
      </c>
      <c r="O1203">
        <v>65</v>
      </c>
      <c r="P1203">
        <v>73</v>
      </c>
      <c r="Q1203">
        <v>89</v>
      </c>
      <c r="R1203">
        <f>SUM(student_scores[[#This Row],[math_score]:[geography_score]])</f>
        <v>530</v>
      </c>
      <c r="S1203" s="3">
        <f>student_scores[[#This Row],[Total_Score]]/7</f>
        <v>75.714285714285708</v>
      </c>
      <c r="T1203" s="3" t="str" cm="1">
        <f t="array" ref="T1203">_xlfn.IFS(student_scores[[#This Row],[weekly_self_study_hours]]&lt;=5,   "0 - 5", student_scores[[#This Row],[weekly_self_study_hours]]&lt;=10,  "6 - 10", student_scores[[#This Row],[weekly_self_study_hours]]&lt;=20,  "11 - 20",student_scores[[#This Row],[weekly_self_study_hours]]&lt;=30, "21 - 30",TRUE, "31+")</f>
        <v>0 - 5</v>
      </c>
      <c r="U1203" t="str" cm="1">
        <f t="array" ref="U1203">_xlfn.IFS(student_scores[[#This Row],[absence_days]]=0,"0", student_scores[[#This Row],[absence_days]]&lt;=3,"1-3", student_scores[[#This Row],[absence_days]]&lt;=6,"4-6", TRUE,"7-10")</f>
        <v>4-6</v>
      </c>
      <c r="V1203" t="str">
        <f>IF(student_scores[[#This Row],[Total_Score]] &gt;= _xlfn.PERCENTILE.INC(student_scores[Total_Score], 0.8), "Yes", "No")</f>
        <v>No</v>
      </c>
    </row>
    <row r="1204" spans="1:22" x14ac:dyDescent="0.35">
      <c r="A1204">
        <v>1203</v>
      </c>
      <c r="B1204" t="s">
        <v>263</v>
      </c>
      <c r="C1204" t="s">
        <v>2128</v>
      </c>
      <c r="D1204" t="s">
        <v>2129</v>
      </c>
      <c r="E1204" t="s">
        <v>20</v>
      </c>
      <c r="F1204" t="b">
        <v>1</v>
      </c>
      <c r="G1204">
        <v>4</v>
      </c>
      <c r="H1204" t="b">
        <v>0</v>
      </c>
      <c r="I1204">
        <v>1</v>
      </c>
      <c r="J1204" t="s">
        <v>64</v>
      </c>
      <c r="K1204">
        <v>49</v>
      </c>
      <c r="L1204">
        <v>85</v>
      </c>
      <c r="M1204">
        <v>70</v>
      </c>
      <c r="N1204">
        <v>90</v>
      </c>
      <c r="O1204">
        <v>79</v>
      </c>
      <c r="P1204">
        <v>71</v>
      </c>
      <c r="Q1204">
        <v>67</v>
      </c>
      <c r="R1204">
        <f>SUM(student_scores[[#This Row],[math_score]:[geography_score]])</f>
        <v>511</v>
      </c>
      <c r="S1204" s="3">
        <f>student_scores[[#This Row],[Total_Score]]/7</f>
        <v>73</v>
      </c>
      <c r="T1204" s="3" t="str" cm="1">
        <f t="array" ref="T1204">_xlfn.IFS(student_scores[[#This Row],[weekly_self_study_hours]]&lt;=5,   "0 - 5", student_scores[[#This Row],[weekly_self_study_hours]]&lt;=10,  "6 - 10", student_scores[[#This Row],[weekly_self_study_hours]]&lt;=20,  "11 - 20",student_scores[[#This Row],[weekly_self_study_hours]]&lt;=30, "21 - 30",TRUE, "31+")</f>
        <v>0 - 5</v>
      </c>
      <c r="U1204" t="str" cm="1">
        <f t="array" ref="U1204">_xlfn.IFS(student_scores[[#This Row],[absence_days]]=0,"0", student_scores[[#This Row],[absence_days]]&lt;=3,"1-3", student_scores[[#This Row],[absence_days]]&lt;=6,"4-6", TRUE,"7-10")</f>
        <v>4-6</v>
      </c>
      <c r="V1204" t="str">
        <f>IF(student_scores[[#This Row],[Total_Score]] &gt;= _xlfn.PERCENTILE.INC(student_scores[Total_Score], 0.8), "Yes", "No")</f>
        <v>No</v>
      </c>
    </row>
    <row r="1205" spans="1:22" x14ac:dyDescent="0.35">
      <c r="A1205">
        <v>1204</v>
      </c>
      <c r="B1205" t="s">
        <v>2130</v>
      </c>
      <c r="C1205" t="s">
        <v>1309</v>
      </c>
      <c r="D1205" t="s">
        <v>2131</v>
      </c>
      <c r="E1205" t="s">
        <v>25</v>
      </c>
      <c r="F1205" t="b">
        <v>0</v>
      </c>
      <c r="G1205">
        <v>5</v>
      </c>
      <c r="H1205" t="b">
        <v>0</v>
      </c>
      <c r="I1205">
        <v>7</v>
      </c>
      <c r="J1205" t="s">
        <v>30</v>
      </c>
      <c r="K1205">
        <v>97</v>
      </c>
      <c r="L1205">
        <v>99</v>
      </c>
      <c r="M1205">
        <v>67</v>
      </c>
      <c r="N1205">
        <v>87</v>
      </c>
      <c r="O1205">
        <v>66</v>
      </c>
      <c r="P1205">
        <v>68</v>
      </c>
      <c r="Q1205">
        <v>67</v>
      </c>
      <c r="R1205">
        <f>SUM(student_scores[[#This Row],[math_score]:[geography_score]])</f>
        <v>551</v>
      </c>
      <c r="S1205" s="3">
        <f>student_scores[[#This Row],[Total_Score]]/7</f>
        <v>78.714285714285708</v>
      </c>
      <c r="T1205" s="3" t="str" cm="1">
        <f t="array" ref="T1205">_xlfn.IFS(student_scores[[#This Row],[weekly_self_study_hours]]&lt;=5,   "0 - 5", student_scores[[#This Row],[weekly_self_study_hours]]&lt;=10,  "6 - 10", student_scores[[#This Row],[weekly_self_study_hours]]&lt;=20,  "11 - 20",student_scores[[#This Row],[weekly_self_study_hours]]&lt;=30, "21 - 30",TRUE, "31+")</f>
        <v>6 - 10</v>
      </c>
      <c r="U1205" t="str" cm="1">
        <f t="array" ref="U1205">_xlfn.IFS(student_scores[[#This Row],[absence_days]]=0,"0", student_scores[[#This Row],[absence_days]]&lt;=3,"1-3", student_scores[[#This Row],[absence_days]]&lt;=6,"4-6", TRUE,"7-10")</f>
        <v>4-6</v>
      </c>
      <c r="V1205" t="str">
        <f>IF(student_scores[[#This Row],[Total_Score]] &gt;= _xlfn.PERCENTILE.INC(student_scores[Total_Score], 0.8), "Yes", "No")</f>
        <v>No</v>
      </c>
    </row>
    <row r="1206" spans="1:22" x14ac:dyDescent="0.35">
      <c r="A1206">
        <v>1205</v>
      </c>
      <c r="B1206" t="s">
        <v>2132</v>
      </c>
      <c r="C1206" t="s">
        <v>809</v>
      </c>
      <c r="D1206" t="s">
        <v>2133</v>
      </c>
      <c r="E1206" t="s">
        <v>20</v>
      </c>
      <c r="F1206" t="b">
        <v>0</v>
      </c>
      <c r="G1206">
        <v>3</v>
      </c>
      <c r="H1206" t="b">
        <v>0</v>
      </c>
      <c r="I1206">
        <v>27</v>
      </c>
      <c r="J1206" t="s">
        <v>138</v>
      </c>
      <c r="K1206">
        <v>96</v>
      </c>
      <c r="L1206">
        <v>70</v>
      </c>
      <c r="M1206">
        <v>82</v>
      </c>
      <c r="N1206">
        <v>71</v>
      </c>
      <c r="O1206">
        <v>99</v>
      </c>
      <c r="P1206">
        <v>90</v>
      </c>
      <c r="Q1206">
        <v>65</v>
      </c>
      <c r="R1206">
        <f>SUM(student_scores[[#This Row],[math_score]:[geography_score]])</f>
        <v>573</v>
      </c>
      <c r="S1206" s="3">
        <f>student_scores[[#This Row],[Total_Score]]/7</f>
        <v>81.857142857142861</v>
      </c>
      <c r="T1206" s="3" t="str" cm="1">
        <f t="array" ref="T1206">_xlfn.IFS(student_scores[[#This Row],[weekly_self_study_hours]]&lt;=5,   "0 - 5", student_scores[[#This Row],[weekly_self_study_hours]]&lt;=10,  "6 - 10", student_scores[[#This Row],[weekly_self_study_hours]]&lt;=20,  "11 - 20",student_scores[[#This Row],[weekly_self_study_hours]]&lt;=30, "21 - 30",TRUE, "31+")</f>
        <v>21 - 30</v>
      </c>
      <c r="U1206" t="str" cm="1">
        <f t="array" ref="U1206">_xlfn.IFS(student_scores[[#This Row],[absence_days]]=0,"0", student_scores[[#This Row],[absence_days]]&lt;=3,"1-3", student_scores[[#This Row],[absence_days]]&lt;=6,"4-6", TRUE,"7-10")</f>
        <v>1-3</v>
      </c>
      <c r="V1206" t="str">
        <f>IF(student_scores[[#This Row],[Total_Score]] &gt;= _xlfn.PERCENTILE.INC(student_scores[Total_Score], 0.8), "Yes", "No")</f>
        <v>No</v>
      </c>
    </row>
    <row r="1207" spans="1:22" x14ac:dyDescent="0.35">
      <c r="A1207">
        <v>1206</v>
      </c>
      <c r="B1207" t="s">
        <v>315</v>
      </c>
      <c r="C1207" t="s">
        <v>28</v>
      </c>
      <c r="D1207" t="s">
        <v>2134</v>
      </c>
      <c r="E1207" t="s">
        <v>25</v>
      </c>
      <c r="F1207" t="b">
        <v>0</v>
      </c>
      <c r="G1207">
        <v>2</v>
      </c>
      <c r="H1207" t="b">
        <v>0</v>
      </c>
      <c r="I1207">
        <v>34</v>
      </c>
      <c r="J1207" t="s">
        <v>172</v>
      </c>
      <c r="K1207">
        <v>89</v>
      </c>
      <c r="L1207">
        <v>71</v>
      </c>
      <c r="M1207">
        <v>75</v>
      </c>
      <c r="N1207">
        <v>65</v>
      </c>
      <c r="O1207">
        <v>74</v>
      </c>
      <c r="P1207">
        <v>93</v>
      </c>
      <c r="Q1207">
        <v>90</v>
      </c>
      <c r="R1207">
        <f>SUM(student_scores[[#This Row],[math_score]:[geography_score]])</f>
        <v>557</v>
      </c>
      <c r="S1207" s="3">
        <f>student_scores[[#This Row],[Total_Score]]/7</f>
        <v>79.571428571428569</v>
      </c>
      <c r="T1207" s="3" t="str" cm="1">
        <f t="array" ref="T1207">_xlfn.IFS(student_scores[[#This Row],[weekly_self_study_hours]]&lt;=5,   "0 - 5", student_scores[[#This Row],[weekly_self_study_hours]]&lt;=10,  "6 - 10", student_scores[[#This Row],[weekly_self_study_hours]]&lt;=20,  "11 - 20",student_scores[[#This Row],[weekly_self_study_hours]]&lt;=30, "21 - 30",TRUE, "31+")</f>
        <v>31+</v>
      </c>
      <c r="U1207" t="str" cm="1">
        <f t="array" ref="U1207">_xlfn.IFS(student_scores[[#This Row],[absence_days]]=0,"0", student_scores[[#This Row],[absence_days]]&lt;=3,"1-3", student_scores[[#This Row],[absence_days]]&lt;=6,"4-6", TRUE,"7-10")</f>
        <v>1-3</v>
      </c>
      <c r="V1207" t="str">
        <f>IF(student_scores[[#This Row],[Total_Score]] &gt;= _xlfn.PERCENTILE.INC(student_scores[Total_Score], 0.8), "Yes", "No")</f>
        <v>No</v>
      </c>
    </row>
    <row r="1208" spans="1:22" x14ac:dyDescent="0.35">
      <c r="A1208">
        <v>1207</v>
      </c>
      <c r="B1208" t="s">
        <v>428</v>
      </c>
      <c r="C1208" t="s">
        <v>1398</v>
      </c>
      <c r="D1208" t="s">
        <v>2135</v>
      </c>
      <c r="E1208" t="s">
        <v>25</v>
      </c>
      <c r="F1208" t="b">
        <v>1</v>
      </c>
      <c r="G1208">
        <v>2</v>
      </c>
      <c r="H1208" t="b">
        <v>0</v>
      </c>
      <c r="I1208">
        <v>17</v>
      </c>
      <c r="J1208" t="s">
        <v>44</v>
      </c>
      <c r="K1208">
        <v>94</v>
      </c>
      <c r="L1208">
        <v>90</v>
      </c>
      <c r="M1208">
        <v>77</v>
      </c>
      <c r="N1208">
        <v>65</v>
      </c>
      <c r="O1208">
        <v>83</v>
      </c>
      <c r="P1208">
        <v>79</v>
      </c>
      <c r="Q1208">
        <v>96</v>
      </c>
      <c r="R1208">
        <f>SUM(student_scores[[#This Row],[math_score]:[geography_score]])</f>
        <v>584</v>
      </c>
      <c r="S1208" s="3">
        <f>student_scores[[#This Row],[Total_Score]]/7</f>
        <v>83.428571428571431</v>
      </c>
      <c r="T1208" s="3" t="str" cm="1">
        <f t="array" ref="T1208">_xlfn.IFS(student_scores[[#This Row],[weekly_self_study_hours]]&lt;=5,   "0 - 5", student_scores[[#This Row],[weekly_self_study_hours]]&lt;=10,  "6 - 10", student_scores[[#This Row],[weekly_self_study_hours]]&lt;=20,  "11 - 20",student_scores[[#This Row],[weekly_self_study_hours]]&lt;=30, "21 - 30",TRUE, "31+")</f>
        <v>11 - 20</v>
      </c>
      <c r="U1208" t="str" cm="1">
        <f t="array" ref="U1208">_xlfn.IFS(student_scores[[#This Row],[absence_days]]=0,"0", student_scores[[#This Row],[absence_days]]&lt;=3,"1-3", student_scores[[#This Row],[absence_days]]&lt;=6,"4-6", TRUE,"7-10")</f>
        <v>1-3</v>
      </c>
      <c r="V1208" t="str">
        <f>IF(student_scores[[#This Row],[Total_Score]] &gt;= _xlfn.PERCENTILE.INC(student_scores[Total_Score], 0.8), "Yes", "No")</f>
        <v>No</v>
      </c>
    </row>
    <row r="1209" spans="1:22" x14ac:dyDescent="0.35">
      <c r="A1209">
        <v>1208</v>
      </c>
      <c r="B1209" t="s">
        <v>94</v>
      </c>
      <c r="C1209" t="s">
        <v>2136</v>
      </c>
      <c r="D1209" t="s">
        <v>2137</v>
      </c>
      <c r="E1209" t="s">
        <v>20</v>
      </c>
      <c r="F1209" t="b">
        <v>0</v>
      </c>
      <c r="G1209">
        <v>1</v>
      </c>
      <c r="H1209" t="b">
        <v>0</v>
      </c>
      <c r="I1209">
        <v>18</v>
      </c>
      <c r="J1209" t="s">
        <v>38</v>
      </c>
      <c r="K1209">
        <v>62</v>
      </c>
      <c r="L1209">
        <v>73</v>
      </c>
      <c r="M1209">
        <v>95</v>
      </c>
      <c r="N1209">
        <v>68</v>
      </c>
      <c r="O1209">
        <v>61</v>
      </c>
      <c r="P1209">
        <v>60</v>
      </c>
      <c r="Q1209">
        <v>68</v>
      </c>
      <c r="R1209">
        <f>SUM(student_scores[[#This Row],[math_score]:[geography_score]])</f>
        <v>487</v>
      </c>
      <c r="S1209" s="3">
        <f>student_scores[[#This Row],[Total_Score]]/7</f>
        <v>69.571428571428569</v>
      </c>
      <c r="T1209" s="3" t="str" cm="1">
        <f t="array" ref="T1209">_xlfn.IFS(student_scores[[#This Row],[weekly_self_study_hours]]&lt;=5,   "0 - 5", student_scores[[#This Row],[weekly_self_study_hours]]&lt;=10,  "6 - 10", student_scores[[#This Row],[weekly_self_study_hours]]&lt;=20,  "11 - 20",student_scores[[#This Row],[weekly_self_study_hours]]&lt;=30, "21 - 30",TRUE, "31+")</f>
        <v>11 - 20</v>
      </c>
      <c r="U1209" t="str" cm="1">
        <f t="array" ref="U1209">_xlfn.IFS(student_scores[[#This Row],[absence_days]]=0,"0", student_scores[[#This Row],[absence_days]]&lt;=3,"1-3", student_scores[[#This Row],[absence_days]]&lt;=6,"4-6", TRUE,"7-10")</f>
        <v>1-3</v>
      </c>
      <c r="V1209" t="str">
        <f>IF(student_scores[[#This Row],[Total_Score]] &gt;= _xlfn.PERCENTILE.INC(student_scores[Total_Score], 0.8), "Yes", "No")</f>
        <v>No</v>
      </c>
    </row>
    <row r="1210" spans="1:22" x14ac:dyDescent="0.35">
      <c r="A1210">
        <v>1209</v>
      </c>
      <c r="B1210" t="s">
        <v>731</v>
      </c>
      <c r="C1210" t="s">
        <v>164</v>
      </c>
      <c r="D1210" t="s">
        <v>2138</v>
      </c>
      <c r="E1210" t="s">
        <v>25</v>
      </c>
      <c r="F1210" t="b">
        <v>0</v>
      </c>
      <c r="G1210">
        <v>2</v>
      </c>
      <c r="H1210" t="b">
        <v>1</v>
      </c>
      <c r="I1210">
        <v>9</v>
      </c>
      <c r="J1210" t="s">
        <v>224</v>
      </c>
      <c r="K1210">
        <v>68</v>
      </c>
      <c r="L1210">
        <v>94</v>
      </c>
      <c r="M1210">
        <v>92</v>
      </c>
      <c r="N1210">
        <v>77</v>
      </c>
      <c r="O1210">
        <v>79</v>
      </c>
      <c r="P1210">
        <v>88</v>
      </c>
      <c r="Q1210">
        <v>74</v>
      </c>
      <c r="R1210">
        <f>SUM(student_scores[[#This Row],[math_score]:[geography_score]])</f>
        <v>572</v>
      </c>
      <c r="S1210" s="3">
        <f>student_scores[[#This Row],[Total_Score]]/7</f>
        <v>81.714285714285708</v>
      </c>
      <c r="T1210" s="3" t="str" cm="1">
        <f t="array" ref="T1210">_xlfn.IFS(student_scores[[#This Row],[weekly_self_study_hours]]&lt;=5,   "0 - 5", student_scores[[#This Row],[weekly_self_study_hours]]&lt;=10,  "6 - 10", student_scores[[#This Row],[weekly_self_study_hours]]&lt;=20,  "11 - 20",student_scores[[#This Row],[weekly_self_study_hours]]&lt;=30, "21 - 30",TRUE, "31+")</f>
        <v>6 - 10</v>
      </c>
      <c r="U1210" t="str" cm="1">
        <f t="array" ref="U1210">_xlfn.IFS(student_scores[[#This Row],[absence_days]]=0,"0", student_scores[[#This Row],[absence_days]]&lt;=3,"1-3", student_scores[[#This Row],[absence_days]]&lt;=6,"4-6", TRUE,"7-10")</f>
        <v>1-3</v>
      </c>
      <c r="V1210" t="str">
        <f>IF(student_scores[[#This Row],[Total_Score]] &gt;= _xlfn.PERCENTILE.INC(student_scores[Total_Score], 0.8), "Yes", "No")</f>
        <v>No</v>
      </c>
    </row>
    <row r="1211" spans="1:22" x14ac:dyDescent="0.35">
      <c r="A1211">
        <v>1210</v>
      </c>
      <c r="B1211" t="s">
        <v>173</v>
      </c>
      <c r="C1211" t="s">
        <v>2102</v>
      </c>
      <c r="D1211" t="s">
        <v>2139</v>
      </c>
      <c r="E1211" t="s">
        <v>25</v>
      </c>
      <c r="F1211" t="b">
        <v>0</v>
      </c>
      <c r="G1211">
        <v>2</v>
      </c>
      <c r="H1211" t="b">
        <v>0</v>
      </c>
      <c r="I1211">
        <v>3</v>
      </c>
      <c r="J1211" t="s">
        <v>224</v>
      </c>
      <c r="K1211">
        <v>58</v>
      </c>
      <c r="L1211">
        <v>66</v>
      </c>
      <c r="M1211">
        <v>99</v>
      </c>
      <c r="N1211">
        <v>98</v>
      </c>
      <c r="O1211">
        <v>69</v>
      </c>
      <c r="P1211">
        <v>65</v>
      </c>
      <c r="Q1211">
        <v>78</v>
      </c>
      <c r="R1211">
        <f>SUM(student_scores[[#This Row],[math_score]:[geography_score]])</f>
        <v>533</v>
      </c>
      <c r="S1211" s="3">
        <f>student_scores[[#This Row],[Total_Score]]/7</f>
        <v>76.142857142857139</v>
      </c>
      <c r="T1211" s="3" t="str" cm="1">
        <f t="array" ref="T1211">_xlfn.IFS(student_scores[[#This Row],[weekly_self_study_hours]]&lt;=5,   "0 - 5", student_scores[[#This Row],[weekly_self_study_hours]]&lt;=10,  "6 - 10", student_scores[[#This Row],[weekly_self_study_hours]]&lt;=20,  "11 - 20",student_scores[[#This Row],[weekly_self_study_hours]]&lt;=30, "21 - 30",TRUE, "31+")</f>
        <v>0 - 5</v>
      </c>
      <c r="U1211" t="str" cm="1">
        <f t="array" ref="U1211">_xlfn.IFS(student_scores[[#This Row],[absence_days]]=0,"0", student_scores[[#This Row],[absence_days]]&lt;=3,"1-3", student_scores[[#This Row],[absence_days]]&lt;=6,"4-6", TRUE,"7-10")</f>
        <v>1-3</v>
      </c>
      <c r="V1211" t="str">
        <f>IF(student_scores[[#This Row],[Total_Score]] &gt;= _xlfn.PERCENTILE.INC(student_scores[Total_Score], 0.8), "Yes", "No")</f>
        <v>No</v>
      </c>
    </row>
    <row r="1212" spans="1:22" x14ac:dyDescent="0.35">
      <c r="A1212">
        <v>1211</v>
      </c>
      <c r="B1212" t="s">
        <v>722</v>
      </c>
      <c r="C1212" t="s">
        <v>246</v>
      </c>
      <c r="D1212" t="s">
        <v>2140</v>
      </c>
      <c r="E1212" t="s">
        <v>25</v>
      </c>
      <c r="F1212" t="b">
        <v>0</v>
      </c>
      <c r="G1212">
        <v>5</v>
      </c>
      <c r="H1212" t="b">
        <v>0</v>
      </c>
      <c r="I1212">
        <v>28</v>
      </c>
      <c r="J1212" t="s">
        <v>105</v>
      </c>
      <c r="K1212">
        <v>92</v>
      </c>
      <c r="L1212">
        <v>77</v>
      </c>
      <c r="M1212">
        <v>75</v>
      </c>
      <c r="N1212">
        <v>84</v>
      </c>
      <c r="O1212">
        <v>74</v>
      </c>
      <c r="P1212">
        <v>82</v>
      </c>
      <c r="Q1212">
        <v>78</v>
      </c>
      <c r="R1212">
        <f>SUM(student_scores[[#This Row],[math_score]:[geography_score]])</f>
        <v>562</v>
      </c>
      <c r="S1212" s="3">
        <f>student_scores[[#This Row],[Total_Score]]/7</f>
        <v>80.285714285714292</v>
      </c>
      <c r="T1212" s="3" t="str" cm="1">
        <f t="array" ref="T1212">_xlfn.IFS(student_scores[[#This Row],[weekly_self_study_hours]]&lt;=5,   "0 - 5", student_scores[[#This Row],[weekly_self_study_hours]]&lt;=10,  "6 - 10", student_scores[[#This Row],[weekly_self_study_hours]]&lt;=20,  "11 - 20",student_scores[[#This Row],[weekly_self_study_hours]]&lt;=30, "21 - 30",TRUE, "31+")</f>
        <v>21 - 30</v>
      </c>
      <c r="U1212" t="str" cm="1">
        <f t="array" ref="U1212">_xlfn.IFS(student_scores[[#This Row],[absence_days]]=0,"0", student_scores[[#This Row],[absence_days]]&lt;=3,"1-3", student_scores[[#This Row],[absence_days]]&lt;=6,"4-6", TRUE,"7-10")</f>
        <v>4-6</v>
      </c>
      <c r="V1212" t="str">
        <f>IF(student_scores[[#This Row],[Total_Score]] &gt;= _xlfn.PERCENTILE.INC(student_scores[Total_Score], 0.8), "Yes", "No")</f>
        <v>No</v>
      </c>
    </row>
    <row r="1213" spans="1:22" x14ac:dyDescent="0.35">
      <c r="A1213">
        <v>1212</v>
      </c>
      <c r="B1213" t="s">
        <v>715</v>
      </c>
      <c r="C1213" t="s">
        <v>2141</v>
      </c>
      <c r="D1213" t="s">
        <v>2142</v>
      </c>
      <c r="E1213" t="s">
        <v>25</v>
      </c>
      <c r="F1213" t="b">
        <v>0</v>
      </c>
      <c r="G1213">
        <v>5</v>
      </c>
      <c r="H1213" t="b">
        <v>0</v>
      </c>
      <c r="I1213">
        <v>28</v>
      </c>
      <c r="J1213" t="s">
        <v>172</v>
      </c>
      <c r="K1213">
        <v>90</v>
      </c>
      <c r="L1213">
        <v>78</v>
      </c>
      <c r="M1213">
        <v>86</v>
      </c>
      <c r="N1213">
        <v>83</v>
      </c>
      <c r="O1213">
        <v>98</v>
      </c>
      <c r="P1213">
        <v>71</v>
      </c>
      <c r="Q1213">
        <v>84</v>
      </c>
      <c r="R1213">
        <f>SUM(student_scores[[#This Row],[math_score]:[geography_score]])</f>
        <v>590</v>
      </c>
      <c r="S1213" s="3">
        <f>student_scores[[#This Row],[Total_Score]]/7</f>
        <v>84.285714285714292</v>
      </c>
      <c r="T1213" s="3" t="str" cm="1">
        <f t="array" ref="T1213">_xlfn.IFS(student_scores[[#This Row],[weekly_self_study_hours]]&lt;=5,   "0 - 5", student_scores[[#This Row],[weekly_self_study_hours]]&lt;=10,  "6 - 10", student_scores[[#This Row],[weekly_self_study_hours]]&lt;=20,  "11 - 20",student_scores[[#This Row],[weekly_self_study_hours]]&lt;=30, "21 - 30",TRUE, "31+")</f>
        <v>21 - 30</v>
      </c>
      <c r="U1213" t="str" cm="1">
        <f t="array" ref="U1213">_xlfn.IFS(student_scores[[#This Row],[absence_days]]=0,"0", student_scores[[#This Row],[absence_days]]&lt;=3,"1-3", student_scores[[#This Row],[absence_days]]&lt;=6,"4-6", TRUE,"7-10")</f>
        <v>4-6</v>
      </c>
      <c r="V1213" t="str">
        <f>IF(student_scores[[#This Row],[Total_Score]] &gt;= _xlfn.PERCENTILE.INC(student_scores[Total_Score], 0.8), "Yes", "No")</f>
        <v>No</v>
      </c>
    </row>
    <row r="1214" spans="1:22" x14ac:dyDescent="0.35">
      <c r="A1214">
        <v>1213</v>
      </c>
      <c r="B1214" t="s">
        <v>655</v>
      </c>
      <c r="C1214" t="s">
        <v>1522</v>
      </c>
      <c r="D1214" t="s">
        <v>2143</v>
      </c>
      <c r="E1214" t="s">
        <v>25</v>
      </c>
      <c r="F1214" t="b">
        <v>0</v>
      </c>
      <c r="G1214">
        <v>2</v>
      </c>
      <c r="H1214" t="b">
        <v>0</v>
      </c>
      <c r="I1214">
        <v>26</v>
      </c>
      <c r="J1214" t="s">
        <v>26</v>
      </c>
      <c r="K1214">
        <v>84</v>
      </c>
      <c r="L1214">
        <v>67</v>
      </c>
      <c r="M1214">
        <v>89</v>
      </c>
      <c r="N1214">
        <v>96</v>
      </c>
      <c r="O1214">
        <v>88</v>
      </c>
      <c r="P1214">
        <v>60</v>
      </c>
      <c r="Q1214">
        <v>88</v>
      </c>
      <c r="R1214">
        <f>SUM(student_scores[[#This Row],[math_score]:[geography_score]])</f>
        <v>572</v>
      </c>
      <c r="S1214" s="3">
        <f>student_scores[[#This Row],[Total_Score]]/7</f>
        <v>81.714285714285708</v>
      </c>
      <c r="T1214" s="3" t="str" cm="1">
        <f t="array" ref="T1214">_xlfn.IFS(student_scores[[#This Row],[weekly_self_study_hours]]&lt;=5,   "0 - 5", student_scores[[#This Row],[weekly_self_study_hours]]&lt;=10,  "6 - 10", student_scores[[#This Row],[weekly_self_study_hours]]&lt;=20,  "11 - 20",student_scores[[#This Row],[weekly_self_study_hours]]&lt;=30, "21 - 30",TRUE, "31+")</f>
        <v>21 - 30</v>
      </c>
      <c r="U1214" t="str" cm="1">
        <f t="array" ref="U1214">_xlfn.IFS(student_scores[[#This Row],[absence_days]]=0,"0", student_scores[[#This Row],[absence_days]]&lt;=3,"1-3", student_scores[[#This Row],[absence_days]]&lt;=6,"4-6", TRUE,"7-10")</f>
        <v>1-3</v>
      </c>
      <c r="V1214" t="str">
        <f>IF(student_scores[[#This Row],[Total_Score]] &gt;= _xlfn.PERCENTILE.INC(student_scores[Total_Score], 0.8), "Yes", "No")</f>
        <v>No</v>
      </c>
    </row>
    <row r="1215" spans="1:22" x14ac:dyDescent="0.35">
      <c r="A1215">
        <v>1214</v>
      </c>
      <c r="B1215" t="s">
        <v>190</v>
      </c>
      <c r="C1215" t="s">
        <v>2144</v>
      </c>
      <c r="D1215" t="s">
        <v>2145</v>
      </c>
      <c r="E1215" t="s">
        <v>25</v>
      </c>
      <c r="F1215" t="b">
        <v>1</v>
      </c>
      <c r="G1215">
        <v>10</v>
      </c>
      <c r="H1215" t="b">
        <v>1</v>
      </c>
      <c r="I1215">
        <v>4</v>
      </c>
      <c r="J1215" t="s">
        <v>64</v>
      </c>
      <c r="K1215">
        <v>81</v>
      </c>
      <c r="L1215">
        <v>85</v>
      </c>
      <c r="M1215">
        <v>50</v>
      </c>
      <c r="N1215">
        <v>53</v>
      </c>
      <c r="O1215">
        <v>55</v>
      </c>
      <c r="P1215">
        <v>91</v>
      </c>
      <c r="Q1215">
        <v>78</v>
      </c>
      <c r="R1215">
        <f>SUM(student_scores[[#This Row],[math_score]:[geography_score]])</f>
        <v>493</v>
      </c>
      <c r="S1215" s="3">
        <f>student_scores[[#This Row],[Total_Score]]/7</f>
        <v>70.428571428571431</v>
      </c>
      <c r="T1215" s="3" t="str" cm="1">
        <f t="array" ref="T1215">_xlfn.IFS(student_scores[[#This Row],[weekly_self_study_hours]]&lt;=5,   "0 - 5", student_scores[[#This Row],[weekly_self_study_hours]]&lt;=10,  "6 - 10", student_scores[[#This Row],[weekly_self_study_hours]]&lt;=20,  "11 - 20",student_scores[[#This Row],[weekly_self_study_hours]]&lt;=30, "21 - 30",TRUE, "31+")</f>
        <v>0 - 5</v>
      </c>
      <c r="U1215" t="str" cm="1">
        <f t="array" ref="U1215">_xlfn.IFS(student_scores[[#This Row],[absence_days]]=0,"0", student_scores[[#This Row],[absence_days]]&lt;=3,"1-3", student_scores[[#This Row],[absence_days]]&lt;=6,"4-6", TRUE,"7-10")</f>
        <v>7-10</v>
      </c>
      <c r="V1215" t="str">
        <f>IF(student_scores[[#This Row],[Total_Score]] &gt;= _xlfn.PERCENTILE.INC(student_scores[Total_Score], 0.8), "Yes", "No")</f>
        <v>No</v>
      </c>
    </row>
    <row r="1216" spans="1:22" x14ac:dyDescent="0.35">
      <c r="A1216">
        <v>1215</v>
      </c>
      <c r="B1216" t="s">
        <v>1383</v>
      </c>
      <c r="C1216" t="s">
        <v>2146</v>
      </c>
      <c r="D1216" t="s">
        <v>2147</v>
      </c>
      <c r="E1216" t="s">
        <v>25</v>
      </c>
      <c r="F1216" t="b">
        <v>0</v>
      </c>
      <c r="G1216">
        <v>3</v>
      </c>
      <c r="H1216" t="b">
        <v>0</v>
      </c>
      <c r="I1216">
        <v>15</v>
      </c>
      <c r="J1216" t="s">
        <v>54</v>
      </c>
      <c r="K1216">
        <v>87</v>
      </c>
      <c r="L1216">
        <v>89</v>
      </c>
      <c r="M1216">
        <v>94</v>
      </c>
      <c r="N1216">
        <v>82</v>
      </c>
      <c r="O1216">
        <v>81</v>
      </c>
      <c r="P1216">
        <v>98</v>
      </c>
      <c r="Q1216">
        <v>88</v>
      </c>
      <c r="R1216">
        <f>SUM(student_scores[[#This Row],[math_score]:[geography_score]])</f>
        <v>619</v>
      </c>
      <c r="S1216" s="3">
        <f>student_scores[[#This Row],[Total_Score]]/7</f>
        <v>88.428571428571431</v>
      </c>
      <c r="T1216" s="3" t="str" cm="1">
        <f t="array" ref="T1216">_xlfn.IFS(student_scores[[#This Row],[weekly_self_study_hours]]&lt;=5,   "0 - 5", student_scores[[#This Row],[weekly_self_study_hours]]&lt;=10,  "6 - 10", student_scores[[#This Row],[weekly_self_study_hours]]&lt;=20,  "11 - 20",student_scores[[#This Row],[weekly_self_study_hours]]&lt;=30, "21 - 30",TRUE, "31+")</f>
        <v>11 - 20</v>
      </c>
      <c r="U1216" t="str" cm="1">
        <f t="array" ref="U1216">_xlfn.IFS(student_scores[[#This Row],[absence_days]]=0,"0", student_scores[[#This Row],[absence_days]]&lt;=3,"1-3", student_scores[[#This Row],[absence_days]]&lt;=6,"4-6", TRUE,"7-10")</f>
        <v>1-3</v>
      </c>
      <c r="V1216" t="str">
        <f>IF(student_scores[[#This Row],[Total_Score]] &gt;= _xlfn.PERCENTILE.INC(student_scores[Total_Score], 0.8), "Yes", "No")</f>
        <v>Yes</v>
      </c>
    </row>
    <row r="1217" spans="1:22" x14ac:dyDescent="0.35">
      <c r="A1217">
        <v>1216</v>
      </c>
      <c r="B1217" t="s">
        <v>388</v>
      </c>
      <c r="C1217" t="s">
        <v>42</v>
      </c>
      <c r="D1217" t="s">
        <v>2148</v>
      </c>
      <c r="E1217" t="s">
        <v>25</v>
      </c>
      <c r="F1217" t="b">
        <v>0</v>
      </c>
      <c r="G1217">
        <v>3</v>
      </c>
      <c r="H1217" t="b">
        <v>0</v>
      </c>
      <c r="I1217">
        <v>33</v>
      </c>
      <c r="J1217" t="s">
        <v>38</v>
      </c>
      <c r="K1217">
        <v>88</v>
      </c>
      <c r="L1217">
        <v>75</v>
      </c>
      <c r="M1217">
        <v>83</v>
      </c>
      <c r="N1217">
        <v>74</v>
      </c>
      <c r="O1217">
        <v>76</v>
      </c>
      <c r="P1217">
        <v>72</v>
      </c>
      <c r="Q1217">
        <v>61</v>
      </c>
      <c r="R1217">
        <f>SUM(student_scores[[#This Row],[math_score]:[geography_score]])</f>
        <v>529</v>
      </c>
      <c r="S1217" s="3">
        <f>student_scores[[#This Row],[Total_Score]]/7</f>
        <v>75.571428571428569</v>
      </c>
      <c r="T1217" s="3" t="str" cm="1">
        <f t="array" ref="T1217">_xlfn.IFS(student_scores[[#This Row],[weekly_self_study_hours]]&lt;=5,   "0 - 5", student_scores[[#This Row],[weekly_self_study_hours]]&lt;=10,  "6 - 10", student_scores[[#This Row],[weekly_self_study_hours]]&lt;=20,  "11 - 20",student_scores[[#This Row],[weekly_self_study_hours]]&lt;=30, "21 - 30",TRUE, "31+")</f>
        <v>31+</v>
      </c>
      <c r="U1217" t="str" cm="1">
        <f t="array" ref="U1217">_xlfn.IFS(student_scores[[#This Row],[absence_days]]=0,"0", student_scores[[#This Row],[absence_days]]&lt;=3,"1-3", student_scores[[#This Row],[absence_days]]&lt;=6,"4-6", TRUE,"7-10")</f>
        <v>1-3</v>
      </c>
      <c r="V1217" t="str">
        <f>IF(student_scores[[#This Row],[Total_Score]] &gt;= _xlfn.PERCENTILE.INC(student_scores[Total_Score], 0.8), "Yes", "No")</f>
        <v>No</v>
      </c>
    </row>
    <row r="1218" spans="1:22" x14ac:dyDescent="0.35">
      <c r="A1218">
        <v>1217</v>
      </c>
      <c r="B1218" t="s">
        <v>114</v>
      </c>
      <c r="C1218" t="s">
        <v>934</v>
      </c>
      <c r="D1218" t="s">
        <v>2149</v>
      </c>
      <c r="E1218" t="s">
        <v>25</v>
      </c>
      <c r="F1218" t="b">
        <v>0</v>
      </c>
      <c r="G1218">
        <v>3</v>
      </c>
      <c r="H1218" t="b">
        <v>1</v>
      </c>
      <c r="I1218">
        <v>31</v>
      </c>
      <c r="J1218" t="s">
        <v>109</v>
      </c>
      <c r="K1218">
        <v>76</v>
      </c>
      <c r="L1218">
        <v>83</v>
      </c>
      <c r="M1218">
        <v>100</v>
      </c>
      <c r="N1218">
        <v>96</v>
      </c>
      <c r="O1218">
        <v>65</v>
      </c>
      <c r="P1218">
        <v>98</v>
      </c>
      <c r="Q1218">
        <v>97</v>
      </c>
      <c r="R1218">
        <f>SUM(student_scores[[#This Row],[math_score]:[geography_score]])</f>
        <v>615</v>
      </c>
      <c r="S1218" s="3">
        <f>student_scores[[#This Row],[Total_Score]]/7</f>
        <v>87.857142857142861</v>
      </c>
      <c r="T1218" s="3" t="str" cm="1">
        <f t="array" ref="T1218">_xlfn.IFS(student_scores[[#This Row],[weekly_self_study_hours]]&lt;=5,   "0 - 5", student_scores[[#This Row],[weekly_self_study_hours]]&lt;=10,  "6 - 10", student_scores[[#This Row],[weekly_self_study_hours]]&lt;=20,  "11 - 20",student_scores[[#This Row],[weekly_self_study_hours]]&lt;=30, "21 - 30",TRUE, "31+")</f>
        <v>31+</v>
      </c>
      <c r="U1218" t="str" cm="1">
        <f t="array" ref="U1218">_xlfn.IFS(student_scores[[#This Row],[absence_days]]=0,"0", student_scores[[#This Row],[absence_days]]&lt;=3,"1-3", student_scores[[#This Row],[absence_days]]&lt;=6,"4-6", TRUE,"7-10")</f>
        <v>1-3</v>
      </c>
      <c r="V1218" t="str">
        <f>IF(student_scores[[#This Row],[Total_Score]] &gt;= _xlfn.PERCENTILE.INC(student_scores[Total_Score], 0.8), "Yes", "No")</f>
        <v>Yes</v>
      </c>
    </row>
    <row r="1219" spans="1:22" x14ac:dyDescent="0.35">
      <c r="A1219">
        <v>1218</v>
      </c>
      <c r="B1219" t="s">
        <v>45</v>
      </c>
      <c r="C1219" t="s">
        <v>851</v>
      </c>
      <c r="D1219" t="s">
        <v>2150</v>
      </c>
      <c r="E1219" t="s">
        <v>20</v>
      </c>
      <c r="F1219" t="b">
        <v>0</v>
      </c>
      <c r="G1219">
        <v>5</v>
      </c>
      <c r="H1219" t="b">
        <v>1</v>
      </c>
      <c r="I1219">
        <v>7</v>
      </c>
      <c r="J1219" t="s">
        <v>30</v>
      </c>
      <c r="K1219">
        <v>60</v>
      </c>
      <c r="L1219">
        <v>66</v>
      </c>
      <c r="M1219">
        <v>65</v>
      </c>
      <c r="N1219">
        <v>90</v>
      </c>
      <c r="O1219">
        <v>61</v>
      </c>
      <c r="P1219">
        <v>96</v>
      </c>
      <c r="Q1219">
        <v>74</v>
      </c>
      <c r="R1219">
        <f>SUM(student_scores[[#This Row],[math_score]:[geography_score]])</f>
        <v>512</v>
      </c>
      <c r="S1219" s="3">
        <f>student_scores[[#This Row],[Total_Score]]/7</f>
        <v>73.142857142857139</v>
      </c>
      <c r="T1219" s="3" t="str" cm="1">
        <f t="array" ref="T1219">_xlfn.IFS(student_scores[[#This Row],[weekly_self_study_hours]]&lt;=5,   "0 - 5", student_scores[[#This Row],[weekly_self_study_hours]]&lt;=10,  "6 - 10", student_scores[[#This Row],[weekly_self_study_hours]]&lt;=20,  "11 - 20",student_scores[[#This Row],[weekly_self_study_hours]]&lt;=30, "21 - 30",TRUE, "31+")</f>
        <v>6 - 10</v>
      </c>
      <c r="U1219" t="str" cm="1">
        <f t="array" ref="U1219">_xlfn.IFS(student_scores[[#This Row],[absence_days]]=0,"0", student_scores[[#This Row],[absence_days]]&lt;=3,"1-3", student_scores[[#This Row],[absence_days]]&lt;=6,"4-6", TRUE,"7-10")</f>
        <v>4-6</v>
      </c>
      <c r="V1219" t="str">
        <f>IF(student_scores[[#This Row],[Total_Score]] &gt;= _xlfn.PERCENTILE.INC(student_scores[Total_Score], 0.8), "Yes", "No")</f>
        <v>No</v>
      </c>
    </row>
    <row r="1220" spans="1:22" x14ac:dyDescent="0.35">
      <c r="A1220">
        <v>1219</v>
      </c>
      <c r="B1220" t="s">
        <v>202</v>
      </c>
      <c r="C1220" t="s">
        <v>349</v>
      </c>
      <c r="D1220" t="s">
        <v>2151</v>
      </c>
      <c r="E1220" t="s">
        <v>25</v>
      </c>
      <c r="F1220" t="b">
        <v>0</v>
      </c>
      <c r="G1220">
        <v>1</v>
      </c>
      <c r="H1220" t="b">
        <v>0</v>
      </c>
      <c r="I1220">
        <v>26</v>
      </c>
      <c r="J1220" t="s">
        <v>38</v>
      </c>
      <c r="K1220">
        <v>85</v>
      </c>
      <c r="L1220">
        <v>64</v>
      </c>
      <c r="M1220">
        <v>98</v>
      </c>
      <c r="N1220">
        <v>68</v>
      </c>
      <c r="O1220">
        <v>70</v>
      </c>
      <c r="P1220">
        <v>63</v>
      </c>
      <c r="Q1220">
        <v>77</v>
      </c>
      <c r="R1220">
        <f>SUM(student_scores[[#This Row],[math_score]:[geography_score]])</f>
        <v>525</v>
      </c>
      <c r="S1220" s="3">
        <f>student_scores[[#This Row],[Total_Score]]/7</f>
        <v>75</v>
      </c>
      <c r="T1220" s="3" t="str" cm="1">
        <f t="array" ref="T1220">_xlfn.IFS(student_scores[[#This Row],[weekly_self_study_hours]]&lt;=5,   "0 - 5", student_scores[[#This Row],[weekly_self_study_hours]]&lt;=10,  "6 - 10", student_scores[[#This Row],[weekly_self_study_hours]]&lt;=20,  "11 - 20",student_scores[[#This Row],[weekly_self_study_hours]]&lt;=30, "21 - 30",TRUE, "31+")</f>
        <v>21 - 30</v>
      </c>
      <c r="U1220" t="str" cm="1">
        <f t="array" ref="U1220">_xlfn.IFS(student_scores[[#This Row],[absence_days]]=0,"0", student_scores[[#This Row],[absence_days]]&lt;=3,"1-3", student_scores[[#This Row],[absence_days]]&lt;=6,"4-6", TRUE,"7-10")</f>
        <v>1-3</v>
      </c>
      <c r="V1220" t="str">
        <f>IF(student_scores[[#This Row],[Total_Score]] &gt;= _xlfn.PERCENTILE.INC(student_scores[Total_Score], 0.8), "Yes", "No")</f>
        <v>No</v>
      </c>
    </row>
    <row r="1221" spans="1:22" x14ac:dyDescent="0.35">
      <c r="A1221">
        <v>1220</v>
      </c>
      <c r="B1221" t="s">
        <v>599</v>
      </c>
      <c r="C1221" t="s">
        <v>45</v>
      </c>
      <c r="D1221" t="s">
        <v>2152</v>
      </c>
      <c r="E1221" t="s">
        <v>25</v>
      </c>
      <c r="F1221" t="b">
        <v>0</v>
      </c>
      <c r="G1221">
        <v>9</v>
      </c>
      <c r="H1221" t="b">
        <v>0</v>
      </c>
      <c r="I1221">
        <v>3</v>
      </c>
      <c r="J1221" t="s">
        <v>64</v>
      </c>
      <c r="K1221">
        <v>73</v>
      </c>
      <c r="L1221">
        <v>88</v>
      </c>
      <c r="M1221">
        <v>57</v>
      </c>
      <c r="N1221">
        <v>93</v>
      </c>
      <c r="O1221">
        <v>85</v>
      </c>
      <c r="P1221">
        <v>85</v>
      </c>
      <c r="Q1221">
        <v>77</v>
      </c>
      <c r="R1221">
        <f>SUM(student_scores[[#This Row],[math_score]:[geography_score]])</f>
        <v>558</v>
      </c>
      <c r="S1221" s="3">
        <f>student_scores[[#This Row],[Total_Score]]/7</f>
        <v>79.714285714285708</v>
      </c>
      <c r="T1221" s="3" t="str" cm="1">
        <f t="array" ref="T1221">_xlfn.IFS(student_scores[[#This Row],[weekly_self_study_hours]]&lt;=5,   "0 - 5", student_scores[[#This Row],[weekly_self_study_hours]]&lt;=10,  "6 - 10", student_scores[[#This Row],[weekly_self_study_hours]]&lt;=20,  "11 - 20",student_scores[[#This Row],[weekly_self_study_hours]]&lt;=30, "21 - 30",TRUE, "31+")</f>
        <v>0 - 5</v>
      </c>
      <c r="U1221" t="str" cm="1">
        <f t="array" ref="U1221">_xlfn.IFS(student_scores[[#This Row],[absence_days]]=0,"0", student_scores[[#This Row],[absence_days]]&lt;=3,"1-3", student_scores[[#This Row],[absence_days]]&lt;=6,"4-6", TRUE,"7-10")</f>
        <v>7-10</v>
      </c>
      <c r="V1221" t="str">
        <f>IF(student_scores[[#This Row],[Total_Score]] &gt;= _xlfn.PERCENTILE.INC(student_scores[Total_Score], 0.8), "Yes", "No")</f>
        <v>No</v>
      </c>
    </row>
    <row r="1222" spans="1:22" x14ac:dyDescent="0.35">
      <c r="A1222">
        <v>1221</v>
      </c>
      <c r="B1222" t="s">
        <v>1455</v>
      </c>
      <c r="C1222" t="s">
        <v>1178</v>
      </c>
      <c r="D1222" t="s">
        <v>2153</v>
      </c>
      <c r="E1222" t="s">
        <v>20</v>
      </c>
      <c r="F1222" t="b">
        <v>0</v>
      </c>
      <c r="G1222">
        <v>5</v>
      </c>
      <c r="H1222" t="b">
        <v>0</v>
      </c>
      <c r="I1222">
        <v>31</v>
      </c>
      <c r="J1222" t="s">
        <v>21</v>
      </c>
      <c r="K1222">
        <v>99</v>
      </c>
      <c r="L1222">
        <v>81</v>
      </c>
      <c r="M1222">
        <v>80</v>
      </c>
      <c r="N1222">
        <v>89</v>
      </c>
      <c r="O1222">
        <v>75</v>
      </c>
      <c r="P1222">
        <v>83</v>
      </c>
      <c r="Q1222">
        <v>93</v>
      </c>
      <c r="R1222">
        <f>SUM(student_scores[[#This Row],[math_score]:[geography_score]])</f>
        <v>600</v>
      </c>
      <c r="S1222" s="3">
        <f>student_scores[[#This Row],[Total_Score]]/7</f>
        <v>85.714285714285708</v>
      </c>
      <c r="T1222" s="3" t="str" cm="1">
        <f t="array" ref="T1222">_xlfn.IFS(student_scores[[#This Row],[weekly_self_study_hours]]&lt;=5,   "0 - 5", student_scores[[#This Row],[weekly_self_study_hours]]&lt;=10,  "6 - 10", student_scores[[#This Row],[weekly_self_study_hours]]&lt;=20,  "11 - 20",student_scores[[#This Row],[weekly_self_study_hours]]&lt;=30, "21 - 30",TRUE, "31+")</f>
        <v>31+</v>
      </c>
      <c r="U1222" t="str" cm="1">
        <f t="array" ref="U1222">_xlfn.IFS(student_scores[[#This Row],[absence_days]]=0,"0", student_scores[[#This Row],[absence_days]]&lt;=3,"1-3", student_scores[[#This Row],[absence_days]]&lt;=6,"4-6", TRUE,"7-10")</f>
        <v>4-6</v>
      </c>
      <c r="V1222" t="str">
        <f>IF(student_scores[[#This Row],[Total_Score]] &gt;= _xlfn.PERCENTILE.INC(student_scores[Total_Score], 0.8), "Yes", "No")</f>
        <v>No</v>
      </c>
    </row>
    <row r="1223" spans="1:22" x14ac:dyDescent="0.35">
      <c r="A1223">
        <v>1222</v>
      </c>
      <c r="B1223" t="s">
        <v>263</v>
      </c>
      <c r="C1223" t="s">
        <v>520</v>
      </c>
      <c r="D1223" t="s">
        <v>2154</v>
      </c>
      <c r="E1223" t="s">
        <v>20</v>
      </c>
      <c r="F1223" t="b">
        <v>0</v>
      </c>
      <c r="G1223">
        <v>4</v>
      </c>
      <c r="H1223" t="b">
        <v>0</v>
      </c>
      <c r="I1223">
        <v>1</v>
      </c>
      <c r="J1223" t="s">
        <v>64</v>
      </c>
      <c r="K1223">
        <v>95</v>
      </c>
      <c r="L1223">
        <v>57</v>
      </c>
      <c r="M1223">
        <v>77</v>
      </c>
      <c r="N1223">
        <v>81</v>
      </c>
      <c r="O1223">
        <v>83</v>
      </c>
      <c r="P1223">
        <v>57</v>
      </c>
      <c r="Q1223">
        <v>70</v>
      </c>
      <c r="R1223">
        <f>SUM(student_scores[[#This Row],[math_score]:[geography_score]])</f>
        <v>520</v>
      </c>
      <c r="S1223" s="3">
        <f>student_scores[[#This Row],[Total_Score]]/7</f>
        <v>74.285714285714292</v>
      </c>
      <c r="T1223" s="3" t="str" cm="1">
        <f t="array" ref="T1223">_xlfn.IFS(student_scores[[#This Row],[weekly_self_study_hours]]&lt;=5,   "0 - 5", student_scores[[#This Row],[weekly_self_study_hours]]&lt;=10,  "6 - 10", student_scores[[#This Row],[weekly_self_study_hours]]&lt;=20,  "11 - 20",student_scores[[#This Row],[weekly_self_study_hours]]&lt;=30, "21 - 30",TRUE, "31+")</f>
        <v>0 - 5</v>
      </c>
      <c r="U1223" t="str" cm="1">
        <f t="array" ref="U1223">_xlfn.IFS(student_scores[[#This Row],[absence_days]]=0,"0", student_scores[[#This Row],[absence_days]]&lt;=3,"1-3", student_scores[[#This Row],[absence_days]]&lt;=6,"4-6", TRUE,"7-10")</f>
        <v>4-6</v>
      </c>
      <c r="V1223" t="str">
        <f>IF(student_scores[[#This Row],[Total_Score]] &gt;= _xlfn.PERCENTILE.INC(student_scores[Total_Score], 0.8), "Yes", "No")</f>
        <v>No</v>
      </c>
    </row>
    <row r="1224" spans="1:22" x14ac:dyDescent="0.35">
      <c r="A1224">
        <v>1223</v>
      </c>
      <c r="B1224" t="s">
        <v>413</v>
      </c>
      <c r="C1224" t="s">
        <v>389</v>
      </c>
      <c r="D1224" t="s">
        <v>2155</v>
      </c>
      <c r="E1224" t="s">
        <v>20</v>
      </c>
      <c r="F1224" t="b">
        <v>0</v>
      </c>
      <c r="G1224">
        <v>4</v>
      </c>
      <c r="H1224" t="b">
        <v>1</v>
      </c>
      <c r="I1224">
        <v>30</v>
      </c>
      <c r="J1224" t="s">
        <v>113</v>
      </c>
      <c r="K1224">
        <v>92</v>
      </c>
      <c r="L1224">
        <v>90</v>
      </c>
      <c r="M1224">
        <v>92</v>
      </c>
      <c r="N1224">
        <v>78</v>
      </c>
      <c r="O1224">
        <v>59</v>
      </c>
      <c r="P1224">
        <v>68</v>
      </c>
      <c r="Q1224">
        <v>96</v>
      </c>
      <c r="R1224">
        <f>SUM(student_scores[[#This Row],[math_score]:[geography_score]])</f>
        <v>575</v>
      </c>
      <c r="S1224" s="3">
        <f>student_scores[[#This Row],[Total_Score]]/7</f>
        <v>82.142857142857139</v>
      </c>
      <c r="T1224" s="3" t="str" cm="1">
        <f t="array" ref="T1224">_xlfn.IFS(student_scores[[#This Row],[weekly_self_study_hours]]&lt;=5,   "0 - 5", student_scores[[#This Row],[weekly_self_study_hours]]&lt;=10,  "6 - 10", student_scores[[#This Row],[weekly_self_study_hours]]&lt;=20,  "11 - 20",student_scores[[#This Row],[weekly_self_study_hours]]&lt;=30, "21 - 30",TRUE, "31+")</f>
        <v>21 - 30</v>
      </c>
      <c r="U1224" t="str" cm="1">
        <f t="array" ref="U1224">_xlfn.IFS(student_scores[[#This Row],[absence_days]]=0,"0", student_scores[[#This Row],[absence_days]]&lt;=3,"1-3", student_scores[[#This Row],[absence_days]]&lt;=6,"4-6", TRUE,"7-10")</f>
        <v>4-6</v>
      </c>
      <c r="V1224" t="str">
        <f>IF(student_scores[[#This Row],[Total_Score]] &gt;= _xlfn.PERCENTILE.INC(student_scores[Total_Score], 0.8), "Yes", "No")</f>
        <v>No</v>
      </c>
    </row>
    <row r="1225" spans="1:22" x14ac:dyDescent="0.35">
      <c r="A1225">
        <v>1224</v>
      </c>
      <c r="B1225" t="s">
        <v>2132</v>
      </c>
      <c r="C1225" t="s">
        <v>2156</v>
      </c>
      <c r="D1225" t="s">
        <v>2157</v>
      </c>
      <c r="E1225" t="s">
        <v>20</v>
      </c>
      <c r="F1225" t="b">
        <v>0</v>
      </c>
      <c r="G1225">
        <v>2</v>
      </c>
      <c r="H1225" t="b">
        <v>1</v>
      </c>
      <c r="I1225">
        <v>28</v>
      </c>
      <c r="J1225" t="s">
        <v>21</v>
      </c>
      <c r="K1225">
        <v>100</v>
      </c>
      <c r="L1225">
        <v>94</v>
      </c>
      <c r="M1225">
        <v>76</v>
      </c>
      <c r="N1225">
        <v>60</v>
      </c>
      <c r="O1225">
        <v>95</v>
      </c>
      <c r="P1225">
        <v>90</v>
      </c>
      <c r="Q1225">
        <v>66</v>
      </c>
      <c r="R1225">
        <f>SUM(student_scores[[#This Row],[math_score]:[geography_score]])</f>
        <v>581</v>
      </c>
      <c r="S1225" s="3">
        <f>student_scores[[#This Row],[Total_Score]]/7</f>
        <v>83</v>
      </c>
      <c r="T1225" s="3" t="str" cm="1">
        <f t="array" ref="T1225">_xlfn.IFS(student_scores[[#This Row],[weekly_self_study_hours]]&lt;=5,   "0 - 5", student_scores[[#This Row],[weekly_self_study_hours]]&lt;=10,  "6 - 10", student_scores[[#This Row],[weekly_self_study_hours]]&lt;=20,  "11 - 20",student_scores[[#This Row],[weekly_self_study_hours]]&lt;=30, "21 - 30",TRUE, "31+")</f>
        <v>21 - 30</v>
      </c>
      <c r="U1225" t="str" cm="1">
        <f t="array" ref="U1225">_xlfn.IFS(student_scores[[#This Row],[absence_days]]=0,"0", student_scores[[#This Row],[absence_days]]&lt;=3,"1-3", student_scores[[#This Row],[absence_days]]&lt;=6,"4-6", TRUE,"7-10")</f>
        <v>1-3</v>
      </c>
      <c r="V1225" t="str">
        <f>IF(student_scores[[#This Row],[Total_Score]] &gt;= _xlfn.PERCENTILE.INC(student_scores[Total_Score], 0.8), "Yes", "No")</f>
        <v>No</v>
      </c>
    </row>
    <row r="1226" spans="1:22" x14ac:dyDescent="0.35">
      <c r="A1226">
        <v>1225</v>
      </c>
      <c r="B1226" t="s">
        <v>173</v>
      </c>
      <c r="C1226" t="s">
        <v>1406</v>
      </c>
      <c r="D1226" t="s">
        <v>2158</v>
      </c>
      <c r="E1226" t="s">
        <v>25</v>
      </c>
      <c r="F1226" t="b">
        <v>1</v>
      </c>
      <c r="G1226">
        <v>3</v>
      </c>
      <c r="H1226" t="b">
        <v>0</v>
      </c>
      <c r="I1226">
        <v>24</v>
      </c>
      <c r="J1226" t="s">
        <v>26</v>
      </c>
      <c r="K1226">
        <v>89</v>
      </c>
      <c r="L1226">
        <v>67</v>
      </c>
      <c r="M1226">
        <v>98</v>
      </c>
      <c r="N1226">
        <v>94</v>
      </c>
      <c r="O1226">
        <v>89</v>
      </c>
      <c r="P1226">
        <v>60</v>
      </c>
      <c r="Q1226">
        <v>95</v>
      </c>
      <c r="R1226">
        <f>SUM(student_scores[[#This Row],[math_score]:[geography_score]])</f>
        <v>592</v>
      </c>
      <c r="S1226" s="3">
        <f>student_scores[[#This Row],[Total_Score]]/7</f>
        <v>84.571428571428569</v>
      </c>
      <c r="T1226" s="3" t="str" cm="1">
        <f t="array" ref="T1226">_xlfn.IFS(student_scores[[#This Row],[weekly_self_study_hours]]&lt;=5,   "0 - 5", student_scores[[#This Row],[weekly_self_study_hours]]&lt;=10,  "6 - 10", student_scores[[#This Row],[weekly_self_study_hours]]&lt;=20,  "11 - 20",student_scores[[#This Row],[weekly_self_study_hours]]&lt;=30, "21 - 30",TRUE, "31+")</f>
        <v>21 - 30</v>
      </c>
      <c r="U1226" t="str" cm="1">
        <f t="array" ref="U1226">_xlfn.IFS(student_scores[[#This Row],[absence_days]]=0,"0", student_scores[[#This Row],[absence_days]]&lt;=3,"1-3", student_scores[[#This Row],[absence_days]]&lt;=6,"4-6", TRUE,"7-10")</f>
        <v>1-3</v>
      </c>
      <c r="V1226" t="str">
        <f>IF(student_scores[[#This Row],[Total_Score]] &gt;= _xlfn.PERCENTILE.INC(student_scores[Total_Score], 0.8), "Yes", "No")</f>
        <v>No</v>
      </c>
    </row>
    <row r="1227" spans="1:22" x14ac:dyDescent="0.35">
      <c r="A1227">
        <v>1226</v>
      </c>
      <c r="B1227" t="s">
        <v>230</v>
      </c>
      <c r="C1227" t="s">
        <v>782</v>
      </c>
      <c r="D1227" t="s">
        <v>2159</v>
      </c>
      <c r="E1227" t="s">
        <v>25</v>
      </c>
      <c r="F1227" t="b">
        <v>0</v>
      </c>
      <c r="G1227">
        <v>1</v>
      </c>
      <c r="H1227" t="b">
        <v>1</v>
      </c>
      <c r="I1227">
        <v>28</v>
      </c>
      <c r="J1227" t="s">
        <v>105</v>
      </c>
      <c r="K1227">
        <v>94</v>
      </c>
      <c r="L1227">
        <v>66</v>
      </c>
      <c r="M1227">
        <v>68</v>
      </c>
      <c r="N1227">
        <v>94</v>
      </c>
      <c r="O1227">
        <v>62</v>
      </c>
      <c r="P1227">
        <v>76</v>
      </c>
      <c r="Q1227">
        <v>77</v>
      </c>
      <c r="R1227">
        <f>SUM(student_scores[[#This Row],[math_score]:[geography_score]])</f>
        <v>537</v>
      </c>
      <c r="S1227" s="3">
        <f>student_scores[[#This Row],[Total_Score]]/7</f>
        <v>76.714285714285708</v>
      </c>
      <c r="T1227" s="3" t="str" cm="1">
        <f t="array" ref="T1227">_xlfn.IFS(student_scores[[#This Row],[weekly_self_study_hours]]&lt;=5,   "0 - 5", student_scores[[#This Row],[weekly_self_study_hours]]&lt;=10,  "6 - 10", student_scores[[#This Row],[weekly_self_study_hours]]&lt;=20,  "11 - 20",student_scores[[#This Row],[weekly_self_study_hours]]&lt;=30, "21 - 30",TRUE, "31+")</f>
        <v>21 - 30</v>
      </c>
      <c r="U1227" t="str" cm="1">
        <f t="array" ref="U1227">_xlfn.IFS(student_scores[[#This Row],[absence_days]]=0,"0", student_scores[[#This Row],[absence_days]]&lt;=3,"1-3", student_scores[[#This Row],[absence_days]]&lt;=6,"4-6", TRUE,"7-10")</f>
        <v>1-3</v>
      </c>
      <c r="V1227" t="str">
        <f>IF(student_scores[[#This Row],[Total_Score]] &gt;= _xlfn.PERCENTILE.INC(student_scores[Total_Score], 0.8), "Yes", "No")</f>
        <v>No</v>
      </c>
    </row>
    <row r="1228" spans="1:22" x14ac:dyDescent="0.35">
      <c r="A1228">
        <v>1227</v>
      </c>
      <c r="B1228" t="s">
        <v>160</v>
      </c>
      <c r="C1228" t="s">
        <v>2160</v>
      </c>
      <c r="D1228" t="s">
        <v>2161</v>
      </c>
      <c r="E1228" t="s">
        <v>20</v>
      </c>
      <c r="F1228" t="b">
        <v>0</v>
      </c>
      <c r="G1228">
        <v>6</v>
      </c>
      <c r="H1228" t="b">
        <v>0</v>
      </c>
      <c r="I1228">
        <v>6</v>
      </c>
      <c r="J1228" t="s">
        <v>224</v>
      </c>
      <c r="K1228">
        <v>89</v>
      </c>
      <c r="L1228">
        <v>64</v>
      </c>
      <c r="M1228">
        <v>78</v>
      </c>
      <c r="N1228">
        <v>85</v>
      </c>
      <c r="O1228">
        <v>68</v>
      </c>
      <c r="P1228">
        <v>84</v>
      </c>
      <c r="Q1228">
        <v>99</v>
      </c>
      <c r="R1228">
        <f>SUM(student_scores[[#This Row],[math_score]:[geography_score]])</f>
        <v>567</v>
      </c>
      <c r="S1228" s="3">
        <f>student_scores[[#This Row],[Total_Score]]/7</f>
        <v>81</v>
      </c>
      <c r="T1228" s="3" t="str" cm="1">
        <f t="array" ref="T1228">_xlfn.IFS(student_scores[[#This Row],[weekly_self_study_hours]]&lt;=5,   "0 - 5", student_scores[[#This Row],[weekly_self_study_hours]]&lt;=10,  "6 - 10", student_scores[[#This Row],[weekly_self_study_hours]]&lt;=20,  "11 - 20",student_scores[[#This Row],[weekly_self_study_hours]]&lt;=30, "21 - 30",TRUE, "31+")</f>
        <v>6 - 10</v>
      </c>
      <c r="U1228" t="str" cm="1">
        <f t="array" ref="U1228">_xlfn.IFS(student_scores[[#This Row],[absence_days]]=0,"0", student_scores[[#This Row],[absence_days]]&lt;=3,"1-3", student_scores[[#This Row],[absence_days]]&lt;=6,"4-6", TRUE,"7-10")</f>
        <v>4-6</v>
      </c>
      <c r="V1228" t="str">
        <f>IF(student_scores[[#This Row],[Total_Score]] &gt;= _xlfn.PERCENTILE.INC(student_scores[Total_Score], 0.8), "Yes", "No")</f>
        <v>No</v>
      </c>
    </row>
    <row r="1229" spans="1:22" x14ac:dyDescent="0.35">
      <c r="A1229">
        <v>1228</v>
      </c>
      <c r="B1229" t="s">
        <v>205</v>
      </c>
      <c r="C1229" t="s">
        <v>632</v>
      </c>
      <c r="D1229" t="s">
        <v>2162</v>
      </c>
      <c r="E1229" t="s">
        <v>25</v>
      </c>
      <c r="F1229" t="b">
        <v>1</v>
      </c>
      <c r="G1229">
        <v>9</v>
      </c>
      <c r="H1229" t="b">
        <v>1</v>
      </c>
      <c r="I1229">
        <v>5</v>
      </c>
      <c r="J1229" t="s">
        <v>64</v>
      </c>
      <c r="K1229">
        <v>74</v>
      </c>
      <c r="L1229">
        <v>79</v>
      </c>
      <c r="M1229">
        <v>82</v>
      </c>
      <c r="N1229">
        <v>51</v>
      </c>
      <c r="O1229">
        <v>67</v>
      </c>
      <c r="P1229">
        <v>65</v>
      </c>
      <c r="Q1229">
        <v>82</v>
      </c>
      <c r="R1229">
        <f>SUM(student_scores[[#This Row],[math_score]:[geography_score]])</f>
        <v>500</v>
      </c>
      <c r="S1229" s="3">
        <f>student_scores[[#This Row],[Total_Score]]/7</f>
        <v>71.428571428571431</v>
      </c>
      <c r="T1229" s="3" t="str" cm="1">
        <f t="array" ref="T1229">_xlfn.IFS(student_scores[[#This Row],[weekly_self_study_hours]]&lt;=5,   "0 - 5", student_scores[[#This Row],[weekly_self_study_hours]]&lt;=10,  "6 - 10", student_scores[[#This Row],[weekly_self_study_hours]]&lt;=20,  "11 - 20",student_scores[[#This Row],[weekly_self_study_hours]]&lt;=30, "21 - 30",TRUE, "31+")</f>
        <v>0 - 5</v>
      </c>
      <c r="U1229" t="str" cm="1">
        <f t="array" ref="U1229">_xlfn.IFS(student_scores[[#This Row],[absence_days]]=0,"0", student_scores[[#This Row],[absence_days]]&lt;=3,"1-3", student_scores[[#This Row],[absence_days]]&lt;=6,"4-6", TRUE,"7-10")</f>
        <v>7-10</v>
      </c>
      <c r="V1229" t="str">
        <f>IF(student_scores[[#This Row],[Total_Score]] &gt;= _xlfn.PERCENTILE.INC(student_scores[Total_Score], 0.8), "Yes", "No")</f>
        <v>No</v>
      </c>
    </row>
    <row r="1230" spans="1:22" x14ac:dyDescent="0.35">
      <c r="A1230">
        <v>1229</v>
      </c>
      <c r="B1230" t="s">
        <v>631</v>
      </c>
      <c r="C1230" t="s">
        <v>1711</v>
      </c>
      <c r="D1230" t="s">
        <v>2163</v>
      </c>
      <c r="E1230" t="s">
        <v>25</v>
      </c>
      <c r="F1230" t="b">
        <v>0</v>
      </c>
      <c r="G1230">
        <v>2</v>
      </c>
      <c r="H1230" t="b">
        <v>0</v>
      </c>
      <c r="I1230">
        <v>12</v>
      </c>
      <c r="J1230" t="s">
        <v>54</v>
      </c>
      <c r="K1230">
        <v>95</v>
      </c>
      <c r="L1230">
        <v>82</v>
      </c>
      <c r="M1230">
        <v>70</v>
      </c>
      <c r="N1230">
        <v>81</v>
      </c>
      <c r="O1230">
        <v>94</v>
      </c>
      <c r="P1230">
        <v>93</v>
      </c>
      <c r="Q1230">
        <v>69</v>
      </c>
      <c r="R1230">
        <f>SUM(student_scores[[#This Row],[math_score]:[geography_score]])</f>
        <v>584</v>
      </c>
      <c r="S1230" s="3">
        <f>student_scores[[#This Row],[Total_Score]]/7</f>
        <v>83.428571428571431</v>
      </c>
      <c r="T1230" s="3" t="str" cm="1">
        <f t="array" ref="T1230">_xlfn.IFS(student_scores[[#This Row],[weekly_self_study_hours]]&lt;=5,   "0 - 5", student_scores[[#This Row],[weekly_self_study_hours]]&lt;=10,  "6 - 10", student_scores[[#This Row],[weekly_self_study_hours]]&lt;=20,  "11 - 20",student_scores[[#This Row],[weekly_self_study_hours]]&lt;=30, "21 - 30",TRUE, "31+")</f>
        <v>11 - 20</v>
      </c>
      <c r="U1230" t="str" cm="1">
        <f t="array" ref="U1230">_xlfn.IFS(student_scores[[#This Row],[absence_days]]=0,"0", student_scores[[#This Row],[absence_days]]&lt;=3,"1-3", student_scores[[#This Row],[absence_days]]&lt;=6,"4-6", TRUE,"7-10")</f>
        <v>1-3</v>
      </c>
      <c r="V1230" t="str">
        <f>IF(student_scores[[#This Row],[Total_Score]] &gt;= _xlfn.PERCENTILE.INC(student_scores[Total_Score], 0.8), "Yes", "No")</f>
        <v>No</v>
      </c>
    </row>
    <row r="1231" spans="1:22" x14ac:dyDescent="0.35">
      <c r="A1231">
        <v>1230</v>
      </c>
      <c r="B1231" t="s">
        <v>1171</v>
      </c>
      <c r="C1231" t="s">
        <v>1522</v>
      </c>
      <c r="D1231" t="s">
        <v>2164</v>
      </c>
      <c r="E1231" t="s">
        <v>20</v>
      </c>
      <c r="F1231" t="b">
        <v>0</v>
      </c>
      <c r="G1231">
        <v>7</v>
      </c>
      <c r="H1231" t="b">
        <v>0</v>
      </c>
      <c r="I1231">
        <v>3</v>
      </c>
      <c r="J1231" t="s">
        <v>38</v>
      </c>
      <c r="K1231">
        <v>93</v>
      </c>
      <c r="L1231">
        <v>74</v>
      </c>
      <c r="M1231">
        <v>98</v>
      </c>
      <c r="N1231">
        <v>100</v>
      </c>
      <c r="O1231">
        <v>62</v>
      </c>
      <c r="P1231">
        <v>83</v>
      </c>
      <c r="Q1231">
        <v>87</v>
      </c>
      <c r="R1231">
        <f>SUM(student_scores[[#This Row],[math_score]:[geography_score]])</f>
        <v>597</v>
      </c>
      <c r="S1231" s="3">
        <f>student_scores[[#This Row],[Total_Score]]/7</f>
        <v>85.285714285714292</v>
      </c>
      <c r="T1231" s="3" t="str" cm="1">
        <f t="array" ref="T1231">_xlfn.IFS(student_scores[[#This Row],[weekly_self_study_hours]]&lt;=5,   "0 - 5", student_scores[[#This Row],[weekly_self_study_hours]]&lt;=10,  "6 - 10", student_scores[[#This Row],[weekly_self_study_hours]]&lt;=20,  "11 - 20",student_scores[[#This Row],[weekly_self_study_hours]]&lt;=30, "21 - 30",TRUE, "31+")</f>
        <v>0 - 5</v>
      </c>
      <c r="U1231" t="str" cm="1">
        <f t="array" ref="U1231">_xlfn.IFS(student_scores[[#This Row],[absence_days]]=0,"0", student_scores[[#This Row],[absence_days]]&lt;=3,"1-3", student_scores[[#This Row],[absence_days]]&lt;=6,"4-6", TRUE,"7-10")</f>
        <v>7-10</v>
      </c>
      <c r="V1231" t="str">
        <f>IF(student_scores[[#This Row],[Total_Score]] &gt;= _xlfn.PERCENTILE.INC(student_scores[Total_Score], 0.8), "Yes", "No")</f>
        <v>No</v>
      </c>
    </row>
    <row r="1232" spans="1:22" x14ac:dyDescent="0.35">
      <c r="A1232">
        <v>1231</v>
      </c>
      <c r="B1232" t="s">
        <v>498</v>
      </c>
      <c r="C1232" t="s">
        <v>2165</v>
      </c>
      <c r="D1232" t="s">
        <v>2166</v>
      </c>
      <c r="E1232" t="s">
        <v>25</v>
      </c>
      <c r="F1232" t="b">
        <v>0</v>
      </c>
      <c r="G1232">
        <v>4</v>
      </c>
      <c r="H1232" t="b">
        <v>0</v>
      </c>
      <c r="I1232">
        <v>26</v>
      </c>
      <c r="J1232" t="s">
        <v>21</v>
      </c>
      <c r="K1232">
        <v>94</v>
      </c>
      <c r="L1232">
        <v>91</v>
      </c>
      <c r="M1232">
        <v>98</v>
      </c>
      <c r="N1232">
        <v>94</v>
      </c>
      <c r="O1232">
        <v>88</v>
      </c>
      <c r="P1232">
        <v>97</v>
      </c>
      <c r="Q1232">
        <v>94</v>
      </c>
      <c r="R1232">
        <f>SUM(student_scores[[#This Row],[math_score]:[geography_score]])</f>
        <v>656</v>
      </c>
      <c r="S1232" s="3">
        <f>student_scores[[#This Row],[Total_Score]]/7</f>
        <v>93.714285714285708</v>
      </c>
      <c r="T1232" s="3" t="str" cm="1">
        <f t="array" ref="T1232">_xlfn.IFS(student_scores[[#This Row],[weekly_self_study_hours]]&lt;=5,   "0 - 5", student_scores[[#This Row],[weekly_self_study_hours]]&lt;=10,  "6 - 10", student_scores[[#This Row],[weekly_self_study_hours]]&lt;=20,  "11 - 20",student_scores[[#This Row],[weekly_self_study_hours]]&lt;=30, "21 - 30",TRUE, "31+")</f>
        <v>21 - 30</v>
      </c>
      <c r="U1232" t="str" cm="1">
        <f t="array" ref="U1232">_xlfn.IFS(student_scores[[#This Row],[absence_days]]=0,"0", student_scores[[#This Row],[absence_days]]&lt;=3,"1-3", student_scores[[#This Row],[absence_days]]&lt;=6,"4-6", TRUE,"7-10")</f>
        <v>4-6</v>
      </c>
      <c r="V1232" t="str">
        <f>IF(student_scores[[#This Row],[Total_Score]] &gt;= _xlfn.PERCENTILE.INC(student_scores[Total_Score], 0.8), "Yes", "No")</f>
        <v>Yes</v>
      </c>
    </row>
    <row r="1233" spans="1:22" x14ac:dyDescent="0.35">
      <c r="A1233">
        <v>1232</v>
      </c>
      <c r="B1233" t="s">
        <v>2167</v>
      </c>
      <c r="C1233" t="s">
        <v>2168</v>
      </c>
      <c r="D1233" t="s">
        <v>2169</v>
      </c>
      <c r="E1233" t="s">
        <v>25</v>
      </c>
      <c r="F1233" t="b">
        <v>0</v>
      </c>
      <c r="G1233">
        <v>4</v>
      </c>
      <c r="H1233" t="b">
        <v>0</v>
      </c>
      <c r="I1233">
        <v>18</v>
      </c>
      <c r="J1233" t="s">
        <v>113</v>
      </c>
      <c r="K1233">
        <v>85</v>
      </c>
      <c r="L1233">
        <v>80</v>
      </c>
      <c r="M1233">
        <v>84</v>
      </c>
      <c r="N1233">
        <v>96</v>
      </c>
      <c r="O1233">
        <v>45</v>
      </c>
      <c r="P1233">
        <v>84</v>
      </c>
      <c r="Q1233">
        <v>90</v>
      </c>
      <c r="R1233">
        <f>SUM(student_scores[[#This Row],[math_score]:[geography_score]])</f>
        <v>564</v>
      </c>
      <c r="S1233" s="3">
        <f>student_scores[[#This Row],[Total_Score]]/7</f>
        <v>80.571428571428569</v>
      </c>
      <c r="T1233" s="3" t="str" cm="1">
        <f t="array" ref="T1233">_xlfn.IFS(student_scores[[#This Row],[weekly_self_study_hours]]&lt;=5,   "0 - 5", student_scores[[#This Row],[weekly_self_study_hours]]&lt;=10,  "6 - 10", student_scores[[#This Row],[weekly_self_study_hours]]&lt;=20,  "11 - 20",student_scores[[#This Row],[weekly_self_study_hours]]&lt;=30, "21 - 30",TRUE, "31+")</f>
        <v>11 - 20</v>
      </c>
      <c r="U1233" t="str" cm="1">
        <f t="array" ref="U1233">_xlfn.IFS(student_scores[[#This Row],[absence_days]]=0,"0", student_scores[[#This Row],[absence_days]]&lt;=3,"1-3", student_scores[[#This Row],[absence_days]]&lt;=6,"4-6", TRUE,"7-10")</f>
        <v>4-6</v>
      </c>
      <c r="V1233" t="str">
        <f>IF(student_scores[[#This Row],[Total_Score]] &gt;= _xlfn.PERCENTILE.INC(student_scores[Total_Score], 0.8), "Yes", "No")</f>
        <v>No</v>
      </c>
    </row>
    <row r="1234" spans="1:22" x14ac:dyDescent="0.35">
      <c r="A1234">
        <v>1233</v>
      </c>
      <c r="B1234" t="s">
        <v>2170</v>
      </c>
      <c r="C1234" t="s">
        <v>2171</v>
      </c>
      <c r="D1234" t="s">
        <v>2172</v>
      </c>
      <c r="E1234" t="s">
        <v>25</v>
      </c>
      <c r="F1234" t="b">
        <v>0</v>
      </c>
      <c r="G1234">
        <v>5</v>
      </c>
      <c r="H1234" t="b">
        <v>0</v>
      </c>
      <c r="I1234">
        <v>31</v>
      </c>
      <c r="J1234" t="s">
        <v>113</v>
      </c>
      <c r="K1234">
        <v>94</v>
      </c>
      <c r="L1234">
        <v>98</v>
      </c>
      <c r="M1234">
        <v>74</v>
      </c>
      <c r="N1234">
        <v>94</v>
      </c>
      <c r="O1234">
        <v>35</v>
      </c>
      <c r="P1234">
        <v>95</v>
      </c>
      <c r="Q1234">
        <v>80</v>
      </c>
      <c r="R1234">
        <f>SUM(student_scores[[#This Row],[math_score]:[geography_score]])</f>
        <v>570</v>
      </c>
      <c r="S1234" s="3">
        <f>student_scores[[#This Row],[Total_Score]]/7</f>
        <v>81.428571428571431</v>
      </c>
      <c r="T1234" s="3" t="str" cm="1">
        <f t="array" ref="T1234">_xlfn.IFS(student_scores[[#This Row],[weekly_self_study_hours]]&lt;=5,   "0 - 5", student_scores[[#This Row],[weekly_self_study_hours]]&lt;=10,  "6 - 10", student_scores[[#This Row],[weekly_self_study_hours]]&lt;=20,  "11 - 20",student_scores[[#This Row],[weekly_self_study_hours]]&lt;=30, "21 - 30",TRUE, "31+")</f>
        <v>31+</v>
      </c>
      <c r="U1234" t="str" cm="1">
        <f t="array" ref="U1234">_xlfn.IFS(student_scores[[#This Row],[absence_days]]=0,"0", student_scores[[#This Row],[absence_days]]&lt;=3,"1-3", student_scores[[#This Row],[absence_days]]&lt;=6,"4-6", TRUE,"7-10")</f>
        <v>4-6</v>
      </c>
      <c r="V1234" t="str">
        <f>IF(student_scores[[#This Row],[Total_Score]] &gt;= _xlfn.PERCENTILE.INC(student_scores[Total_Score], 0.8), "Yes", "No")</f>
        <v>No</v>
      </c>
    </row>
    <row r="1235" spans="1:22" x14ac:dyDescent="0.35">
      <c r="A1235">
        <v>1234</v>
      </c>
      <c r="B1235" t="s">
        <v>1957</v>
      </c>
      <c r="C1235" t="s">
        <v>2173</v>
      </c>
      <c r="D1235" t="s">
        <v>2174</v>
      </c>
      <c r="E1235" t="s">
        <v>25</v>
      </c>
      <c r="F1235" t="b">
        <v>0</v>
      </c>
      <c r="G1235">
        <v>1</v>
      </c>
      <c r="H1235" t="b">
        <v>0</v>
      </c>
      <c r="I1235">
        <v>17</v>
      </c>
      <c r="J1235" t="s">
        <v>54</v>
      </c>
      <c r="K1235">
        <v>95</v>
      </c>
      <c r="L1235">
        <v>88</v>
      </c>
      <c r="M1235">
        <v>85</v>
      </c>
      <c r="N1235">
        <v>66</v>
      </c>
      <c r="O1235">
        <v>70</v>
      </c>
      <c r="P1235">
        <v>72</v>
      </c>
      <c r="Q1235">
        <v>97</v>
      </c>
      <c r="R1235">
        <f>SUM(student_scores[[#This Row],[math_score]:[geography_score]])</f>
        <v>573</v>
      </c>
      <c r="S1235" s="3">
        <f>student_scores[[#This Row],[Total_Score]]/7</f>
        <v>81.857142857142861</v>
      </c>
      <c r="T1235" s="3" t="str" cm="1">
        <f t="array" ref="T1235">_xlfn.IFS(student_scores[[#This Row],[weekly_self_study_hours]]&lt;=5,   "0 - 5", student_scores[[#This Row],[weekly_self_study_hours]]&lt;=10,  "6 - 10", student_scores[[#This Row],[weekly_self_study_hours]]&lt;=20,  "11 - 20",student_scores[[#This Row],[weekly_self_study_hours]]&lt;=30, "21 - 30",TRUE, "31+")</f>
        <v>11 - 20</v>
      </c>
      <c r="U1235" t="str" cm="1">
        <f t="array" ref="U1235">_xlfn.IFS(student_scores[[#This Row],[absence_days]]=0,"0", student_scores[[#This Row],[absence_days]]&lt;=3,"1-3", student_scores[[#This Row],[absence_days]]&lt;=6,"4-6", TRUE,"7-10")</f>
        <v>1-3</v>
      </c>
      <c r="V1235" t="str">
        <f>IF(student_scores[[#This Row],[Total_Score]] &gt;= _xlfn.PERCENTILE.INC(student_scores[Total_Score], 0.8), "Yes", "No")</f>
        <v>No</v>
      </c>
    </row>
    <row r="1236" spans="1:22" x14ac:dyDescent="0.35">
      <c r="A1236">
        <v>1235</v>
      </c>
      <c r="B1236" t="s">
        <v>1503</v>
      </c>
      <c r="C1236" t="s">
        <v>2175</v>
      </c>
      <c r="D1236" t="s">
        <v>2176</v>
      </c>
      <c r="E1236" t="s">
        <v>25</v>
      </c>
      <c r="F1236" t="b">
        <v>0</v>
      </c>
      <c r="G1236">
        <v>2</v>
      </c>
      <c r="H1236" t="b">
        <v>1</v>
      </c>
      <c r="I1236">
        <v>23</v>
      </c>
      <c r="J1236" t="s">
        <v>44</v>
      </c>
      <c r="K1236">
        <v>97</v>
      </c>
      <c r="L1236">
        <v>82</v>
      </c>
      <c r="M1236">
        <v>100</v>
      </c>
      <c r="N1236">
        <v>69</v>
      </c>
      <c r="O1236">
        <v>64</v>
      </c>
      <c r="P1236">
        <v>73</v>
      </c>
      <c r="Q1236">
        <v>88</v>
      </c>
      <c r="R1236">
        <f>SUM(student_scores[[#This Row],[math_score]:[geography_score]])</f>
        <v>573</v>
      </c>
      <c r="S1236" s="3">
        <f>student_scores[[#This Row],[Total_Score]]/7</f>
        <v>81.857142857142861</v>
      </c>
      <c r="T1236" s="3" t="str" cm="1">
        <f t="array" ref="T1236">_xlfn.IFS(student_scores[[#This Row],[weekly_self_study_hours]]&lt;=5,   "0 - 5", student_scores[[#This Row],[weekly_self_study_hours]]&lt;=10,  "6 - 10", student_scores[[#This Row],[weekly_self_study_hours]]&lt;=20,  "11 - 20",student_scores[[#This Row],[weekly_self_study_hours]]&lt;=30, "21 - 30",TRUE, "31+")</f>
        <v>21 - 30</v>
      </c>
      <c r="U1236" t="str" cm="1">
        <f t="array" ref="U1236">_xlfn.IFS(student_scores[[#This Row],[absence_days]]=0,"0", student_scores[[#This Row],[absence_days]]&lt;=3,"1-3", student_scores[[#This Row],[absence_days]]&lt;=6,"4-6", TRUE,"7-10")</f>
        <v>1-3</v>
      </c>
      <c r="V1236" t="str">
        <f>IF(student_scores[[#This Row],[Total_Score]] &gt;= _xlfn.PERCENTILE.INC(student_scores[Total_Score], 0.8), "Yes", "No")</f>
        <v>No</v>
      </c>
    </row>
    <row r="1237" spans="1:22" x14ac:dyDescent="0.35">
      <c r="A1237">
        <v>1236</v>
      </c>
      <c r="B1237" t="s">
        <v>208</v>
      </c>
      <c r="C1237" t="s">
        <v>2177</v>
      </c>
      <c r="D1237" t="s">
        <v>2178</v>
      </c>
      <c r="E1237" t="s">
        <v>20</v>
      </c>
      <c r="F1237" t="b">
        <v>0</v>
      </c>
      <c r="G1237">
        <v>0</v>
      </c>
      <c r="H1237" t="b">
        <v>0</v>
      </c>
      <c r="I1237">
        <v>17</v>
      </c>
      <c r="J1237" t="s">
        <v>123</v>
      </c>
      <c r="K1237">
        <v>100</v>
      </c>
      <c r="L1237">
        <v>83</v>
      </c>
      <c r="M1237">
        <v>67</v>
      </c>
      <c r="N1237">
        <v>77</v>
      </c>
      <c r="O1237">
        <v>88</v>
      </c>
      <c r="P1237">
        <v>76</v>
      </c>
      <c r="Q1237">
        <v>84</v>
      </c>
      <c r="R1237">
        <f>SUM(student_scores[[#This Row],[math_score]:[geography_score]])</f>
        <v>575</v>
      </c>
      <c r="S1237" s="3">
        <f>student_scores[[#This Row],[Total_Score]]/7</f>
        <v>82.142857142857139</v>
      </c>
      <c r="T1237" s="3" t="str" cm="1">
        <f t="array" ref="T1237">_xlfn.IFS(student_scores[[#This Row],[weekly_self_study_hours]]&lt;=5,   "0 - 5", student_scores[[#This Row],[weekly_self_study_hours]]&lt;=10,  "6 - 10", student_scores[[#This Row],[weekly_self_study_hours]]&lt;=20,  "11 - 20",student_scores[[#This Row],[weekly_self_study_hours]]&lt;=30, "21 - 30",TRUE, "31+")</f>
        <v>11 - 20</v>
      </c>
      <c r="U1237" t="str" cm="1">
        <f t="array" ref="U1237">_xlfn.IFS(student_scores[[#This Row],[absence_days]]=0,"0", student_scores[[#This Row],[absence_days]]&lt;=3,"1-3", student_scores[[#This Row],[absence_days]]&lt;=6,"4-6", TRUE,"7-10")</f>
        <v>0</v>
      </c>
      <c r="V1237" t="str">
        <f>IF(student_scores[[#This Row],[Total_Score]] &gt;= _xlfn.PERCENTILE.INC(student_scores[Total_Score], 0.8), "Yes", "No")</f>
        <v>No</v>
      </c>
    </row>
    <row r="1238" spans="1:22" x14ac:dyDescent="0.35">
      <c r="A1238">
        <v>1237</v>
      </c>
      <c r="B1238" t="s">
        <v>473</v>
      </c>
      <c r="C1238" t="s">
        <v>1601</v>
      </c>
      <c r="D1238" t="s">
        <v>2179</v>
      </c>
      <c r="E1238" t="s">
        <v>20</v>
      </c>
      <c r="F1238" t="b">
        <v>0</v>
      </c>
      <c r="G1238">
        <v>4</v>
      </c>
      <c r="H1238" t="b">
        <v>0</v>
      </c>
      <c r="I1238">
        <v>29</v>
      </c>
      <c r="J1238" t="s">
        <v>26</v>
      </c>
      <c r="K1238">
        <v>99</v>
      </c>
      <c r="L1238">
        <v>65</v>
      </c>
      <c r="M1238">
        <v>97</v>
      </c>
      <c r="N1238">
        <v>89</v>
      </c>
      <c r="O1238">
        <v>87</v>
      </c>
      <c r="P1238">
        <v>72</v>
      </c>
      <c r="Q1238">
        <v>86</v>
      </c>
      <c r="R1238">
        <f>SUM(student_scores[[#This Row],[math_score]:[geography_score]])</f>
        <v>595</v>
      </c>
      <c r="S1238" s="3">
        <f>student_scores[[#This Row],[Total_Score]]/7</f>
        <v>85</v>
      </c>
      <c r="T1238" s="3" t="str" cm="1">
        <f t="array" ref="T1238">_xlfn.IFS(student_scores[[#This Row],[weekly_self_study_hours]]&lt;=5,   "0 - 5", student_scores[[#This Row],[weekly_self_study_hours]]&lt;=10,  "6 - 10", student_scores[[#This Row],[weekly_self_study_hours]]&lt;=20,  "11 - 20",student_scores[[#This Row],[weekly_self_study_hours]]&lt;=30, "21 - 30",TRUE, "31+")</f>
        <v>21 - 30</v>
      </c>
      <c r="U1238" t="str" cm="1">
        <f t="array" ref="U1238">_xlfn.IFS(student_scores[[#This Row],[absence_days]]=0,"0", student_scores[[#This Row],[absence_days]]&lt;=3,"1-3", student_scores[[#This Row],[absence_days]]&lt;=6,"4-6", TRUE,"7-10")</f>
        <v>4-6</v>
      </c>
      <c r="V1238" t="str">
        <f>IF(student_scores[[#This Row],[Total_Score]] &gt;= _xlfn.PERCENTILE.INC(student_scores[Total_Score], 0.8), "Yes", "No")</f>
        <v>No</v>
      </c>
    </row>
    <row r="1239" spans="1:22" x14ac:dyDescent="0.35">
      <c r="A1239">
        <v>1238</v>
      </c>
      <c r="B1239" t="s">
        <v>731</v>
      </c>
      <c r="C1239" t="s">
        <v>2180</v>
      </c>
      <c r="D1239" t="s">
        <v>2181</v>
      </c>
      <c r="E1239" t="s">
        <v>25</v>
      </c>
      <c r="F1239" t="b">
        <v>0</v>
      </c>
      <c r="G1239">
        <v>0</v>
      </c>
      <c r="H1239" t="b">
        <v>0</v>
      </c>
      <c r="I1239">
        <v>13</v>
      </c>
      <c r="J1239" t="s">
        <v>123</v>
      </c>
      <c r="K1239">
        <v>97</v>
      </c>
      <c r="L1239">
        <v>67</v>
      </c>
      <c r="M1239">
        <v>79</v>
      </c>
      <c r="N1239">
        <v>76</v>
      </c>
      <c r="O1239">
        <v>76</v>
      </c>
      <c r="P1239">
        <v>66</v>
      </c>
      <c r="Q1239">
        <v>97</v>
      </c>
      <c r="R1239">
        <f>SUM(student_scores[[#This Row],[math_score]:[geography_score]])</f>
        <v>558</v>
      </c>
      <c r="S1239" s="3">
        <f>student_scores[[#This Row],[Total_Score]]/7</f>
        <v>79.714285714285708</v>
      </c>
      <c r="T1239" s="3" t="str" cm="1">
        <f t="array" ref="T1239">_xlfn.IFS(student_scores[[#This Row],[weekly_self_study_hours]]&lt;=5,   "0 - 5", student_scores[[#This Row],[weekly_self_study_hours]]&lt;=10,  "6 - 10", student_scores[[#This Row],[weekly_self_study_hours]]&lt;=20,  "11 - 20",student_scores[[#This Row],[weekly_self_study_hours]]&lt;=30, "21 - 30",TRUE, "31+")</f>
        <v>11 - 20</v>
      </c>
      <c r="U1239" t="str" cm="1">
        <f t="array" ref="U1239">_xlfn.IFS(student_scores[[#This Row],[absence_days]]=0,"0", student_scores[[#This Row],[absence_days]]&lt;=3,"1-3", student_scores[[#This Row],[absence_days]]&lt;=6,"4-6", TRUE,"7-10")</f>
        <v>0</v>
      </c>
      <c r="V1239" t="str">
        <f>IF(student_scores[[#This Row],[Total_Score]] &gt;= _xlfn.PERCENTILE.INC(student_scores[Total_Score], 0.8), "Yes", "No")</f>
        <v>No</v>
      </c>
    </row>
    <row r="1240" spans="1:22" x14ac:dyDescent="0.35">
      <c r="A1240">
        <v>1239</v>
      </c>
      <c r="B1240" t="s">
        <v>816</v>
      </c>
      <c r="C1240" t="s">
        <v>684</v>
      </c>
      <c r="D1240" t="s">
        <v>2182</v>
      </c>
      <c r="E1240" t="s">
        <v>25</v>
      </c>
      <c r="F1240" t="b">
        <v>1</v>
      </c>
      <c r="G1240">
        <v>10</v>
      </c>
      <c r="H1240" t="b">
        <v>1</v>
      </c>
      <c r="I1240">
        <v>2</v>
      </c>
      <c r="J1240" t="s">
        <v>64</v>
      </c>
      <c r="K1240">
        <v>53</v>
      </c>
      <c r="L1240">
        <v>98</v>
      </c>
      <c r="M1240">
        <v>66</v>
      </c>
      <c r="N1240">
        <v>80</v>
      </c>
      <c r="O1240">
        <v>82</v>
      </c>
      <c r="P1240">
        <v>89</v>
      </c>
      <c r="Q1240">
        <v>85</v>
      </c>
      <c r="R1240">
        <f>SUM(student_scores[[#This Row],[math_score]:[geography_score]])</f>
        <v>553</v>
      </c>
      <c r="S1240" s="3">
        <f>student_scores[[#This Row],[Total_Score]]/7</f>
        <v>79</v>
      </c>
      <c r="T1240" s="3" t="str" cm="1">
        <f t="array" ref="T1240">_xlfn.IFS(student_scores[[#This Row],[weekly_self_study_hours]]&lt;=5,   "0 - 5", student_scores[[#This Row],[weekly_self_study_hours]]&lt;=10,  "6 - 10", student_scores[[#This Row],[weekly_self_study_hours]]&lt;=20,  "11 - 20",student_scores[[#This Row],[weekly_self_study_hours]]&lt;=30, "21 - 30",TRUE, "31+")</f>
        <v>0 - 5</v>
      </c>
      <c r="U1240" t="str" cm="1">
        <f t="array" ref="U1240">_xlfn.IFS(student_scores[[#This Row],[absence_days]]=0,"0", student_scores[[#This Row],[absence_days]]&lt;=3,"1-3", student_scores[[#This Row],[absence_days]]&lt;=6,"4-6", TRUE,"7-10")</f>
        <v>7-10</v>
      </c>
      <c r="V1240" t="str">
        <f>IF(student_scores[[#This Row],[Total_Score]] &gt;= _xlfn.PERCENTILE.INC(student_scores[Total_Score], 0.8), "Yes", "No")</f>
        <v>No</v>
      </c>
    </row>
    <row r="1241" spans="1:22" x14ac:dyDescent="0.35">
      <c r="A1241">
        <v>1240</v>
      </c>
      <c r="B1241" t="s">
        <v>2183</v>
      </c>
      <c r="C1241" t="s">
        <v>809</v>
      </c>
      <c r="D1241" t="s">
        <v>2184</v>
      </c>
      <c r="E1241" t="s">
        <v>25</v>
      </c>
      <c r="F1241" t="b">
        <v>0</v>
      </c>
      <c r="G1241">
        <v>3</v>
      </c>
      <c r="H1241" t="b">
        <v>0</v>
      </c>
      <c r="I1241">
        <v>35</v>
      </c>
      <c r="J1241" t="s">
        <v>38</v>
      </c>
      <c r="K1241">
        <v>99</v>
      </c>
      <c r="L1241">
        <v>85</v>
      </c>
      <c r="M1241">
        <v>98</v>
      </c>
      <c r="N1241">
        <v>91</v>
      </c>
      <c r="O1241">
        <v>86</v>
      </c>
      <c r="P1241">
        <v>97</v>
      </c>
      <c r="Q1241">
        <v>85</v>
      </c>
      <c r="R1241">
        <f>SUM(student_scores[[#This Row],[math_score]:[geography_score]])</f>
        <v>641</v>
      </c>
      <c r="S1241" s="3">
        <f>student_scores[[#This Row],[Total_Score]]/7</f>
        <v>91.571428571428569</v>
      </c>
      <c r="T1241" s="3" t="str" cm="1">
        <f t="array" ref="T1241">_xlfn.IFS(student_scores[[#This Row],[weekly_self_study_hours]]&lt;=5,   "0 - 5", student_scores[[#This Row],[weekly_self_study_hours]]&lt;=10,  "6 - 10", student_scores[[#This Row],[weekly_self_study_hours]]&lt;=20,  "11 - 20",student_scores[[#This Row],[weekly_self_study_hours]]&lt;=30, "21 - 30",TRUE, "31+")</f>
        <v>31+</v>
      </c>
      <c r="U1241" t="str" cm="1">
        <f t="array" ref="U1241">_xlfn.IFS(student_scores[[#This Row],[absence_days]]=0,"0", student_scores[[#This Row],[absence_days]]&lt;=3,"1-3", student_scores[[#This Row],[absence_days]]&lt;=6,"4-6", TRUE,"7-10")</f>
        <v>1-3</v>
      </c>
      <c r="V1241" t="str">
        <f>IF(student_scores[[#This Row],[Total_Score]] &gt;= _xlfn.PERCENTILE.INC(student_scores[Total_Score], 0.8), "Yes", "No")</f>
        <v>Yes</v>
      </c>
    </row>
    <row r="1242" spans="1:22" x14ac:dyDescent="0.35">
      <c r="A1242">
        <v>1241</v>
      </c>
      <c r="B1242" t="s">
        <v>480</v>
      </c>
      <c r="C1242" t="s">
        <v>515</v>
      </c>
      <c r="D1242" t="s">
        <v>2185</v>
      </c>
      <c r="E1242" t="s">
        <v>25</v>
      </c>
      <c r="F1242" t="b">
        <v>0</v>
      </c>
      <c r="G1242">
        <v>5</v>
      </c>
      <c r="H1242" t="b">
        <v>0</v>
      </c>
      <c r="I1242">
        <v>35</v>
      </c>
      <c r="J1242" t="s">
        <v>123</v>
      </c>
      <c r="K1242">
        <v>99</v>
      </c>
      <c r="L1242">
        <v>89</v>
      </c>
      <c r="M1242">
        <v>88</v>
      </c>
      <c r="N1242">
        <v>94</v>
      </c>
      <c r="O1242">
        <v>99</v>
      </c>
      <c r="P1242">
        <v>89</v>
      </c>
      <c r="Q1242">
        <v>92</v>
      </c>
      <c r="R1242">
        <f>SUM(student_scores[[#This Row],[math_score]:[geography_score]])</f>
        <v>650</v>
      </c>
      <c r="S1242" s="3">
        <f>student_scores[[#This Row],[Total_Score]]/7</f>
        <v>92.857142857142861</v>
      </c>
      <c r="T1242" s="3" t="str" cm="1">
        <f t="array" ref="T1242">_xlfn.IFS(student_scores[[#This Row],[weekly_self_study_hours]]&lt;=5,   "0 - 5", student_scores[[#This Row],[weekly_self_study_hours]]&lt;=10,  "6 - 10", student_scores[[#This Row],[weekly_self_study_hours]]&lt;=20,  "11 - 20",student_scores[[#This Row],[weekly_self_study_hours]]&lt;=30, "21 - 30",TRUE, "31+")</f>
        <v>31+</v>
      </c>
      <c r="U1242" t="str" cm="1">
        <f t="array" ref="U1242">_xlfn.IFS(student_scores[[#This Row],[absence_days]]=0,"0", student_scores[[#This Row],[absence_days]]&lt;=3,"1-3", student_scores[[#This Row],[absence_days]]&lt;=6,"4-6", TRUE,"7-10")</f>
        <v>4-6</v>
      </c>
      <c r="V1242" t="str">
        <f>IF(student_scores[[#This Row],[Total_Score]] &gt;= _xlfn.PERCENTILE.INC(student_scores[Total_Score], 0.8), "Yes", "No")</f>
        <v>Yes</v>
      </c>
    </row>
    <row r="1243" spans="1:22" x14ac:dyDescent="0.35">
      <c r="A1243">
        <v>1242</v>
      </c>
      <c r="B1243" t="s">
        <v>277</v>
      </c>
      <c r="C1243" t="s">
        <v>2022</v>
      </c>
      <c r="D1243" t="s">
        <v>2186</v>
      </c>
      <c r="E1243" t="s">
        <v>20</v>
      </c>
      <c r="F1243" t="b">
        <v>0</v>
      </c>
      <c r="G1243">
        <v>3</v>
      </c>
      <c r="H1243" t="b">
        <v>0</v>
      </c>
      <c r="I1243">
        <v>28</v>
      </c>
      <c r="J1243" t="s">
        <v>113</v>
      </c>
      <c r="K1243">
        <v>79</v>
      </c>
      <c r="L1243">
        <v>83</v>
      </c>
      <c r="M1243">
        <v>78</v>
      </c>
      <c r="N1243">
        <v>89</v>
      </c>
      <c r="O1243">
        <v>83</v>
      </c>
      <c r="P1243">
        <v>79</v>
      </c>
      <c r="Q1243">
        <v>76</v>
      </c>
      <c r="R1243">
        <f>SUM(student_scores[[#This Row],[math_score]:[geography_score]])</f>
        <v>567</v>
      </c>
      <c r="S1243" s="3">
        <f>student_scores[[#This Row],[Total_Score]]/7</f>
        <v>81</v>
      </c>
      <c r="T1243" s="3" t="str" cm="1">
        <f t="array" ref="T1243">_xlfn.IFS(student_scores[[#This Row],[weekly_self_study_hours]]&lt;=5,   "0 - 5", student_scores[[#This Row],[weekly_self_study_hours]]&lt;=10,  "6 - 10", student_scores[[#This Row],[weekly_self_study_hours]]&lt;=20,  "11 - 20",student_scores[[#This Row],[weekly_self_study_hours]]&lt;=30, "21 - 30",TRUE, "31+")</f>
        <v>21 - 30</v>
      </c>
      <c r="U1243" t="str" cm="1">
        <f t="array" ref="U1243">_xlfn.IFS(student_scores[[#This Row],[absence_days]]=0,"0", student_scores[[#This Row],[absence_days]]&lt;=3,"1-3", student_scores[[#This Row],[absence_days]]&lt;=6,"4-6", TRUE,"7-10")</f>
        <v>1-3</v>
      </c>
      <c r="V1243" t="str">
        <f>IF(student_scores[[#This Row],[Total_Score]] &gt;= _xlfn.PERCENTILE.INC(student_scores[Total_Score], 0.8), "Yes", "No")</f>
        <v>No</v>
      </c>
    </row>
    <row r="1244" spans="1:22" x14ac:dyDescent="0.35">
      <c r="A1244">
        <v>1243</v>
      </c>
      <c r="B1244" t="s">
        <v>145</v>
      </c>
      <c r="C1244" t="s">
        <v>2187</v>
      </c>
      <c r="D1244" t="s">
        <v>2188</v>
      </c>
      <c r="E1244" t="s">
        <v>20</v>
      </c>
      <c r="F1244" t="b">
        <v>1</v>
      </c>
      <c r="G1244">
        <v>6</v>
      </c>
      <c r="H1244" t="b">
        <v>1</v>
      </c>
      <c r="I1244">
        <v>2</v>
      </c>
      <c r="J1244" t="s">
        <v>64</v>
      </c>
      <c r="K1244">
        <v>94</v>
      </c>
      <c r="L1244">
        <v>95</v>
      </c>
      <c r="M1244">
        <v>75</v>
      </c>
      <c r="N1244">
        <v>73</v>
      </c>
      <c r="O1244">
        <v>51</v>
      </c>
      <c r="P1244">
        <v>89</v>
      </c>
      <c r="Q1244">
        <v>77</v>
      </c>
      <c r="R1244">
        <f>SUM(student_scores[[#This Row],[math_score]:[geography_score]])</f>
        <v>554</v>
      </c>
      <c r="S1244" s="3">
        <f>student_scores[[#This Row],[Total_Score]]/7</f>
        <v>79.142857142857139</v>
      </c>
      <c r="T1244" s="3" t="str" cm="1">
        <f t="array" ref="T1244">_xlfn.IFS(student_scores[[#This Row],[weekly_self_study_hours]]&lt;=5,   "0 - 5", student_scores[[#This Row],[weekly_self_study_hours]]&lt;=10,  "6 - 10", student_scores[[#This Row],[weekly_self_study_hours]]&lt;=20,  "11 - 20",student_scores[[#This Row],[weekly_self_study_hours]]&lt;=30, "21 - 30",TRUE, "31+")</f>
        <v>0 - 5</v>
      </c>
      <c r="U1244" t="str" cm="1">
        <f t="array" ref="U1244">_xlfn.IFS(student_scores[[#This Row],[absence_days]]=0,"0", student_scores[[#This Row],[absence_days]]&lt;=3,"1-3", student_scores[[#This Row],[absence_days]]&lt;=6,"4-6", TRUE,"7-10")</f>
        <v>4-6</v>
      </c>
      <c r="V1244" t="str">
        <f>IF(student_scores[[#This Row],[Total_Score]] &gt;= _xlfn.PERCENTILE.INC(student_scores[Total_Score], 0.8), "Yes", "No")</f>
        <v>No</v>
      </c>
    </row>
    <row r="1245" spans="1:22" x14ac:dyDescent="0.35">
      <c r="A1245">
        <v>1244</v>
      </c>
      <c r="B1245" t="s">
        <v>328</v>
      </c>
      <c r="C1245" t="s">
        <v>1249</v>
      </c>
      <c r="D1245" t="s">
        <v>2189</v>
      </c>
      <c r="E1245" t="s">
        <v>20</v>
      </c>
      <c r="F1245" t="b">
        <v>0</v>
      </c>
      <c r="G1245">
        <v>6</v>
      </c>
      <c r="H1245" t="b">
        <v>1</v>
      </c>
      <c r="I1245">
        <v>28</v>
      </c>
      <c r="J1245" t="s">
        <v>44</v>
      </c>
      <c r="K1245">
        <v>97</v>
      </c>
      <c r="L1245">
        <v>73</v>
      </c>
      <c r="M1245">
        <v>92</v>
      </c>
      <c r="N1245">
        <v>64</v>
      </c>
      <c r="O1245">
        <v>66</v>
      </c>
      <c r="P1245">
        <v>96</v>
      </c>
      <c r="Q1245">
        <v>65</v>
      </c>
      <c r="R1245">
        <f>SUM(student_scores[[#This Row],[math_score]:[geography_score]])</f>
        <v>553</v>
      </c>
      <c r="S1245" s="3">
        <f>student_scores[[#This Row],[Total_Score]]/7</f>
        <v>79</v>
      </c>
      <c r="T1245" s="3" t="str" cm="1">
        <f t="array" ref="T1245">_xlfn.IFS(student_scores[[#This Row],[weekly_self_study_hours]]&lt;=5,   "0 - 5", student_scores[[#This Row],[weekly_self_study_hours]]&lt;=10,  "6 - 10", student_scores[[#This Row],[weekly_self_study_hours]]&lt;=20,  "11 - 20",student_scores[[#This Row],[weekly_self_study_hours]]&lt;=30, "21 - 30",TRUE, "31+")</f>
        <v>21 - 30</v>
      </c>
      <c r="U1245" t="str" cm="1">
        <f t="array" ref="U1245">_xlfn.IFS(student_scores[[#This Row],[absence_days]]=0,"0", student_scores[[#This Row],[absence_days]]&lt;=3,"1-3", student_scores[[#This Row],[absence_days]]&lt;=6,"4-6", TRUE,"7-10")</f>
        <v>4-6</v>
      </c>
      <c r="V1245" t="str">
        <f>IF(student_scores[[#This Row],[Total_Score]] &gt;= _xlfn.PERCENTILE.INC(student_scores[Total_Score], 0.8), "Yes", "No")</f>
        <v>No</v>
      </c>
    </row>
    <row r="1246" spans="1:22" x14ac:dyDescent="0.35">
      <c r="A1246">
        <v>1245</v>
      </c>
      <c r="B1246" t="s">
        <v>413</v>
      </c>
      <c r="C1246" t="s">
        <v>977</v>
      </c>
      <c r="D1246" t="s">
        <v>2190</v>
      </c>
      <c r="E1246" t="s">
        <v>20</v>
      </c>
      <c r="F1246" t="b">
        <v>0</v>
      </c>
      <c r="G1246">
        <v>3</v>
      </c>
      <c r="H1246" t="b">
        <v>1</v>
      </c>
      <c r="I1246">
        <v>26</v>
      </c>
      <c r="J1246" t="s">
        <v>113</v>
      </c>
      <c r="K1246">
        <v>87</v>
      </c>
      <c r="L1246">
        <v>70</v>
      </c>
      <c r="M1246">
        <v>65</v>
      </c>
      <c r="N1246">
        <v>64</v>
      </c>
      <c r="O1246">
        <v>30</v>
      </c>
      <c r="P1246">
        <v>72</v>
      </c>
      <c r="Q1246">
        <v>68</v>
      </c>
      <c r="R1246">
        <f>SUM(student_scores[[#This Row],[math_score]:[geography_score]])</f>
        <v>456</v>
      </c>
      <c r="S1246" s="3">
        <f>student_scores[[#This Row],[Total_Score]]/7</f>
        <v>65.142857142857139</v>
      </c>
      <c r="T1246" s="3" t="str" cm="1">
        <f t="array" ref="T1246">_xlfn.IFS(student_scores[[#This Row],[weekly_self_study_hours]]&lt;=5,   "0 - 5", student_scores[[#This Row],[weekly_self_study_hours]]&lt;=10,  "6 - 10", student_scores[[#This Row],[weekly_self_study_hours]]&lt;=20,  "11 - 20",student_scores[[#This Row],[weekly_self_study_hours]]&lt;=30, "21 - 30",TRUE, "31+")</f>
        <v>21 - 30</v>
      </c>
      <c r="U1246" t="str" cm="1">
        <f t="array" ref="U1246">_xlfn.IFS(student_scores[[#This Row],[absence_days]]=0,"0", student_scores[[#This Row],[absence_days]]&lt;=3,"1-3", student_scores[[#This Row],[absence_days]]&lt;=6,"4-6", TRUE,"7-10")</f>
        <v>1-3</v>
      </c>
      <c r="V1246" t="str">
        <f>IF(student_scores[[#This Row],[Total_Score]] &gt;= _xlfn.PERCENTILE.INC(student_scores[Total_Score], 0.8), "Yes", "No")</f>
        <v>No</v>
      </c>
    </row>
    <row r="1247" spans="1:22" x14ac:dyDescent="0.35">
      <c r="A1247">
        <v>1246</v>
      </c>
      <c r="B1247" t="s">
        <v>1505</v>
      </c>
      <c r="C1247" t="s">
        <v>515</v>
      </c>
      <c r="D1247" t="s">
        <v>2191</v>
      </c>
      <c r="E1247" t="s">
        <v>20</v>
      </c>
      <c r="F1247" t="b">
        <v>0</v>
      </c>
      <c r="G1247">
        <v>7</v>
      </c>
      <c r="H1247" t="b">
        <v>0</v>
      </c>
      <c r="I1247">
        <v>26</v>
      </c>
      <c r="J1247" t="s">
        <v>172</v>
      </c>
      <c r="K1247">
        <v>82</v>
      </c>
      <c r="L1247">
        <v>82</v>
      </c>
      <c r="M1247">
        <v>87</v>
      </c>
      <c r="N1247">
        <v>92</v>
      </c>
      <c r="O1247">
        <v>64</v>
      </c>
      <c r="P1247">
        <v>70</v>
      </c>
      <c r="Q1247">
        <v>72</v>
      </c>
      <c r="R1247">
        <f>SUM(student_scores[[#This Row],[math_score]:[geography_score]])</f>
        <v>549</v>
      </c>
      <c r="S1247" s="3">
        <f>student_scores[[#This Row],[Total_Score]]/7</f>
        <v>78.428571428571431</v>
      </c>
      <c r="T1247" s="3" t="str" cm="1">
        <f t="array" ref="T1247">_xlfn.IFS(student_scores[[#This Row],[weekly_self_study_hours]]&lt;=5,   "0 - 5", student_scores[[#This Row],[weekly_self_study_hours]]&lt;=10,  "6 - 10", student_scores[[#This Row],[weekly_self_study_hours]]&lt;=20,  "11 - 20",student_scores[[#This Row],[weekly_self_study_hours]]&lt;=30, "21 - 30",TRUE, "31+")</f>
        <v>21 - 30</v>
      </c>
      <c r="U1247" t="str" cm="1">
        <f t="array" ref="U1247">_xlfn.IFS(student_scores[[#This Row],[absence_days]]=0,"0", student_scores[[#This Row],[absence_days]]&lt;=3,"1-3", student_scores[[#This Row],[absence_days]]&lt;=6,"4-6", TRUE,"7-10")</f>
        <v>7-10</v>
      </c>
      <c r="V1247" t="str">
        <f>IF(student_scores[[#This Row],[Total_Score]] &gt;= _xlfn.PERCENTILE.INC(student_scores[Total_Score], 0.8), "Yes", "No")</f>
        <v>No</v>
      </c>
    </row>
    <row r="1248" spans="1:22" x14ac:dyDescent="0.35">
      <c r="A1248">
        <v>1247</v>
      </c>
      <c r="B1248" t="s">
        <v>1902</v>
      </c>
      <c r="C1248" t="s">
        <v>28</v>
      </c>
      <c r="D1248" t="s">
        <v>2192</v>
      </c>
      <c r="E1248" t="s">
        <v>25</v>
      </c>
      <c r="F1248" t="b">
        <v>0</v>
      </c>
      <c r="G1248">
        <v>1</v>
      </c>
      <c r="H1248" t="b">
        <v>0</v>
      </c>
      <c r="I1248">
        <v>22</v>
      </c>
      <c r="J1248" t="s">
        <v>26</v>
      </c>
      <c r="K1248">
        <v>94</v>
      </c>
      <c r="L1248">
        <v>98</v>
      </c>
      <c r="M1248">
        <v>96</v>
      </c>
      <c r="N1248">
        <v>88</v>
      </c>
      <c r="O1248">
        <v>96</v>
      </c>
      <c r="P1248">
        <v>61</v>
      </c>
      <c r="Q1248">
        <v>80</v>
      </c>
      <c r="R1248">
        <f>SUM(student_scores[[#This Row],[math_score]:[geography_score]])</f>
        <v>613</v>
      </c>
      <c r="S1248" s="3">
        <f>student_scores[[#This Row],[Total_Score]]/7</f>
        <v>87.571428571428569</v>
      </c>
      <c r="T1248" s="3" t="str" cm="1">
        <f t="array" ref="T1248">_xlfn.IFS(student_scores[[#This Row],[weekly_self_study_hours]]&lt;=5,   "0 - 5", student_scores[[#This Row],[weekly_self_study_hours]]&lt;=10,  "6 - 10", student_scores[[#This Row],[weekly_self_study_hours]]&lt;=20,  "11 - 20",student_scores[[#This Row],[weekly_self_study_hours]]&lt;=30, "21 - 30",TRUE, "31+")</f>
        <v>21 - 30</v>
      </c>
      <c r="U1248" t="str" cm="1">
        <f t="array" ref="U1248">_xlfn.IFS(student_scores[[#This Row],[absence_days]]=0,"0", student_scores[[#This Row],[absence_days]]&lt;=3,"1-3", student_scores[[#This Row],[absence_days]]&lt;=6,"4-6", TRUE,"7-10")</f>
        <v>1-3</v>
      </c>
      <c r="V1248" t="str">
        <f>IF(student_scores[[#This Row],[Total_Score]] &gt;= _xlfn.PERCENTILE.INC(student_scores[Total_Score], 0.8), "Yes", "No")</f>
        <v>Yes</v>
      </c>
    </row>
    <row r="1249" spans="1:22" x14ac:dyDescent="0.35">
      <c r="A1249">
        <v>1248</v>
      </c>
      <c r="B1249" t="s">
        <v>124</v>
      </c>
      <c r="C1249" t="s">
        <v>742</v>
      </c>
      <c r="D1249" t="s">
        <v>2193</v>
      </c>
      <c r="E1249" t="s">
        <v>20</v>
      </c>
      <c r="F1249" t="b">
        <v>1</v>
      </c>
      <c r="G1249">
        <v>1</v>
      </c>
      <c r="H1249" t="b">
        <v>0</v>
      </c>
      <c r="I1249">
        <v>26</v>
      </c>
      <c r="J1249" t="s">
        <v>44</v>
      </c>
      <c r="K1249">
        <v>99</v>
      </c>
      <c r="L1249">
        <v>85</v>
      </c>
      <c r="M1249">
        <v>97</v>
      </c>
      <c r="N1249">
        <v>72</v>
      </c>
      <c r="O1249">
        <v>79</v>
      </c>
      <c r="P1249">
        <v>92</v>
      </c>
      <c r="Q1249">
        <v>82</v>
      </c>
      <c r="R1249">
        <f>SUM(student_scores[[#This Row],[math_score]:[geography_score]])</f>
        <v>606</v>
      </c>
      <c r="S1249" s="3">
        <f>student_scores[[#This Row],[Total_Score]]/7</f>
        <v>86.571428571428569</v>
      </c>
      <c r="T1249" s="3" t="str" cm="1">
        <f t="array" ref="T1249">_xlfn.IFS(student_scores[[#This Row],[weekly_self_study_hours]]&lt;=5,   "0 - 5", student_scores[[#This Row],[weekly_self_study_hours]]&lt;=10,  "6 - 10", student_scores[[#This Row],[weekly_self_study_hours]]&lt;=20,  "11 - 20",student_scores[[#This Row],[weekly_self_study_hours]]&lt;=30, "21 - 30",TRUE, "31+")</f>
        <v>21 - 30</v>
      </c>
      <c r="U1249" t="str" cm="1">
        <f t="array" ref="U1249">_xlfn.IFS(student_scores[[#This Row],[absence_days]]=0,"0", student_scores[[#This Row],[absence_days]]&lt;=3,"1-3", student_scores[[#This Row],[absence_days]]&lt;=6,"4-6", TRUE,"7-10")</f>
        <v>1-3</v>
      </c>
      <c r="V1249" t="str">
        <f>IF(student_scores[[#This Row],[Total_Score]] &gt;= _xlfn.PERCENTILE.INC(student_scores[Total_Score], 0.8), "Yes", "No")</f>
        <v>Yes</v>
      </c>
    </row>
    <row r="1250" spans="1:22" x14ac:dyDescent="0.35">
      <c r="A1250">
        <v>1249</v>
      </c>
      <c r="B1250" t="s">
        <v>456</v>
      </c>
      <c r="C1250" t="s">
        <v>759</v>
      </c>
      <c r="D1250" t="s">
        <v>2194</v>
      </c>
      <c r="E1250" t="s">
        <v>25</v>
      </c>
      <c r="F1250" t="b">
        <v>0</v>
      </c>
      <c r="G1250">
        <v>1</v>
      </c>
      <c r="H1250" t="b">
        <v>0</v>
      </c>
      <c r="I1250">
        <v>16</v>
      </c>
      <c r="J1250" t="s">
        <v>54</v>
      </c>
      <c r="K1250">
        <v>68</v>
      </c>
      <c r="L1250">
        <v>83</v>
      </c>
      <c r="M1250">
        <v>74</v>
      </c>
      <c r="N1250">
        <v>87</v>
      </c>
      <c r="O1250">
        <v>71</v>
      </c>
      <c r="P1250">
        <v>86</v>
      </c>
      <c r="Q1250">
        <v>82</v>
      </c>
      <c r="R1250">
        <f>SUM(student_scores[[#This Row],[math_score]:[geography_score]])</f>
        <v>551</v>
      </c>
      <c r="S1250" s="3">
        <f>student_scores[[#This Row],[Total_Score]]/7</f>
        <v>78.714285714285708</v>
      </c>
      <c r="T1250" s="3" t="str" cm="1">
        <f t="array" ref="T1250">_xlfn.IFS(student_scores[[#This Row],[weekly_self_study_hours]]&lt;=5,   "0 - 5", student_scores[[#This Row],[weekly_self_study_hours]]&lt;=10,  "6 - 10", student_scores[[#This Row],[weekly_self_study_hours]]&lt;=20,  "11 - 20",student_scores[[#This Row],[weekly_self_study_hours]]&lt;=30, "21 - 30",TRUE, "31+")</f>
        <v>11 - 20</v>
      </c>
      <c r="U1250" t="str" cm="1">
        <f t="array" ref="U1250">_xlfn.IFS(student_scores[[#This Row],[absence_days]]=0,"0", student_scores[[#This Row],[absence_days]]&lt;=3,"1-3", student_scores[[#This Row],[absence_days]]&lt;=6,"4-6", TRUE,"7-10")</f>
        <v>1-3</v>
      </c>
      <c r="V1250" t="str">
        <f>IF(student_scores[[#This Row],[Total_Score]] &gt;= _xlfn.PERCENTILE.INC(student_scores[Total_Score], 0.8), "Yes", "No")</f>
        <v>No</v>
      </c>
    </row>
    <row r="1251" spans="1:22" x14ac:dyDescent="0.35">
      <c r="A1251">
        <v>1250</v>
      </c>
      <c r="B1251" t="s">
        <v>999</v>
      </c>
      <c r="C1251" t="s">
        <v>2195</v>
      </c>
      <c r="D1251" t="s">
        <v>2196</v>
      </c>
      <c r="E1251" t="s">
        <v>25</v>
      </c>
      <c r="F1251" t="b">
        <v>0</v>
      </c>
      <c r="G1251">
        <v>10</v>
      </c>
      <c r="H1251" t="b">
        <v>0</v>
      </c>
      <c r="I1251">
        <v>2</v>
      </c>
      <c r="J1251" t="s">
        <v>64</v>
      </c>
      <c r="K1251">
        <v>67</v>
      </c>
      <c r="L1251">
        <v>82</v>
      </c>
      <c r="M1251">
        <v>81</v>
      </c>
      <c r="N1251">
        <v>83</v>
      </c>
      <c r="O1251">
        <v>57</v>
      </c>
      <c r="P1251">
        <v>59</v>
      </c>
      <c r="Q1251">
        <v>91</v>
      </c>
      <c r="R1251">
        <f>SUM(student_scores[[#This Row],[math_score]:[geography_score]])</f>
        <v>520</v>
      </c>
      <c r="S1251" s="3">
        <f>student_scores[[#This Row],[Total_Score]]/7</f>
        <v>74.285714285714292</v>
      </c>
      <c r="T1251" s="3" t="str" cm="1">
        <f t="array" ref="T1251">_xlfn.IFS(student_scores[[#This Row],[weekly_self_study_hours]]&lt;=5,   "0 - 5", student_scores[[#This Row],[weekly_self_study_hours]]&lt;=10,  "6 - 10", student_scores[[#This Row],[weekly_self_study_hours]]&lt;=20,  "11 - 20",student_scores[[#This Row],[weekly_self_study_hours]]&lt;=30, "21 - 30",TRUE, "31+")</f>
        <v>0 - 5</v>
      </c>
      <c r="U1251" t="str" cm="1">
        <f t="array" ref="U1251">_xlfn.IFS(student_scores[[#This Row],[absence_days]]=0,"0", student_scores[[#This Row],[absence_days]]&lt;=3,"1-3", student_scores[[#This Row],[absence_days]]&lt;=6,"4-6", TRUE,"7-10")</f>
        <v>7-10</v>
      </c>
      <c r="V1251" t="str">
        <f>IF(student_scores[[#This Row],[Total_Score]] &gt;= _xlfn.PERCENTILE.INC(student_scores[Total_Score], 0.8), "Yes", "No")</f>
        <v>No</v>
      </c>
    </row>
    <row r="1252" spans="1:22" x14ac:dyDescent="0.35">
      <c r="A1252">
        <v>1251</v>
      </c>
      <c r="B1252" t="s">
        <v>160</v>
      </c>
      <c r="C1252" t="s">
        <v>1068</v>
      </c>
      <c r="D1252" t="s">
        <v>2197</v>
      </c>
      <c r="E1252" t="s">
        <v>20</v>
      </c>
      <c r="F1252" t="b">
        <v>0</v>
      </c>
      <c r="G1252">
        <v>4</v>
      </c>
      <c r="H1252" t="b">
        <v>1</v>
      </c>
      <c r="I1252">
        <v>10</v>
      </c>
      <c r="J1252" t="s">
        <v>105</v>
      </c>
      <c r="K1252">
        <v>92</v>
      </c>
      <c r="L1252">
        <v>65</v>
      </c>
      <c r="M1252">
        <v>81</v>
      </c>
      <c r="N1252">
        <v>79</v>
      </c>
      <c r="O1252">
        <v>84</v>
      </c>
      <c r="P1252">
        <v>85</v>
      </c>
      <c r="Q1252">
        <v>74</v>
      </c>
      <c r="R1252">
        <f>SUM(student_scores[[#This Row],[math_score]:[geography_score]])</f>
        <v>560</v>
      </c>
      <c r="S1252" s="3">
        <f>student_scores[[#This Row],[Total_Score]]/7</f>
        <v>80</v>
      </c>
      <c r="T1252" s="3" t="str" cm="1">
        <f t="array" ref="T1252">_xlfn.IFS(student_scores[[#This Row],[weekly_self_study_hours]]&lt;=5,   "0 - 5", student_scores[[#This Row],[weekly_self_study_hours]]&lt;=10,  "6 - 10", student_scores[[#This Row],[weekly_self_study_hours]]&lt;=20,  "11 - 20",student_scores[[#This Row],[weekly_self_study_hours]]&lt;=30, "21 - 30",TRUE, "31+")</f>
        <v>6 - 10</v>
      </c>
      <c r="U1252" t="str" cm="1">
        <f t="array" ref="U1252">_xlfn.IFS(student_scores[[#This Row],[absence_days]]=0,"0", student_scores[[#This Row],[absence_days]]&lt;=3,"1-3", student_scores[[#This Row],[absence_days]]&lt;=6,"4-6", TRUE,"7-10")</f>
        <v>4-6</v>
      </c>
      <c r="V1252" t="str">
        <f>IF(student_scores[[#This Row],[Total_Score]] &gt;= _xlfn.PERCENTILE.INC(student_scores[Total_Score], 0.8), "Yes", "No")</f>
        <v>No</v>
      </c>
    </row>
    <row r="1253" spans="1:22" x14ac:dyDescent="0.35">
      <c r="A1253">
        <v>1252</v>
      </c>
      <c r="B1253" t="s">
        <v>2198</v>
      </c>
      <c r="C1253" t="s">
        <v>2199</v>
      </c>
      <c r="D1253" t="s">
        <v>2200</v>
      </c>
      <c r="E1253" t="s">
        <v>25</v>
      </c>
      <c r="F1253" t="b">
        <v>0</v>
      </c>
      <c r="G1253">
        <v>3</v>
      </c>
      <c r="H1253" t="b">
        <v>1</v>
      </c>
      <c r="I1253">
        <v>21</v>
      </c>
      <c r="J1253" t="s">
        <v>109</v>
      </c>
      <c r="K1253">
        <v>69</v>
      </c>
      <c r="L1253">
        <v>77</v>
      </c>
      <c r="M1253">
        <v>82</v>
      </c>
      <c r="N1253">
        <v>93</v>
      </c>
      <c r="O1253">
        <v>92</v>
      </c>
      <c r="P1253">
        <v>90</v>
      </c>
      <c r="Q1253">
        <v>71</v>
      </c>
      <c r="R1253">
        <f>SUM(student_scores[[#This Row],[math_score]:[geography_score]])</f>
        <v>574</v>
      </c>
      <c r="S1253" s="3">
        <f>student_scores[[#This Row],[Total_Score]]/7</f>
        <v>82</v>
      </c>
      <c r="T1253" s="3" t="str" cm="1">
        <f t="array" ref="T1253">_xlfn.IFS(student_scores[[#This Row],[weekly_self_study_hours]]&lt;=5,   "0 - 5", student_scores[[#This Row],[weekly_self_study_hours]]&lt;=10,  "6 - 10", student_scores[[#This Row],[weekly_self_study_hours]]&lt;=20,  "11 - 20",student_scores[[#This Row],[weekly_self_study_hours]]&lt;=30, "21 - 30",TRUE, "31+")</f>
        <v>21 - 30</v>
      </c>
      <c r="U1253" t="str" cm="1">
        <f t="array" ref="U1253">_xlfn.IFS(student_scores[[#This Row],[absence_days]]=0,"0", student_scores[[#This Row],[absence_days]]&lt;=3,"1-3", student_scores[[#This Row],[absence_days]]&lt;=6,"4-6", TRUE,"7-10")</f>
        <v>1-3</v>
      </c>
      <c r="V1253" t="str">
        <f>IF(student_scores[[#This Row],[Total_Score]] &gt;= _xlfn.PERCENTILE.INC(student_scores[Total_Score], 0.8), "Yes", "No")</f>
        <v>No</v>
      </c>
    </row>
    <row r="1254" spans="1:22" x14ac:dyDescent="0.35">
      <c r="A1254">
        <v>1253</v>
      </c>
      <c r="B1254" t="s">
        <v>214</v>
      </c>
      <c r="C1254" t="s">
        <v>295</v>
      </c>
      <c r="D1254" t="s">
        <v>2201</v>
      </c>
      <c r="E1254" t="s">
        <v>20</v>
      </c>
      <c r="F1254" t="b">
        <v>1</v>
      </c>
      <c r="G1254">
        <v>1</v>
      </c>
      <c r="H1254" t="b">
        <v>0</v>
      </c>
      <c r="I1254">
        <v>30</v>
      </c>
      <c r="J1254" t="s">
        <v>44</v>
      </c>
      <c r="K1254">
        <v>92</v>
      </c>
      <c r="L1254">
        <v>98</v>
      </c>
      <c r="M1254">
        <v>61</v>
      </c>
      <c r="N1254">
        <v>99</v>
      </c>
      <c r="O1254">
        <v>77</v>
      </c>
      <c r="P1254">
        <v>72</v>
      </c>
      <c r="Q1254">
        <v>75</v>
      </c>
      <c r="R1254">
        <f>SUM(student_scores[[#This Row],[math_score]:[geography_score]])</f>
        <v>574</v>
      </c>
      <c r="S1254" s="3">
        <f>student_scores[[#This Row],[Total_Score]]/7</f>
        <v>82</v>
      </c>
      <c r="T1254" s="3" t="str" cm="1">
        <f t="array" ref="T1254">_xlfn.IFS(student_scores[[#This Row],[weekly_self_study_hours]]&lt;=5,   "0 - 5", student_scores[[#This Row],[weekly_self_study_hours]]&lt;=10,  "6 - 10", student_scores[[#This Row],[weekly_self_study_hours]]&lt;=20,  "11 - 20",student_scores[[#This Row],[weekly_self_study_hours]]&lt;=30, "21 - 30",TRUE, "31+")</f>
        <v>21 - 30</v>
      </c>
      <c r="U1254" t="str" cm="1">
        <f t="array" ref="U1254">_xlfn.IFS(student_scores[[#This Row],[absence_days]]=0,"0", student_scores[[#This Row],[absence_days]]&lt;=3,"1-3", student_scores[[#This Row],[absence_days]]&lt;=6,"4-6", TRUE,"7-10")</f>
        <v>1-3</v>
      </c>
      <c r="V1254" t="str">
        <f>IF(student_scores[[#This Row],[Total_Score]] &gt;= _xlfn.PERCENTILE.INC(student_scores[Total_Score], 0.8), "Yes", "No")</f>
        <v>No</v>
      </c>
    </row>
    <row r="1255" spans="1:22" x14ac:dyDescent="0.35">
      <c r="A1255">
        <v>1254</v>
      </c>
      <c r="B1255" t="s">
        <v>1526</v>
      </c>
      <c r="C1255" t="s">
        <v>934</v>
      </c>
      <c r="D1255" t="s">
        <v>2202</v>
      </c>
      <c r="E1255" t="s">
        <v>25</v>
      </c>
      <c r="F1255" t="b">
        <v>0</v>
      </c>
      <c r="G1255">
        <v>6</v>
      </c>
      <c r="H1255" t="b">
        <v>0</v>
      </c>
      <c r="I1255">
        <v>24</v>
      </c>
      <c r="J1255" t="s">
        <v>113</v>
      </c>
      <c r="K1255">
        <v>90</v>
      </c>
      <c r="L1255">
        <v>64</v>
      </c>
      <c r="M1255">
        <v>90</v>
      </c>
      <c r="N1255">
        <v>75</v>
      </c>
      <c r="O1255">
        <v>64</v>
      </c>
      <c r="P1255">
        <v>96</v>
      </c>
      <c r="Q1255">
        <v>71</v>
      </c>
      <c r="R1255">
        <f>SUM(student_scores[[#This Row],[math_score]:[geography_score]])</f>
        <v>550</v>
      </c>
      <c r="S1255" s="3">
        <f>student_scores[[#This Row],[Total_Score]]/7</f>
        <v>78.571428571428569</v>
      </c>
      <c r="T1255" s="3" t="str" cm="1">
        <f t="array" ref="T1255">_xlfn.IFS(student_scores[[#This Row],[weekly_self_study_hours]]&lt;=5,   "0 - 5", student_scores[[#This Row],[weekly_self_study_hours]]&lt;=10,  "6 - 10", student_scores[[#This Row],[weekly_self_study_hours]]&lt;=20,  "11 - 20",student_scores[[#This Row],[weekly_self_study_hours]]&lt;=30, "21 - 30",TRUE, "31+")</f>
        <v>21 - 30</v>
      </c>
      <c r="U1255" t="str" cm="1">
        <f t="array" ref="U1255">_xlfn.IFS(student_scores[[#This Row],[absence_days]]=0,"0", student_scores[[#This Row],[absence_days]]&lt;=3,"1-3", student_scores[[#This Row],[absence_days]]&lt;=6,"4-6", TRUE,"7-10")</f>
        <v>4-6</v>
      </c>
      <c r="V1255" t="str">
        <f>IF(student_scores[[#This Row],[Total_Score]] &gt;= _xlfn.PERCENTILE.INC(student_scores[Total_Score], 0.8), "Yes", "No")</f>
        <v>No</v>
      </c>
    </row>
    <row r="1256" spans="1:22" x14ac:dyDescent="0.35">
      <c r="A1256">
        <v>1255</v>
      </c>
      <c r="B1256" t="s">
        <v>2203</v>
      </c>
      <c r="C1256" t="s">
        <v>782</v>
      </c>
      <c r="D1256" t="s">
        <v>2204</v>
      </c>
      <c r="E1256" t="s">
        <v>20</v>
      </c>
      <c r="F1256" t="b">
        <v>1</v>
      </c>
      <c r="G1256">
        <v>1</v>
      </c>
      <c r="H1256" t="b">
        <v>0</v>
      </c>
      <c r="I1256">
        <v>33</v>
      </c>
      <c r="J1256" t="s">
        <v>172</v>
      </c>
      <c r="K1256">
        <v>91</v>
      </c>
      <c r="L1256">
        <v>92</v>
      </c>
      <c r="M1256">
        <v>73</v>
      </c>
      <c r="N1256">
        <v>97</v>
      </c>
      <c r="O1256">
        <v>61</v>
      </c>
      <c r="P1256">
        <v>63</v>
      </c>
      <c r="Q1256">
        <v>71</v>
      </c>
      <c r="R1256">
        <f>SUM(student_scores[[#This Row],[math_score]:[geography_score]])</f>
        <v>548</v>
      </c>
      <c r="S1256" s="3">
        <f>student_scores[[#This Row],[Total_Score]]/7</f>
        <v>78.285714285714292</v>
      </c>
      <c r="T1256" s="3" t="str" cm="1">
        <f t="array" ref="T1256">_xlfn.IFS(student_scores[[#This Row],[weekly_self_study_hours]]&lt;=5,   "0 - 5", student_scores[[#This Row],[weekly_self_study_hours]]&lt;=10,  "6 - 10", student_scores[[#This Row],[weekly_self_study_hours]]&lt;=20,  "11 - 20",student_scores[[#This Row],[weekly_self_study_hours]]&lt;=30, "21 - 30",TRUE, "31+")</f>
        <v>31+</v>
      </c>
      <c r="U1256" t="str" cm="1">
        <f t="array" ref="U1256">_xlfn.IFS(student_scores[[#This Row],[absence_days]]=0,"0", student_scores[[#This Row],[absence_days]]&lt;=3,"1-3", student_scores[[#This Row],[absence_days]]&lt;=6,"4-6", TRUE,"7-10")</f>
        <v>1-3</v>
      </c>
      <c r="V1256" t="str">
        <f>IF(student_scores[[#This Row],[Total_Score]] &gt;= _xlfn.PERCENTILE.INC(student_scores[Total_Score], 0.8), "Yes", "No")</f>
        <v>No</v>
      </c>
    </row>
    <row r="1257" spans="1:22" x14ac:dyDescent="0.35">
      <c r="A1257">
        <v>1256</v>
      </c>
      <c r="B1257" t="s">
        <v>2205</v>
      </c>
      <c r="C1257" t="s">
        <v>2071</v>
      </c>
      <c r="D1257" t="s">
        <v>2206</v>
      </c>
      <c r="E1257" t="s">
        <v>25</v>
      </c>
      <c r="F1257" t="b">
        <v>0</v>
      </c>
      <c r="G1257">
        <v>5</v>
      </c>
      <c r="H1257" t="b">
        <v>0</v>
      </c>
      <c r="I1257">
        <v>3</v>
      </c>
      <c r="J1257" t="s">
        <v>34</v>
      </c>
      <c r="K1257">
        <v>65</v>
      </c>
      <c r="L1257">
        <v>67</v>
      </c>
      <c r="M1257">
        <v>91</v>
      </c>
      <c r="N1257">
        <v>81</v>
      </c>
      <c r="O1257">
        <v>97</v>
      </c>
      <c r="P1257">
        <v>99</v>
      </c>
      <c r="Q1257">
        <v>75</v>
      </c>
      <c r="R1257">
        <f>SUM(student_scores[[#This Row],[math_score]:[geography_score]])</f>
        <v>575</v>
      </c>
      <c r="S1257" s="3">
        <f>student_scores[[#This Row],[Total_Score]]/7</f>
        <v>82.142857142857139</v>
      </c>
      <c r="T1257" s="3" t="str" cm="1">
        <f t="array" ref="T1257">_xlfn.IFS(student_scores[[#This Row],[weekly_self_study_hours]]&lt;=5,   "0 - 5", student_scores[[#This Row],[weekly_self_study_hours]]&lt;=10,  "6 - 10", student_scores[[#This Row],[weekly_self_study_hours]]&lt;=20,  "11 - 20",student_scores[[#This Row],[weekly_self_study_hours]]&lt;=30, "21 - 30",TRUE, "31+")</f>
        <v>0 - 5</v>
      </c>
      <c r="U1257" t="str" cm="1">
        <f t="array" ref="U1257">_xlfn.IFS(student_scores[[#This Row],[absence_days]]=0,"0", student_scores[[#This Row],[absence_days]]&lt;=3,"1-3", student_scores[[#This Row],[absence_days]]&lt;=6,"4-6", TRUE,"7-10")</f>
        <v>4-6</v>
      </c>
      <c r="V1257" t="str">
        <f>IF(student_scores[[#This Row],[Total_Score]] &gt;= _xlfn.PERCENTILE.INC(student_scores[Total_Score], 0.8), "Yes", "No")</f>
        <v>No</v>
      </c>
    </row>
    <row r="1258" spans="1:22" x14ac:dyDescent="0.35">
      <c r="A1258">
        <v>1257</v>
      </c>
      <c r="B1258" t="s">
        <v>560</v>
      </c>
      <c r="C1258" t="s">
        <v>157</v>
      </c>
      <c r="D1258" t="s">
        <v>2207</v>
      </c>
      <c r="E1258" t="s">
        <v>25</v>
      </c>
      <c r="F1258" t="b">
        <v>0</v>
      </c>
      <c r="G1258">
        <v>2</v>
      </c>
      <c r="H1258" t="b">
        <v>0</v>
      </c>
      <c r="I1258">
        <v>34</v>
      </c>
      <c r="J1258" t="s">
        <v>44</v>
      </c>
      <c r="K1258">
        <v>98</v>
      </c>
      <c r="L1258">
        <v>80</v>
      </c>
      <c r="M1258">
        <v>70</v>
      </c>
      <c r="N1258">
        <v>60</v>
      </c>
      <c r="O1258">
        <v>88</v>
      </c>
      <c r="P1258">
        <v>65</v>
      </c>
      <c r="Q1258">
        <v>92</v>
      </c>
      <c r="R1258">
        <f>SUM(student_scores[[#This Row],[math_score]:[geography_score]])</f>
        <v>553</v>
      </c>
      <c r="S1258" s="3">
        <f>student_scores[[#This Row],[Total_Score]]/7</f>
        <v>79</v>
      </c>
      <c r="T1258" s="3" t="str" cm="1">
        <f t="array" ref="T1258">_xlfn.IFS(student_scores[[#This Row],[weekly_self_study_hours]]&lt;=5,   "0 - 5", student_scores[[#This Row],[weekly_self_study_hours]]&lt;=10,  "6 - 10", student_scores[[#This Row],[weekly_self_study_hours]]&lt;=20,  "11 - 20",student_scores[[#This Row],[weekly_self_study_hours]]&lt;=30, "21 - 30",TRUE, "31+")</f>
        <v>31+</v>
      </c>
      <c r="U1258" t="str" cm="1">
        <f t="array" ref="U1258">_xlfn.IFS(student_scores[[#This Row],[absence_days]]=0,"0", student_scores[[#This Row],[absence_days]]&lt;=3,"1-3", student_scores[[#This Row],[absence_days]]&lt;=6,"4-6", TRUE,"7-10")</f>
        <v>1-3</v>
      </c>
      <c r="V1258" t="str">
        <f>IF(student_scores[[#This Row],[Total_Score]] &gt;= _xlfn.PERCENTILE.INC(student_scores[Total_Score], 0.8), "Yes", "No")</f>
        <v>No</v>
      </c>
    </row>
    <row r="1259" spans="1:22" x14ac:dyDescent="0.35">
      <c r="A1259">
        <v>1258</v>
      </c>
      <c r="B1259" t="s">
        <v>2208</v>
      </c>
      <c r="C1259" t="s">
        <v>2209</v>
      </c>
      <c r="D1259" t="s">
        <v>2210</v>
      </c>
      <c r="E1259" t="s">
        <v>25</v>
      </c>
      <c r="F1259" t="b">
        <v>0</v>
      </c>
      <c r="G1259">
        <v>6</v>
      </c>
      <c r="H1259" t="b">
        <v>1</v>
      </c>
      <c r="I1259">
        <v>2</v>
      </c>
      <c r="J1259" t="s">
        <v>64</v>
      </c>
      <c r="K1259">
        <v>70</v>
      </c>
      <c r="L1259">
        <v>89</v>
      </c>
      <c r="M1259">
        <v>78</v>
      </c>
      <c r="N1259">
        <v>87</v>
      </c>
      <c r="O1259">
        <v>87</v>
      </c>
      <c r="P1259">
        <v>62</v>
      </c>
      <c r="Q1259">
        <v>85</v>
      </c>
      <c r="R1259">
        <f>SUM(student_scores[[#This Row],[math_score]:[geography_score]])</f>
        <v>558</v>
      </c>
      <c r="S1259" s="3">
        <f>student_scores[[#This Row],[Total_Score]]/7</f>
        <v>79.714285714285708</v>
      </c>
      <c r="T1259" s="3" t="str" cm="1">
        <f t="array" ref="T1259">_xlfn.IFS(student_scores[[#This Row],[weekly_self_study_hours]]&lt;=5,   "0 - 5", student_scores[[#This Row],[weekly_self_study_hours]]&lt;=10,  "6 - 10", student_scores[[#This Row],[weekly_self_study_hours]]&lt;=20,  "11 - 20",student_scores[[#This Row],[weekly_self_study_hours]]&lt;=30, "21 - 30",TRUE, "31+")</f>
        <v>0 - 5</v>
      </c>
      <c r="U1259" t="str" cm="1">
        <f t="array" ref="U1259">_xlfn.IFS(student_scores[[#This Row],[absence_days]]=0,"0", student_scores[[#This Row],[absence_days]]&lt;=3,"1-3", student_scores[[#This Row],[absence_days]]&lt;=6,"4-6", TRUE,"7-10")</f>
        <v>4-6</v>
      </c>
      <c r="V1259" t="str">
        <f>IF(student_scores[[#This Row],[Total_Score]] &gt;= _xlfn.PERCENTILE.INC(student_scores[Total_Score], 0.8), "Yes", "No")</f>
        <v>No</v>
      </c>
    </row>
    <row r="1260" spans="1:22" x14ac:dyDescent="0.35">
      <c r="A1260">
        <v>1259</v>
      </c>
      <c r="B1260" t="s">
        <v>193</v>
      </c>
      <c r="C1260" t="s">
        <v>236</v>
      </c>
      <c r="D1260" t="s">
        <v>2211</v>
      </c>
      <c r="E1260" t="s">
        <v>25</v>
      </c>
      <c r="F1260" t="b">
        <v>0</v>
      </c>
      <c r="G1260">
        <v>2</v>
      </c>
      <c r="H1260" t="b">
        <v>0</v>
      </c>
      <c r="I1260">
        <v>17</v>
      </c>
      <c r="J1260" t="s">
        <v>44</v>
      </c>
      <c r="K1260">
        <v>97</v>
      </c>
      <c r="L1260">
        <v>97</v>
      </c>
      <c r="M1260">
        <v>90</v>
      </c>
      <c r="N1260">
        <v>69</v>
      </c>
      <c r="O1260">
        <v>75</v>
      </c>
      <c r="P1260">
        <v>68</v>
      </c>
      <c r="Q1260">
        <v>70</v>
      </c>
      <c r="R1260">
        <f>SUM(student_scores[[#This Row],[math_score]:[geography_score]])</f>
        <v>566</v>
      </c>
      <c r="S1260" s="3">
        <f>student_scores[[#This Row],[Total_Score]]/7</f>
        <v>80.857142857142861</v>
      </c>
      <c r="T1260" s="3" t="str" cm="1">
        <f t="array" ref="T1260">_xlfn.IFS(student_scores[[#This Row],[weekly_self_study_hours]]&lt;=5,   "0 - 5", student_scores[[#This Row],[weekly_self_study_hours]]&lt;=10,  "6 - 10", student_scores[[#This Row],[weekly_self_study_hours]]&lt;=20,  "11 - 20",student_scores[[#This Row],[weekly_self_study_hours]]&lt;=30, "21 - 30",TRUE, "31+")</f>
        <v>11 - 20</v>
      </c>
      <c r="U1260" t="str" cm="1">
        <f t="array" ref="U1260">_xlfn.IFS(student_scores[[#This Row],[absence_days]]=0,"0", student_scores[[#This Row],[absence_days]]&lt;=3,"1-3", student_scores[[#This Row],[absence_days]]&lt;=6,"4-6", TRUE,"7-10")</f>
        <v>1-3</v>
      </c>
      <c r="V1260" t="str">
        <f>IF(student_scores[[#This Row],[Total_Score]] &gt;= _xlfn.PERCENTILE.INC(student_scores[Total_Score], 0.8), "Yes", "No")</f>
        <v>No</v>
      </c>
    </row>
    <row r="1261" spans="1:22" x14ac:dyDescent="0.35">
      <c r="A1261">
        <v>1260</v>
      </c>
      <c r="B1261" t="s">
        <v>410</v>
      </c>
      <c r="C1261" t="s">
        <v>1510</v>
      </c>
      <c r="D1261" t="s">
        <v>2212</v>
      </c>
      <c r="E1261" t="s">
        <v>20</v>
      </c>
      <c r="F1261" t="b">
        <v>0</v>
      </c>
      <c r="G1261">
        <v>1</v>
      </c>
      <c r="H1261" t="b">
        <v>0</v>
      </c>
      <c r="I1261">
        <v>18</v>
      </c>
      <c r="J1261" t="s">
        <v>113</v>
      </c>
      <c r="K1261">
        <v>80</v>
      </c>
      <c r="L1261">
        <v>71</v>
      </c>
      <c r="M1261">
        <v>89</v>
      </c>
      <c r="N1261">
        <v>81</v>
      </c>
      <c r="O1261">
        <v>75</v>
      </c>
      <c r="P1261">
        <v>81</v>
      </c>
      <c r="Q1261">
        <v>63</v>
      </c>
      <c r="R1261">
        <f>SUM(student_scores[[#This Row],[math_score]:[geography_score]])</f>
        <v>540</v>
      </c>
      <c r="S1261" s="3">
        <f>student_scores[[#This Row],[Total_Score]]/7</f>
        <v>77.142857142857139</v>
      </c>
      <c r="T1261" s="3" t="str" cm="1">
        <f t="array" ref="T1261">_xlfn.IFS(student_scores[[#This Row],[weekly_self_study_hours]]&lt;=5,   "0 - 5", student_scores[[#This Row],[weekly_self_study_hours]]&lt;=10,  "6 - 10", student_scores[[#This Row],[weekly_self_study_hours]]&lt;=20,  "11 - 20",student_scores[[#This Row],[weekly_self_study_hours]]&lt;=30, "21 - 30",TRUE, "31+")</f>
        <v>11 - 20</v>
      </c>
      <c r="U1261" t="str" cm="1">
        <f t="array" ref="U1261">_xlfn.IFS(student_scores[[#This Row],[absence_days]]=0,"0", student_scores[[#This Row],[absence_days]]&lt;=3,"1-3", student_scores[[#This Row],[absence_days]]&lt;=6,"4-6", TRUE,"7-10")</f>
        <v>1-3</v>
      </c>
      <c r="V1261" t="str">
        <f>IF(student_scores[[#This Row],[Total_Score]] &gt;= _xlfn.PERCENTILE.INC(student_scores[Total_Score], 0.8), "Yes", "No")</f>
        <v>No</v>
      </c>
    </row>
    <row r="1262" spans="1:22" x14ac:dyDescent="0.35">
      <c r="A1262">
        <v>1261</v>
      </c>
      <c r="B1262" t="s">
        <v>2213</v>
      </c>
      <c r="C1262" t="s">
        <v>2214</v>
      </c>
      <c r="D1262" t="s">
        <v>2215</v>
      </c>
      <c r="E1262" t="s">
        <v>20</v>
      </c>
      <c r="F1262" t="b">
        <v>0</v>
      </c>
      <c r="G1262">
        <v>2</v>
      </c>
      <c r="H1262" t="b">
        <v>0</v>
      </c>
      <c r="I1262">
        <v>16</v>
      </c>
      <c r="J1262" t="s">
        <v>109</v>
      </c>
      <c r="K1262">
        <v>70</v>
      </c>
      <c r="L1262">
        <v>75</v>
      </c>
      <c r="M1262">
        <v>79</v>
      </c>
      <c r="N1262">
        <v>77</v>
      </c>
      <c r="O1262">
        <v>65</v>
      </c>
      <c r="P1262">
        <v>92</v>
      </c>
      <c r="Q1262">
        <v>78</v>
      </c>
      <c r="R1262">
        <f>SUM(student_scores[[#This Row],[math_score]:[geography_score]])</f>
        <v>536</v>
      </c>
      <c r="S1262" s="3">
        <f>student_scores[[#This Row],[Total_Score]]/7</f>
        <v>76.571428571428569</v>
      </c>
      <c r="T1262" s="3" t="str" cm="1">
        <f t="array" ref="T1262">_xlfn.IFS(student_scores[[#This Row],[weekly_self_study_hours]]&lt;=5,   "0 - 5", student_scores[[#This Row],[weekly_self_study_hours]]&lt;=10,  "6 - 10", student_scores[[#This Row],[weekly_self_study_hours]]&lt;=20,  "11 - 20",student_scores[[#This Row],[weekly_self_study_hours]]&lt;=30, "21 - 30",TRUE, "31+")</f>
        <v>11 - 20</v>
      </c>
      <c r="U1262" t="str" cm="1">
        <f t="array" ref="U1262">_xlfn.IFS(student_scores[[#This Row],[absence_days]]=0,"0", student_scores[[#This Row],[absence_days]]&lt;=3,"1-3", student_scores[[#This Row],[absence_days]]&lt;=6,"4-6", TRUE,"7-10")</f>
        <v>1-3</v>
      </c>
      <c r="V1262" t="str">
        <f>IF(student_scores[[#This Row],[Total_Score]] &gt;= _xlfn.PERCENTILE.INC(student_scores[Total_Score], 0.8), "Yes", "No")</f>
        <v>No</v>
      </c>
    </row>
    <row r="1263" spans="1:22" x14ac:dyDescent="0.35">
      <c r="A1263">
        <v>1262</v>
      </c>
      <c r="B1263" t="s">
        <v>135</v>
      </c>
      <c r="C1263" t="s">
        <v>780</v>
      </c>
      <c r="D1263" t="s">
        <v>2216</v>
      </c>
      <c r="E1263" t="s">
        <v>20</v>
      </c>
      <c r="F1263" t="b">
        <v>0</v>
      </c>
      <c r="G1263">
        <v>3</v>
      </c>
      <c r="H1263" t="b">
        <v>1</v>
      </c>
      <c r="I1263">
        <v>21</v>
      </c>
      <c r="J1263" t="s">
        <v>26</v>
      </c>
      <c r="K1263">
        <v>96</v>
      </c>
      <c r="L1263">
        <v>79</v>
      </c>
      <c r="M1263">
        <v>92</v>
      </c>
      <c r="N1263">
        <v>85</v>
      </c>
      <c r="O1263">
        <v>95</v>
      </c>
      <c r="P1263">
        <v>69</v>
      </c>
      <c r="Q1263">
        <v>65</v>
      </c>
      <c r="R1263">
        <f>SUM(student_scores[[#This Row],[math_score]:[geography_score]])</f>
        <v>581</v>
      </c>
      <c r="S1263" s="3">
        <f>student_scores[[#This Row],[Total_Score]]/7</f>
        <v>83</v>
      </c>
      <c r="T1263" s="3" t="str" cm="1">
        <f t="array" ref="T1263">_xlfn.IFS(student_scores[[#This Row],[weekly_self_study_hours]]&lt;=5,   "0 - 5", student_scores[[#This Row],[weekly_self_study_hours]]&lt;=10,  "6 - 10", student_scores[[#This Row],[weekly_self_study_hours]]&lt;=20,  "11 - 20",student_scores[[#This Row],[weekly_self_study_hours]]&lt;=30, "21 - 30",TRUE, "31+")</f>
        <v>21 - 30</v>
      </c>
      <c r="U1263" t="str" cm="1">
        <f t="array" ref="U1263">_xlfn.IFS(student_scores[[#This Row],[absence_days]]=0,"0", student_scores[[#This Row],[absence_days]]&lt;=3,"1-3", student_scores[[#This Row],[absence_days]]&lt;=6,"4-6", TRUE,"7-10")</f>
        <v>1-3</v>
      </c>
      <c r="V1263" t="str">
        <f>IF(student_scores[[#This Row],[Total_Score]] &gt;= _xlfn.PERCENTILE.INC(student_scores[Total_Score], 0.8), "Yes", "No")</f>
        <v>No</v>
      </c>
    </row>
    <row r="1264" spans="1:22" x14ac:dyDescent="0.35">
      <c r="A1264">
        <v>1263</v>
      </c>
      <c r="B1264" t="s">
        <v>263</v>
      </c>
      <c r="C1264" t="s">
        <v>2217</v>
      </c>
      <c r="D1264" t="s">
        <v>2218</v>
      </c>
      <c r="E1264" t="s">
        <v>20</v>
      </c>
      <c r="F1264" t="b">
        <v>0</v>
      </c>
      <c r="G1264">
        <v>1</v>
      </c>
      <c r="H1264" t="b">
        <v>0</v>
      </c>
      <c r="I1264">
        <v>24</v>
      </c>
      <c r="J1264" t="s">
        <v>44</v>
      </c>
      <c r="K1264">
        <v>99</v>
      </c>
      <c r="L1264">
        <v>62</v>
      </c>
      <c r="M1264">
        <v>65</v>
      </c>
      <c r="N1264">
        <v>67</v>
      </c>
      <c r="O1264">
        <v>97</v>
      </c>
      <c r="P1264">
        <v>73</v>
      </c>
      <c r="Q1264">
        <v>96</v>
      </c>
      <c r="R1264">
        <f>SUM(student_scores[[#This Row],[math_score]:[geography_score]])</f>
        <v>559</v>
      </c>
      <c r="S1264" s="3">
        <f>student_scores[[#This Row],[Total_Score]]/7</f>
        <v>79.857142857142861</v>
      </c>
      <c r="T1264" s="3" t="str" cm="1">
        <f t="array" ref="T1264">_xlfn.IFS(student_scores[[#This Row],[weekly_self_study_hours]]&lt;=5,   "0 - 5", student_scores[[#This Row],[weekly_self_study_hours]]&lt;=10,  "6 - 10", student_scores[[#This Row],[weekly_self_study_hours]]&lt;=20,  "11 - 20",student_scores[[#This Row],[weekly_self_study_hours]]&lt;=30, "21 - 30",TRUE, "31+")</f>
        <v>21 - 30</v>
      </c>
      <c r="U1264" t="str" cm="1">
        <f t="array" ref="U1264">_xlfn.IFS(student_scores[[#This Row],[absence_days]]=0,"0", student_scores[[#This Row],[absence_days]]&lt;=3,"1-3", student_scores[[#This Row],[absence_days]]&lt;=6,"4-6", TRUE,"7-10")</f>
        <v>1-3</v>
      </c>
      <c r="V1264" t="str">
        <f>IF(student_scores[[#This Row],[Total_Score]] &gt;= _xlfn.PERCENTILE.INC(student_scores[Total_Score], 0.8), "Yes", "No")</f>
        <v>No</v>
      </c>
    </row>
    <row r="1265" spans="1:22" x14ac:dyDescent="0.35">
      <c r="A1265">
        <v>1264</v>
      </c>
      <c r="B1265" t="s">
        <v>369</v>
      </c>
      <c r="C1265" t="s">
        <v>236</v>
      </c>
      <c r="D1265" t="s">
        <v>2219</v>
      </c>
      <c r="E1265" t="s">
        <v>25</v>
      </c>
      <c r="F1265" t="b">
        <v>0</v>
      </c>
      <c r="G1265">
        <v>3</v>
      </c>
      <c r="H1265" t="b">
        <v>1</v>
      </c>
      <c r="I1265">
        <v>27</v>
      </c>
      <c r="J1265" t="s">
        <v>38</v>
      </c>
      <c r="K1265">
        <v>76</v>
      </c>
      <c r="L1265">
        <v>72</v>
      </c>
      <c r="M1265">
        <v>97</v>
      </c>
      <c r="N1265">
        <v>65</v>
      </c>
      <c r="O1265">
        <v>87</v>
      </c>
      <c r="P1265">
        <v>93</v>
      </c>
      <c r="Q1265">
        <v>84</v>
      </c>
      <c r="R1265">
        <f>SUM(student_scores[[#This Row],[math_score]:[geography_score]])</f>
        <v>574</v>
      </c>
      <c r="S1265" s="3">
        <f>student_scores[[#This Row],[Total_Score]]/7</f>
        <v>82</v>
      </c>
      <c r="T1265" s="3" t="str" cm="1">
        <f t="array" ref="T1265">_xlfn.IFS(student_scores[[#This Row],[weekly_self_study_hours]]&lt;=5,   "0 - 5", student_scores[[#This Row],[weekly_self_study_hours]]&lt;=10,  "6 - 10", student_scores[[#This Row],[weekly_self_study_hours]]&lt;=20,  "11 - 20",student_scores[[#This Row],[weekly_self_study_hours]]&lt;=30, "21 - 30",TRUE, "31+")</f>
        <v>21 - 30</v>
      </c>
      <c r="U1265" t="str" cm="1">
        <f t="array" ref="U1265">_xlfn.IFS(student_scores[[#This Row],[absence_days]]=0,"0", student_scores[[#This Row],[absence_days]]&lt;=3,"1-3", student_scores[[#This Row],[absence_days]]&lt;=6,"4-6", TRUE,"7-10")</f>
        <v>1-3</v>
      </c>
      <c r="V1265" t="str">
        <f>IF(student_scores[[#This Row],[Total_Score]] &gt;= _xlfn.PERCENTILE.INC(student_scores[Total_Score], 0.8), "Yes", "No")</f>
        <v>No</v>
      </c>
    </row>
    <row r="1266" spans="1:22" x14ac:dyDescent="0.35">
      <c r="A1266">
        <v>1265</v>
      </c>
      <c r="B1266" t="s">
        <v>148</v>
      </c>
      <c r="C1266" t="s">
        <v>660</v>
      </c>
      <c r="D1266" t="s">
        <v>2220</v>
      </c>
      <c r="E1266" t="s">
        <v>25</v>
      </c>
      <c r="F1266" t="b">
        <v>1</v>
      </c>
      <c r="G1266">
        <v>4</v>
      </c>
      <c r="H1266" t="b">
        <v>1</v>
      </c>
      <c r="I1266">
        <v>24</v>
      </c>
      <c r="J1266" t="s">
        <v>172</v>
      </c>
      <c r="K1266">
        <v>86</v>
      </c>
      <c r="L1266">
        <v>68</v>
      </c>
      <c r="M1266">
        <v>98</v>
      </c>
      <c r="N1266">
        <v>87</v>
      </c>
      <c r="O1266">
        <v>61</v>
      </c>
      <c r="P1266">
        <v>78</v>
      </c>
      <c r="Q1266">
        <v>96</v>
      </c>
      <c r="R1266">
        <f>SUM(student_scores[[#This Row],[math_score]:[geography_score]])</f>
        <v>574</v>
      </c>
      <c r="S1266" s="3">
        <f>student_scores[[#This Row],[Total_Score]]/7</f>
        <v>82</v>
      </c>
      <c r="T1266" s="3" t="str" cm="1">
        <f t="array" ref="T1266">_xlfn.IFS(student_scores[[#This Row],[weekly_self_study_hours]]&lt;=5,   "0 - 5", student_scores[[#This Row],[weekly_self_study_hours]]&lt;=10,  "6 - 10", student_scores[[#This Row],[weekly_self_study_hours]]&lt;=20,  "11 - 20",student_scores[[#This Row],[weekly_self_study_hours]]&lt;=30, "21 - 30",TRUE, "31+")</f>
        <v>21 - 30</v>
      </c>
      <c r="U1266" t="str" cm="1">
        <f t="array" ref="U1266">_xlfn.IFS(student_scores[[#This Row],[absence_days]]=0,"0", student_scores[[#This Row],[absence_days]]&lt;=3,"1-3", student_scores[[#This Row],[absence_days]]&lt;=6,"4-6", TRUE,"7-10")</f>
        <v>4-6</v>
      </c>
      <c r="V1266" t="str">
        <f>IF(student_scores[[#This Row],[Total_Score]] &gt;= _xlfn.PERCENTILE.INC(student_scores[Total_Score], 0.8), "Yes", "No")</f>
        <v>No</v>
      </c>
    </row>
    <row r="1267" spans="1:22" x14ac:dyDescent="0.35">
      <c r="A1267">
        <v>1266</v>
      </c>
      <c r="B1267" t="s">
        <v>473</v>
      </c>
      <c r="C1267" t="s">
        <v>833</v>
      </c>
      <c r="D1267" t="s">
        <v>2221</v>
      </c>
      <c r="E1267" t="s">
        <v>20</v>
      </c>
      <c r="F1267" t="b">
        <v>0</v>
      </c>
      <c r="G1267">
        <v>5</v>
      </c>
      <c r="H1267" t="b">
        <v>0</v>
      </c>
      <c r="I1267">
        <v>27</v>
      </c>
      <c r="J1267" t="s">
        <v>138</v>
      </c>
      <c r="K1267">
        <v>98</v>
      </c>
      <c r="L1267">
        <v>100</v>
      </c>
      <c r="M1267">
        <v>100</v>
      </c>
      <c r="N1267">
        <v>81</v>
      </c>
      <c r="O1267">
        <v>73</v>
      </c>
      <c r="P1267">
        <v>75</v>
      </c>
      <c r="Q1267">
        <v>99</v>
      </c>
      <c r="R1267">
        <f>SUM(student_scores[[#This Row],[math_score]:[geography_score]])</f>
        <v>626</v>
      </c>
      <c r="S1267" s="3">
        <f>student_scores[[#This Row],[Total_Score]]/7</f>
        <v>89.428571428571431</v>
      </c>
      <c r="T1267" s="3" t="str" cm="1">
        <f t="array" ref="T1267">_xlfn.IFS(student_scores[[#This Row],[weekly_self_study_hours]]&lt;=5,   "0 - 5", student_scores[[#This Row],[weekly_self_study_hours]]&lt;=10,  "6 - 10", student_scores[[#This Row],[weekly_self_study_hours]]&lt;=20,  "11 - 20",student_scores[[#This Row],[weekly_self_study_hours]]&lt;=30, "21 - 30",TRUE, "31+")</f>
        <v>21 - 30</v>
      </c>
      <c r="U1267" t="str" cm="1">
        <f t="array" ref="U1267">_xlfn.IFS(student_scores[[#This Row],[absence_days]]=0,"0", student_scores[[#This Row],[absence_days]]&lt;=3,"1-3", student_scores[[#This Row],[absence_days]]&lt;=6,"4-6", TRUE,"7-10")</f>
        <v>4-6</v>
      </c>
      <c r="V1267" t="str">
        <f>IF(student_scores[[#This Row],[Total_Score]] &gt;= _xlfn.PERCENTILE.INC(student_scores[Total_Score], 0.8), "Yes", "No")</f>
        <v>Yes</v>
      </c>
    </row>
    <row r="1268" spans="1:22" x14ac:dyDescent="0.35">
      <c r="A1268">
        <v>1267</v>
      </c>
      <c r="B1268" t="s">
        <v>676</v>
      </c>
      <c r="C1268" t="s">
        <v>1664</v>
      </c>
      <c r="D1268" t="s">
        <v>2222</v>
      </c>
      <c r="E1268" t="s">
        <v>20</v>
      </c>
      <c r="F1268" t="b">
        <v>0</v>
      </c>
      <c r="G1268">
        <v>3</v>
      </c>
      <c r="H1268" t="b">
        <v>0</v>
      </c>
      <c r="I1268">
        <v>14</v>
      </c>
      <c r="J1268" t="s">
        <v>30</v>
      </c>
      <c r="K1268">
        <v>88</v>
      </c>
      <c r="L1268">
        <v>74</v>
      </c>
      <c r="M1268">
        <v>88</v>
      </c>
      <c r="N1268">
        <v>92</v>
      </c>
      <c r="O1268">
        <v>83</v>
      </c>
      <c r="P1268">
        <v>71</v>
      </c>
      <c r="Q1268">
        <v>89</v>
      </c>
      <c r="R1268">
        <f>SUM(student_scores[[#This Row],[math_score]:[geography_score]])</f>
        <v>585</v>
      </c>
      <c r="S1268" s="3">
        <f>student_scores[[#This Row],[Total_Score]]/7</f>
        <v>83.571428571428569</v>
      </c>
      <c r="T1268" s="3" t="str" cm="1">
        <f t="array" ref="T1268">_xlfn.IFS(student_scores[[#This Row],[weekly_self_study_hours]]&lt;=5,   "0 - 5", student_scores[[#This Row],[weekly_self_study_hours]]&lt;=10,  "6 - 10", student_scores[[#This Row],[weekly_self_study_hours]]&lt;=20,  "11 - 20",student_scores[[#This Row],[weekly_self_study_hours]]&lt;=30, "21 - 30",TRUE, "31+")</f>
        <v>11 - 20</v>
      </c>
      <c r="U1268" t="str" cm="1">
        <f t="array" ref="U1268">_xlfn.IFS(student_scores[[#This Row],[absence_days]]=0,"0", student_scores[[#This Row],[absence_days]]&lt;=3,"1-3", student_scores[[#This Row],[absence_days]]&lt;=6,"4-6", TRUE,"7-10")</f>
        <v>1-3</v>
      </c>
      <c r="V1268" t="str">
        <f>IF(student_scores[[#This Row],[Total_Score]] &gt;= _xlfn.PERCENTILE.INC(student_scores[Total_Score], 0.8), "Yes", "No")</f>
        <v>No</v>
      </c>
    </row>
    <row r="1269" spans="1:22" x14ac:dyDescent="0.35">
      <c r="A1269">
        <v>1268</v>
      </c>
      <c r="B1269" t="s">
        <v>568</v>
      </c>
      <c r="C1269" t="s">
        <v>2223</v>
      </c>
      <c r="D1269" t="s">
        <v>2224</v>
      </c>
      <c r="E1269" t="s">
        <v>20</v>
      </c>
      <c r="F1269" t="b">
        <v>0</v>
      </c>
      <c r="G1269">
        <v>8</v>
      </c>
      <c r="H1269" t="b">
        <v>0</v>
      </c>
      <c r="I1269">
        <v>30</v>
      </c>
      <c r="J1269" t="s">
        <v>44</v>
      </c>
      <c r="K1269">
        <v>89</v>
      </c>
      <c r="L1269">
        <v>65</v>
      </c>
      <c r="M1269">
        <v>71</v>
      </c>
      <c r="N1269">
        <v>96</v>
      </c>
      <c r="O1269">
        <v>65</v>
      </c>
      <c r="P1269">
        <v>63</v>
      </c>
      <c r="Q1269">
        <v>100</v>
      </c>
      <c r="R1269">
        <f>SUM(student_scores[[#This Row],[math_score]:[geography_score]])</f>
        <v>549</v>
      </c>
      <c r="S1269" s="3">
        <f>student_scores[[#This Row],[Total_Score]]/7</f>
        <v>78.428571428571431</v>
      </c>
      <c r="T1269" s="3" t="str" cm="1">
        <f t="array" ref="T1269">_xlfn.IFS(student_scores[[#This Row],[weekly_self_study_hours]]&lt;=5,   "0 - 5", student_scores[[#This Row],[weekly_self_study_hours]]&lt;=10,  "6 - 10", student_scores[[#This Row],[weekly_self_study_hours]]&lt;=20,  "11 - 20",student_scores[[#This Row],[weekly_self_study_hours]]&lt;=30, "21 - 30",TRUE, "31+")</f>
        <v>21 - 30</v>
      </c>
      <c r="U1269" t="str" cm="1">
        <f t="array" ref="U1269">_xlfn.IFS(student_scores[[#This Row],[absence_days]]=0,"0", student_scores[[#This Row],[absence_days]]&lt;=3,"1-3", student_scores[[#This Row],[absence_days]]&lt;=6,"4-6", TRUE,"7-10")</f>
        <v>7-10</v>
      </c>
      <c r="V1269" t="str">
        <f>IF(student_scores[[#This Row],[Total_Score]] &gt;= _xlfn.PERCENTILE.INC(student_scores[Total_Score], 0.8), "Yes", "No")</f>
        <v>No</v>
      </c>
    </row>
    <row r="1270" spans="1:22" x14ac:dyDescent="0.35">
      <c r="A1270">
        <v>1269</v>
      </c>
      <c r="B1270" t="s">
        <v>388</v>
      </c>
      <c r="C1270" t="s">
        <v>42</v>
      </c>
      <c r="D1270" t="s">
        <v>2225</v>
      </c>
      <c r="E1270" t="s">
        <v>25</v>
      </c>
      <c r="F1270" t="b">
        <v>0</v>
      </c>
      <c r="G1270">
        <v>1</v>
      </c>
      <c r="H1270" t="b">
        <v>0</v>
      </c>
      <c r="I1270">
        <v>24</v>
      </c>
      <c r="J1270" t="s">
        <v>21</v>
      </c>
      <c r="K1270">
        <v>88</v>
      </c>
      <c r="L1270">
        <v>100</v>
      </c>
      <c r="M1270">
        <v>89</v>
      </c>
      <c r="N1270">
        <v>87</v>
      </c>
      <c r="O1270">
        <v>76</v>
      </c>
      <c r="P1270">
        <v>89</v>
      </c>
      <c r="Q1270">
        <v>85</v>
      </c>
      <c r="R1270">
        <f>SUM(student_scores[[#This Row],[math_score]:[geography_score]])</f>
        <v>614</v>
      </c>
      <c r="S1270" s="3">
        <f>student_scores[[#This Row],[Total_Score]]/7</f>
        <v>87.714285714285708</v>
      </c>
      <c r="T1270" s="3" t="str" cm="1">
        <f t="array" ref="T1270">_xlfn.IFS(student_scores[[#This Row],[weekly_self_study_hours]]&lt;=5,   "0 - 5", student_scores[[#This Row],[weekly_self_study_hours]]&lt;=10,  "6 - 10", student_scores[[#This Row],[weekly_self_study_hours]]&lt;=20,  "11 - 20",student_scores[[#This Row],[weekly_self_study_hours]]&lt;=30, "21 - 30",TRUE, "31+")</f>
        <v>21 - 30</v>
      </c>
      <c r="U1270" t="str" cm="1">
        <f t="array" ref="U1270">_xlfn.IFS(student_scores[[#This Row],[absence_days]]=0,"0", student_scores[[#This Row],[absence_days]]&lt;=3,"1-3", student_scores[[#This Row],[absence_days]]&lt;=6,"4-6", TRUE,"7-10")</f>
        <v>1-3</v>
      </c>
      <c r="V1270" t="str">
        <f>IF(student_scores[[#This Row],[Total_Score]] &gt;= _xlfn.PERCENTILE.INC(student_scores[Total_Score], 0.8), "Yes", "No")</f>
        <v>Yes</v>
      </c>
    </row>
    <row r="1271" spans="1:22" x14ac:dyDescent="0.35">
      <c r="A1271">
        <v>1270</v>
      </c>
      <c r="B1271" t="s">
        <v>92</v>
      </c>
      <c r="C1271" t="s">
        <v>143</v>
      </c>
      <c r="D1271" t="s">
        <v>2226</v>
      </c>
      <c r="E1271" t="s">
        <v>25</v>
      </c>
      <c r="F1271" t="b">
        <v>0</v>
      </c>
      <c r="G1271">
        <v>4</v>
      </c>
      <c r="H1271" t="b">
        <v>0</v>
      </c>
      <c r="I1271">
        <v>0</v>
      </c>
      <c r="J1271" t="s">
        <v>64</v>
      </c>
      <c r="K1271">
        <v>78</v>
      </c>
      <c r="L1271">
        <v>73</v>
      </c>
      <c r="M1271">
        <v>89</v>
      </c>
      <c r="N1271">
        <v>86</v>
      </c>
      <c r="O1271">
        <v>69</v>
      </c>
      <c r="P1271">
        <v>84</v>
      </c>
      <c r="Q1271">
        <v>97</v>
      </c>
      <c r="R1271">
        <f>SUM(student_scores[[#This Row],[math_score]:[geography_score]])</f>
        <v>576</v>
      </c>
      <c r="S1271" s="3">
        <f>student_scores[[#This Row],[Total_Score]]/7</f>
        <v>82.285714285714292</v>
      </c>
      <c r="T1271" s="3" t="str" cm="1">
        <f t="array" ref="T1271">_xlfn.IFS(student_scores[[#This Row],[weekly_self_study_hours]]&lt;=5,   "0 - 5", student_scores[[#This Row],[weekly_self_study_hours]]&lt;=10,  "6 - 10", student_scores[[#This Row],[weekly_self_study_hours]]&lt;=20,  "11 - 20",student_scores[[#This Row],[weekly_self_study_hours]]&lt;=30, "21 - 30",TRUE, "31+")</f>
        <v>0 - 5</v>
      </c>
      <c r="U1271" t="str" cm="1">
        <f t="array" ref="U1271">_xlfn.IFS(student_scores[[#This Row],[absence_days]]=0,"0", student_scores[[#This Row],[absence_days]]&lt;=3,"1-3", student_scores[[#This Row],[absence_days]]&lt;=6,"4-6", TRUE,"7-10")</f>
        <v>4-6</v>
      </c>
      <c r="V1271" t="str">
        <f>IF(student_scores[[#This Row],[Total_Score]] &gt;= _xlfn.PERCENTILE.INC(student_scores[Total_Score], 0.8), "Yes", "No")</f>
        <v>No</v>
      </c>
    </row>
    <row r="1272" spans="1:22" x14ac:dyDescent="0.35">
      <c r="A1272">
        <v>1271</v>
      </c>
      <c r="B1272" t="s">
        <v>163</v>
      </c>
      <c r="C1272" t="s">
        <v>927</v>
      </c>
      <c r="D1272" t="s">
        <v>2227</v>
      </c>
      <c r="E1272" t="s">
        <v>20</v>
      </c>
      <c r="F1272" t="b">
        <v>0</v>
      </c>
      <c r="G1272">
        <v>3</v>
      </c>
      <c r="H1272" t="b">
        <v>0</v>
      </c>
      <c r="I1272">
        <v>35</v>
      </c>
      <c r="J1272" t="s">
        <v>26</v>
      </c>
      <c r="K1272">
        <v>87</v>
      </c>
      <c r="L1272">
        <v>85</v>
      </c>
      <c r="M1272">
        <v>96</v>
      </c>
      <c r="N1272">
        <v>98</v>
      </c>
      <c r="O1272">
        <v>88</v>
      </c>
      <c r="P1272">
        <v>99</v>
      </c>
      <c r="Q1272">
        <v>92</v>
      </c>
      <c r="R1272">
        <f>SUM(student_scores[[#This Row],[math_score]:[geography_score]])</f>
        <v>645</v>
      </c>
      <c r="S1272" s="3">
        <f>student_scores[[#This Row],[Total_Score]]/7</f>
        <v>92.142857142857139</v>
      </c>
      <c r="T1272" s="3" t="str" cm="1">
        <f t="array" ref="T1272">_xlfn.IFS(student_scores[[#This Row],[weekly_self_study_hours]]&lt;=5,   "0 - 5", student_scores[[#This Row],[weekly_self_study_hours]]&lt;=10,  "6 - 10", student_scores[[#This Row],[weekly_self_study_hours]]&lt;=20,  "11 - 20",student_scores[[#This Row],[weekly_self_study_hours]]&lt;=30, "21 - 30",TRUE, "31+")</f>
        <v>31+</v>
      </c>
      <c r="U1272" t="str" cm="1">
        <f t="array" ref="U1272">_xlfn.IFS(student_scores[[#This Row],[absence_days]]=0,"0", student_scores[[#This Row],[absence_days]]&lt;=3,"1-3", student_scores[[#This Row],[absence_days]]&lt;=6,"4-6", TRUE,"7-10")</f>
        <v>1-3</v>
      </c>
      <c r="V1272" t="str">
        <f>IF(student_scores[[#This Row],[Total_Score]] &gt;= _xlfn.PERCENTILE.INC(student_scores[Total_Score], 0.8), "Yes", "No")</f>
        <v>Yes</v>
      </c>
    </row>
    <row r="1273" spans="1:22" x14ac:dyDescent="0.35">
      <c r="A1273">
        <v>1272</v>
      </c>
      <c r="B1273" t="s">
        <v>1027</v>
      </c>
      <c r="C1273" t="s">
        <v>435</v>
      </c>
      <c r="D1273" t="s">
        <v>2228</v>
      </c>
      <c r="E1273" t="s">
        <v>25</v>
      </c>
      <c r="F1273" t="b">
        <v>0</v>
      </c>
      <c r="G1273">
        <v>2</v>
      </c>
      <c r="H1273" t="b">
        <v>0</v>
      </c>
      <c r="I1273">
        <v>21</v>
      </c>
      <c r="J1273" t="s">
        <v>44</v>
      </c>
      <c r="K1273">
        <v>90</v>
      </c>
      <c r="L1273">
        <v>76</v>
      </c>
      <c r="M1273">
        <v>64</v>
      </c>
      <c r="N1273">
        <v>88</v>
      </c>
      <c r="O1273">
        <v>80</v>
      </c>
      <c r="P1273">
        <v>75</v>
      </c>
      <c r="Q1273">
        <v>70</v>
      </c>
      <c r="R1273">
        <f>SUM(student_scores[[#This Row],[math_score]:[geography_score]])</f>
        <v>543</v>
      </c>
      <c r="S1273" s="3">
        <f>student_scores[[#This Row],[Total_Score]]/7</f>
        <v>77.571428571428569</v>
      </c>
      <c r="T1273" s="3" t="str" cm="1">
        <f t="array" ref="T1273">_xlfn.IFS(student_scores[[#This Row],[weekly_self_study_hours]]&lt;=5,   "0 - 5", student_scores[[#This Row],[weekly_self_study_hours]]&lt;=10,  "6 - 10", student_scores[[#This Row],[weekly_self_study_hours]]&lt;=20,  "11 - 20",student_scores[[#This Row],[weekly_self_study_hours]]&lt;=30, "21 - 30",TRUE, "31+")</f>
        <v>21 - 30</v>
      </c>
      <c r="U1273" t="str" cm="1">
        <f t="array" ref="U1273">_xlfn.IFS(student_scores[[#This Row],[absence_days]]=0,"0", student_scores[[#This Row],[absence_days]]&lt;=3,"1-3", student_scores[[#This Row],[absence_days]]&lt;=6,"4-6", TRUE,"7-10")</f>
        <v>1-3</v>
      </c>
      <c r="V1273" t="str">
        <f>IF(student_scores[[#This Row],[Total_Score]] &gt;= _xlfn.PERCENTILE.INC(student_scores[Total_Score], 0.8), "Yes", "No")</f>
        <v>No</v>
      </c>
    </row>
    <row r="1274" spans="1:22" x14ac:dyDescent="0.35">
      <c r="A1274">
        <v>1273</v>
      </c>
      <c r="B1274" t="s">
        <v>135</v>
      </c>
      <c r="C1274" t="s">
        <v>2229</v>
      </c>
      <c r="D1274" t="s">
        <v>2230</v>
      </c>
      <c r="E1274" t="s">
        <v>20</v>
      </c>
      <c r="F1274" t="b">
        <v>1</v>
      </c>
      <c r="G1274">
        <v>1</v>
      </c>
      <c r="H1274" t="b">
        <v>0</v>
      </c>
      <c r="I1274">
        <v>15</v>
      </c>
      <c r="J1274" t="s">
        <v>113</v>
      </c>
      <c r="K1274">
        <v>88</v>
      </c>
      <c r="L1274">
        <v>67</v>
      </c>
      <c r="M1274">
        <v>90</v>
      </c>
      <c r="N1274">
        <v>89</v>
      </c>
      <c r="O1274">
        <v>49</v>
      </c>
      <c r="P1274">
        <v>85</v>
      </c>
      <c r="Q1274">
        <v>63</v>
      </c>
      <c r="R1274">
        <f>SUM(student_scores[[#This Row],[math_score]:[geography_score]])</f>
        <v>531</v>
      </c>
      <c r="S1274" s="3">
        <f>student_scores[[#This Row],[Total_Score]]/7</f>
        <v>75.857142857142861</v>
      </c>
      <c r="T1274" s="3" t="str" cm="1">
        <f t="array" ref="T1274">_xlfn.IFS(student_scores[[#This Row],[weekly_self_study_hours]]&lt;=5,   "0 - 5", student_scores[[#This Row],[weekly_self_study_hours]]&lt;=10,  "6 - 10", student_scores[[#This Row],[weekly_self_study_hours]]&lt;=20,  "11 - 20",student_scores[[#This Row],[weekly_self_study_hours]]&lt;=30, "21 - 30",TRUE, "31+")</f>
        <v>11 - 20</v>
      </c>
      <c r="U1274" t="str" cm="1">
        <f t="array" ref="U1274">_xlfn.IFS(student_scores[[#This Row],[absence_days]]=0,"0", student_scores[[#This Row],[absence_days]]&lt;=3,"1-3", student_scores[[#This Row],[absence_days]]&lt;=6,"4-6", TRUE,"7-10")</f>
        <v>1-3</v>
      </c>
      <c r="V1274" t="str">
        <f>IF(student_scores[[#This Row],[Total_Score]] &gt;= _xlfn.PERCENTILE.INC(student_scores[Total_Score], 0.8), "Yes", "No")</f>
        <v>No</v>
      </c>
    </row>
    <row r="1275" spans="1:22" x14ac:dyDescent="0.35">
      <c r="A1275">
        <v>1274</v>
      </c>
      <c r="B1275" t="s">
        <v>1036</v>
      </c>
      <c r="C1275" t="s">
        <v>2231</v>
      </c>
      <c r="D1275" t="s">
        <v>2232</v>
      </c>
      <c r="E1275" t="s">
        <v>25</v>
      </c>
      <c r="F1275" t="b">
        <v>0</v>
      </c>
      <c r="G1275">
        <v>1</v>
      </c>
      <c r="H1275" t="b">
        <v>0</v>
      </c>
      <c r="I1275">
        <v>5</v>
      </c>
      <c r="J1275" t="s">
        <v>159</v>
      </c>
      <c r="K1275">
        <v>99</v>
      </c>
      <c r="L1275">
        <v>72</v>
      </c>
      <c r="M1275">
        <v>90</v>
      </c>
      <c r="N1275">
        <v>83</v>
      </c>
      <c r="O1275">
        <v>90</v>
      </c>
      <c r="P1275">
        <v>99</v>
      </c>
      <c r="Q1275">
        <v>97</v>
      </c>
      <c r="R1275">
        <f>SUM(student_scores[[#This Row],[math_score]:[geography_score]])</f>
        <v>630</v>
      </c>
      <c r="S1275" s="3">
        <f>student_scores[[#This Row],[Total_Score]]/7</f>
        <v>90</v>
      </c>
      <c r="T1275" s="3" t="str" cm="1">
        <f t="array" ref="T1275">_xlfn.IFS(student_scores[[#This Row],[weekly_self_study_hours]]&lt;=5,   "0 - 5", student_scores[[#This Row],[weekly_self_study_hours]]&lt;=10,  "6 - 10", student_scores[[#This Row],[weekly_self_study_hours]]&lt;=20,  "11 - 20",student_scores[[#This Row],[weekly_self_study_hours]]&lt;=30, "21 - 30",TRUE, "31+")</f>
        <v>0 - 5</v>
      </c>
      <c r="U1275" t="str" cm="1">
        <f t="array" ref="U1275">_xlfn.IFS(student_scores[[#This Row],[absence_days]]=0,"0", student_scores[[#This Row],[absence_days]]&lt;=3,"1-3", student_scores[[#This Row],[absence_days]]&lt;=6,"4-6", TRUE,"7-10")</f>
        <v>1-3</v>
      </c>
      <c r="V1275" t="str">
        <f>IF(student_scores[[#This Row],[Total_Score]] &gt;= _xlfn.PERCENTILE.INC(student_scores[Total_Score], 0.8), "Yes", "No")</f>
        <v>Yes</v>
      </c>
    </row>
    <row r="1276" spans="1:22" x14ac:dyDescent="0.35">
      <c r="A1276">
        <v>1275</v>
      </c>
      <c r="B1276" t="s">
        <v>254</v>
      </c>
      <c r="C1276" t="s">
        <v>212</v>
      </c>
      <c r="D1276" t="s">
        <v>2233</v>
      </c>
      <c r="E1276" t="s">
        <v>20</v>
      </c>
      <c r="F1276" t="b">
        <v>1</v>
      </c>
      <c r="G1276">
        <v>10</v>
      </c>
      <c r="H1276" t="b">
        <v>0</v>
      </c>
      <c r="I1276">
        <v>3</v>
      </c>
      <c r="J1276" t="s">
        <v>64</v>
      </c>
      <c r="K1276">
        <v>41</v>
      </c>
      <c r="L1276">
        <v>99</v>
      </c>
      <c r="M1276">
        <v>84</v>
      </c>
      <c r="N1276">
        <v>63</v>
      </c>
      <c r="O1276">
        <v>92</v>
      </c>
      <c r="P1276">
        <v>72</v>
      </c>
      <c r="Q1276">
        <v>81</v>
      </c>
      <c r="R1276">
        <f>SUM(student_scores[[#This Row],[math_score]:[geography_score]])</f>
        <v>532</v>
      </c>
      <c r="S1276" s="3">
        <f>student_scores[[#This Row],[Total_Score]]/7</f>
        <v>76</v>
      </c>
      <c r="T1276" s="3" t="str" cm="1">
        <f t="array" ref="T1276">_xlfn.IFS(student_scores[[#This Row],[weekly_self_study_hours]]&lt;=5,   "0 - 5", student_scores[[#This Row],[weekly_self_study_hours]]&lt;=10,  "6 - 10", student_scores[[#This Row],[weekly_self_study_hours]]&lt;=20,  "11 - 20",student_scores[[#This Row],[weekly_self_study_hours]]&lt;=30, "21 - 30",TRUE, "31+")</f>
        <v>0 - 5</v>
      </c>
      <c r="U1276" t="str" cm="1">
        <f t="array" ref="U1276">_xlfn.IFS(student_scores[[#This Row],[absence_days]]=0,"0", student_scores[[#This Row],[absence_days]]&lt;=3,"1-3", student_scores[[#This Row],[absence_days]]&lt;=6,"4-6", TRUE,"7-10")</f>
        <v>7-10</v>
      </c>
      <c r="V1276" t="str">
        <f>IF(student_scores[[#This Row],[Total_Score]] &gt;= _xlfn.PERCENTILE.INC(student_scores[Total_Score], 0.8), "Yes", "No")</f>
        <v>No</v>
      </c>
    </row>
    <row r="1277" spans="1:22" x14ac:dyDescent="0.35">
      <c r="A1277">
        <v>1276</v>
      </c>
      <c r="B1277" t="s">
        <v>1034</v>
      </c>
      <c r="C1277" t="s">
        <v>1374</v>
      </c>
      <c r="D1277" t="s">
        <v>2234</v>
      </c>
      <c r="E1277" t="s">
        <v>25</v>
      </c>
      <c r="F1277" t="b">
        <v>0</v>
      </c>
      <c r="G1277">
        <v>4</v>
      </c>
      <c r="H1277" t="b">
        <v>0</v>
      </c>
      <c r="I1277">
        <v>8</v>
      </c>
      <c r="J1277" t="s">
        <v>30</v>
      </c>
      <c r="K1277">
        <v>98</v>
      </c>
      <c r="L1277">
        <v>90</v>
      </c>
      <c r="M1277">
        <v>70</v>
      </c>
      <c r="N1277">
        <v>97</v>
      </c>
      <c r="O1277">
        <v>69</v>
      </c>
      <c r="P1277">
        <v>79</v>
      </c>
      <c r="Q1277">
        <v>74</v>
      </c>
      <c r="R1277">
        <f>SUM(student_scores[[#This Row],[math_score]:[geography_score]])</f>
        <v>577</v>
      </c>
      <c r="S1277" s="3">
        <f>student_scores[[#This Row],[Total_Score]]/7</f>
        <v>82.428571428571431</v>
      </c>
      <c r="T1277" s="3" t="str" cm="1">
        <f t="array" ref="T1277">_xlfn.IFS(student_scores[[#This Row],[weekly_self_study_hours]]&lt;=5,   "0 - 5", student_scores[[#This Row],[weekly_self_study_hours]]&lt;=10,  "6 - 10", student_scores[[#This Row],[weekly_self_study_hours]]&lt;=20,  "11 - 20",student_scores[[#This Row],[weekly_self_study_hours]]&lt;=30, "21 - 30",TRUE, "31+")</f>
        <v>6 - 10</v>
      </c>
      <c r="U1277" t="str" cm="1">
        <f t="array" ref="U1277">_xlfn.IFS(student_scores[[#This Row],[absence_days]]=0,"0", student_scores[[#This Row],[absence_days]]&lt;=3,"1-3", student_scores[[#This Row],[absence_days]]&lt;=6,"4-6", TRUE,"7-10")</f>
        <v>4-6</v>
      </c>
      <c r="V1277" t="str">
        <f>IF(student_scores[[#This Row],[Total_Score]] &gt;= _xlfn.PERCENTILE.INC(student_scores[Total_Score], 0.8), "Yes", "No")</f>
        <v>No</v>
      </c>
    </row>
    <row r="1278" spans="1:22" x14ac:dyDescent="0.35">
      <c r="A1278">
        <v>1277</v>
      </c>
      <c r="B1278" t="s">
        <v>1387</v>
      </c>
      <c r="C1278" t="s">
        <v>2235</v>
      </c>
      <c r="D1278" t="s">
        <v>2236</v>
      </c>
      <c r="E1278" t="s">
        <v>25</v>
      </c>
      <c r="F1278" t="b">
        <v>0</v>
      </c>
      <c r="G1278">
        <v>0</v>
      </c>
      <c r="H1278" t="b">
        <v>0</v>
      </c>
      <c r="I1278">
        <v>1</v>
      </c>
      <c r="J1278" t="s">
        <v>159</v>
      </c>
      <c r="K1278">
        <v>91</v>
      </c>
      <c r="L1278">
        <v>66</v>
      </c>
      <c r="M1278">
        <v>91</v>
      </c>
      <c r="N1278">
        <v>62</v>
      </c>
      <c r="O1278">
        <v>82</v>
      </c>
      <c r="P1278">
        <v>69</v>
      </c>
      <c r="Q1278">
        <v>62</v>
      </c>
      <c r="R1278">
        <f>SUM(student_scores[[#This Row],[math_score]:[geography_score]])</f>
        <v>523</v>
      </c>
      <c r="S1278" s="3">
        <f>student_scores[[#This Row],[Total_Score]]/7</f>
        <v>74.714285714285708</v>
      </c>
      <c r="T1278" s="3" t="str" cm="1">
        <f t="array" ref="T1278">_xlfn.IFS(student_scores[[#This Row],[weekly_self_study_hours]]&lt;=5,   "0 - 5", student_scores[[#This Row],[weekly_self_study_hours]]&lt;=10,  "6 - 10", student_scores[[#This Row],[weekly_self_study_hours]]&lt;=20,  "11 - 20",student_scores[[#This Row],[weekly_self_study_hours]]&lt;=30, "21 - 30",TRUE, "31+")</f>
        <v>0 - 5</v>
      </c>
      <c r="U1278" t="str" cm="1">
        <f t="array" ref="U1278">_xlfn.IFS(student_scores[[#This Row],[absence_days]]=0,"0", student_scores[[#This Row],[absence_days]]&lt;=3,"1-3", student_scores[[#This Row],[absence_days]]&lt;=6,"4-6", TRUE,"7-10")</f>
        <v>0</v>
      </c>
      <c r="V1278" t="str">
        <f>IF(student_scores[[#This Row],[Total_Score]] &gt;= _xlfn.PERCENTILE.INC(student_scores[Total_Score], 0.8), "Yes", "No")</f>
        <v>No</v>
      </c>
    </row>
    <row r="1279" spans="1:22" x14ac:dyDescent="0.35">
      <c r="A1279">
        <v>1278</v>
      </c>
      <c r="B1279" t="s">
        <v>493</v>
      </c>
      <c r="C1279" t="s">
        <v>950</v>
      </c>
      <c r="D1279" t="s">
        <v>2237</v>
      </c>
      <c r="E1279" t="s">
        <v>25</v>
      </c>
      <c r="F1279" t="b">
        <v>1</v>
      </c>
      <c r="G1279">
        <v>9</v>
      </c>
      <c r="H1279" t="b">
        <v>1</v>
      </c>
      <c r="I1279">
        <v>5</v>
      </c>
      <c r="J1279" t="s">
        <v>64</v>
      </c>
      <c r="K1279">
        <v>68</v>
      </c>
      <c r="L1279">
        <v>72</v>
      </c>
      <c r="M1279">
        <v>92</v>
      </c>
      <c r="N1279">
        <v>51</v>
      </c>
      <c r="O1279">
        <v>96</v>
      </c>
      <c r="P1279">
        <v>88</v>
      </c>
      <c r="Q1279">
        <v>81</v>
      </c>
      <c r="R1279">
        <f>SUM(student_scores[[#This Row],[math_score]:[geography_score]])</f>
        <v>548</v>
      </c>
      <c r="S1279" s="3">
        <f>student_scores[[#This Row],[Total_Score]]/7</f>
        <v>78.285714285714292</v>
      </c>
      <c r="T1279" s="3" t="str" cm="1">
        <f t="array" ref="T1279">_xlfn.IFS(student_scores[[#This Row],[weekly_self_study_hours]]&lt;=5,   "0 - 5", student_scores[[#This Row],[weekly_self_study_hours]]&lt;=10,  "6 - 10", student_scores[[#This Row],[weekly_self_study_hours]]&lt;=20,  "11 - 20",student_scores[[#This Row],[weekly_self_study_hours]]&lt;=30, "21 - 30",TRUE, "31+")</f>
        <v>0 - 5</v>
      </c>
      <c r="U1279" t="str" cm="1">
        <f t="array" ref="U1279">_xlfn.IFS(student_scores[[#This Row],[absence_days]]=0,"0", student_scores[[#This Row],[absence_days]]&lt;=3,"1-3", student_scores[[#This Row],[absence_days]]&lt;=6,"4-6", TRUE,"7-10")</f>
        <v>7-10</v>
      </c>
      <c r="V1279" t="str">
        <f>IF(student_scores[[#This Row],[Total_Score]] &gt;= _xlfn.PERCENTILE.INC(student_scores[Total_Score], 0.8), "Yes", "No")</f>
        <v>No</v>
      </c>
    </row>
    <row r="1280" spans="1:22" x14ac:dyDescent="0.35">
      <c r="A1280">
        <v>1279</v>
      </c>
      <c r="B1280" t="s">
        <v>22</v>
      </c>
      <c r="C1280" t="s">
        <v>2238</v>
      </c>
      <c r="D1280" t="s">
        <v>2239</v>
      </c>
      <c r="E1280" t="s">
        <v>25</v>
      </c>
      <c r="F1280" t="b">
        <v>1</v>
      </c>
      <c r="G1280">
        <v>1</v>
      </c>
      <c r="H1280" t="b">
        <v>1</v>
      </c>
      <c r="I1280">
        <v>26</v>
      </c>
      <c r="J1280" t="s">
        <v>105</v>
      </c>
      <c r="K1280">
        <v>79</v>
      </c>
      <c r="L1280">
        <v>100</v>
      </c>
      <c r="M1280">
        <v>79</v>
      </c>
      <c r="N1280">
        <v>60</v>
      </c>
      <c r="O1280">
        <v>100</v>
      </c>
      <c r="P1280">
        <v>84</v>
      </c>
      <c r="Q1280">
        <v>93</v>
      </c>
      <c r="R1280">
        <f>SUM(student_scores[[#This Row],[math_score]:[geography_score]])</f>
        <v>595</v>
      </c>
      <c r="S1280" s="3">
        <f>student_scores[[#This Row],[Total_Score]]/7</f>
        <v>85</v>
      </c>
      <c r="T1280" s="3" t="str" cm="1">
        <f t="array" ref="T1280">_xlfn.IFS(student_scores[[#This Row],[weekly_self_study_hours]]&lt;=5,   "0 - 5", student_scores[[#This Row],[weekly_self_study_hours]]&lt;=10,  "6 - 10", student_scores[[#This Row],[weekly_self_study_hours]]&lt;=20,  "11 - 20",student_scores[[#This Row],[weekly_self_study_hours]]&lt;=30, "21 - 30",TRUE, "31+")</f>
        <v>21 - 30</v>
      </c>
      <c r="U1280" t="str" cm="1">
        <f t="array" ref="U1280">_xlfn.IFS(student_scores[[#This Row],[absence_days]]=0,"0", student_scores[[#This Row],[absence_days]]&lt;=3,"1-3", student_scores[[#This Row],[absence_days]]&lt;=6,"4-6", TRUE,"7-10")</f>
        <v>1-3</v>
      </c>
      <c r="V1280" t="str">
        <f>IF(student_scores[[#This Row],[Total_Score]] &gt;= _xlfn.PERCENTILE.INC(student_scores[Total_Score], 0.8), "Yes", "No")</f>
        <v>No</v>
      </c>
    </row>
    <row r="1281" spans="1:22" x14ac:dyDescent="0.35">
      <c r="A1281">
        <v>1280</v>
      </c>
      <c r="B1281" t="s">
        <v>921</v>
      </c>
      <c r="C1281" t="s">
        <v>778</v>
      </c>
      <c r="D1281" t="s">
        <v>2240</v>
      </c>
      <c r="E1281" t="s">
        <v>25</v>
      </c>
      <c r="F1281" t="b">
        <v>0</v>
      </c>
      <c r="G1281">
        <v>2</v>
      </c>
      <c r="H1281" t="b">
        <v>0</v>
      </c>
      <c r="I1281">
        <v>24</v>
      </c>
      <c r="J1281" t="s">
        <v>105</v>
      </c>
      <c r="K1281">
        <v>77</v>
      </c>
      <c r="L1281">
        <v>66</v>
      </c>
      <c r="M1281">
        <v>61</v>
      </c>
      <c r="N1281">
        <v>98</v>
      </c>
      <c r="O1281">
        <v>90</v>
      </c>
      <c r="P1281">
        <v>95</v>
      </c>
      <c r="Q1281">
        <v>73</v>
      </c>
      <c r="R1281">
        <f>SUM(student_scores[[#This Row],[math_score]:[geography_score]])</f>
        <v>560</v>
      </c>
      <c r="S1281" s="3">
        <f>student_scores[[#This Row],[Total_Score]]/7</f>
        <v>80</v>
      </c>
      <c r="T1281" s="3" t="str" cm="1">
        <f t="array" ref="T1281">_xlfn.IFS(student_scores[[#This Row],[weekly_self_study_hours]]&lt;=5,   "0 - 5", student_scores[[#This Row],[weekly_self_study_hours]]&lt;=10,  "6 - 10", student_scores[[#This Row],[weekly_self_study_hours]]&lt;=20,  "11 - 20",student_scores[[#This Row],[weekly_self_study_hours]]&lt;=30, "21 - 30",TRUE, "31+")</f>
        <v>21 - 30</v>
      </c>
      <c r="U1281" t="str" cm="1">
        <f t="array" ref="U1281">_xlfn.IFS(student_scores[[#This Row],[absence_days]]=0,"0", student_scores[[#This Row],[absence_days]]&lt;=3,"1-3", student_scores[[#This Row],[absence_days]]&lt;=6,"4-6", TRUE,"7-10")</f>
        <v>1-3</v>
      </c>
      <c r="V1281" t="str">
        <f>IF(student_scores[[#This Row],[Total_Score]] &gt;= _xlfn.PERCENTILE.INC(student_scores[Total_Score], 0.8), "Yes", "No")</f>
        <v>No</v>
      </c>
    </row>
    <row r="1282" spans="1:22" x14ac:dyDescent="0.35">
      <c r="A1282">
        <v>1281</v>
      </c>
      <c r="B1282" t="s">
        <v>190</v>
      </c>
      <c r="C1282" t="s">
        <v>726</v>
      </c>
      <c r="D1282" t="s">
        <v>2241</v>
      </c>
      <c r="E1282" t="s">
        <v>25</v>
      </c>
      <c r="F1282" t="b">
        <v>0</v>
      </c>
      <c r="G1282">
        <v>5</v>
      </c>
      <c r="H1282" t="b">
        <v>0</v>
      </c>
      <c r="I1282">
        <v>24</v>
      </c>
      <c r="J1282" t="s">
        <v>105</v>
      </c>
      <c r="K1282">
        <v>89</v>
      </c>
      <c r="L1282">
        <v>100</v>
      </c>
      <c r="M1282">
        <v>90</v>
      </c>
      <c r="N1282">
        <v>81</v>
      </c>
      <c r="O1282">
        <v>86</v>
      </c>
      <c r="P1282">
        <v>80</v>
      </c>
      <c r="Q1282">
        <v>92</v>
      </c>
      <c r="R1282">
        <f>SUM(student_scores[[#This Row],[math_score]:[geography_score]])</f>
        <v>618</v>
      </c>
      <c r="S1282" s="3">
        <f>student_scores[[#This Row],[Total_Score]]/7</f>
        <v>88.285714285714292</v>
      </c>
      <c r="T1282" s="3" t="str" cm="1">
        <f t="array" ref="T1282">_xlfn.IFS(student_scores[[#This Row],[weekly_self_study_hours]]&lt;=5,   "0 - 5", student_scores[[#This Row],[weekly_self_study_hours]]&lt;=10,  "6 - 10", student_scores[[#This Row],[weekly_self_study_hours]]&lt;=20,  "11 - 20",student_scores[[#This Row],[weekly_self_study_hours]]&lt;=30, "21 - 30",TRUE, "31+")</f>
        <v>21 - 30</v>
      </c>
      <c r="U1282" t="str" cm="1">
        <f t="array" ref="U1282">_xlfn.IFS(student_scores[[#This Row],[absence_days]]=0,"0", student_scores[[#This Row],[absence_days]]&lt;=3,"1-3", student_scores[[#This Row],[absence_days]]&lt;=6,"4-6", TRUE,"7-10")</f>
        <v>4-6</v>
      </c>
      <c r="V1282" t="str">
        <f>IF(student_scores[[#This Row],[Total_Score]] &gt;= _xlfn.PERCENTILE.INC(student_scores[Total_Score], 0.8), "Yes", "No")</f>
        <v>Yes</v>
      </c>
    </row>
    <row r="1283" spans="1:22" x14ac:dyDescent="0.35">
      <c r="A1283">
        <v>1282</v>
      </c>
      <c r="B1283" t="s">
        <v>94</v>
      </c>
      <c r="C1283" t="s">
        <v>423</v>
      </c>
      <c r="D1283" t="s">
        <v>2242</v>
      </c>
      <c r="E1283" t="s">
        <v>20</v>
      </c>
      <c r="F1283" t="b">
        <v>1</v>
      </c>
      <c r="G1283">
        <v>0</v>
      </c>
      <c r="H1283" t="b">
        <v>1</v>
      </c>
      <c r="I1283">
        <v>9</v>
      </c>
      <c r="J1283" t="s">
        <v>224</v>
      </c>
      <c r="K1283">
        <v>94</v>
      </c>
      <c r="L1283">
        <v>69</v>
      </c>
      <c r="M1283">
        <v>80</v>
      </c>
      <c r="N1283">
        <v>66</v>
      </c>
      <c r="O1283">
        <v>62</v>
      </c>
      <c r="P1283">
        <v>61</v>
      </c>
      <c r="Q1283">
        <v>88</v>
      </c>
      <c r="R1283">
        <f>SUM(student_scores[[#This Row],[math_score]:[geography_score]])</f>
        <v>520</v>
      </c>
      <c r="S1283" s="3">
        <f>student_scores[[#This Row],[Total_Score]]/7</f>
        <v>74.285714285714292</v>
      </c>
      <c r="T1283" s="3" t="str" cm="1">
        <f t="array" ref="T1283">_xlfn.IFS(student_scores[[#This Row],[weekly_self_study_hours]]&lt;=5,   "0 - 5", student_scores[[#This Row],[weekly_self_study_hours]]&lt;=10,  "6 - 10", student_scores[[#This Row],[weekly_self_study_hours]]&lt;=20,  "11 - 20",student_scores[[#This Row],[weekly_self_study_hours]]&lt;=30, "21 - 30",TRUE, "31+")</f>
        <v>6 - 10</v>
      </c>
      <c r="U1283" t="str" cm="1">
        <f t="array" ref="U1283">_xlfn.IFS(student_scores[[#This Row],[absence_days]]=0,"0", student_scores[[#This Row],[absence_days]]&lt;=3,"1-3", student_scores[[#This Row],[absence_days]]&lt;=6,"4-6", TRUE,"7-10")</f>
        <v>0</v>
      </c>
      <c r="V1283" t="str">
        <f>IF(student_scores[[#This Row],[Total_Score]] &gt;= _xlfn.PERCENTILE.INC(student_scores[Total_Score], 0.8), "Yes", "No")</f>
        <v>No</v>
      </c>
    </row>
    <row r="1284" spans="1:22" x14ac:dyDescent="0.35">
      <c r="A1284">
        <v>1283</v>
      </c>
      <c r="B1284" t="s">
        <v>135</v>
      </c>
      <c r="C1284" t="s">
        <v>1424</v>
      </c>
      <c r="D1284" t="s">
        <v>2243</v>
      </c>
      <c r="E1284" t="s">
        <v>20</v>
      </c>
      <c r="F1284" t="b">
        <v>0</v>
      </c>
      <c r="G1284">
        <v>2</v>
      </c>
      <c r="H1284" t="b">
        <v>0</v>
      </c>
      <c r="I1284">
        <v>3</v>
      </c>
      <c r="J1284" t="s">
        <v>34</v>
      </c>
      <c r="K1284">
        <v>80</v>
      </c>
      <c r="L1284">
        <v>85</v>
      </c>
      <c r="M1284">
        <v>85</v>
      </c>
      <c r="N1284">
        <v>60</v>
      </c>
      <c r="O1284">
        <v>77</v>
      </c>
      <c r="P1284">
        <v>90</v>
      </c>
      <c r="Q1284">
        <v>81</v>
      </c>
      <c r="R1284">
        <f>SUM(student_scores[[#This Row],[math_score]:[geography_score]])</f>
        <v>558</v>
      </c>
      <c r="S1284" s="3">
        <f>student_scores[[#This Row],[Total_Score]]/7</f>
        <v>79.714285714285708</v>
      </c>
      <c r="T1284" s="3" t="str" cm="1">
        <f t="array" ref="T1284">_xlfn.IFS(student_scores[[#This Row],[weekly_self_study_hours]]&lt;=5,   "0 - 5", student_scores[[#This Row],[weekly_self_study_hours]]&lt;=10,  "6 - 10", student_scores[[#This Row],[weekly_self_study_hours]]&lt;=20,  "11 - 20",student_scores[[#This Row],[weekly_self_study_hours]]&lt;=30, "21 - 30",TRUE, "31+")</f>
        <v>0 - 5</v>
      </c>
      <c r="U1284" t="str" cm="1">
        <f t="array" ref="U1284">_xlfn.IFS(student_scores[[#This Row],[absence_days]]=0,"0", student_scores[[#This Row],[absence_days]]&lt;=3,"1-3", student_scores[[#This Row],[absence_days]]&lt;=6,"4-6", TRUE,"7-10")</f>
        <v>1-3</v>
      </c>
      <c r="V1284" t="str">
        <f>IF(student_scores[[#This Row],[Total_Score]] &gt;= _xlfn.PERCENTILE.INC(student_scores[Total_Score], 0.8), "Yes", "No")</f>
        <v>No</v>
      </c>
    </row>
    <row r="1285" spans="1:22" x14ac:dyDescent="0.35">
      <c r="A1285">
        <v>1284</v>
      </c>
      <c r="B1285" t="s">
        <v>277</v>
      </c>
      <c r="C1285" t="s">
        <v>1329</v>
      </c>
      <c r="D1285" t="s">
        <v>2244</v>
      </c>
      <c r="E1285" t="s">
        <v>20</v>
      </c>
      <c r="F1285" t="b">
        <v>0</v>
      </c>
      <c r="G1285">
        <v>2</v>
      </c>
      <c r="H1285" t="b">
        <v>0</v>
      </c>
      <c r="I1285">
        <v>1</v>
      </c>
      <c r="J1285" t="s">
        <v>34</v>
      </c>
      <c r="K1285">
        <v>79</v>
      </c>
      <c r="L1285">
        <v>88</v>
      </c>
      <c r="M1285">
        <v>97</v>
      </c>
      <c r="N1285">
        <v>94</v>
      </c>
      <c r="O1285">
        <v>89</v>
      </c>
      <c r="P1285">
        <v>82</v>
      </c>
      <c r="Q1285">
        <v>97</v>
      </c>
      <c r="R1285">
        <f>SUM(student_scores[[#This Row],[math_score]:[geography_score]])</f>
        <v>626</v>
      </c>
      <c r="S1285" s="3">
        <f>student_scores[[#This Row],[Total_Score]]/7</f>
        <v>89.428571428571431</v>
      </c>
      <c r="T1285" s="3" t="str" cm="1">
        <f t="array" ref="T1285">_xlfn.IFS(student_scores[[#This Row],[weekly_self_study_hours]]&lt;=5,   "0 - 5", student_scores[[#This Row],[weekly_self_study_hours]]&lt;=10,  "6 - 10", student_scores[[#This Row],[weekly_self_study_hours]]&lt;=20,  "11 - 20",student_scores[[#This Row],[weekly_self_study_hours]]&lt;=30, "21 - 30",TRUE, "31+")</f>
        <v>0 - 5</v>
      </c>
      <c r="U1285" t="str" cm="1">
        <f t="array" ref="U1285">_xlfn.IFS(student_scores[[#This Row],[absence_days]]=0,"0", student_scores[[#This Row],[absence_days]]&lt;=3,"1-3", student_scores[[#This Row],[absence_days]]&lt;=6,"4-6", TRUE,"7-10")</f>
        <v>1-3</v>
      </c>
      <c r="V1285" t="str">
        <f>IF(student_scores[[#This Row],[Total_Score]] &gt;= _xlfn.PERCENTILE.INC(student_scores[Total_Score], 0.8), "Yes", "No")</f>
        <v>Yes</v>
      </c>
    </row>
    <row r="1286" spans="1:22" x14ac:dyDescent="0.35">
      <c r="A1286">
        <v>1285</v>
      </c>
      <c r="B1286" t="s">
        <v>1034</v>
      </c>
      <c r="C1286" t="s">
        <v>423</v>
      </c>
      <c r="D1286" t="s">
        <v>2245</v>
      </c>
      <c r="E1286" t="s">
        <v>25</v>
      </c>
      <c r="F1286" t="b">
        <v>0</v>
      </c>
      <c r="G1286">
        <v>2</v>
      </c>
      <c r="H1286" t="b">
        <v>0</v>
      </c>
      <c r="I1286">
        <v>15</v>
      </c>
      <c r="J1286" t="s">
        <v>105</v>
      </c>
      <c r="K1286">
        <v>92</v>
      </c>
      <c r="L1286">
        <v>65</v>
      </c>
      <c r="M1286">
        <v>88</v>
      </c>
      <c r="N1286">
        <v>78</v>
      </c>
      <c r="O1286">
        <v>67</v>
      </c>
      <c r="P1286">
        <v>95</v>
      </c>
      <c r="Q1286">
        <v>96</v>
      </c>
      <c r="R1286">
        <f>SUM(student_scores[[#This Row],[math_score]:[geography_score]])</f>
        <v>581</v>
      </c>
      <c r="S1286" s="3">
        <f>student_scores[[#This Row],[Total_Score]]/7</f>
        <v>83</v>
      </c>
      <c r="T1286" s="3" t="str" cm="1">
        <f t="array" ref="T1286">_xlfn.IFS(student_scores[[#This Row],[weekly_self_study_hours]]&lt;=5,   "0 - 5", student_scores[[#This Row],[weekly_self_study_hours]]&lt;=10,  "6 - 10", student_scores[[#This Row],[weekly_self_study_hours]]&lt;=20,  "11 - 20",student_scores[[#This Row],[weekly_self_study_hours]]&lt;=30, "21 - 30",TRUE, "31+")</f>
        <v>11 - 20</v>
      </c>
      <c r="U1286" t="str" cm="1">
        <f t="array" ref="U1286">_xlfn.IFS(student_scores[[#This Row],[absence_days]]=0,"0", student_scores[[#This Row],[absence_days]]&lt;=3,"1-3", student_scores[[#This Row],[absence_days]]&lt;=6,"4-6", TRUE,"7-10")</f>
        <v>1-3</v>
      </c>
      <c r="V1286" t="str">
        <f>IF(student_scores[[#This Row],[Total_Score]] &gt;= _xlfn.PERCENTILE.INC(student_scores[Total_Score], 0.8), "Yes", "No")</f>
        <v>No</v>
      </c>
    </row>
    <row r="1287" spans="1:22" x14ac:dyDescent="0.35">
      <c r="A1287">
        <v>1286</v>
      </c>
      <c r="B1287" t="s">
        <v>868</v>
      </c>
      <c r="C1287" t="s">
        <v>586</v>
      </c>
      <c r="D1287" t="s">
        <v>2246</v>
      </c>
      <c r="E1287" t="s">
        <v>25</v>
      </c>
      <c r="F1287" t="b">
        <v>0</v>
      </c>
      <c r="G1287">
        <v>5</v>
      </c>
      <c r="H1287" t="b">
        <v>0</v>
      </c>
      <c r="I1287">
        <v>32</v>
      </c>
      <c r="J1287" t="s">
        <v>105</v>
      </c>
      <c r="K1287">
        <v>85</v>
      </c>
      <c r="L1287">
        <v>62</v>
      </c>
      <c r="M1287">
        <v>92</v>
      </c>
      <c r="N1287">
        <v>89</v>
      </c>
      <c r="O1287">
        <v>92</v>
      </c>
      <c r="P1287">
        <v>75</v>
      </c>
      <c r="Q1287">
        <v>78</v>
      </c>
      <c r="R1287">
        <f>SUM(student_scores[[#This Row],[math_score]:[geography_score]])</f>
        <v>573</v>
      </c>
      <c r="S1287" s="3">
        <f>student_scores[[#This Row],[Total_Score]]/7</f>
        <v>81.857142857142861</v>
      </c>
      <c r="T1287" s="3" t="str" cm="1">
        <f t="array" ref="T1287">_xlfn.IFS(student_scores[[#This Row],[weekly_self_study_hours]]&lt;=5,   "0 - 5", student_scores[[#This Row],[weekly_self_study_hours]]&lt;=10,  "6 - 10", student_scores[[#This Row],[weekly_self_study_hours]]&lt;=20,  "11 - 20",student_scores[[#This Row],[weekly_self_study_hours]]&lt;=30, "21 - 30",TRUE, "31+")</f>
        <v>31+</v>
      </c>
      <c r="U1287" t="str" cm="1">
        <f t="array" ref="U1287">_xlfn.IFS(student_scores[[#This Row],[absence_days]]=0,"0", student_scores[[#This Row],[absence_days]]&lt;=3,"1-3", student_scores[[#This Row],[absence_days]]&lt;=6,"4-6", TRUE,"7-10")</f>
        <v>4-6</v>
      </c>
      <c r="V1287" t="str">
        <f>IF(student_scores[[#This Row],[Total_Score]] &gt;= _xlfn.PERCENTILE.INC(student_scores[Total_Score], 0.8), "Yes", "No")</f>
        <v>No</v>
      </c>
    </row>
    <row r="1288" spans="1:22" x14ac:dyDescent="0.35">
      <c r="A1288">
        <v>1287</v>
      </c>
      <c r="B1288" t="s">
        <v>1957</v>
      </c>
      <c r="C1288" t="s">
        <v>56</v>
      </c>
      <c r="D1288" t="s">
        <v>2247</v>
      </c>
      <c r="E1288" t="s">
        <v>25</v>
      </c>
      <c r="F1288" t="b">
        <v>0</v>
      </c>
      <c r="G1288">
        <v>3</v>
      </c>
      <c r="H1288" t="b">
        <v>0</v>
      </c>
      <c r="I1288">
        <v>26</v>
      </c>
      <c r="J1288" t="s">
        <v>113</v>
      </c>
      <c r="K1288">
        <v>75</v>
      </c>
      <c r="L1288">
        <v>83</v>
      </c>
      <c r="M1288">
        <v>66</v>
      </c>
      <c r="N1288">
        <v>70</v>
      </c>
      <c r="O1288">
        <v>57</v>
      </c>
      <c r="P1288">
        <v>77</v>
      </c>
      <c r="Q1288">
        <v>96</v>
      </c>
      <c r="R1288">
        <f>SUM(student_scores[[#This Row],[math_score]:[geography_score]])</f>
        <v>524</v>
      </c>
      <c r="S1288" s="3">
        <f>student_scores[[#This Row],[Total_Score]]/7</f>
        <v>74.857142857142861</v>
      </c>
      <c r="T1288" s="3" t="str" cm="1">
        <f t="array" ref="T1288">_xlfn.IFS(student_scores[[#This Row],[weekly_self_study_hours]]&lt;=5,   "0 - 5", student_scores[[#This Row],[weekly_self_study_hours]]&lt;=10,  "6 - 10", student_scores[[#This Row],[weekly_self_study_hours]]&lt;=20,  "11 - 20",student_scores[[#This Row],[weekly_self_study_hours]]&lt;=30, "21 - 30",TRUE, "31+")</f>
        <v>21 - 30</v>
      </c>
      <c r="U1288" t="str" cm="1">
        <f t="array" ref="U1288">_xlfn.IFS(student_scores[[#This Row],[absence_days]]=0,"0", student_scores[[#This Row],[absence_days]]&lt;=3,"1-3", student_scores[[#This Row],[absence_days]]&lt;=6,"4-6", TRUE,"7-10")</f>
        <v>1-3</v>
      </c>
      <c r="V1288" t="str">
        <f>IF(student_scores[[#This Row],[Total_Score]] &gt;= _xlfn.PERCENTILE.INC(student_scores[Total_Score], 0.8), "Yes", "No")</f>
        <v>No</v>
      </c>
    </row>
    <row r="1289" spans="1:22" x14ac:dyDescent="0.35">
      <c r="A1289">
        <v>1288</v>
      </c>
      <c r="B1289" t="s">
        <v>2248</v>
      </c>
      <c r="C1289" t="s">
        <v>1533</v>
      </c>
      <c r="D1289" t="s">
        <v>2249</v>
      </c>
      <c r="E1289" t="s">
        <v>20</v>
      </c>
      <c r="F1289" t="b">
        <v>0</v>
      </c>
      <c r="G1289">
        <v>5</v>
      </c>
      <c r="H1289" t="b">
        <v>1</v>
      </c>
      <c r="I1289">
        <v>32</v>
      </c>
      <c r="J1289" t="s">
        <v>44</v>
      </c>
      <c r="K1289">
        <v>88</v>
      </c>
      <c r="L1289">
        <v>65</v>
      </c>
      <c r="M1289">
        <v>75</v>
      </c>
      <c r="N1289">
        <v>73</v>
      </c>
      <c r="O1289">
        <v>66</v>
      </c>
      <c r="P1289">
        <v>98</v>
      </c>
      <c r="Q1289">
        <v>81</v>
      </c>
      <c r="R1289">
        <f>SUM(student_scores[[#This Row],[math_score]:[geography_score]])</f>
        <v>546</v>
      </c>
      <c r="S1289" s="3">
        <f>student_scores[[#This Row],[Total_Score]]/7</f>
        <v>78</v>
      </c>
      <c r="T1289" s="3" t="str" cm="1">
        <f t="array" ref="T1289">_xlfn.IFS(student_scores[[#This Row],[weekly_self_study_hours]]&lt;=5,   "0 - 5", student_scores[[#This Row],[weekly_self_study_hours]]&lt;=10,  "6 - 10", student_scores[[#This Row],[weekly_self_study_hours]]&lt;=20,  "11 - 20",student_scores[[#This Row],[weekly_self_study_hours]]&lt;=30, "21 - 30",TRUE, "31+")</f>
        <v>31+</v>
      </c>
      <c r="U1289" t="str" cm="1">
        <f t="array" ref="U1289">_xlfn.IFS(student_scores[[#This Row],[absence_days]]=0,"0", student_scores[[#This Row],[absence_days]]&lt;=3,"1-3", student_scores[[#This Row],[absence_days]]&lt;=6,"4-6", TRUE,"7-10")</f>
        <v>4-6</v>
      </c>
      <c r="V1289" t="str">
        <f>IF(student_scores[[#This Row],[Total_Score]] &gt;= _xlfn.PERCENTILE.INC(student_scores[Total_Score], 0.8), "Yes", "No")</f>
        <v>No</v>
      </c>
    </row>
    <row r="1290" spans="1:22" x14ac:dyDescent="0.35">
      <c r="A1290">
        <v>1289</v>
      </c>
      <c r="B1290" t="s">
        <v>2250</v>
      </c>
      <c r="C1290" t="s">
        <v>381</v>
      </c>
      <c r="D1290" t="s">
        <v>2251</v>
      </c>
      <c r="E1290" t="s">
        <v>20</v>
      </c>
      <c r="F1290" t="b">
        <v>0</v>
      </c>
      <c r="G1290">
        <v>0</v>
      </c>
      <c r="H1290" t="b">
        <v>0</v>
      </c>
      <c r="I1290">
        <v>35</v>
      </c>
      <c r="J1290" t="s">
        <v>105</v>
      </c>
      <c r="K1290">
        <v>93</v>
      </c>
      <c r="L1290">
        <v>89</v>
      </c>
      <c r="M1290">
        <v>88</v>
      </c>
      <c r="N1290">
        <v>86</v>
      </c>
      <c r="O1290">
        <v>85</v>
      </c>
      <c r="P1290">
        <v>89</v>
      </c>
      <c r="Q1290">
        <v>95</v>
      </c>
      <c r="R1290">
        <f>SUM(student_scores[[#This Row],[math_score]:[geography_score]])</f>
        <v>625</v>
      </c>
      <c r="S1290" s="3">
        <f>student_scores[[#This Row],[Total_Score]]/7</f>
        <v>89.285714285714292</v>
      </c>
      <c r="T1290" s="3" t="str" cm="1">
        <f t="array" ref="T1290">_xlfn.IFS(student_scores[[#This Row],[weekly_self_study_hours]]&lt;=5,   "0 - 5", student_scores[[#This Row],[weekly_self_study_hours]]&lt;=10,  "6 - 10", student_scores[[#This Row],[weekly_self_study_hours]]&lt;=20,  "11 - 20",student_scores[[#This Row],[weekly_self_study_hours]]&lt;=30, "21 - 30",TRUE, "31+")</f>
        <v>31+</v>
      </c>
      <c r="U1290" t="str" cm="1">
        <f t="array" ref="U1290">_xlfn.IFS(student_scores[[#This Row],[absence_days]]=0,"0", student_scores[[#This Row],[absence_days]]&lt;=3,"1-3", student_scores[[#This Row],[absence_days]]&lt;=6,"4-6", TRUE,"7-10")</f>
        <v>0</v>
      </c>
      <c r="V1290" t="str">
        <f>IF(student_scores[[#This Row],[Total_Score]] &gt;= _xlfn.PERCENTILE.INC(student_scores[Total_Score], 0.8), "Yes", "No")</f>
        <v>Yes</v>
      </c>
    </row>
    <row r="1291" spans="1:22" x14ac:dyDescent="0.35">
      <c r="A1291">
        <v>1290</v>
      </c>
      <c r="B1291" t="s">
        <v>1391</v>
      </c>
      <c r="C1291" t="s">
        <v>1247</v>
      </c>
      <c r="D1291" t="s">
        <v>2252</v>
      </c>
      <c r="E1291" t="s">
        <v>20</v>
      </c>
      <c r="F1291" t="b">
        <v>0</v>
      </c>
      <c r="G1291">
        <v>3</v>
      </c>
      <c r="H1291" t="b">
        <v>0</v>
      </c>
      <c r="I1291">
        <v>2</v>
      </c>
      <c r="J1291" t="s">
        <v>159</v>
      </c>
      <c r="K1291">
        <v>86</v>
      </c>
      <c r="L1291">
        <v>93</v>
      </c>
      <c r="M1291">
        <v>91</v>
      </c>
      <c r="N1291">
        <v>64</v>
      </c>
      <c r="O1291">
        <v>69</v>
      </c>
      <c r="P1291">
        <v>71</v>
      </c>
      <c r="Q1291">
        <v>64</v>
      </c>
      <c r="R1291">
        <f>SUM(student_scores[[#This Row],[math_score]:[geography_score]])</f>
        <v>538</v>
      </c>
      <c r="S1291" s="3">
        <f>student_scores[[#This Row],[Total_Score]]/7</f>
        <v>76.857142857142861</v>
      </c>
      <c r="T1291" s="3" t="str" cm="1">
        <f t="array" ref="T1291">_xlfn.IFS(student_scores[[#This Row],[weekly_self_study_hours]]&lt;=5,   "0 - 5", student_scores[[#This Row],[weekly_self_study_hours]]&lt;=10,  "6 - 10", student_scores[[#This Row],[weekly_self_study_hours]]&lt;=20,  "11 - 20",student_scores[[#This Row],[weekly_self_study_hours]]&lt;=30, "21 - 30",TRUE, "31+")</f>
        <v>0 - 5</v>
      </c>
      <c r="U1291" t="str" cm="1">
        <f t="array" ref="U1291">_xlfn.IFS(student_scores[[#This Row],[absence_days]]=0,"0", student_scores[[#This Row],[absence_days]]&lt;=3,"1-3", student_scores[[#This Row],[absence_days]]&lt;=6,"4-6", TRUE,"7-10")</f>
        <v>1-3</v>
      </c>
      <c r="V1291" t="str">
        <f>IF(student_scores[[#This Row],[Total_Score]] &gt;= _xlfn.PERCENTILE.INC(student_scores[Total_Score], 0.8), "Yes", "No")</f>
        <v>No</v>
      </c>
    </row>
    <row r="1292" spans="1:22" x14ac:dyDescent="0.35">
      <c r="A1292">
        <v>1291</v>
      </c>
      <c r="B1292" t="s">
        <v>1112</v>
      </c>
      <c r="C1292" t="s">
        <v>222</v>
      </c>
      <c r="D1292" t="s">
        <v>2253</v>
      </c>
      <c r="E1292" t="s">
        <v>20</v>
      </c>
      <c r="F1292" t="b">
        <v>0</v>
      </c>
      <c r="G1292">
        <v>1</v>
      </c>
      <c r="H1292" t="b">
        <v>0</v>
      </c>
      <c r="I1292">
        <v>13</v>
      </c>
      <c r="J1292" t="s">
        <v>30</v>
      </c>
      <c r="K1292">
        <v>62</v>
      </c>
      <c r="L1292">
        <v>91</v>
      </c>
      <c r="M1292">
        <v>92</v>
      </c>
      <c r="N1292">
        <v>61</v>
      </c>
      <c r="O1292">
        <v>85</v>
      </c>
      <c r="P1292">
        <v>98</v>
      </c>
      <c r="Q1292">
        <v>72</v>
      </c>
      <c r="R1292">
        <f>SUM(student_scores[[#This Row],[math_score]:[geography_score]])</f>
        <v>561</v>
      </c>
      <c r="S1292" s="3">
        <f>student_scores[[#This Row],[Total_Score]]/7</f>
        <v>80.142857142857139</v>
      </c>
      <c r="T1292" s="3" t="str" cm="1">
        <f t="array" ref="T1292">_xlfn.IFS(student_scores[[#This Row],[weekly_self_study_hours]]&lt;=5,   "0 - 5", student_scores[[#This Row],[weekly_self_study_hours]]&lt;=10,  "6 - 10", student_scores[[#This Row],[weekly_self_study_hours]]&lt;=20,  "11 - 20",student_scores[[#This Row],[weekly_self_study_hours]]&lt;=30, "21 - 30",TRUE, "31+")</f>
        <v>11 - 20</v>
      </c>
      <c r="U1292" t="str" cm="1">
        <f t="array" ref="U1292">_xlfn.IFS(student_scores[[#This Row],[absence_days]]=0,"0", student_scores[[#This Row],[absence_days]]&lt;=3,"1-3", student_scores[[#This Row],[absence_days]]&lt;=6,"4-6", TRUE,"7-10")</f>
        <v>1-3</v>
      </c>
      <c r="V1292" t="str">
        <f>IF(student_scores[[#This Row],[Total_Score]] &gt;= _xlfn.PERCENTILE.INC(student_scores[Total_Score], 0.8), "Yes", "No")</f>
        <v>No</v>
      </c>
    </row>
    <row r="1293" spans="1:22" x14ac:dyDescent="0.35">
      <c r="A1293">
        <v>1292</v>
      </c>
      <c r="B1293" t="s">
        <v>449</v>
      </c>
      <c r="C1293" t="s">
        <v>2254</v>
      </c>
      <c r="D1293" t="s">
        <v>2255</v>
      </c>
      <c r="E1293" t="s">
        <v>25</v>
      </c>
      <c r="F1293" t="b">
        <v>1</v>
      </c>
      <c r="G1293">
        <v>2</v>
      </c>
      <c r="H1293" t="b">
        <v>1</v>
      </c>
      <c r="I1293">
        <v>20</v>
      </c>
      <c r="J1293" t="s">
        <v>172</v>
      </c>
      <c r="K1293">
        <v>82</v>
      </c>
      <c r="L1293">
        <v>74</v>
      </c>
      <c r="M1293">
        <v>80</v>
      </c>
      <c r="N1293">
        <v>60</v>
      </c>
      <c r="O1293">
        <v>96</v>
      </c>
      <c r="P1293">
        <v>76</v>
      </c>
      <c r="Q1293">
        <v>99</v>
      </c>
      <c r="R1293">
        <f>SUM(student_scores[[#This Row],[math_score]:[geography_score]])</f>
        <v>567</v>
      </c>
      <c r="S1293" s="3">
        <f>student_scores[[#This Row],[Total_Score]]/7</f>
        <v>81</v>
      </c>
      <c r="T1293" s="3" t="str" cm="1">
        <f t="array" ref="T1293">_xlfn.IFS(student_scores[[#This Row],[weekly_self_study_hours]]&lt;=5,   "0 - 5", student_scores[[#This Row],[weekly_self_study_hours]]&lt;=10,  "6 - 10", student_scores[[#This Row],[weekly_self_study_hours]]&lt;=20,  "11 - 20",student_scores[[#This Row],[weekly_self_study_hours]]&lt;=30, "21 - 30",TRUE, "31+")</f>
        <v>11 - 20</v>
      </c>
      <c r="U1293" t="str" cm="1">
        <f t="array" ref="U1293">_xlfn.IFS(student_scores[[#This Row],[absence_days]]=0,"0", student_scores[[#This Row],[absence_days]]&lt;=3,"1-3", student_scores[[#This Row],[absence_days]]&lt;=6,"4-6", TRUE,"7-10")</f>
        <v>1-3</v>
      </c>
      <c r="V1293" t="str">
        <f>IF(student_scores[[#This Row],[Total_Score]] &gt;= _xlfn.PERCENTILE.INC(student_scores[Total_Score], 0.8), "Yes", "No")</f>
        <v>No</v>
      </c>
    </row>
    <row r="1294" spans="1:22" x14ac:dyDescent="0.35">
      <c r="A1294">
        <v>1293</v>
      </c>
      <c r="B1294" t="s">
        <v>999</v>
      </c>
      <c r="C1294" t="s">
        <v>231</v>
      </c>
      <c r="D1294" t="s">
        <v>2256</v>
      </c>
      <c r="E1294" t="s">
        <v>25</v>
      </c>
      <c r="F1294" t="b">
        <v>0</v>
      </c>
      <c r="G1294">
        <v>5</v>
      </c>
      <c r="H1294" t="b">
        <v>0</v>
      </c>
      <c r="I1294">
        <v>5</v>
      </c>
      <c r="J1294" t="s">
        <v>34</v>
      </c>
      <c r="K1294">
        <v>83</v>
      </c>
      <c r="L1294">
        <v>94</v>
      </c>
      <c r="M1294">
        <v>77</v>
      </c>
      <c r="N1294">
        <v>97</v>
      </c>
      <c r="O1294">
        <v>78</v>
      </c>
      <c r="P1294">
        <v>60</v>
      </c>
      <c r="Q1294">
        <v>85</v>
      </c>
      <c r="R1294">
        <f>SUM(student_scores[[#This Row],[math_score]:[geography_score]])</f>
        <v>574</v>
      </c>
      <c r="S1294" s="3">
        <f>student_scores[[#This Row],[Total_Score]]/7</f>
        <v>82</v>
      </c>
      <c r="T1294" s="3" t="str" cm="1">
        <f t="array" ref="T1294">_xlfn.IFS(student_scores[[#This Row],[weekly_self_study_hours]]&lt;=5,   "0 - 5", student_scores[[#This Row],[weekly_self_study_hours]]&lt;=10,  "6 - 10", student_scores[[#This Row],[weekly_self_study_hours]]&lt;=20,  "11 - 20",student_scores[[#This Row],[weekly_self_study_hours]]&lt;=30, "21 - 30",TRUE, "31+")</f>
        <v>0 - 5</v>
      </c>
      <c r="U1294" t="str" cm="1">
        <f t="array" ref="U1294">_xlfn.IFS(student_scores[[#This Row],[absence_days]]=0,"0", student_scores[[#This Row],[absence_days]]&lt;=3,"1-3", student_scores[[#This Row],[absence_days]]&lt;=6,"4-6", TRUE,"7-10")</f>
        <v>4-6</v>
      </c>
      <c r="V1294" t="str">
        <f>IF(student_scores[[#This Row],[Total_Score]] &gt;= _xlfn.PERCENTILE.INC(student_scores[Total_Score], 0.8), "Yes", "No")</f>
        <v>No</v>
      </c>
    </row>
    <row r="1295" spans="1:22" x14ac:dyDescent="0.35">
      <c r="A1295">
        <v>1294</v>
      </c>
      <c r="B1295" t="s">
        <v>1218</v>
      </c>
      <c r="C1295" t="s">
        <v>977</v>
      </c>
      <c r="D1295" t="s">
        <v>2257</v>
      </c>
      <c r="E1295" t="s">
        <v>20</v>
      </c>
      <c r="F1295" t="b">
        <v>0</v>
      </c>
      <c r="G1295">
        <v>1</v>
      </c>
      <c r="H1295" t="b">
        <v>0</v>
      </c>
      <c r="I1295">
        <v>5</v>
      </c>
      <c r="J1295" t="s">
        <v>224</v>
      </c>
      <c r="K1295">
        <v>98</v>
      </c>
      <c r="L1295">
        <v>75</v>
      </c>
      <c r="M1295">
        <v>62</v>
      </c>
      <c r="N1295">
        <v>64</v>
      </c>
      <c r="O1295">
        <v>68</v>
      </c>
      <c r="P1295">
        <v>80</v>
      </c>
      <c r="Q1295">
        <v>79</v>
      </c>
      <c r="R1295">
        <f>SUM(student_scores[[#This Row],[math_score]:[geography_score]])</f>
        <v>526</v>
      </c>
      <c r="S1295" s="3">
        <f>student_scores[[#This Row],[Total_Score]]/7</f>
        <v>75.142857142857139</v>
      </c>
      <c r="T1295" s="3" t="str" cm="1">
        <f t="array" ref="T1295">_xlfn.IFS(student_scores[[#This Row],[weekly_self_study_hours]]&lt;=5,   "0 - 5", student_scores[[#This Row],[weekly_self_study_hours]]&lt;=10,  "6 - 10", student_scores[[#This Row],[weekly_self_study_hours]]&lt;=20,  "11 - 20",student_scores[[#This Row],[weekly_self_study_hours]]&lt;=30, "21 - 30",TRUE, "31+")</f>
        <v>0 - 5</v>
      </c>
      <c r="U1295" t="str" cm="1">
        <f t="array" ref="U1295">_xlfn.IFS(student_scores[[#This Row],[absence_days]]=0,"0", student_scores[[#This Row],[absence_days]]&lt;=3,"1-3", student_scores[[#This Row],[absence_days]]&lt;=6,"4-6", TRUE,"7-10")</f>
        <v>1-3</v>
      </c>
      <c r="V1295" t="str">
        <f>IF(student_scores[[#This Row],[Total_Score]] &gt;= _xlfn.PERCENTILE.INC(student_scores[Total_Score], 0.8), "Yes", "No")</f>
        <v>No</v>
      </c>
    </row>
    <row r="1296" spans="1:22" x14ac:dyDescent="0.35">
      <c r="A1296">
        <v>1295</v>
      </c>
      <c r="B1296" t="s">
        <v>465</v>
      </c>
      <c r="C1296" t="s">
        <v>1007</v>
      </c>
      <c r="D1296" t="s">
        <v>2258</v>
      </c>
      <c r="E1296" t="s">
        <v>25</v>
      </c>
      <c r="F1296" t="b">
        <v>0</v>
      </c>
      <c r="G1296">
        <v>2</v>
      </c>
      <c r="H1296" t="b">
        <v>0</v>
      </c>
      <c r="I1296">
        <v>34</v>
      </c>
      <c r="J1296" t="s">
        <v>105</v>
      </c>
      <c r="K1296">
        <v>84</v>
      </c>
      <c r="L1296">
        <v>74</v>
      </c>
      <c r="M1296">
        <v>90</v>
      </c>
      <c r="N1296">
        <v>99</v>
      </c>
      <c r="O1296">
        <v>90</v>
      </c>
      <c r="P1296">
        <v>92</v>
      </c>
      <c r="Q1296">
        <v>72</v>
      </c>
      <c r="R1296">
        <f>SUM(student_scores[[#This Row],[math_score]:[geography_score]])</f>
        <v>601</v>
      </c>
      <c r="S1296" s="3">
        <f>student_scores[[#This Row],[Total_Score]]/7</f>
        <v>85.857142857142861</v>
      </c>
      <c r="T1296" s="3" t="str" cm="1">
        <f t="array" ref="T1296">_xlfn.IFS(student_scores[[#This Row],[weekly_self_study_hours]]&lt;=5,   "0 - 5", student_scores[[#This Row],[weekly_self_study_hours]]&lt;=10,  "6 - 10", student_scores[[#This Row],[weekly_self_study_hours]]&lt;=20,  "11 - 20",student_scores[[#This Row],[weekly_self_study_hours]]&lt;=30, "21 - 30",TRUE, "31+")</f>
        <v>31+</v>
      </c>
      <c r="U1296" t="str" cm="1">
        <f t="array" ref="U1296">_xlfn.IFS(student_scores[[#This Row],[absence_days]]=0,"0", student_scores[[#This Row],[absence_days]]&lt;=3,"1-3", student_scores[[#This Row],[absence_days]]&lt;=6,"4-6", TRUE,"7-10")</f>
        <v>1-3</v>
      </c>
      <c r="V1296" t="str">
        <f>IF(student_scores[[#This Row],[Total_Score]] &gt;= _xlfn.PERCENTILE.INC(student_scores[Total_Score], 0.8), "Yes", "No")</f>
        <v>Yes</v>
      </c>
    </row>
    <row r="1297" spans="1:22" x14ac:dyDescent="0.35">
      <c r="A1297">
        <v>1296</v>
      </c>
      <c r="B1297" t="s">
        <v>2259</v>
      </c>
      <c r="C1297" t="s">
        <v>259</v>
      </c>
      <c r="D1297" t="s">
        <v>2260</v>
      </c>
      <c r="E1297" t="s">
        <v>25</v>
      </c>
      <c r="F1297" t="b">
        <v>0</v>
      </c>
      <c r="G1297">
        <v>6</v>
      </c>
      <c r="H1297" t="b">
        <v>0</v>
      </c>
      <c r="I1297">
        <v>34</v>
      </c>
      <c r="J1297" t="s">
        <v>109</v>
      </c>
      <c r="K1297">
        <v>91</v>
      </c>
      <c r="L1297">
        <v>75</v>
      </c>
      <c r="M1297">
        <v>82</v>
      </c>
      <c r="N1297">
        <v>68</v>
      </c>
      <c r="O1297">
        <v>88</v>
      </c>
      <c r="P1297">
        <v>98</v>
      </c>
      <c r="Q1297">
        <v>88</v>
      </c>
      <c r="R1297">
        <f>SUM(student_scores[[#This Row],[math_score]:[geography_score]])</f>
        <v>590</v>
      </c>
      <c r="S1297" s="3">
        <f>student_scores[[#This Row],[Total_Score]]/7</f>
        <v>84.285714285714292</v>
      </c>
      <c r="T1297" s="3" t="str" cm="1">
        <f t="array" ref="T1297">_xlfn.IFS(student_scores[[#This Row],[weekly_self_study_hours]]&lt;=5,   "0 - 5", student_scores[[#This Row],[weekly_self_study_hours]]&lt;=10,  "6 - 10", student_scores[[#This Row],[weekly_self_study_hours]]&lt;=20,  "11 - 20",student_scores[[#This Row],[weekly_self_study_hours]]&lt;=30, "21 - 30",TRUE, "31+")</f>
        <v>31+</v>
      </c>
      <c r="U1297" t="str" cm="1">
        <f t="array" ref="U1297">_xlfn.IFS(student_scores[[#This Row],[absence_days]]=0,"0", student_scores[[#This Row],[absence_days]]&lt;=3,"1-3", student_scores[[#This Row],[absence_days]]&lt;=6,"4-6", TRUE,"7-10")</f>
        <v>4-6</v>
      </c>
      <c r="V1297" t="str">
        <f>IF(student_scores[[#This Row],[Total_Score]] &gt;= _xlfn.PERCENTILE.INC(student_scores[Total_Score], 0.8), "Yes", "No")</f>
        <v>No</v>
      </c>
    </row>
    <row r="1298" spans="1:22" x14ac:dyDescent="0.35">
      <c r="A1298">
        <v>1297</v>
      </c>
      <c r="B1298" t="s">
        <v>2261</v>
      </c>
      <c r="C1298" t="s">
        <v>146</v>
      </c>
      <c r="D1298" t="s">
        <v>2262</v>
      </c>
      <c r="E1298" t="s">
        <v>20</v>
      </c>
      <c r="F1298" t="b">
        <v>0</v>
      </c>
      <c r="G1298">
        <v>2</v>
      </c>
      <c r="H1298" t="b">
        <v>0</v>
      </c>
      <c r="I1298">
        <v>21</v>
      </c>
      <c r="J1298" t="s">
        <v>138</v>
      </c>
      <c r="K1298">
        <v>83</v>
      </c>
      <c r="L1298">
        <v>81</v>
      </c>
      <c r="M1298">
        <v>96</v>
      </c>
      <c r="N1298">
        <v>62</v>
      </c>
      <c r="O1298">
        <v>66</v>
      </c>
      <c r="P1298">
        <v>90</v>
      </c>
      <c r="Q1298">
        <v>91</v>
      </c>
      <c r="R1298">
        <f>SUM(student_scores[[#This Row],[math_score]:[geography_score]])</f>
        <v>569</v>
      </c>
      <c r="S1298" s="3">
        <f>student_scores[[#This Row],[Total_Score]]/7</f>
        <v>81.285714285714292</v>
      </c>
      <c r="T1298" s="3" t="str" cm="1">
        <f t="array" ref="T1298">_xlfn.IFS(student_scores[[#This Row],[weekly_self_study_hours]]&lt;=5,   "0 - 5", student_scores[[#This Row],[weekly_self_study_hours]]&lt;=10,  "6 - 10", student_scores[[#This Row],[weekly_self_study_hours]]&lt;=20,  "11 - 20",student_scores[[#This Row],[weekly_self_study_hours]]&lt;=30, "21 - 30",TRUE, "31+")</f>
        <v>21 - 30</v>
      </c>
      <c r="U1298" t="str" cm="1">
        <f t="array" ref="U1298">_xlfn.IFS(student_scores[[#This Row],[absence_days]]=0,"0", student_scores[[#This Row],[absence_days]]&lt;=3,"1-3", student_scores[[#This Row],[absence_days]]&lt;=6,"4-6", TRUE,"7-10")</f>
        <v>1-3</v>
      </c>
      <c r="V1298" t="str">
        <f>IF(student_scores[[#This Row],[Total_Score]] &gt;= _xlfn.PERCENTILE.INC(student_scores[Total_Score], 0.8), "Yes", "No")</f>
        <v>No</v>
      </c>
    </row>
    <row r="1299" spans="1:22" x14ac:dyDescent="0.35">
      <c r="A1299">
        <v>1298</v>
      </c>
      <c r="B1299" t="s">
        <v>369</v>
      </c>
      <c r="C1299" t="s">
        <v>586</v>
      </c>
      <c r="D1299" t="s">
        <v>2263</v>
      </c>
      <c r="E1299" t="s">
        <v>25</v>
      </c>
      <c r="F1299" t="b">
        <v>0</v>
      </c>
      <c r="G1299">
        <v>4</v>
      </c>
      <c r="H1299" t="b">
        <v>0</v>
      </c>
      <c r="I1299">
        <v>27</v>
      </c>
      <c r="J1299" t="s">
        <v>113</v>
      </c>
      <c r="K1299">
        <v>83</v>
      </c>
      <c r="L1299">
        <v>63</v>
      </c>
      <c r="M1299">
        <v>84</v>
      </c>
      <c r="N1299">
        <v>82</v>
      </c>
      <c r="O1299">
        <v>78</v>
      </c>
      <c r="P1299">
        <v>60</v>
      </c>
      <c r="Q1299">
        <v>71</v>
      </c>
      <c r="R1299">
        <f>SUM(student_scores[[#This Row],[math_score]:[geography_score]])</f>
        <v>521</v>
      </c>
      <c r="S1299" s="3">
        <f>student_scores[[#This Row],[Total_Score]]/7</f>
        <v>74.428571428571431</v>
      </c>
      <c r="T1299" s="3" t="str" cm="1">
        <f t="array" ref="T1299">_xlfn.IFS(student_scores[[#This Row],[weekly_self_study_hours]]&lt;=5,   "0 - 5", student_scores[[#This Row],[weekly_self_study_hours]]&lt;=10,  "6 - 10", student_scores[[#This Row],[weekly_self_study_hours]]&lt;=20,  "11 - 20",student_scores[[#This Row],[weekly_self_study_hours]]&lt;=30, "21 - 30",TRUE, "31+")</f>
        <v>21 - 30</v>
      </c>
      <c r="U1299" t="str" cm="1">
        <f t="array" ref="U1299">_xlfn.IFS(student_scores[[#This Row],[absence_days]]=0,"0", student_scores[[#This Row],[absence_days]]&lt;=3,"1-3", student_scores[[#This Row],[absence_days]]&lt;=6,"4-6", TRUE,"7-10")</f>
        <v>4-6</v>
      </c>
      <c r="V1299" t="str">
        <f>IF(student_scores[[#This Row],[Total_Score]] &gt;= _xlfn.PERCENTILE.INC(student_scores[Total_Score], 0.8), "Yes", "No")</f>
        <v>No</v>
      </c>
    </row>
    <row r="1300" spans="1:22" x14ac:dyDescent="0.35">
      <c r="A1300">
        <v>1299</v>
      </c>
      <c r="B1300" t="s">
        <v>796</v>
      </c>
      <c r="C1300" t="s">
        <v>594</v>
      </c>
      <c r="D1300" t="s">
        <v>2264</v>
      </c>
      <c r="E1300" t="s">
        <v>20</v>
      </c>
      <c r="F1300" t="b">
        <v>0</v>
      </c>
      <c r="G1300">
        <v>0</v>
      </c>
      <c r="H1300" t="b">
        <v>0</v>
      </c>
      <c r="I1300">
        <v>31</v>
      </c>
      <c r="J1300" t="s">
        <v>44</v>
      </c>
      <c r="K1300">
        <v>90</v>
      </c>
      <c r="L1300">
        <v>72</v>
      </c>
      <c r="M1300">
        <v>62</v>
      </c>
      <c r="N1300">
        <v>84</v>
      </c>
      <c r="O1300">
        <v>74</v>
      </c>
      <c r="P1300">
        <v>75</v>
      </c>
      <c r="Q1300">
        <v>100</v>
      </c>
      <c r="R1300">
        <f>SUM(student_scores[[#This Row],[math_score]:[geography_score]])</f>
        <v>557</v>
      </c>
      <c r="S1300" s="3">
        <f>student_scores[[#This Row],[Total_Score]]/7</f>
        <v>79.571428571428569</v>
      </c>
      <c r="T1300" s="3" t="str" cm="1">
        <f t="array" ref="T1300">_xlfn.IFS(student_scores[[#This Row],[weekly_self_study_hours]]&lt;=5,   "0 - 5", student_scores[[#This Row],[weekly_self_study_hours]]&lt;=10,  "6 - 10", student_scores[[#This Row],[weekly_self_study_hours]]&lt;=20,  "11 - 20",student_scores[[#This Row],[weekly_self_study_hours]]&lt;=30, "21 - 30",TRUE, "31+")</f>
        <v>31+</v>
      </c>
      <c r="U1300" t="str" cm="1">
        <f t="array" ref="U1300">_xlfn.IFS(student_scores[[#This Row],[absence_days]]=0,"0", student_scores[[#This Row],[absence_days]]&lt;=3,"1-3", student_scores[[#This Row],[absence_days]]&lt;=6,"4-6", TRUE,"7-10")</f>
        <v>0</v>
      </c>
      <c r="V1300" t="str">
        <f>IF(student_scores[[#This Row],[Total_Score]] &gt;= _xlfn.PERCENTILE.INC(student_scores[Total_Score], 0.8), "Yes", "No")</f>
        <v>No</v>
      </c>
    </row>
    <row r="1301" spans="1:22" x14ac:dyDescent="0.35">
      <c r="A1301">
        <v>1300</v>
      </c>
      <c r="B1301" t="s">
        <v>151</v>
      </c>
      <c r="C1301" t="s">
        <v>295</v>
      </c>
      <c r="D1301" t="s">
        <v>2265</v>
      </c>
      <c r="E1301" t="s">
        <v>20</v>
      </c>
      <c r="F1301" t="b">
        <v>0</v>
      </c>
      <c r="G1301">
        <v>4</v>
      </c>
      <c r="H1301" t="b">
        <v>0</v>
      </c>
      <c r="I1301">
        <v>31</v>
      </c>
      <c r="J1301" t="s">
        <v>21</v>
      </c>
      <c r="K1301">
        <v>81</v>
      </c>
      <c r="L1301">
        <v>92</v>
      </c>
      <c r="M1301">
        <v>97</v>
      </c>
      <c r="N1301">
        <v>73</v>
      </c>
      <c r="O1301">
        <v>90</v>
      </c>
      <c r="P1301">
        <v>90</v>
      </c>
      <c r="Q1301">
        <v>60</v>
      </c>
      <c r="R1301">
        <f>SUM(student_scores[[#This Row],[math_score]:[geography_score]])</f>
        <v>583</v>
      </c>
      <c r="S1301" s="3">
        <f>student_scores[[#This Row],[Total_Score]]/7</f>
        <v>83.285714285714292</v>
      </c>
      <c r="T1301" s="3" t="str" cm="1">
        <f t="array" ref="T1301">_xlfn.IFS(student_scores[[#This Row],[weekly_self_study_hours]]&lt;=5,   "0 - 5", student_scores[[#This Row],[weekly_self_study_hours]]&lt;=10,  "6 - 10", student_scores[[#This Row],[weekly_self_study_hours]]&lt;=20,  "11 - 20",student_scores[[#This Row],[weekly_self_study_hours]]&lt;=30, "21 - 30",TRUE, "31+")</f>
        <v>31+</v>
      </c>
      <c r="U1301" t="str" cm="1">
        <f t="array" ref="U1301">_xlfn.IFS(student_scores[[#This Row],[absence_days]]=0,"0", student_scores[[#This Row],[absence_days]]&lt;=3,"1-3", student_scores[[#This Row],[absence_days]]&lt;=6,"4-6", TRUE,"7-10")</f>
        <v>4-6</v>
      </c>
      <c r="V1301" t="str">
        <f>IF(student_scores[[#This Row],[Total_Score]] &gt;= _xlfn.PERCENTILE.INC(student_scores[Total_Score], 0.8), "Yes", "No")</f>
        <v>No</v>
      </c>
    </row>
    <row r="1302" spans="1:22" x14ac:dyDescent="0.35">
      <c r="A1302">
        <v>1301</v>
      </c>
      <c r="B1302" t="s">
        <v>536</v>
      </c>
      <c r="C1302" t="s">
        <v>2266</v>
      </c>
      <c r="D1302" t="s">
        <v>2267</v>
      </c>
      <c r="E1302" t="s">
        <v>25</v>
      </c>
      <c r="F1302" t="b">
        <v>1</v>
      </c>
      <c r="G1302">
        <v>3</v>
      </c>
      <c r="H1302" t="b">
        <v>0</v>
      </c>
      <c r="I1302">
        <v>12</v>
      </c>
      <c r="J1302" t="s">
        <v>54</v>
      </c>
      <c r="K1302">
        <v>89</v>
      </c>
      <c r="L1302">
        <v>67</v>
      </c>
      <c r="M1302">
        <v>87</v>
      </c>
      <c r="N1302">
        <v>61</v>
      </c>
      <c r="O1302">
        <v>91</v>
      </c>
      <c r="P1302">
        <v>80</v>
      </c>
      <c r="Q1302">
        <v>76</v>
      </c>
      <c r="R1302">
        <f>SUM(student_scores[[#This Row],[math_score]:[geography_score]])</f>
        <v>551</v>
      </c>
      <c r="S1302" s="3">
        <f>student_scores[[#This Row],[Total_Score]]/7</f>
        <v>78.714285714285708</v>
      </c>
      <c r="T1302" s="3" t="str" cm="1">
        <f t="array" ref="T1302">_xlfn.IFS(student_scores[[#This Row],[weekly_self_study_hours]]&lt;=5,   "0 - 5", student_scores[[#This Row],[weekly_self_study_hours]]&lt;=10,  "6 - 10", student_scores[[#This Row],[weekly_self_study_hours]]&lt;=20,  "11 - 20",student_scores[[#This Row],[weekly_self_study_hours]]&lt;=30, "21 - 30",TRUE, "31+")</f>
        <v>11 - 20</v>
      </c>
      <c r="U1302" t="str" cm="1">
        <f t="array" ref="U1302">_xlfn.IFS(student_scores[[#This Row],[absence_days]]=0,"0", student_scores[[#This Row],[absence_days]]&lt;=3,"1-3", student_scores[[#This Row],[absence_days]]&lt;=6,"4-6", TRUE,"7-10")</f>
        <v>1-3</v>
      </c>
      <c r="V1302" t="str">
        <f>IF(student_scores[[#This Row],[Total_Score]] &gt;= _xlfn.PERCENTILE.INC(student_scores[Total_Score], 0.8), "Yes", "No")</f>
        <v>No</v>
      </c>
    </row>
    <row r="1303" spans="1:22" x14ac:dyDescent="0.35">
      <c r="A1303">
        <v>1302</v>
      </c>
      <c r="B1303" t="s">
        <v>145</v>
      </c>
      <c r="C1303" t="s">
        <v>501</v>
      </c>
      <c r="D1303" t="s">
        <v>2268</v>
      </c>
      <c r="E1303" t="s">
        <v>20</v>
      </c>
      <c r="F1303" t="b">
        <v>0</v>
      </c>
      <c r="G1303">
        <v>2</v>
      </c>
      <c r="H1303" t="b">
        <v>0</v>
      </c>
      <c r="I1303">
        <v>13</v>
      </c>
      <c r="J1303" t="s">
        <v>138</v>
      </c>
      <c r="K1303">
        <v>97</v>
      </c>
      <c r="L1303">
        <v>65</v>
      </c>
      <c r="M1303">
        <v>96</v>
      </c>
      <c r="N1303">
        <v>92</v>
      </c>
      <c r="O1303">
        <v>91</v>
      </c>
      <c r="P1303">
        <v>66</v>
      </c>
      <c r="Q1303">
        <v>74</v>
      </c>
      <c r="R1303">
        <f>SUM(student_scores[[#This Row],[math_score]:[geography_score]])</f>
        <v>581</v>
      </c>
      <c r="S1303" s="3">
        <f>student_scores[[#This Row],[Total_Score]]/7</f>
        <v>83</v>
      </c>
      <c r="T1303" s="3" t="str" cm="1">
        <f t="array" ref="T1303">_xlfn.IFS(student_scores[[#This Row],[weekly_self_study_hours]]&lt;=5,   "0 - 5", student_scores[[#This Row],[weekly_self_study_hours]]&lt;=10,  "6 - 10", student_scores[[#This Row],[weekly_self_study_hours]]&lt;=20,  "11 - 20",student_scores[[#This Row],[weekly_self_study_hours]]&lt;=30, "21 - 30",TRUE, "31+")</f>
        <v>11 - 20</v>
      </c>
      <c r="U1303" t="str" cm="1">
        <f t="array" ref="U1303">_xlfn.IFS(student_scores[[#This Row],[absence_days]]=0,"0", student_scores[[#This Row],[absence_days]]&lt;=3,"1-3", student_scores[[#This Row],[absence_days]]&lt;=6,"4-6", TRUE,"7-10")</f>
        <v>1-3</v>
      </c>
      <c r="V1303" t="str">
        <f>IF(student_scores[[#This Row],[Total_Score]] &gt;= _xlfn.PERCENTILE.INC(student_scores[Total_Score], 0.8), "Yes", "No")</f>
        <v>No</v>
      </c>
    </row>
    <row r="1304" spans="1:22" x14ac:dyDescent="0.35">
      <c r="A1304">
        <v>1303</v>
      </c>
      <c r="B1304" t="s">
        <v>367</v>
      </c>
      <c r="C1304" t="s">
        <v>2015</v>
      </c>
      <c r="D1304" t="s">
        <v>2269</v>
      </c>
      <c r="E1304" t="s">
        <v>20</v>
      </c>
      <c r="F1304" t="b">
        <v>0</v>
      </c>
      <c r="G1304">
        <v>3</v>
      </c>
      <c r="H1304" t="b">
        <v>0</v>
      </c>
      <c r="I1304">
        <v>28</v>
      </c>
      <c r="J1304" t="s">
        <v>113</v>
      </c>
      <c r="K1304">
        <v>97</v>
      </c>
      <c r="L1304">
        <v>88</v>
      </c>
      <c r="M1304">
        <v>88</v>
      </c>
      <c r="N1304">
        <v>79</v>
      </c>
      <c r="O1304">
        <v>100</v>
      </c>
      <c r="P1304">
        <v>74</v>
      </c>
      <c r="Q1304">
        <v>83</v>
      </c>
      <c r="R1304">
        <f>SUM(student_scores[[#This Row],[math_score]:[geography_score]])</f>
        <v>609</v>
      </c>
      <c r="S1304" s="3">
        <f>student_scores[[#This Row],[Total_Score]]/7</f>
        <v>87</v>
      </c>
      <c r="T1304" s="3" t="str" cm="1">
        <f t="array" ref="T1304">_xlfn.IFS(student_scores[[#This Row],[weekly_self_study_hours]]&lt;=5,   "0 - 5", student_scores[[#This Row],[weekly_self_study_hours]]&lt;=10,  "6 - 10", student_scores[[#This Row],[weekly_self_study_hours]]&lt;=20,  "11 - 20",student_scores[[#This Row],[weekly_self_study_hours]]&lt;=30, "21 - 30",TRUE, "31+")</f>
        <v>21 - 30</v>
      </c>
      <c r="U1304" t="str" cm="1">
        <f t="array" ref="U1304">_xlfn.IFS(student_scores[[#This Row],[absence_days]]=0,"0", student_scores[[#This Row],[absence_days]]&lt;=3,"1-3", student_scores[[#This Row],[absence_days]]&lt;=6,"4-6", TRUE,"7-10")</f>
        <v>1-3</v>
      </c>
      <c r="V1304" t="str">
        <f>IF(student_scores[[#This Row],[Total_Score]] &gt;= _xlfn.PERCENTILE.INC(student_scores[Total_Score], 0.8), "Yes", "No")</f>
        <v>Yes</v>
      </c>
    </row>
    <row r="1305" spans="1:22" x14ac:dyDescent="0.35">
      <c r="A1305">
        <v>1304</v>
      </c>
      <c r="B1305" t="s">
        <v>799</v>
      </c>
      <c r="C1305" t="s">
        <v>1934</v>
      </c>
      <c r="D1305" t="s">
        <v>2270</v>
      </c>
      <c r="E1305" t="s">
        <v>20</v>
      </c>
      <c r="F1305" t="b">
        <v>0</v>
      </c>
      <c r="G1305">
        <v>5</v>
      </c>
      <c r="H1305" t="b">
        <v>0</v>
      </c>
      <c r="I1305">
        <v>27</v>
      </c>
      <c r="J1305" t="s">
        <v>44</v>
      </c>
      <c r="K1305">
        <v>100</v>
      </c>
      <c r="L1305">
        <v>89</v>
      </c>
      <c r="M1305">
        <v>98</v>
      </c>
      <c r="N1305">
        <v>81</v>
      </c>
      <c r="O1305">
        <v>78</v>
      </c>
      <c r="P1305">
        <v>91</v>
      </c>
      <c r="Q1305">
        <v>87</v>
      </c>
      <c r="R1305">
        <f>SUM(student_scores[[#This Row],[math_score]:[geography_score]])</f>
        <v>624</v>
      </c>
      <c r="S1305" s="3">
        <f>student_scores[[#This Row],[Total_Score]]/7</f>
        <v>89.142857142857139</v>
      </c>
      <c r="T1305" s="3" t="str" cm="1">
        <f t="array" ref="T1305">_xlfn.IFS(student_scores[[#This Row],[weekly_self_study_hours]]&lt;=5,   "0 - 5", student_scores[[#This Row],[weekly_self_study_hours]]&lt;=10,  "6 - 10", student_scores[[#This Row],[weekly_self_study_hours]]&lt;=20,  "11 - 20",student_scores[[#This Row],[weekly_self_study_hours]]&lt;=30, "21 - 30",TRUE, "31+")</f>
        <v>21 - 30</v>
      </c>
      <c r="U1305" t="str" cm="1">
        <f t="array" ref="U1305">_xlfn.IFS(student_scores[[#This Row],[absence_days]]=0,"0", student_scores[[#This Row],[absence_days]]&lt;=3,"1-3", student_scores[[#This Row],[absence_days]]&lt;=6,"4-6", TRUE,"7-10")</f>
        <v>4-6</v>
      </c>
      <c r="V1305" t="str">
        <f>IF(student_scores[[#This Row],[Total_Score]] &gt;= _xlfn.PERCENTILE.INC(student_scores[Total_Score], 0.8), "Yes", "No")</f>
        <v>Yes</v>
      </c>
    </row>
    <row r="1306" spans="1:22" x14ac:dyDescent="0.35">
      <c r="A1306">
        <v>1305</v>
      </c>
      <c r="B1306" t="s">
        <v>2271</v>
      </c>
      <c r="C1306" t="s">
        <v>56</v>
      </c>
      <c r="D1306" t="s">
        <v>2272</v>
      </c>
      <c r="E1306" t="s">
        <v>25</v>
      </c>
      <c r="F1306" t="b">
        <v>1</v>
      </c>
      <c r="G1306">
        <v>3</v>
      </c>
      <c r="H1306" t="b">
        <v>0</v>
      </c>
      <c r="I1306">
        <v>4</v>
      </c>
      <c r="J1306" t="s">
        <v>159</v>
      </c>
      <c r="K1306">
        <v>98</v>
      </c>
      <c r="L1306">
        <v>63</v>
      </c>
      <c r="M1306">
        <v>82</v>
      </c>
      <c r="N1306">
        <v>61</v>
      </c>
      <c r="O1306">
        <v>79</v>
      </c>
      <c r="P1306">
        <v>70</v>
      </c>
      <c r="Q1306">
        <v>86</v>
      </c>
      <c r="R1306">
        <f>SUM(student_scores[[#This Row],[math_score]:[geography_score]])</f>
        <v>539</v>
      </c>
      <c r="S1306" s="3">
        <f>student_scores[[#This Row],[Total_Score]]/7</f>
        <v>77</v>
      </c>
      <c r="T1306" s="3" t="str" cm="1">
        <f t="array" ref="T1306">_xlfn.IFS(student_scores[[#This Row],[weekly_self_study_hours]]&lt;=5,   "0 - 5", student_scores[[#This Row],[weekly_self_study_hours]]&lt;=10,  "6 - 10", student_scores[[#This Row],[weekly_self_study_hours]]&lt;=20,  "11 - 20",student_scores[[#This Row],[weekly_self_study_hours]]&lt;=30, "21 - 30",TRUE, "31+")</f>
        <v>0 - 5</v>
      </c>
      <c r="U1306" t="str" cm="1">
        <f t="array" ref="U1306">_xlfn.IFS(student_scores[[#This Row],[absence_days]]=0,"0", student_scores[[#This Row],[absence_days]]&lt;=3,"1-3", student_scores[[#This Row],[absence_days]]&lt;=6,"4-6", TRUE,"7-10")</f>
        <v>1-3</v>
      </c>
      <c r="V1306" t="str">
        <f>IF(student_scores[[#This Row],[Total_Score]] &gt;= _xlfn.PERCENTILE.INC(student_scores[Total_Score], 0.8), "Yes", "No")</f>
        <v>No</v>
      </c>
    </row>
    <row r="1307" spans="1:22" x14ac:dyDescent="0.35">
      <c r="A1307">
        <v>1306</v>
      </c>
      <c r="B1307" t="s">
        <v>277</v>
      </c>
      <c r="C1307" t="s">
        <v>281</v>
      </c>
      <c r="D1307" t="s">
        <v>2273</v>
      </c>
      <c r="E1307" t="s">
        <v>20</v>
      </c>
      <c r="F1307" t="b">
        <v>0</v>
      </c>
      <c r="G1307">
        <v>2</v>
      </c>
      <c r="H1307" t="b">
        <v>0</v>
      </c>
      <c r="I1307">
        <v>33</v>
      </c>
      <c r="J1307" t="s">
        <v>44</v>
      </c>
      <c r="K1307">
        <v>97</v>
      </c>
      <c r="L1307">
        <v>98</v>
      </c>
      <c r="M1307">
        <v>83</v>
      </c>
      <c r="N1307">
        <v>87</v>
      </c>
      <c r="O1307">
        <v>60</v>
      </c>
      <c r="P1307">
        <v>78</v>
      </c>
      <c r="Q1307">
        <v>70</v>
      </c>
      <c r="R1307">
        <f>SUM(student_scores[[#This Row],[math_score]:[geography_score]])</f>
        <v>573</v>
      </c>
      <c r="S1307" s="3">
        <f>student_scores[[#This Row],[Total_Score]]/7</f>
        <v>81.857142857142861</v>
      </c>
      <c r="T1307" s="3" t="str" cm="1">
        <f t="array" ref="T1307">_xlfn.IFS(student_scores[[#This Row],[weekly_self_study_hours]]&lt;=5,   "0 - 5", student_scores[[#This Row],[weekly_self_study_hours]]&lt;=10,  "6 - 10", student_scores[[#This Row],[weekly_self_study_hours]]&lt;=20,  "11 - 20",student_scores[[#This Row],[weekly_self_study_hours]]&lt;=30, "21 - 30",TRUE, "31+")</f>
        <v>31+</v>
      </c>
      <c r="U1307" t="str" cm="1">
        <f t="array" ref="U1307">_xlfn.IFS(student_scores[[#This Row],[absence_days]]=0,"0", student_scores[[#This Row],[absence_days]]&lt;=3,"1-3", student_scores[[#This Row],[absence_days]]&lt;=6,"4-6", TRUE,"7-10")</f>
        <v>1-3</v>
      </c>
      <c r="V1307" t="str">
        <f>IF(student_scores[[#This Row],[Total_Score]] &gt;= _xlfn.PERCENTILE.INC(student_scores[Total_Score], 0.8), "Yes", "No")</f>
        <v>No</v>
      </c>
    </row>
    <row r="1308" spans="1:22" x14ac:dyDescent="0.35">
      <c r="A1308">
        <v>1307</v>
      </c>
      <c r="B1308" t="s">
        <v>468</v>
      </c>
      <c r="C1308" t="s">
        <v>888</v>
      </c>
      <c r="D1308" t="s">
        <v>2274</v>
      </c>
      <c r="E1308" t="s">
        <v>25</v>
      </c>
      <c r="F1308" t="b">
        <v>0</v>
      </c>
      <c r="G1308">
        <v>4</v>
      </c>
      <c r="H1308" t="b">
        <v>0</v>
      </c>
      <c r="I1308">
        <v>18</v>
      </c>
      <c r="J1308" t="s">
        <v>113</v>
      </c>
      <c r="K1308">
        <v>78</v>
      </c>
      <c r="L1308">
        <v>80</v>
      </c>
      <c r="M1308">
        <v>73</v>
      </c>
      <c r="N1308">
        <v>91</v>
      </c>
      <c r="O1308">
        <v>34</v>
      </c>
      <c r="P1308">
        <v>73</v>
      </c>
      <c r="Q1308">
        <v>60</v>
      </c>
      <c r="R1308">
        <f>SUM(student_scores[[#This Row],[math_score]:[geography_score]])</f>
        <v>489</v>
      </c>
      <c r="S1308" s="3">
        <f>student_scores[[#This Row],[Total_Score]]/7</f>
        <v>69.857142857142861</v>
      </c>
      <c r="T1308" s="3" t="str" cm="1">
        <f t="array" ref="T1308">_xlfn.IFS(student_scores[[#This Row],[weekly_self_study_hours]]&lt;=5,   "0 - 5", student_scores[[#This Row],[weekly_self_study_hours]]&lt;=10,  "6 - 10", student_scores[[#This Row],[weekly_self_study_hours]]&lt;=20,  "11 - 20",student_scores[[#This Row],[weekly_self_study_hours]]&lt;=30, "21 - 30",TRUE, "31+")</f>
        <v>11 - 20</v>
      </c>
      <c r="U1308" t="str" cm="1">
        <f t="array" ref="U1308">_xlfn.IFS(student_scores[[#This Row],[absence_days]]=0,"0", student_scores[[#This Row],[absence_days]]&lt;=3,"1-3", student_scores[[#This Row],[absence_days]]&lt;=6,"4-6", TRUE,"7-10")</f>
        <v>4-6</v>
      </c>
      <c r="V1308" t="str">
        <f>IF(student_scores[[#This Row],[Total_Score]] &gt;= _xlfn.PERCENTILE.INC(student_scores[Total_Score], 0.8), "Yes", "No")</f>
        <v>No</v>
      </c>
    </row>
    <row r="1309" spans="1:22" x14ac:dyDescent="0.35">
      <c r="A1309">
        <v>1308</v>
      </c>
      <c r="B1309" t="s">
        <v>166</v>
      </c>
      <c r="C1309" t="s">
        <v>42</v>
      </c>
      <c r="D1309" t="s">
        <v>2275</v>
      </c>
      <c r="E1309" t="s">
        <v>25</v>
      </c>
      <c r="F1309" t="b">
        <v>0</v>
      </c>
      <c r="G1309">
        <v>0</v>
      </c>
      <c r="H1309" t="b">
        <v>0</v>
      </c>
      <c r="I1309">
        <v>29</v>
      </c>
      <c r="J1309" t="s">
        <v>21</v>
      </c>
      <c r="K1309">
        <v>100</v>
      </c>
      <c r="L1309">
        <v>92</v>
      </c>
      <c r="M1309">
        <v>67</v>
      </c>
      <c r="N1309">
        <v>89</v>
      </c>
      <c r="O1309">
        <v>90</v>
      </c>
      <c r="P1309">
        <v>83</v>
      </c>
      <c r="Q1309">
        <v>89</v>
      </c>
      <c r="R1309">
        <f>SUM(student_scores[[#This Row],[math_score]:[geography_score]])</f>
        <v>610</v>
      </c>
      <c r="S1309" s="3">
        <f>student_scores[[#This Row],[Total_Score]]/7</f>
        <v>87.142857142857139</v>
      </c>
      <c r="T1309" s="3" t="str" cm="1">
        <f t="array" ref="T1309">_xlfn.IFS(student_scores[[#This Row],[weekly_self_study_hours]]&lt;=5,   "0 - 5", student_scores[[#This Row],[weekly_self_study_hours]]&lt;=10,  "6 - 10", student_scores[[#This Row],[weekly_self_study_hours]]&lt;=20,  "11 - 20",student_scores[[#This Row],[weekly_self_study_hours]]&lt;=30, "21 - 30",TRUE, "31+")</f>
        <v>21 - 30</v>
      </c>
      <c r="U1309" t="str" cm="1">
        <f t="array" ref="U1309">_xlfn.IFS(student_scores[[#This Row],[absence_days]]=0,"0", student_scores[[#This Row],[absence_days]]&lt;=3,"1-3", student_scores[[#This Row],[absence_days]]&lt;=6,"4-6", TRUE,"7-10")</f>
        <v>0</v>
      </c>
      <c r="V1309" t="str">
        <f>IF(student_scores[[#This Row],[Total_Score]] &gt;= _xlfn.PERCENTILE.INC(student_scores[Total_Score], 0.8), "Yes", "No")</f>
        <v>Yes</v>
      </c>
    </row>
    <row r="1310" spans="1:22" x14ac:dyDescent="0.35">
      <c r="A1310">
        <v>1309</v>
      </c>
      <c r="B1310" t="s">
        <v>190</v>
      </c>
      <c r="C1310" t="s">
        <v>167</v>
      </c>
      <c r="D1310" t="s">
        <v>2276</v>
      </c>
      <c r="E1310" t="s">
        <v>25</v>
      </c>
      <c r="F1310" t="b">
        <v>0</v>
      </c>
      <c r="G1310">
        <v>1</v>
      </c>
      <c r="H1310" t="b">
        <v>0</v>
      </c>
      <c r="I1310">
        <v>13</v>
      </c>
      <c r="J1310" t="s">
        <v>109</v>
      </c>
      <c r="K1310">
        <v>92</v>
      </c>
      <c r="L1310">
        <v>77</v>
      </c>
      <c r="M1310">
        <v>89</v>
      </c>
      <c r="N1310">
        <v>97</v>
      </c>
      <c r="O1310">
        <v>61</v>
      </c>
      <c r="P1310">
        <v>93</v>
      </c>
      <c r="Q1310">
        <v>82</v>
      </c>
      <c r="R1310">
        <f>SUM(student_scores[[#This Row],[math_score]:[geography_score]])</f>
        <v>591</v>
      </c>
      <c r="S1310" s="3">
        <f>student_scores[[#This Row],[Total_Score]]/7</f>
        <v>84.428571428571431</v>
      </c>
      <c r="T1310" s="3" t="str" cm="1">
        <f t="array" ref="T1310">_xlfn.IFS(student_scores[[#This Row],[weekly_self_study_hours]]&lt;=5,   "0 - 5", student_scores[[#This Row],[weekly_self_study_hours]]&lt;=10,  "6 - 10", student_scores[[#This Row],[weekly_self_study_hours]]&lt;=20,  "11 - 20",student_scores[[#This Row],[weekly_self_study_hours]]&lt;=30, "21 - 30",TRUE, "31+")</f>
        <v>11 - 20</v>
      </c>
      <c r="U1310" t="str" cm="1">
        <f t="array" ref="U1310">_xlfn.IFS(student_scores[[#This Row],[absence_days]]=0,"0", student_scores[[#This Row],[absence_days]]&lt;=3,"1-3", student_scores[[#This Row],[absence_days]]&lt;=6,"4-6", TRUE,"7-10")</f>
        <v>1-3</v>
      </c>
      <c r="V1310" t="str">
        <f>IF(student_scores[[#This Row],[Total_Score]] &gt;= _xlfn.PERCENTILE.INC(student_scores[Total_Score], 0.8), "Yes", "No")</f>
        <v>No</v>
      </c>
    </row>
    <row r="1311" spans="1:22" x14ac:dyDescent="0.35">
      <c r="A1311">
        <v>1310</v>
      </c>
      <c r="B1311" t="s">
        <v>160</v>
      </c>
      <c r="C1311" t="s">
        <v>42</v>
      </c>
      <c r="D1311" t="s">
        <v>2277</v>
      </c>
      <c r="E1311" t="s">
        <v>20</v>
      </c>
      <c r="F1311" t="b">
        <v>0</v>
      </c>
      <c r="G1311">
        <v>4</v>
      </c>
      <c r="H1311" t="b">
        <v>0</v>
      </c>
      <c r="I1311">
        <v>5</v>
      </c>
      <c r="J1311" t="s">
        <v>159</v>
      </c>
      <c r="K1311">
        <v>81</v>
      </c>
      <c r="L1311">
        <v>95</v>
      </c>
      <c r="M1311">
        <v>84</v>
      </c>
      <c r="N1311">
        <v>85</v>
      </c>
      <c r="O1311">
        <v>82</v>
      </c>
      <c r="P1311">
        <v>62</v>
      </c>
      <c r="Q1311">
        <v>63</v>
      </c>
      <c r="R1311">
        <f>SUM(student_scores[[#This Row],[math_score]:[geography_score]])</f>
        <v>552</v>
      </c>
      <c r="S1311" s="3">
        <f>student_scores[[#This Row],[Total_Score]]/7</f>
        <v>78.857142857142861</v>
      </c>
      <c r="T1311" s="3" t="str" cm="1">
        <f t="array" ref="T1311">_xlfn.IFS(student_scores[[#This Row],[weekly_self_study_hours]]&lt;=5,   "0 - 5", student_scores[[#This Row],[weekly_self_study_hours]]&lt;=10,  "6 - 10", student_scores[[#This Row],[weekly_self_study_hours]]&lt;=20,  "11 - 20",student_scores[[#This Row],[weekly_self_study_hours]]&lt;=30, "21 - 30",TRUE, "31+")</f>
        <v>0 - 5</v>
      </c>
      <c r="U1311" t="str" cm="1">
        <f t="array" ref="U1311">_xlfn.IFS(student_scores[[#This Row],[absence_days]]=0,"0", student_scores[[#This Row],[absence_days]]&lt;=3,"1-3", student_scores[[#This Row],[absence_days]]&lt;=6,"4-6", TRUE,"7-10")</f>
        <v>4-6</v>
      </c>
      <c r="V1311" t="str">
        <f>IF(student_scores[[#This Row],[Total_Score]] &gt;= _xlfn.PERCENTILE.INC(student_scores[Total_Score], 0.8), "Yes", "No")</f>
        <v>No</v>
      </c>
    </row>
    <row r="1312" spans="1:22" x14ac:dyDescent="0.35">
      <c r="A1312">
        <v>1311</v>
      </c>
      <c r="B1312" t="s">
        <v>1001</v>
      </c>
      <c r="C1312" t="s">
        <v>515</v>
      </c>
      <c r="D1312" t="s">
        <v>2278</v>
      </c>
      <c r="E1312" t="s">
        <v>25</v>
      </c>
      <c r="F1312" t="b">
        <v>0</v>
      </c>
      <c r="G1312">
        <v>6</v>
      </c>
      <c r="H1312" t="b">
        <v>0</v>
      </c>
      <c r="I1312">
        <v>15</v>
      </c>
      <c r="J1312" t="s">
        <v>44</v>
      </c>
      <c r="K1312">
        <v>98</v>
      </c>
      <c r="L1312">
        <v>67</v>
      </c>
      <c r="M1312">
        <v>74</v>
      </c>
      <c r="N1312">
        <v>94</v>
      </c>
      <c r="O1312">
        <v>94</v>
      </c>
      <c r="P1312">
        <v>96</v>
      </c>
      <c r="Q1312">
        <v>85</v>
      </c>
      <c r="R1312">
        <f>SUM(student_scores[[#This Row],[math_score]:[geography_score]])</f>
        <v>608</v>
      </c>
      <c r="S1312" s="3">
        <f>student_scores[[#This Row],[Total_Score]]/7</f>
        <v>86.857142857142861</v>
      </c>
      <c r="T1312" s="3" t="str" cm="1">
        <f t="array" ref="T1312">_xlfn.IFS(student_scores[[#This Row],[weekly_self_study_hours]]&lt;=5,   "0 - 5", student_scores[[#This Row],[weekly_self_study_hours]]&lt;=10,  "6 - 10", student_scores[[#This Row],[weekly_self_study_hours]]&lt;=20,  "11 - 20",student_scores[[#This Row],[weekly_self_study_hours]]&lt;=30, "21 - 30",TRUE, "31+")</f>
        <v>11 - 20</v>
      </c>
      <c r="U1312" t="str" cm="1">
        <f t="array" ref="U1312">_xlfn.IFS(student_scores[[#This Row],[absence_days]]=0,"0", student_scores[[#This Row],[absence_days]]&lt;=3,"1-3", student_scores[[#This Row],[absence_days]]&lt;=6,"4-6", TRUE,"7-10")</f>
        <v>4-6</v>
      </c>
      <c r="V1312" t="str">
        <f>IF(student_scores[[#This Row],[Total_Score]] &gt;= _xlfn.PERCENTILE.INC(student_scores[Total_Score], 0.8), "Yes", "No")</f>
        <v>Yes</v>
      </c>
    </row>
    <row r="1313" spans="1:22" x14ac:dyDescent="0.35">
      <c r="A1313">
        <v>1312</v>
      </c>
      <c r="B1313" t="s">
        <v>167</v>
      </c>
      <c r="C1313" t="s">
        <v>246</v>
      </c>
      <c r="D1313" t="s">
        <v>2279</v>
      </c>
      <c r="E1313" t="s">
        <v>20</v>
      </c>
      <c r="F1313" t="b">
        <v>0</v>
      </c>
      <c r="G1313">
        <v>2</v>
      </c>
      <c r="H1313" t="b">
        <v>0</v>
      </c>
      <c r="I1313">
        <v>2</v>
      </c>
      <c r="J1313" t="s">
        <v>38</v>
      </c>
      <c r="K1313">
        <v>62</v>
      </c>
      <c r="L1313">
        <v>74</v>
      </c>
      <c r="M1313">
        <v>98</v>
      </c>
      <c r="N1313">
        <v>97</v>
      </c>
      <c r="O1313">
        <v>72</v>
      </c>
      <c r="P1313">
        <v>72</v>
      </c>
      <c r="Q1313">
        <v>95</v>
      </c>
      <c r="R1313">
        <f>SUM(student_scores[[#This Row],[math_score]:[geography_score]])</f>
        <v>570</v>
      </c>
      <c r="S1313" s="3">
        <f>student_scores[[#This Row],[Total_Score]]/7</f>
        <v>81.428571428571431</v>
      </c>
      <c r="T1313" s="3" t="str" cm="1">
        <f t="array" ref="T1313">_xlfn.IFS(student_scores[[#This Row],[weekly_self_study_hours]]&lt;=5,   "0 - 5", student_scores[[#This Row],[weekly_self_study_hours]]&lt;=10,  "6 - 10", student_scores[[#This Row],[weekly_self_study_hours]]&lt;=20,  "11 - 20",student_scores[[#This Row],[weekly_self_study_hours]]&lt;=30, "21 - 30",TRUE, "31+")</f>
        <v>0 - 5</v>
      </c>
      <c r="U1313" t="str" cm="1">
        <f t="array" ref="U1313">_xlfn.IFS(student_scores[[#This Row],[absence_days]]=0,"0", student_scores[[#This Row],[absence_days]]&lt;=3,"1-3", student_scores[[#This Row],[absence_days]]&lt;=6,"4-6", TRUE,"7-10")</f>
        <v>1-3</v>
      </c>
      <c r="V1313" t="str">
        <f>IF(student_scores[[#This Row],[Total_Score]] &gt;= _xlfn.PERCENTILE.INC(student_scores[Total_Score], 0.8), "Yes", "No")</f>
        <v>No</v>
      </c>
    </row>
    <row r="1314" spans="1:22" x14ac:dyDescent="0.35">
      <c r="A1314">
        <v>1313</v>
      </c>
      <c r="B1314" t="s">
        <v>627</v>
      </c>
      <c r="C1314" t="s">
        <v>836</v>
      </c>
      <c r="D1314" t="s">
        <v>2280</v>
      </c>
      <c r="E1314" t="s">
        <v>25</v>
      </c>
      <c r="F1314" t="b">
        <v>0</v>
      </c>
      <c r="G1314">
        <v>3</v>
      </c>
      <c r="H1314" t="b">
        <v>0</v>
      </c>
      <c r="I1314">
        <v>27</v>
      </c>
      <c r="J1314" t="s">
        <v>113</v>
      </c>
      <c r="K1314">
        <v>95</v>
      </c>
      <c r="L1314">
        <v>88</v>
      </c>
      <c r="M1314">
        <v>85</v>
      </c>
      <c r="N1314">
        <v>86</v>
      </c>
      <c r="O1314">
        <v>76</v>
      </c>
      <c r="P1314">
        <v>78</v>
      </c>
      <c r="Q1314">
        <v>81</v>
      </c>
      <c r="R1314">
        <f>SUM(student_scores[[#This Row],[math_score]:[geography_score]])</f>
        <v>589</v>
      </c>
      <c r="S1314" s="3">
        <f>student_scores[[#This Row],[Total_Score]]/7</f>
        <v>84.142857142857139</v>
      </c>
      <c r="T1314" s="3" t="str" cm="1">
        <f t="array" ref="T1314">_xlfn.IFS(student_scores[[#This Row],[weekly_self_study_hours]]&lt;=5,   "0 - 5", student_scores[[#This Row],[weekly_self_study_hours]]&lt;=10,  "6 - 10", student_scores[[#This Row],[weekly_self_study_hours]]&lt;=20,  "11 - 20",student_scores[[#This Row],[weekly_self_study_hours]]&lt;=30, "21 - 30",TRUE, "31+")</f>
        <v>21 - 30</v>
      </c>
      <c r="U1314" t="str" cm="1">
        <f t="array" ref="U1314">_xlfn.IFS(student_scores[[#This Row],[absence_days]]=0,"0", student_scores[[#This Row],[absence_days]]&lt;=3,"1-3", student_scores[[#This Row],[absence_days]]&lt;=6,"4-6", TRUE,"7-10")</f>
        <v>1-3</v>
      </c>
      <c r="V1314" t="str">
        <f>IF(student_scores[[#This Row],[Total_Score]] &gt;= _xlfn.PERCENTILE.INC(student_scores[Total_Score], 0.8), "Yes", "No")</f>
        <v>No</v>
      </c>
    </row>
    <row r="1315" spans="1:22" x14ac:dyDescent="0.35">
      <c r="A1315">
        <v>1314</v>
      </c>
      <c r="B1315" t="s">
        <v>124</v>
      </c>
      <c r="C1315" t="s">
        <v>2102</v>
      </c>
      <c r="D1315" t="s">
        <v>2281</v>
      </c>
      <c r="E1315" t="s">
        <v>20</v>
      </c>
      <c r="F1315" t="b">
        <v>0</v>
      </c>
      <c r="G1315">
        <v>1</v>
      </c>
      <c r="H1315" t="b">
        <v>0</v>
      </c>
      <c r="I1315">
        <v>22</v>
      </c>
      <c r="J1315" t="s">
        <v>105</v>
      </c>
      <c r="K1315">
        <v>87</v>
      </c>
      <c r="L1315">
        <v>90</v>
      </c>
      <c r="M1315">
        <v>80</v>
      </c>
      <c r="N1315">
        <v>88</v>
      </c>
      <c r="O1315">
        <v>71</v>
      </c>
      <c r="P1315">
        <v>95</v>
      </c>
      <c r="Q1315">
        <v>81</v>
      </c>
      <c r="R1315">
        <f>SUM(student_scores[[#This Row],[math_score]:[geography_score]])</f>
        <v>592</v>
      </c>
      <c r="S1315" s="3">
        <f>student_scores[[#This Row],[Total_Score]]/7</f>
        <v>84.571428571428569</v>
      </c>
      <c r="T1315" s="3" t="str" cm="1">
        <f t="array" ref="T1315">_xlfn.IFS(student_scores[[#This Row],[weekly_self_study_hours]]&lt;=5,   "0 - 5", student_scores[[#This Row],[weekly_self_study_hours]]&lt;=10,  "6 - 10", student_scores[[#This Row],[weekly_self_study_hours]]&lt;=20,  "11 - 20",student_scores[[#This Row],[weekly_self_study_hours]]&lt;=30, "21 - 30",TRUE, "31+")</f>
        <v>21 - 30</v>
      </c>
      <c r="U1315" t="str" cm="1">
        <f t="array" ref="U1315">_xlfn.IFS(student_scores[[#This Row],[absence_days]]=0,"0", student_scores[[#This Row],[absence_days]]&lt;=3,"1-3", student_scores[[#This Row],[absence_days]]&lt;=6,"4-6", TRUE,"7-10")</f>
        <v>1-3</v>
      </c>
      <c r="V1315" t="str">
        <f>IF(student_scores[[#This Row],[Total_Score]] &gt;= _xlfn.PERCENTILE.INC(student_scores[Total_Score], 0.8), "Yes", "No")</f>
        <v>No</v>
      </c>
    </row>
    <row r="1316" spans="1:22" x14ac:dyDescent="0.35">
      <c r="A1316">
        <v>1315</v>
      </c>
      <c r="B1316" t="s">
        <v>999</v>
      </c>
      <c r="C1316" t="s">
        <v>332</v>
      </c>
      <c r="D1316" t="s">
        <v>2282</v>
      </c>
      <c r="E1316" t="s">
        <v>25</v>
      </c>
      <c r="F1316" t="b">
        <v>0</v>
      </c>
      <c r="G1316">
        <v>5</v>
      </c>
      <c r="H1316" t="b">
        <v>1</v>
      </c>
      <c r="I1316">
        <v>24</v>
      </c>
      <c r="J1316" t="s">
        <v>113</v>
      </c>
      <c r="K1316">
        <v>85</v>
      </c>
      <c r="L1316">
        <v>85</v>
      </c>
      <c r="M1316">
        <v>67</v>
      </c>
      <c r="N1316">
        <v>91</v>
      </c>
      <c r="O1316">
        <v>75</v>
      </c>
      <c r="P1316">
        <v>93</v>
      </c>
      <c r="Q1316">
        <v>81</v>
      </c>
      <c r="R1316">
        <f>SUM(student_scores[[#This Row],[math_score]:[geography_score]])</f>
        <v>577</v>
      </c>
      <c r="S1316" s="3">
        <f>student_scores[[#This Row],[Total_Score]]/7</f>
        <v>82.428571428571431</v>
      </c>
      <c r="T1316" s="3" t="str" cm="1">
        <f t="array" ref="T1316">_xlfn.IFS(student_scores[[#This Row],[weekly_self_study_hours]]&lt;=5,   "0 - 5", student_scores[[#This Row],[weekly_self_study_hours]]&lt;=10,  "6 - 10", student_scores[[#This Row],[weekly_self_study_hours]]&lt;=20,  "11 - 20",student_scores[[#This Row],[weekly_self_study_hours]]&lt;=30, "21 - 30",TRUE, "31+")</f>
        <v>21 - 30</v>
      </c>
      <c r="U1316" t="str" cm="1">
        <f t="array" ref="U1316">_xlfn.IFS(student_scores[[#This Row],[absence_days]]=0,"0", student_scores[[#This Row],[absence_days]]&lt;=3,"1-3", student_scores[[#This Row],[absence_days]]&lt;=6,"4-6", TRUE,"7-10")</f>
        <v>4-6</v>
      </c>
      <c r="V1316" t="str">
        <f>IF(student_scores[[#This Row],[Total_Score]] &gt;= _xlfn.PERCENTILE.INC(student_scores[Total_Score], 0.8), "Yes", "No")</f>
        <v>No</v>
      </c>
    </row>
    <row r="1317" spans="1:22" x14ac:dyDescent="0.35">
      <c r="A1317">
        <v>1316</v>
      </c>
      <c r="B1317" t="s">
        <v>845</v>
      </c>
      <c r="C1317" t="s">
        <v>259</v>
      </c>
      <c r="D1317" t="s">
        <v>2283</v>
      </c>
      <c r="E1317" t="s">
        <v>25</v>
      </c>
      <c r="F1317" t="b">
        <v>0</v>
      </c>
      <c r="G1317">
        <v>6</v>
      </c>
      <c r="H1317" t="b">
        <v>0</v>
      </c>
      <c r="I1317">
        <v>27</v>
      </c>
      <c r="J1317" t="s">
        <v>105</v>
      </c>
      <c r="K1317">
        <v>96</v>
      </c>
      <c r="L1317">
        <v>72</v>
      </c>
      <c r="M1317">
        <v>66</v>
      </c>
      <c r="N1317">
        <v>80</v>
      </c>
      <c r="O1317">
        <v>72</v>
      </c>
      <c r="P1317">
        <v>83</v>
      </c>
      <c r="Q1317">
        <v>98</v>
      </c>
      <c r="R1317">
        <f>SUM(student_scores[[#This Row],[math_score]:[geography_score]])</f>
        <v>567</v>
      </c>
      <c r="S1317" s="3">
        <f>student_scores[[#This Row],[Total_Score]]/7</f>
        <v>81</v>
      </c>
      <c r="T1317" s="3" t="str" cm="1">
        <f t="array" ref="T1317">_xlfn.IFS(student_scores[[#This Row],[weekly_self_study_hours]]&lt;=5,   "0 - 5", student_scores[[#This Row],[weekly_self_study_hours]]&lt;=10,  "6 - 10", student_scores[[#This Row],[weekly_self_study_hours]]&lt;=20,  "11 - 20",student_scores[[#This Row],[weekly_self_study_hours]]&lt;=30, "21 - 30",TRUE, "31+")</f>
        <v>21 - 30</v>
      </c>
      <c r="U1317" t="str" cm="1">
        <f t="array" ref="U1317">_xlfn.IFS(student_scores[[#This Row],[absence_days]]=0,"0", student_scores[[#This Row],[absence_days]]&lt;=3,"1-3", student_scores[[#This Row],[absence_days]]&lt;=6,"4-6", TRUE,"7-10")</f>
        <v>4-6</v>
      </c>
      <c r="V1317" t="str">
        <f>IF(student_scores[[#This Row],[Total_Score]] &gt;= _xlfn.PERCENTILE.INC(student_scores[Total_Score], 0.8), "Yes", "No")</f>
        <v>No</v>
      </c>
    </row>
    <row r="1318" spans="1:22" x14ac:dyDescent="0.35">
      <c r="A1318">
        <v>1317</v>
      </c>
      <c r="B1318" t="s">
        <v>420</v>
      </c>
      <c r="C1318" t="s">
        <v>876</v>
      </c>
      <c r="D1318" t="s">
        <v>2284</v>
      </c>
      <c r="E1318" t="s">
        <v>25</v>
      </c>
      <c r="F1318" t="b">
        <v>0</v>
      </c>
      <c r="G1318">
        <v>2</v>
      </c>
      <c r="H1318" t="b">
        <v>0</v>
      </c>
      <c r="I1318">
        <v>25</v>
      </c>
      <c r="J1318" t="s">
        <v>113</v>
      </c>
      <c r="K1318">
        <v>83</v>
      </c>
      <c r="L1318">
        <v>63</v>
      </c>
      <c r="M1318">
        <v>66</v>
      </c>
      <c r="N1318">
        <v>67</v>
      </c>
      <c r="O1318">
        <v>60</v>
      </c>
      <c r="P1318">
        <v>60</v>
      </c>
      <c r="Q1318">
        <v>61</v>
      </c>
      <c r="R1318">
        <f>SUM(student_scores[[#This Row],[math_score]:[geography_score]])</f>
        <v>460</v>
      </c>
      <c r="S1318" s="3">
        <f>student_scores[[#This Row],[Total_Score]]/7</f>
        <v>65.714285714285708</v>
      </c>
      <c r="T1318" s="3" t="str" cm="1">
        <f t="array" ref="T1318">_xlfn.IFS(student_scores[[#This Row],[weekly_self_study_hours]]&lt;=5,   "0 - 5", student_scores[[#This Row],[weekly_self_study_hours]]&lt;=10,  "6 - 10", student_scores[[#This Row],[weekly_self_study_hours]]&lt;=20,  "11 - 20",student_scores[[#This Row],[weekly_self_study_hours]]&lt;=30, "21 - 30",TRUE, "31+")</f>
        <v>21 - 30</v>
      </c>
      <c r="U1318" t="str" cm="1">
        <f t="array" ref="U1318">_xlfn.IFS(student_scores[[#This Row],[absence_days]]=0,"0", student_scores[[#This Row],[absence_days]]&lt;=3,"1-3", student_scores[[#This Row],[absence_days]]&lt;=6,"4-6", TRUE,"7-10")</f>
        <v>1-3</v>
      </c>
      <c r="V1318" t="str">
        <f>IF(student_scores[[#This Row],[Total_Score]] &gt;= _xlfn.PERCENTILE.INC(student_scores[Total_Score], 0.8), "Yes", "No")</f>
        <v>No</v>
      </c>
    </row>
    <row r="1319" spans="1:22" x14ac:dyDescent="0.35">
      <c r="A1319">
        <v>1318</v>
      </c>
      <c r="B1319" t="s">
        <v>1141</v>
      </c>
      <c r="C1319" t="s">
        <v>2285</v>
      </c>
      <c r="D1319" t="s">
        <v>2286</v>
      </c>
      <c r="E1319" t="s">
        <v>20</v>
      </c>
      <c r="F1319" t="b">
        <v>0</v>
      </c>
      <c r="G1319">
        <v>3</v>
      </c>
      <c r="H1319" t="b">
        <v>0</v>
      </c>
      <c r="I1319">
        <v>17</v>
      </c>
      <c r="J1319" t="s">
        <v>138</v>
      </c>
      <c r="K1319">
        <v>89</v>
      </c>
      <c r="L1319">
        <v>92</v>
      </c>
      <c r="M1319">
        <v>88</v>
      </c>
      <c r="N1319">
        <v>99</v>
      </c>
      <c r="O1319">
        <v>92</v>
      </c>
      <c r="P1319">
        <v>62</v>
      </c>
      <c r="Q1319">
        <v>71</v>
      </c>
      <c r="R1319">
        <f>SUM(student_scores[[#This Row],[math_score]:[geography_score]])</f>
        <v>593</v>
      </c>
      <c r="S1319" s="3">
        <f>student_scores[[#This Row],[Total_Score]]/7</f>
        <v>84.714285714285708</v>
      </c>
      <c r="T1319" s="3" t="str" cm="1">
        <f t="array" ref="T1319">_xlfn.IFS(student_scores[[#This Row],[weekly_self_study_hours]]&lt;=5,   "0 - 5", student_scores[[#This Row],[weekly_self_study_hours]]&lt;=10,  "6 - 10", student_scores[[#This Row],[weekly_self_study_hours]]&lt;=20,  "11 - 20",student_scores[[#This Row],[weekly_self_study_hours]]&lt;=30, "21 - 30",TRUE, "31+")</f>
        <v>11 - 20</v>
      </c>
      <c r="U1319" t="str" cm="1">
        <f t="array" ref="U1319">_xlfn.IFS(student_scores[[#This Row],[absence_days]]=0,"0", student_scores[[#This Row],[absence_days]]&lt;=3,"1-3", student_scores[[#This Row],[absence_days]]&lt;=6,"4-6", TRUE,"7-10")</f>
        <v>1-3</v>
      </c>
      <c r="V1319" t="str">
        <f>IF(student_scores[[#This Row],[Total_Score]] &gt;= _xlfn.PERCENTILE.INC(student_scores[Total_Score], 0.8), "Yes", "No")</f>
        <v>No</v>
      </c>
    </row>
    <row r="1320" spans="1:22" x14ac:dyDescent="0.35">
      <c r="A1320">
        <v>1319</v>
      </c>
      <c r="B1320" t="s">
        <v>2287</v>
      </c>
      <c r="C1320" t="s">
        <v>32</v>
      </c>
      <c r="D1320" t="s">
        <v>2288</v>
      </c>
      <c r="E1320" t="s">
        <v>20</v>
      </c>
      <c r="F1320" t="b">
        <v>0</v>
      </c>
      <c r="G1320">
        <v>1</v>
      </c>
      <c r="H1320" t="b">
        <v>0</v>
      </c>
      <c r="I1320">
        <v>14</v>
      </c>
      <c r="J1320" t="s">
        <v>138</v>
      </c>
      <c r="K1320">
        <v>90</v>
      </c>
      <c r="L1320">
        <v>73</v>
      </c>
      <c r="M1320">
        <v>98</v>
      </c>
      <c r="N1320">
        <v>72</v>
      </c>
      <c r="O1320">
        <v>69</v>
      </c>
      <c r="P1320">
        <v>84</v>
      </c>
      <c r="Q1320">
        <v>86</v>
      </c>
      <c r="R1320">
        <f>SUM(student_scores[[#This Row],[math_score]:[geography_score]])</f>
        <v>572</v>
      </c>
      <c r="S1320" s="3">
        <f>student_scores[[#This Row],[Total_Score]]/7</f>
        <v>81.714285714285708</v>
      </c>
      <c r="T1320" s="3" t="str" cm="1">
        <f t="array" ref="T1320">_xlfn.IFS(student_scores[[#This Row],[weekly_self_study_hours]]&lt;=5,   "0 - 5", student_scores[[#This Row],[weekly_self_study_hours]]&lt;=10,  "6 - 10", student_scores[[#This Row],[weekly_self_study_hours]]&lt;=20,  "11 - 20",student_scores[[#This Row],[weekly_self_study_hours]]&lt;=30, "21 - 30",TRUE, "31+")</f>
        <v>11 - 20</v>
      </c>
      <c r="U1320" t="str" cm="1">
        <f t="array" ref="U1320">_xlfn.IFS(student_scores[[#This Row],[absence_days]]=0,"0", student_scores[[#This Row],[absence_days]]&lt;=3,"1-3", student_scores[[#This Row],[absence_days]]&lt;=6,"4-6", TRUE,"7-10")</f>
        <v>1-3</v>
      </c>
      <c r="V1320" t="str">
        <f>IF(student_scores[[#This Row],[Total_Score]] &gt;= _xlfn.PERCENTILE.INC(student_scores[Total_Score], 0.8), "Yes", "No")</f>
        <v>No</v>
      </c>
    </row>
    <row r="1321" spans="1:22" x14ac:dyDescent="0.35">
      <c r="A1321">
        <v>1320</v>
      </c>
      <c r="B1321" t="s">
        <v>710</v>
      </c>
      <c r="C1321" t="s">
        <v>2289</v>
      </c>
      <c r="D1321" t="s">
        <v>2290</v>
      </c>
      <c r="E1321" t="s">
        <v>25</v>
      </c>
      <c r="F1321" t="b">
        <v>0</v>
      </c>
      <c r="G1321">
        <v>5</v>
      </c>
      <c r="H1321" t="b">
        <v>0</v>
      </c>
      <c r="I1321">
        <v>14</v>
      </c>
      <c r="J1321" t="s">
        <v>105</v>
      </c>
      <c r="K1321">
        <v>99</v>
      </c>
      <c r="L1321">
        <v>72</v>
      </c>
      <c r="M1321">
        <v>74</v>
      </c>
      <c r="N1321">
        <v>88</v>
      </c>
      <c r="O1321">
        <v>90</v>
      </c>
      <c r="P1321">
        <v>81</v>
      </c>
      <c r="Q1321">
        <v>95</v>
      </c>
      <c r="R1321">
        <f>SUM(student_scores[[#This Row],[math_score]:[geography_score]])</f>
        <v>599</v>
      </c>
      <c r="S1321" s="3">
        <f>student_scores[[#This Row],[Total_Score]]/7</f>
        <v>85.571428571428569</v>
      </c>
      <c r="T1321" s="3" t="str" cm="1">
        <f t="array" ref="T1321">_xlfn.IFS(student_scores[[#This Row],[weekly_self_study_hours]]&lt;=5,   "0 - 5", student_scores[[#This Row],[weekly_self_study_hours]]&lt;=10,  "6 - 10", student_scores[[#This Row],[weekly_self_study_hours]]&lt;=20,  "11 - 20",student_scores[[#This Row],[weekly_self_study_hours]]&lt;=30, "21 - 30",TRUE, "31+")</f>
        <v>11 - 20</v>
      </c>
      <c r="U1321" t="str" cm="1">
        <f t="array" ref="U1321">_xlfn.IFS(student_scores[[#This Row],[absence_days]]=0,"0", student_scores[[#This Row],[absence_days]]&lt;=3,"1-3", student_scores[[#This Row],[absence_days]]&lt;=6,"4-6", TRUE,"7-10")</f>
        <v>4-6</v>
      </c>
      <c r="V1321" t="str">
        <f>IF(student_scores[[#This Row],[Total_Score]] &gt;= _xlfn.PERCENTILE.INC(student_scores[Total_Score], 0.8), "Yes", "No")</f>
        <v>No</v>
      </c>
    </row>
    <row r="1322" spans="1:22" x14ac:dyDescent="0.35">
      <c r="A1322">
        <v>1321</v>
      </c>
      <c r="B1322" t="s">
        <v>2291</v>
      </c>
      <c r="C1322" t="s">
        <v>42</v>
      </c>
      <c r="D1322" t="s">
        <v>2292</v>
      </c>
      <c r="E1322" t="s">
        <v>20</v>
      </c>
      <c r="F1322" t="b">
        <v>0</v>
      </c>
      <c r="G1322">
        <v>1</v>
      </c>
      <c r="H1322" t="b">
        <v>0</v>
      </c>
      <c r="I1322">
        <v>3</v>
      </c>
      <c r="J1322" t="s">
        <v>30</v>
      </c>
      <c r="K1322">
        <v>62</v>
      </c>
      <c r="L1322">
        <v>67</v>
      </c>
      <c r="M1322">
        <v>96</v>
      </c>
      <c r="N1322">
        <v>67</v>
      </c>
      <c r="O1322">
        <v>82</v>
      </c>
      <c r="P1322">
        <v>65</v>
      </c>
      <c r="Q1322">
        <v>73</v>
      </c>
      <c r="R1322">
        <f>SUM(student_scores[[#This Row],[math_score]:[geography_score]])</f>
        <v>512</v>
      </c>
      <c r="S1322" s="3">
        <f>student_scores[[#This Row],[Total_Score]]/7</f>
        <v>73.142857142857139</v>
      </c>
      <c r="T1322" s="3" t="str" cm="1">
        <f t="array" ref="T1322">_xlfn.IFS(student_scores[[#This Row],[weekly_self_study_hours]]&lt;=5,   "0 - 5", student_scores[[#This Row],[weekly_self_study_hours]]&lt;=10,  "6 - 10", student_scores[[#This Row],[weekly_self_study_hours]]&lt;=20,  "11 - 20",student_scores[[#This Row],[weekly_self_study_hours]]&lt;=30, "21 - 30",TRUE, "31+")</f>
        <v>0 - 5</v>
      </c>
      <c r="U1322" t="str" cm="1">
        <f t="array" ref="U1322">_xlfn.IFS(student_scores[[#This Row],[absence_days]]=0,"0", student_scores[[#This Row],[absence_days]]&lt;=3,"1-3", student_scores[[#This Row],[absence_days]]&lt;=6,"4-6", TRUE,"7-10")</f>
        <v>1-3</v>
      </c>
      <c r="V1322" t="str">
        <f>IF(student_scores[[#This Row],[Total_Score]] &gt;= _xlfn.PERCENTILE.INC(student_scores[Total_Score], 0.8), "Yes", "No")</f>
        <v>No</v>
      </c>
    </row>
    <row r="1323" spans="1:22" x14ac:dyDescent="0.35">
      <c r="A1323">
        <v>1322</v>
      </c>
      <c r="B1323" t="s">
        <v>417</v>
      </c>
      <c r="C1323" t="s">
        <v>2293</v>
      </c>
      <c r="D1323" t="s">
        <v>2294</v>
      </c>
      <c r="E1323" t="s">
        <v>25</v>
      </c>
      <c r="F1323" t="b">
        <v>0</v>
      </c>
      <c r="G1323">
        <v>7</v>
      </c>
      <c r="H1323" t="b">
        <v>0</v>
      </c>
      <c r="I1323">
        <v>5</v>
      </c>
      <c r="J1323" t="s">
        <v>64</v>
      </c>
      <c r="K1323">
        <v>42</v>
      </c>
      <c r="L1323">
        <v>79</v>
      </c>
      <c r="M1323">
        <v>79</v>
      </c>
      <c r="N1323">
        <v>59</v>
      </c>
      <c r="O1323">
        <v>61</v>
      </c>
      <c r="P1323">
        <v>87</v>
      </c>
      <c r="Q1323">
        <v>65</v>
      </c>
      <c r="R1323">
        <f>SUM(student_scores[[#This Row],[math_score]:[geography_score]])</f>
        <v>472</v>
      </c>
      <c r="S1323" s="3">
        <f>student_scores[[#This Row],[Total_Score]]/7</f>
        <v>67.428571428571431</v>
      </c>
      <c r="T1323" s="3" t="str" cm="1">
        <f t="array" ref="T1323">_xlfn.IFS(student_scores[[#This Row],[weekly_self_study_hours]]&lt;=5,   "0 - 5", student_scores[[#This Row],[weekly_self_study_hours]]&lt;=10,  "6 - 10", student_scores[[#This Row],[weekly_self_study_hours]]&lt;=20,  "11 - 20",student_scores[[#This Row],[weekly_self_study_hours]]&lt;=30, "21 - 30",TRUE, "31+")</f>
        <v>0 - 5</v>
      </c>
      <c r="U1323" t="str" cm="1">
        <f t="array" ref="U1323">_xlfn.IFS(student_scores[[#This Row],[absence_days]]=0,"0", student_scores[[#This Row],[absence_days]]&lt;=3,"1-3", student_scores[[#This Row],[absence_days]]&lt;=6,"4-6", TRUE,"7-10")</f>
        <v>7-10</v>
      </c>
      <c r="V1323" t="str">
        <f>IF(student_scores[[#This Row],[Total_Score]] &gt;= _xlfn.PERCENTILE.INC(student_scores[Total_Score], 0.8), "Yes", "No")</f>
        <v>No</v>
      </c>
    </row>
    <row r="1324" spans="1:22" x14ac:dyDescent="0.35">
      <c r="A1324">
        <v>1323</v>
      </c>
      <c r="B1324" t="s">
        <v>1852</v>
      </c>
      <c r="C1324" t="s">
        <v>2295</v>
      </c>
      <c r="D1324" t="s">
        <v>2296</v>
      </c>
      <c r="E1324" t="s">
        <v>25</v>
      </c>
      <c r="F1324" t="b">
        <v>0</v>
      </c>
      <c r="G1324">
        <v>10</v>
      </c>
      <c r="H1324" t="b">
        <v>1</v>
      </c>
      <c r="I1324">
        <v>2</v>
      </c>
      <c r="J1324" t="s">
        <v>64</v>
      </c>
      <c r="K1324">
        <v>46</v>
      </c>
      <c r="L1324">
        <v>52</v>
      </c>
      <c r="M1324">
        <v>87</v>
      </c>
      <c r="N1324">
        <v>80</v>
      </c>
      <c r="O1324">
        <v>76</v>
      </c>
      <c r="P1324">
        <v>73</v>
      </c>
      <c r="Q1324">
        <v>76</v>
      </c>
      <c r="R1324">
        <f>SUM(student_scores[[#This Row],[math_score]:[geography_score]])</f>
        <v>490</v>
      </c>
      <c r="S1324" s="3">
        <f>student_scores[[#This Row],[Total_Score]]/7</f>
        <v>70</v>
      </c>
      <c r="T1324" s="3" t="str" cm="1">
        <f t="array" ref="T1324">_xlfn.IFS(student_scores[[#This Row],[weekly_self_study_hours]]&lt;=5,   "0 - 5", student_scores[[#This Row],[weekly_self_study_hours]]&lt;=10,  "6 - 10", student_scores[[#This Row],[weekly_self_study_hours]]&lt;=20,  "11 - 20",student_scores[[#This Row],[weekly_self_study_hours]]&lt;=30, "21 - 30",TRUE, "31+")</f>
        <v>0 - 5</v>
      </c>
      <c r="U1324" t="str" cm="1">
        <f t="array" ref="U1324">_xlfn.IFS(student_scores[[#This Row],[absence_days]]=0,"0", student_scores[[#This Row],[absence_days]]&lt;=3,"1-3", student_scores[[#This Row],[absence_days]]&lt;=6,"4-6", TRUE,"7-10")</f>
        <v>7-10</v>
      </c>
      <c r="V1324" t="str">
        <f>IF(student_scores[[#This Row],[Total_Score]] &gt;= _xlfn.PERCENTILE.INC(student_scores[Total_Score], 0.8), "Yes", "No")</f>
        <v>No</v>
      </c>
    </row>
    <row r="1325" spans="1:22" x14ac:dyDescent="0.35">
      <c r="A1325">
        <v>1324</v>
      </c>
      <c r="B1325" t="s">
        <v>110</v>
      </c>
      <c r="C1325" t="s">
        <v>28</v>
      </c>
      <c r="D1325" t="s">
        <v>2297</v>
      </c>
      <c r="E1325" t="s">
        <v>20</v>
      </c>
      <c r="F1325" t="b">
        <v>0</v>
      </c>
      <c r="G1325">
        <v>3</v>
      </c>
      <c r="H1325" t="b">
        <v>0</v>
      </c>
      <c r="I1325">
        <v>4</v>
      </c>
      <c r="J1325" t="s">
        <v>159</v>
      </c>
      <c r="K1325">
        <v>92</v>
      </c>
      <c r="L1325">
        <v>63</v>
      </c>
      <c r="M1325">
        <v>100</v>
      </c>
      <c r="N1325">
        <v>97</v>
      </c>
      <c r="O1325">
        <v>91</v>
      </c>
      <c r="P1325">
        <v>87</v>
      </c>
      <c r="Q1325">
        <v>68</v>
      </c>
      <c r="R1325">
        <f>SUM(student_scores[[#This Row],[math_score]:[geography_score]])</f>
        <v>598</v>
      </c>
      <c r="S1325" s="3">
        <f>student_scores[[#This Row],[Total_Score]]/7</f>
        <v>85.428571428571431</v>
      </c>
      <c r="T1325" s="3" t="str" cm="1">
        <f t="array" ref="T1325">_xlfn.IFS(student_scores[[#This Row],[weekly_self_study_hours]]&lt;=5,   "0 - 5", student_scores[[#This Row],[weekly_self_study_hours]]&lt;=10,  "6 - 10", student_scores[[#This Row],[weekly_self_study_hours]]&lt;=20,  "11 - 20",student_scores[[#This Row],[weekly_self_study_hours]]&lt;=30, "21 - 30",TRUE, "31+")</f>
        <v>0 - 5</v>
      </c>
      <c r="U1325" t="str" cm="1">
        <f t="array" ref="U1325">_xlfn.IFS(student_scores[[#This Row],[absence_days]]=0,"0", student_scores[[#This Row],[absence_days]]&lt;=3,"1-3", student_scores[[#This Row],[absence_days]]&lt;=6,"4-6", TRUE,"7-10")</f>
        <v>1-3</v>
      </c>
      <c r="V1325" t="str">
        <f>IF(student_scores[[#This Row],[Total_Score]] &gt;= _xlfn.PERCENTILE.INC(student_scores[Total_Score], 0.8), "Yes", "No")</f>
        <v>No</v>
      </c>
    </row>
    <row r="1326" spans="1:22" x14ac:dyDescent="0.35">
      <c r="A1326">
        <v>1325</v>
      </c>
      <c r="B1326" t="s">
        <v>534</v>
      </c>
      <c r="C1326" t="s">
        <v>143</v>
      </c>
      <c r="D1326" t="s">
        <v>2298</v>
      </c>
      <c r="E1326" t="s">
        <v>25</v>
      </c>
      <c r="F1326" t="b">
        <v>0</v>
      </c>
      <c r="G1326">
        <v>10</v>
      </c>
      <c r="H1326" t="b">
        <v>0</v>
      </c>
      <c r="I1326">
        <v>33</v>
      </c>
      <c r="J1326" t="s">
        <v>21</v>
      </c>
      <c r="K1326">
        <v>94</v>
      </c>
      <c r="L1326">
        <v>89</v>
      </c>
      <c r="M1326">
        <v>96</v>
      </c>
      <c r="N1326">
        <v>98</v>
      </c>
      <c r="O1326">
        <v>61</v>
      </c>
      <c r="P1326">
        <v>95</v>
      </c>
      <c r="Q1326">
        <v>67</v>
      </c>
      <c r="R1326">
        <f>SUM(student_scores[[#This Row],[math_score]:[geography_score]])</f>
        <v>600</v>
      </c>
      <c r="S1326" s="3">
        <f>student_scores[[#This Row],[Total_Score]]/7</f>
        <v>85.714285714285708</v>
      </c>
      <c r="T1326" s="3" t="str" cm="1">
        <f t="array" ref="T1326">_xlfn.IFS(student_scores[[#This Row],[weekly_self_study_hours]]&lt;=5,   "0 - 5", student_scores[[#This Row],[weekly_self_study_hours]]&lt;=10,  "6 - 10", student_scores[[#This Row],[weekly_self_study_hours]]&lt;=20,  "11 - 20",student_scores[[#This Row],[weekly_self_study_hours]]&lt;=30, "21 - 30",TRUE, "31+")</f>
        <v>31+</v>
      </c>
      <c r="U1326" t="str" cm="1">
        <f t="array" ref="U1326">_xlfn.IFS(student_scores[[#This Row],[absence_days]]=0,"0", student_scores[[#This Row],[absence_days]]&lt;=3,"1-3", student_scores[[#This Row],[absence_days]]&lt;=6,"4-6", TRUE,"7-10")</f>
        <v>7-10</v>
      </c>
      <c r="V1326" t="str">
        <f>IF(student_scores[[#This Row],[Total_Score]] &gt;= _xlfn.PERCENTILE.INC(student_scores[Total_Score], 0.8), "Yes", "No")</f>
        <v>No</v>
      </c>
    </row>
    <row r="1327" spans="1:22" x14ac:dyDescent="0.35">
      <c r="A1327">
        <v>1326</v>
      </c>
      <c r="B1327" t="s">
        <v>830</v>
      </c>
      <c r="C1327" t="s">
        <v>2299</v>
      </c>
      <c r="D1327" t="s">
        <v>2300</v>
      </c>
      <c r="E1327" t="s">
        <v>20</v>
      </c>
      <c r="F1327" t="b">
        <v>0</v>
      </c>
      <c r="G1327">
        <v>2</v>
      </c>
      <c r="H1327" t="b">
        <v>0</v>
      </c>
      <c r="I1327">
        <v>31</v>
      </c>
      <c r="J1327" t="s">
        <v>105</v>
      </c>
      <c r="K1327">
        <v>89</v>
      </c>
      <c r="L1327">
        <v>99</v>
      </c>
      <c r="M1327">
        <v>89</v>
      </c>
      <c r="N1327">
        <v>71</v>
      </c>
      <c r="O1327">
        <v>74</v>
      </c>
      <c r="P1327">
        <v>94</v>
      </c>
      <c r="Q1327">
        <v>78</v>
      </c>
      <c r="R1327">
        <f>SUM(student_scores[[#This Row],[math_score]:[geography_score]])</f>
        <v>594</v>
      </c>
      <c r="S1327" s="3">
        <f>student_scores[[#This Row],[Total_Score]]/7</f>
        <v>84.857142857142861</v>
      </c>
      <c r="T1327" s="3" t="str" cm="1">
        <f t="array" ref="T1327">_xlfn.IFS(student_scores[[#This Row],[weekly_self_study_hours]]&lt;=5,   "0 - 5", student_scores[[#This Row],[weekly_self_study_hours]]&lt;=10,  "6 - 10", student_scores[[#This Row],[weekly_self_study_hours]]&lt;=20,  "11 - 20",student_scores[[#This Row],[weekly_self_study_hours]]&lt;=30, "21 - 30",TRUE, "31+")</f>
        <v>31+</v>
      </c>
      <c r="U1327" t="str" cm="1">
        <f t="array" ref="U1327">_xlfn.IFS(student_scores[[#This Row],[absence_days]]=0,"0", student_scores[[#This Row],[absence_days]]&lt;=3,"1-3", student_scores[[#This Row],[absence_days]]&lt;=6,"4-6", TRUE,"7-10")</f>
        <v>1-3</v>
      </c>
      <c r="V1327" t="str">
        <f>IF(student_scores[[#This Row],[Total_Score]] &gt;= _xlfn.PERCENTILE.INC(student_scores[Total_Score], 0.8), "Yes", "No")</f>
        <v>No</v>
      </c>
    </row>
    <row r="1328" spans="1:22" x14ac:dyDescent="0.35">
      <c r="A1328">
        <v>1327</v>
      </c>
      <c r="B1328" t="s">
        <v>1201</v>
      </c>
      <c r="C1328" t="s">
        <v>2301</v>
      </c>
      <c r="D1328" t="s">
        <v>2302</v>
      </c>
      <c r="E1328" t="s">
        <v>20</v>
      </c>
      <c r="F1328" t="b">
        <v>0</v>
      </c>
      <c r="G1328">
        <v>1</v>
      </c>
      <c r="H1328" t="b">
        <v>0</v>
      </c>
      <c r="I1328">
        <v>16</v>
      </c>
      <c r="J1328" t="s">
        <v>138</v>
      </c>
      <c r="K1328">
        <v>90</v>
      </c>
      <c r="L1328">
        <v>100</v>
      </c>
      <c r="M1328">
        <v>98</v>
      </c>
      <c r="N1328">
        <v>95</v>
      </c>
      <c r="O1328">
        <v>97</v>
      </c>
      <c r="P1328">
        <v>74</v>
      </c>
      <c r="Q1328">
        <v>63</v>
      </c>
      <c r="R1328">
        <f>SUM(student_scores[[#This Row],[math_score]:[geography_score]])</f>
        <v>617</v>
      </c>
      <c r="S1328" s="3">
        <f>student_scores[[#This Row],[Total_Score]]/7</f>
        <v>88.142857142857139</v>
      </c>
      <c r="T1328" s="3" t="str" cm="1">
        <f t="array" ref="T1328">_xlfn.IFS(student_scores[[#This Row],[weekly_self_study_hours]]&lt;=5,   "0 - 5", student_scores[[#This Row],[weekly_self_study_hours]]&lt;=10,  "6 - 10", student_scores[[#This Row],[weekly_self_study_hours]]&lt;=20,  "11 - 20",student_scores[[#This Row],[weekly_self_study_hours]]&lt;=30, "21 - 30",TRUE, "31+")</f>
        <v>11 - 20</v>
      </c>
      <c r="U1328" t="str" cm="1">
        <f t="array" ref="U1328">_xlfn.IFS(student_scores[[#This Row],[absence_days]]=0,"0", student_scores[[#This Row],[absence_days]]&lt;=3,"1-3", student_scores[[#This Row],[absence_days]]&lt;=6,"4-6", TRUE,"7-10")</f>
        <v>1-3</v>
      </c>
      <c r="V1328" t="str">
        <f>IF(student_scores[[#This Row],[Total_Score]] &gt;= _xlfn.PERCENTILE.INC(student_scores[Total_Score], 0.8), "Yes", "No")</f>
        <v>Yes</v>
      </c>
    </row>
    <row r="1329" spans="1:22" x14ac:dyDescent="0.35">
      <c r="A1329">
        <v>1328</v>
      </c>
      <c r="B1329" t="s">
        <v>585</v>
      </c>
      <c r="C1329" t="s">
        <v>167</v>
      </c>
      <c r="D1329" t="s">
        <v>2303</v>
      </c>
      <c r="E1329" t="s">
        <v>20</v>
      </c>
      <c r="F1329" t="b">
        <v>0</v>
      </c>
      <c r="G1329">
        <v>5</v>
      </c>
      <c r="H1329" t="b">
        <v>0</v>
      </c>
      <c r="I1329">
        <v>15</v>
      </c>
      <c r="J1329" t="s">
        <v>38</v>
      </c>
      <c r="K1329">
        <v>69</v>
      </c>
      <c r="L1329">
        <v>81</v>
      </c>
      <c r="M1329">
        <v>83</v>
      </c>
      <c r="N1329">
        <v>68</v>
      </c>
      <c r="O1329">
        <v>76</v>
      </c>
      <c r="P1329">
        <v>90</v>
      </c>
      <c r="Q1329">
        <v>95</v>
      </c>
      <c r="R1329">
        <f>SUM(student_scores[[#This Row],[math_score]:[geography_score]])</f>
        <v>562</v>
      </c>
      <c r="S1329" s="3">
        <f>student_scores[[#This Row],[Total_Score]]/7</f>
        <v>80.285714285714292</v>
      </c>
      <c r="T1329" s="3" t="str" cm="1">
        <f t="array" ref="T1329">_xlfn.IFS(student_scores[[#This Row],[weekly_self_study_hours]]&lt;=5,   "0 - 5", student_scores[[#This Row],[weekly_self_study_hours]]&lt;=10,  "6 - 10", student_scores[[#This Row],[weekly_self_study_hours]]&lt;=20,  "11 - 20",student_scores[[#This Row],[weekly_self_study_hours]]&lt;=30, "21 - 30",TRUE, "31+")</f>
        <v>11 - 20</v>
      </c>
      <c r="U1329" t="str" cm="1">
        <f t="array" ref="U1329">_xlfn.IFS(student_scores[[#This Row],[absence_days]]=0,"0", student_scores[[#This Row],[absence_days]]&lt;=3,"1-3", student_scores[[#This Row],[absence_days]]&lt;=6,"4-6", TRUE,"7-10")</f>
        <v>4-6</v>
      </c>
      <c r="V1329" t="str">
        <f>IF(student_scores[[#This Row],[Total_Score]] &gt;= _xlfn.PERCENTILE.INC(student_scores[Total_Score], 0.8), "Yes", "No")</f>
        <v>No</v>
      </c>
    </row>
    <row r="1330" spans="1:22" x14ac:dyDescent="0.35">
      <c r="A1330">
        <v>1329</v>
      </c>
      <c r="B1330" t="s">
        <v>190</v>
      </c>
      <c r="C1330" t="s">
        <v>515</v>
      </c>
      <c r="D1330" t="s">
        <v>2304</v>
      </c>
      <c r="E1330" t="s">
        <v>25</v>
      </c>
      <c r="F1330" t="b">
        <v>0</v>
      </c>
      <c r="G1330">
        <v>7</v>
      </c>
      <c r="H1330" t="b">
        <v>1</v>
      </c>
      <c r="I1330">
        <v>5</v>
      </c>
      <c r="J1330" t="s">
        <v>64</v>
      </c>
      <c r="K1330">
        <v>40</v>
      </c>
      <c r="L1330">
        <v>51</v>
      </c>
      <c r="M1330">
        <v>67</v>
      </c>
      <c r="N1330">
        <v>63</v>
      </c>
      <c r="O1330">
        <v>98</v>
      </c>
      <c r="P1330">
        <v>54</v>
      </c>
      <c r="Q1330">
        <v>79</v>
      </c>
      <c r="R1330">
        <f>SUM(student_scores[[#This Row],[math_score]:[geography_score]])</f>
        <v>452</v>
      </c>
      <c r="S1330" s="3">
        <f>student_scores[[#This Row],[Total_Score]]/7</f>
        <v>64.571428571428569</v>
      </c>
      <c r="T1330" s="3" t="str" cm="1">
        <f t="array" ref="T1330">_xlfn.IFS(student_scores[[#This Row],[weekly_self_study_hours]]&lt;=5,   "0 - 5", student_scores[[#This Row],[weekly_self_study_hours]]&lt;=10,  "6 - 10", student_scores[[#This Row],[weekly_self_study_hours]]&lt;=20,  "11 - 20",student_scores[[#This Row],[weekly_self_study_hours]]&lt;=30, "21 - 30",TRUE, "31+")</f>
        <v>0 - 5</v>
      </c>
      <c r="U1330" t="str" cm="1">
        <f t="array" ref="U1330">_xlfn.IFS(student_scores[[#This Row],[absence_days]]=0,"0", student_scores[[#This Row],[absence_days]]&lt;=3,"1-3", student_scores[[#This Row],[absence_days]]&lt;=6,"4-6", TRUE,"7-10")</f>
        <v>7-10</v>
      </c>
      <c r="V1330" t="str">
        <f>IF(student_scores[[#This Row],[Total_Score]] &gt;= _xlfn.PERCENTILE.INC(student_scores[Total_Score], 0.8), "Yes", "No")</f>
        <v>No</v>
      </c>
    </row>
    <row r="1331" spans="1:22" x14ac:dyDescent="0.35">
      <c r="A1331">
        <v>1330</v>
      </c>
      <c r="B1331" t="s">
        <v>35</v>
      </c>
      <c r="C1331" t="s">
        <v>2305</v>
      </c>
      <c r="D1331" t="s">
        <v>2306</v>
      </c>
      <c r="E1331" t="s">
        <v>20</v>
      </c>
      <c r="F1331" t="b">
        <v>1</v>
      </c>
      <c r="G1331">
        <v>10</v>
      </c>
      <c r="H1331" t="b">
        <v>0</v>
      </c>
      <c r="I1331">
        <v>3</v>
      </c>
      <c r="J1331" t="s">
        <v>64</v>
      </c>
      <c r="K1331">
        <v>42</v>
      </c>
      <c r="L1331">
        <v>92</v>
      </c>
      <c r="M1331">
        <v>60</v>
      </c>
      <c r="N1331">
        <v>54</v>
      </c>
      <c r="O1331">
        <v>68</v>
      </c>
      <c r="P1331">
        <v>69</v>
      </c>
      <c r="Q1331">
        <v>76</v>
      </c>
      <c r="R1331">
        <f>SUM(student_scores[[#This Row],[math_score]:[geography_score]])</f>
        <v>461</v>
      </c>
      <c r="S1331" s="3">
        <f>student_scores[[#This Row],[Total_Score]]/7</f>
        <v>65.857142857142861</v>
      </c>
      <c r="T1331" s="3" t="str" cm="1">
        <f t="array" ref="T1331">_xlfn.IFS(student_scores[[#This Row],[weekly_self_study_hours]]&lt;=5,   "0 - 5", student_scores[[#This Row],[weekly_self_study_hours]]&lt;=10,  "6 - 10", student_scores[[#This Row],[weekly_self_study_hours]]&lt;=20,  "11 - 20",student_scores[[#This Row],[weekly_self_study_hours]]&lt;=30, "21 - 30",TRUE, "31+")</f>
        <v>0 - 5</v>
      </c>
      <c r="U1331" t="str" cm="1">
        <f t="array" ref="U1331">_xlfn.IFS(student_scores[[#This Row],[absence_days]]=0,"0", student_scores[[#This Row],[absence_days]]&lt;=3,"1-3", student_scores[[#This Row],[absence_days]]&lt;=6,"4-6", TRUE,"7-10")</f>
        <v>7-10</v>
      </c>
      <c r="V1331" t="str">
        <f>IF(student_scores[[#This Row],[Total_Score]] &gt;= _xlfn.PERCENTILE.INC(student_scores[Total_Score], 0.8), "Yes", "No")</f>
        <v>No</v>
      </c>
    </row>
    <row r="1332" spans="1:22" x14ac:dyDescent="0.35">
      <c r="A1332">
        <v>1331</v>
      </c>
      <c r="B1332" t="s">
        <v>824</v>
      </c>
      <c r="C1332" t="s">
        <v>604</v>
      </c>
      <c r="D1332" t="s">
        <v>2307</v>
      </c>
      <c r="E1332" t="s">
        <v>25</v>
      </c>
      <c r="F1332" t="b">
        <v>0</v>
      </c>
      <c r="G1332">
        <v>8</v>
      </c>
      <c r="H1332" t="b">
        <v>0</v>
      </c>
      <c r="I1332">
        <v>4</v>
      </c>
      <c r="J1332" t="s">
        <v>64</v>
      </c>
      <c r="K1332">
        <v>82</v>
      </c>
      <c r="L1332">
        <v>91</v>
      </c>
      <c r="M1332">
        <v>69</v>
      </c>
      <c r="N1332">
        <v>61</v>
      </c>
      <c r="O1332">
        <v>79</v>
      </c>
      <c r="P1332">
        <v>76</v>
      </c>
      <c r="Q1332">
        <v>83</v>
      </c>
      <c r="R1332">
        <f>SUM(student_scores[[#This Row],[math_score]:[geography_score]])</f>
        <v>541</v>
      </c>
      <c r="S1332" s="3">
        <f>student_scores[[#This Row],[Total_Score]]/7</f>
        <v>77.285714285714292</v>
      </c>
      <c r="T1332" s="3" t="str" cm="1">
        <f t="array" ref="T1332">_xlfn.IFS(student_scores[[#This Row],[weekly_self_study_hours]]&lt;=5,   "0 - 5", student_scores[[#This Row],[weekly_self_study_hours]]&lt;=10,  "6 - 10", student_scores[[#This Row],[weekly_self_study_hours]]&lt;=20,  "11 - 20",student_scores[[#This Row],[weekly_self_study_hours]]&lt;=30, "21 - 30",TRUE, "31+")</f>
        <v>0 - 5</v>
      </c>
      <c r="U1332" t="str" cm="1">
        <f t="array" ref="U1332">_xlfn.IFS(student_scores[[#This Row],[absence_days]]=0,"0", student_scores[[#This Row],[absence_days]]&lt;=3,"1-3", student_scores[[#This Row],[absence_days]]&lt;=6,"4-6", TRUE,"7-10")</f>
        <v>7-10</v>
      </c>
      <c r="V1332" t="str">
        <f>IF(student_scores[[#This Row],[Total_Score]] &gt;= _xlfn.PERCENTILE.INC(student_scores[Total_Score], 0.8), "Yes", "No")</f>
        <v>No</v>
      </c>
    </row>
    <row r="1333" spans="1:22" x14ac:dyDescent="0.35">
      <c r="A1333">
        <v>1332</v>
      </c>
      <c r="B1333" t="s">
        <v>83</v>
      </c>
      <c r="C1333" t="s">
        <v>836</v>
      </c>
      <c r="D1333" t="s">
        <v>2308</v>
      </c>
      <c r="E1333" t="s">
        <v>25</v>
      </c>
      <c r="F1333" t="b">
        <v>0</v>
      </c>
      <c r="G1333">
        <v>1</v>
      </c>
      <c r="H1333" t="b">
        <v>1</v>
      </c>
      <c r="I1333">
        <v>29</v>
      </c>
      <c r="J1333" t="s">
        <v>113</v>
      </c>
      <c r="K1333">
        <v>82</v>
      </c>
      <c r="L1333">
        <v>93</v>
      </c>
      <c r="M1333">
        <v>67</v>
      </c>
      <c r="N1333">
        <v>79</v>
      </c>
      <c r="O1333">
        <v>84</v>
      </c>
      <c r="P1333">
        <v>90</v>
      </c>
      <c r="Q1333">
        <v>64</v>
      </c>
      <c r="R1333">
        <f>SUM(student_scores[[#This Row],[math_score]:[geography_score]])</f>
        <v>559</v>
      </c>
      <c r="S1333" s="3">
        <f>student_scores[[#This Row],[Total_Score]]/7</f>
        <v>79.857142857142861</v>
      </c>
      <c r="T1333" s="3" t="str" cm="1">
        <f t="array" ref="T1333">_xlfn.IFS(student_scores[[#This Row],[weekly_self_study_hours]]&lt;=5,   "0 - 5", student_scores[[#This Row],[weekly_self_study_hours]]&lt;=10,  "6 - 10", student_scores[[#This Row],[weekly_self_study_hours]]&lt;=20,  "11 - 20",student_scores[[#This Row],[weekly_self_study_hours]]&lt;=30, "21 - 30",TRUE, "31+")</f>
        <v>21 - 30</v>
      </c>
      <c r="U1333" t="str" cm="1">
        <f t="array" ref="U1333">_xlfn.IFS(student_scores[[#This Row],[absence_days]]=0,"0", student_scores[[#This Row],[absence_days]]&lt;=3,"1-3", student_scores[[#This Row],[absence_days]]&lt;=6,"4-6", TRUE,"7-10")</f>
        <v>1-3</v>
      </c>
      <c r="V1333" t="str">
        <f>IF(student_scores[[#This Row],[Total_Score]] &gt;= _xlfn.PERCENTILE.INC(student_scores[Total_Score], 0.8), "Yes", "No")</f>
        <v>No</v>
      </c>
    </row>
    <row r="1334" spans="1:22" x14ac:dyDescent="0.35">
      <c r="A1334">
        <v>1333</v>
      </c>
      <c r="B1334" t="s">
        <v>473</v>
      </c>
      <c r="C1334" t="s">
        <v>2309</v>
      </c>
      <c r="D1334" t="s">
        <v>2310</v>
      </c>
      <c r="E1334" t="s">
        <v>20</v>
      </c>
      <c r="F1334" t="b">
        <v>0</v>
      </c>
      <c r="G1334">
        <v>7</v>
      </c>
      <c r="H1334" t="b">
        <v>1</v>
      </c>
      <c r="I1334">
        <v>18</v>
      </c>
      <c r="J1334" t="s">
        <v>38</v>
      </c>
      <c r="K1334">
        <v>76</v>
      </c>
      <c r="L1334">
        <v>80</v>
      </c>
      <c r="M1334">
        <v>93</v>
      </c>
      <c r="N1334">
        <v>74</v>
      </c>
      <c r="O1334">
        <v>73</v>
      </c>
      <c r="P1334">
        <v>63</v>
      </c>
      <c r="Q1334">
        <v>81</v>
      </c>
      <c r="R1334">
        <f>SUM(student_scores[[#This Row],[math_score]:[geography_score]])</f>
        <v>540</v>
      </c>
      <c r="S1334" s="3">
        <f>student_scores[[#This Row],[Total_Score]]/7</f>
        <v>77.142857142857139</v>
      </c>
      <c r="T1334" s="3" t="str" cm="1">
        <f t="array" ref="T1334">_xlfn.IFS(student_scores[[#This Row],[weekly_self_study_hours]]&lt;=5,   "0 - 5", student_scores[[#This Row],[weekly_self_study_hours]]&lt;=10,  "6 - 10", student_scores[[#This Row],[weekly_self_study_hours]]&lt;=20,  "11 - 20",student_scores[[#This Row],[weekly_self_study_hours]]&lt;=30, "21 - 30",TRUE, "31+")</f>
        <v>11 - 20</v>
      </c>
      <c r="U1334" t="str" cm="1">
        <f t="array" ref="U1334">_xlfn.IFS(student_scores[[#This Row],[absence_days]]=0,"0", student_scores[[#This Row],[absence_days]]&lt;=3,"1-3", student_scores[[#This Row],[absence_days]]&lt;=6,"4-6", TRUE,"7-10")</f>
        <v>7-10</v>
      </c>
      <c r="V1334" t="str">
        <f>IF(student_scores[[#This Row],[Total_Score]] &gt;= _xlfn.PERCENTILE.INC(student_scores[Total_Score], 0.8), "Yes", "No")</f>
        <v>No</v>
      </c>
    </row>
    <row r="1335" spans="1:22" x14ac:dyDescent="0.35">
      <c r="A1335">
        <v>1334</v>
      </c>
      <c r="B1335" t="s">
        <v>417</v>
      </c>
      <c r="C1335" t="s">
        <v>62</v>
      </c>
      <c r="D1335" t="s">
        <v>2311</v>
      </c>
      <c r="E1335" t="s">
        <v>25</v>
      </c>
      <c r="F1335" t="b">
        <v>0</v>
      </c>
      <c r="G1335">
        <v>2</v>
      </c>
      <c r="H1335" t="b">
        <v>0</v>
      </c>
      <c r="I1335">
        <v>16</v>
      </c>
      <c r="J1335" t="s">
        <v>54</v>
      </c>
      <c r="K1335">
        <v>80</v>
      </c>
      <c r="L1335">
        <v>62</v>
      </c>
      <c r="M1335">
        <v>66</v>
      </c>
      <c r="N1335">
        <v>88</v>
      </c>
      <c r="O1335">
        <v>75</v>
      </c>
      <c r="P1335">
        <v>98</v>
      </c>
      <c r="Q1335">
        <v>68</v>
      </c>
      <c r="R1335">
        <f>SUM(student_scores[[#This Row],[math_score]:[geography_score]])</f>
        <v>537</v>
      </c>
      <c r="S1335" s="3">
        <f>student_scores[[#This Row],[Total_Score]]/7</f>
        <v>76.714285714285708</v>
      </c>
      <c r="T1335" s="3" t="str" cm="1">
        <f t="array" ref="T1335">_xlfn.IFS(student_scores[[#This Row],[weekly_self_study_hours]]&lt;=5,   "0 - 5", student_scores[[#This Row],[weekly_self_study_hours]]&lt;=10,  "6 - 10", student_scores[[#This Row],[weekly_self_study_hours]]&lt;=20,  "11 - 20",student_scores[[#This Row],[weekly_self_study_hours]]&lt;=30, "21 - 30",TRUE, "31+")</f>
        <v>11 - 20</v>
      </c>
      <c r="U1335" t="str" cm="1">
        <f t="array" ref="U1335">_xlfn.IFS(student_scores[[#This Row],[absence_days]]=0,"0", student_scores[[#This Row],[absence_days]]&lt;=3,"1-3", student_scores[[#This Row],[absence_days]]&lt;=6,"4-6", TRUE,"7-10")</f>
        <v>1-3</v>
      </c>
      <c r="V1335" t="str">
        <f>IF(student_scores[[#This Row],[Total_Score]] &gt;= _xlfn.PERCENTILE.INC(student_scores[Total_Score], 0.8), "Yes", "No")</f>
        <v>No</v>
      </c>
    </row>
    <row r="1336" spans="1:22" x14ac:dyDescent="0.35">
      <c r="A1336">
        <v>1335</v>
      </c>
      <c r="B1336" t="s">
        <v>1227</v>
      </c>
      <c r="C1336" t="s">
        <v>403</v>
      </c>
      <c r="D1336" t="s">
        <v>2312</v>
      </c>
      <c r="E1336" t="s">
        <v>20</v>
      </c>
      <c r="F1336" t="b">
        <v>0</v>
      </c>
      <c r="G1336">
        <v>0</v>
      </c>
      <c r="H1336" t="b">
        <v>0</v>
      </c>
      <c r="I1336">
        <v>23</v>
      </c>
      <c r="J1336" t="s">
        <v>44</v>
      </c>
      <c r="K1336">
        <v>87</v>
      </c>
      <c r="L1336">
        <v>90</v>
      </c>
      <c r="M1336">
        <v>92</v>
      </c>
      <c r="N1336">
        <v>62</v>
      </c>
      <c r="O1336">
        <v>96</v>
      </c>
      <c r="P1336">
        <v>77</v>
      </c>
      <c r="Q1336">
        <v>80</v>
      </c>
      <c r="R1336">
        <f>SUM(student_scores[[#This Row],[math_score]:[geography_score]])</f>
        <v>584</v>
      </c>
      <c r="S1336" s="3">
        <f>student_scores[[#This Row],[Total_Score]]/7</f>
        <v>83.428571428571431</v>
      </c>
      <c r="T1336" s="3" t="str" cm="1">
        <f t="array" ref="T1336">_xlfn.IFS(student_scores[[#This Row],[weekly_self_study_hours]]&lt;=5,   "0 - 5", student_scores[[#This Row],[weekly_self_study_hours]]&lt;=10,  "6 - 10", student_scores[[#This Row],[weekly_self_study_hours]]&lt;=20,  "11 - 20",student_scores[[#This Row],[weekly_self_study_hours]]&lt;=30, "21 - 30",TRUE, "31+")</f>
        <v>21 - 30</v>
      </c>
      <c r="U1336" t="str" cm="1">
        <f t="array" ref="U1336">_xlfn.IFS(student_scores[[#This Row],[absence_days]]=0,"0", student_scores[[#This Row],[absence_days]]&lt;=3,"1-3", student_scores[[#This Row],[absence_days]]&lt;=6,"4-6", TRUE,"7-10")</f>
        <v>0</v>
      </c>
      <c r="V1336" t="str">
        <f>IF(student_scores[[#This Row],[Total_Score]] &gt;= _xlfn.PERCENTILE.INC(student_scores[Total_Score], 0.8), "Yes", "No")</f>
        <v>No</v>
      </c>
    </row>
    <row r="1337" spans="1:22" x14ac:dyDescent="0.35">
      <c r="A1337">
        <v>1336</v>
      </c>
      <c r="B1337" t="s">
        <v>1364</v>
      </c>
      <c r="C1337" t="s">
        <v>32</v>
      </c>
      <c r="D1337" t="s">
        <v>2313</v>
      </c>
      <c r="E1337" t="s">
        <v>25</v>
      </c>
      <c r="F1337" t="b">
        <v>1</v>
      </c>
      <c r="G1337">
        <v>3</v>
      </c>
      <c r="H1337" t="b">
        <v>0</v>
      </c>
      <c r="I1337">
        <v>28</v>
      </c>
      <c r="J1337" t="s">
        <v>44</v>
      </c>
      <c r="K1337">
        <v>91</v>
      </c>
      <c r="L1337">
        <v>98</v>
      </c>
      <c r="M1337">
        <v>60</v>
      </c>
      <c r="N1337">
        <v>88</v>
      </c>
      <c r="O1337">
        <v>63</v>
      </c>
      <c r="P1337">
        <v>78</v>
      </c>
      <c r="Q1337">
        <v>95</v>
      </c>
      <c r="R1337">
        <f>SUM(student_scores[[#This Row],[math_score]:[geography_score]])</f>
        <v>573</v>
      </c>
      <c r="S1337" s="3">
        <f>student_scores[[#This Row],[Total_Score]]/7</f>
        <v>81.857142857142861</v>
      </c>
      <c r="T1337" s="3" t="str" cm="1">
        <f t="array" ref="T1337">_xlfn.IFS(student_scores[[#This Row],[weekly_self_study_hours]]&lt;=5,   "0 - 5", student_scores[[#This Row],[weekly_self_study_hours]]&lt;=10,  "6 - 10", student_scores[[#This Row],[weekly_self_study_hours]]&lt;=20,  "11 - 20",student_scores[[#This Row],[weekly_self_study_hours]]&lt;=30, "21 - 30",TRUE, "31+")</f>
        <v>21 - 30</v>
      </c>
      <c r="U1337" t="str" cm="1">
        <f t="array" ref="U1337">_xlfn.IFS(student_scores[[#This Row],[absence_days]]=0,"0", student_scores[[#This Row],[absence_days]]&lt;=3,"1-3", student_scores[[#This Row],[absence_days]]&lt;=6,"4-6", TRUE,"7-10")</f>
        <v>1-3</v>
      </c>
      <c r="V1337" t="str">
        <f>IF(student_scores[[#This Row],[Total_Score]] &gt;= _xlfn.PERCENTILE.INC(student_scores[Total_Score], 0.8), "Yes", "No")</f>
        <v>No</v>
      </c>
    </row>
    <row r="1338" spans="1:22" x14ac:dyDescent="0.35">
      <c r="A1338">
        <v>1337</v>
      </c>
      <c r="B1338" t="s">
        <v>2208</v>
      </c>
      <c r="C1338" t="s">
        <v>52</v>
      </c>
      <c r="D1338" t="s">
        <v>2314</v>
      </c>
      <c r="E1338" t="s">
        <v>25</v>
      </c>
      <c r="F1338" t="b">
        <v>0</v>
      </c>
      <c r="G1338">
        <v>7</v>
      </c>
      <c r="H1338" t="b">
        <v>0</v>
      </c>
      <c r="I1338">
        <v>31</v>
      </c>
      <c r="J1338" t="s">
        <v>21</v>
      </c>
      <c r="K1338">
        <v>100</v>
      </c>
      <c r="L1338">
        <v>94</v>
      </c>
      <c r="M1338">
        <v>94</v>
      </c>
      <c r="N1338">
        <v>87</v>
      </c>
      <c r="O1338">
        <v>65</v>
      </c>
      <c r="P1338">
        <v>83</v>
      </c>
      <c r="Q1338">
        <v>95</v>
      </c>
      <c r="R1338">
        <f>SUM(student_scores[[#This Row],[math_score]:[geography_score]])</f>
        <v>618</v>
      </c>
      <c r="S1338" s="3">
        <f>student_scores[[#This Row],[Total_Score]]/7</f>
        <v>88.285714285714292</v>
      </c>
      <c r="T1338" s="3" t="str" cm="1">
        <f t="array" ref="T1338">_xlfn.IFS(student_scores[[#This Row],[weekly_self_study_hours]]&lt;=5,   "0 - 5", student_scores[[#This Row],[weekly_self_study_hours]]&lt;=10,  "6 - 10", student_scores[[#This Row],[weekly_self_study_hours]]&lt;=20,  "11 - 20",student_scores[[#This Row],[weekly_self_study_hours]]&lt;=30, "21 - 30",TRUE, "31+")</f>
        <v>31+</v>
      </c>
      <c r="U1338" t="str" cm="1">
        <f t="array" ref="U1338">_xlfn.IFS(student_scores[[#This Row],[absence_days]]=0,"0", student_scores[[#This Row],[absence_days]]&lt;=3,"1-3", student_scores[[#This Row],[absence_days]]&lt;=6,"4-6", TRUE,"7-10")</f>
        <v>7-10</v>
      </c>
      <c r="V1338" t="str">
        <f>IF(student_scores[[#This Row],[Total_Score]] &gt;= _xlfn.PERCENTILE.INC(student_scores[Total_Score], 0.8), "Yes", "No")</f>
        <v>Yes</v>
      </c>
    </row>
    <row r="1339" spans="1:22" x14ac:dyDescent="0.35">
      <c r="A1339">
        <v>1338</v>
      </c>
      <c r="B1339" t="s">
        <v>2315</v>
      </c>
      <c r="C1339" t="s">
        <v>215</v>
      </c>
      <c r="D1339" t="s">
        <v>2316</v>
      </c>
      <c r="E1339" t="s">
        <v>25</v>
      </c>
      <c r="F1339" t="b">
        <v>0</v>
      </c>
      <c r="G1339">
        <v>9</v>
      </c>
      <c r="H1339" t="b">
        <v>0</v>
      </c>
      <c r="I1339">
        <v>5</v>
      </c>
      <c r="J1339" t="s">
        <v>64</v>
      </c>
      <c r="K1339">
        <v>56</v>
      </c>
      <c r="L1339">
        <v>60</v>
      </c>
      <c r="M1339">
        <v>88</v>
      </c>
      <c r="N1339">
        <v>96</v>
      </c>
      <c r="O1339">
        <v>57</v>
      </c>
      <c r="P1339">
        <v>68</v>
      </c>
      <c r="Q1339">
        <v>76</v>
      </c>
      <c r="R1339">
        <f>SUM(student_scores[[#This Row],[math_score]:[geography_score]])</f>
        <v>501</v>
      </c>
      <c r="S1339" s="3">
        <f>student_scores[[#This Row],[Total_Score]]/7</f>
        <v>71.571428571428569</v>
      </c>
      <c r="T1339" s="3" t="str" cm="1">
        <f t="array" ref="T1339">_xlfn.IFS(student_scores[[#This Row],[weekly_self_study_hours]]&lt;=5,   "0 - 5", student_scores[[#This Row],[weekly_self_study_hours]]&lt;=10,  "6 - 10", student_scores[[#This Row],[weekly_self_study_hours]]&lt;=20,  "11 - 20",student_scores[[#This Row],[weekly_self_study_hours]]&lt;=30, "21 - 30",TRUE, "31+")</f>
        <v>0 - 5</v>
      </c>
      <c r="U1339" t="str" cm="1">
        <f t="array" ref="U1339">_xlfn.IFS(student_scores[[#This Row],[absence_days]]=0,"0", student_scores[[#This Row],[absence_days]]&lt;=3,"1-3", student_scores[[#This Row],[absence_days]]&lt;=6,"4-6", TRUE,"7-10")</f>
        <v>7-10</v>
      </c>
      <c r="V1339" t="str">
        <f>IF(student_scores[[#This Row],[Total_Score]] &gt;= _xlfn.PERCENTILE.INC(student_scores[Total_Score], 0.8), "Yes", "No")</f>
        <v>No</v>
      </c>
    </row>
    <row r="1340" spans="1:22" x14ac:dyDescent="0.35">
      <c r="A1340">
        <v>1339</v>
      </c>
      <c r="B1340" t="s">
        <v>302</v>
      </c>
      <c r="C1340" t="s">
        <v>1247</v>
      </c>
      <c r="D1340" t="s">
        <v>2317</v>
      </c>
      <c r="E1340" t="s">
        <v>20</v>
      </c>
      <c r="F1340" t="b">
        <v>0</v>
      </c>
      <c r="G1340">
        <v>2</v>
      </c>
      <c r="H1340" t="b">
        <v>0</v>
      </c>
      <c r="I1340">
        <v>6</v>
      </c>
      <c r="J1340" t="s">
        <v>172</v>
      </c>
      <c r="K1340">
        <v>84</v>
      </c>
      <c r="L1340">
        <v>86</v>
      </c>
      <c r="M1340">
        <v>96</v>
      </c>
      <c r="N1340">
        <v>95</v>
      </c>
      <c r="O1340">
        <v>75</v>
      </c>
      <c r="P1340">
        <v>61</v>
      </c>
      <c r="Q1340">
        <v>99</v>
      </c>
      <c r="R1340">
        <f>SUM(student_scores[[#This Row],[math_score]:[geography_score]])</f>
        <v>596</v>
      </c>
      <c r="S1340" s="3">
        <f>student_scores[[#This Row],[Total_Score]]/7</f>
        <v>85.142857142857139</v>
      </c>
      <c r="T1340" s="3" t="str" cm="1">
        <f t="array" ref="T1340">_xlfn.IFS(student_scores[[#This Row],[weekly_self_study_hours]]&lt;=5,   "0 - 5", student_scores[[#This Row],[weekly_self_study_hours]]&lt;=10,  "6 - 10", student_scores[[#This Row],[weekly_self_study_hours]]&lt;=20,  "11 - 20",student_scores[[#This Row],[weekly_self_study_hours]]&lt;=30, "21 - 30",TRUE, "31+")</f>
        <v>6 - 10</v>
      </c>
      <c r="U1340" t="str" cm="1">
        <f t="array" ref="U1340">_xlfn.IFS(student_scores[[#This Row],[absence_days]]=0,"0", student_scores[[#This Row],[absence_days]]&lt;=3,"1-3", student_scores[[#This Row],[absence_days]]&lt;=6,"4-6", TRUE,"7-10")</f>
        <v>1-3</v>
      </c>
      <c r="V1340" t="str">
        <f>IF(student_scores[[#This Row],[Total_Score]] &gt;= _xlfn.PERCENTILE.INC(student_scores[Total_Score], 0.8), "Yes", "No")</f>
        <v>No</v>
      </c>
    </row>
    <row r="1341" spans="1:22" x14ac:dyDescent="0.35">
      <c r="A1341">
        <v>1340</v>
      </c>
      <c r="B1341" t="s">
        <v>2318</v>
      </c>
      <c r="C1341" t="s">
        <v>2319</v>
      </c>
      <c r="D1341" t="s">
        <v>2320</v>
      </c>
      <c r="E1341" t="s">
        <v>20</v>
      </c>
      <c r="F1341" t="b">
        <v>0</v>
      </c>
      <c r="G1341">
        <v>1</v>
      </c>
      <c r="H1341" t="b">
        <v>0</v>
      </c>
      <c r="I1341">
        <v>33</v>
      </c>
      <c r="J1341" t="s">
        <v>21</v>
      </c>
      <c r="K1341">
        <v>86</v>
      </c>
      <c r="L1341">
        <v>86</v>
      </c>
      <c r="M1341">
        <v>64</v>
      </c>
      <c r="N1341">
        <v>61</v>
      </c>
      <c r="O1341">
        <v>97</v>
      </c>
      <c r="P1341">
        <v>97</v>
      </c>
      <c r="Q1341">
        <v>91</v>
      </c>
      <c r="R1341">
        <f>SUM(student_scores[[#This Row],[math_score]:[geography_score]])</f>
        <v>582</v>
      </c>
      <c r="S1341" s="3">
        <f>student_scores[[#This Row],[Total_Score]]/7</f>
        <v>83.142857142857139</v>
      </c>
      <c r="T1341" s="3" t="str" cm="1">
        <f t="array" ref="T1341">_xlfn.IFS(student_scores[[#This Row],[weekly_self_study_hours]]&lt;=5,   "0 - 5", student_scores[[#This Row],[weekly_self_study_hours]]&lt;=10,  "6 - 10", student_scores[[#This Row],[weekly_self_study_hours]]&lt;=20,  "11 - 20",student_scores[[#This Row],[weekly_self_study_hours]]&lt;=30, "21 - 30",TRUE, "31+")</f>
        <v>31+</v>
      </c>
      <c r="U1341" t="str" cm="1">
        <f t="array" ref="U1341">_xlfn.IFS(student_scores[[#This Row],[absence_days]]=0,"0", student_scores[[#This Row],[absence_days]]&lt;=3,"1-3", student_scores[[#This Row],[absence_days]]&lt;=6,"4-6", TRUE,"7-10")</f>
        <v>1-3</v>
      </c>
      <c r="V1341" t="str">
        <f>IF(student_scores[[#This Row],[Total_Score]] &gt;= _xlfn.PERCENTILE.INC(student_scores[Total_Score], 0.8), "Yes", "No")</f>
        <v>No</v>
      </c>
    </row>
    <row r="1342" spans="1:22" x14ac:dyDescent="0.35">
      <c r="A1342">
        <v>1341</v>
      </c>
      <c r="B1342" t="s">
        <v>1027</v>
      </c>
      <c r="C1342" t="s">
        <v>1492</v>
      </c>
      <c r="D1342" t="s">
        <v>2321</v>
      </c>
      <c r="E1342" t="s">
        <v>25</v>
      </c>
      <c r="F1342" t="b">
        <v>0</v>
      </c>
      <c r="G1342">
        <v>7</v>
      </c>
      <c r="H1342" t="b">
        <v>0</v>
      </c>
      <c r="I1342">
        <v>0</v>
      </c>
      <c r="J1342" t="s">
        <v>64</v>
      </c>
      <c r="K1342">
        <v>79</v>
      </c>
      <c r="L1342">
        <v>67</v>
      </c>
      <c r="M1342">
        <v>72</v>
      </c>
      <c r="N1342">
        <v>50</v>
      </c>
      <c r="O1342">
        <v>75</v>
      </c>
      <c r="P1342">
        <v>95</v>
      </c>
      <c r="Q1342">
        <v>62</v>
      </c>
      <c r="R1342">
        <f>SUM(student_scores[[#This Row],[math_score]:[geography_score]])</f>
        <v>500</v>
      </c>
      <c r="S1342" s="3">
        <f>student_scores[[#This Row],[Total_Score]]/7</f>
        <v>71.428571428571431</v>
      </c>
      <c r="T1342" s="3" t="str" cm="1">
        <f t="array" ref="T1342">_xlfn.IFS(student_scores[[#This Row],[weekly_self_study_hours]]&lt;=5,   "0 - 5", student_scores[[#This Row],[weekly_self_study_hours]]&lt;=10,  "6 - 10", student_scores[[#This Row],[weekly_self_study_hours]]&lt;=20,  "11 - 20",student_scores[[#This Row],[weekly_self_study_hours]]&lt;=30, "21 - 30",TRUE, "31+")</f>
        <v>0 - 5</v>
      </c>
      <c r="U1342" t="str" cm="1">
        <f t="array" ref="U1342">_xlfn.IFS(student_scores[[#This Row],[absence_days]]=0,"0", student_scores[[#This Row],[absence_days]]&lt;=3,"1-3", student_scores[[#This Row],[absence_days]]&lt;=6,"4-6", TRUE,"7-10")</f>
        <v>7-10</v>
      </c>
      <c r="V1342" t="str">
        <f>IF(student_scores[[#This Row],[Total_Score]] &gt;= _xlfn.PERCENTILE.INC(student_scores[Total_Score], 0.8), "Yes", "No")</f>
        <v>No</v>
      </c>
    </row>
    <row r="1343" spans="1:22" x14ac:dyDescent="0.35">
      <c r="A1343">
        <v>1342</v>
      </c>
      <c r="B1343" t="s">
        <v>731</v>
      </c>
      <c r="C1343" t="s">
        <v>2322</v>
      </c>
      <c r="D1343" t="s">
        <v>2323</v>
      </c>
      <c r="E1343" t="s">
        <v>25</v>
      </c>
      <c r="F1343" t="b">
        <v>0</v>
      </c>
      <c r="G1343">
        <v>6</v>
      </c>
      <c r="H1343" t="b">
        <v>1</v>
      </c>
      <c r="I1343">
        <v>19</v>
      </c>
      <c r="J1343" t="s">
        <v>44</v>
      </c>
      <c r="K1343">
        <v>99</v>
      </c>
      <c r="L1343">
        <v>78</v>
      </c>
      <c r="M1343">
        <v>61</v>
      </c>
      <c r="N1343">
        <v>64</v>
      </c>
      <c r="O1343">
        <v>75</v>
      </c>
      <c r="P1343">
        <v>66</v>
      </c>
      <c r="Q1343">
        <v>76</v>
      </c>
      <c r="R1343">
        <f>SUM(student_scores[[#This Row],[math_score]:[geography_score]])</f>
        <v>519</v>
      </c>
      <c r="S1343" s="3">
        <f>student_scores[[#This Row],[Total_Score]]/7</f>
        <v>74.142857142857139</v>
      </c>
      <c r="T1343" s="3" t="str" cm="1">
        <f t="array" ref="T1343">_xlfn.IFS(student_scores[[#This Row],[weekly_self_study_hours]]&lt;=5,   "0 - 5", student_scores[[#This Row],[weekly_self_study_hours]]&lt;=10,  "6 - 10", student_scores[[#This Row],[weekly_self_study_hours]]&lt;=20,  "11 - 20",student_scores[[#This Row],[weekly_self_study_hours]]&lt;=30, "21 - 30",TRUE, "31+")</f>
        <v>11 - 20</v>
      </c>
      <c r="U1343" t="str" cm="1">
        <f t="array" ref="U1343">_xlfn.IFS(student_scores[[#This Row],[absence_days]]=0,"0", student_scores[[#This Row],[absence_days]]&lt;=3,"1-3", student_scores[[#This Row],[absence_days]]&lt;=6,"4-6", TRUE,"7-10")</f>
        <v>4-6</v>
      </c>
      <c r="V1343" t="str">
        <f>IF(student_scores[[#This Row],[Total_Score]] &gt;= _xlfn.PERCENTILE.INC(student_scores[Total_Score], 0.8), "Yes", "No")</f>
        <v>No</v>
      </c>
    </row>
    <row r="1344" spans="1:22" x14ac:dyDescent="0.35">
      <c r="A1344">
        <v>1343</v>
      </c>
      <c r="B1344" t="s">
        <v>173</v>
      </c>
      <c r="C1344" t="s">
        <v>1995</v>
      </c>
      <c r="D1344" t="s">
        <v>2324</v>
      </c>
      <c r="E1344" t="s">
        <v>25</v>
      </c>
      <c r="F1344" t="b">
        <v>0</v>
      </c>
      <c r="G1344">
        <v>2</v>
      </c>
      <c r="H1344" t="b">
        <v>0</v>
      </c>
      <c r="I1344">
        <v>26</v>
      </c>
      <c r="J1344" t="s">
        <v>113</v>
      </c>
      <c r="K1344">
        <v>95</v>
      </c>
      <c r="L1344">
        <v>79</v>
      </c>
      <c r="M1344">
        <v>95</v>
      </c>
      <c r="N1344">
        <v>62</v>
      </c>
      <c r="O1344">
        <v>69</v>
      </c>
      <c r="P1344">
        <v>82</v>
      </c>
      <c r="Q1344">
        <v>94</v>
      </c>
      <c r="R1344">
        <f>SUM(student_scores[[#This Row],[math_score]:[geography_score]])</f>
        <v>576</v>
      </c>
      <c r="S1344" s="3">
        <f>student_scores[[#This Row],[Total_Score]]/7</f>
        <v>82.285714285714292</v>
      </c>
      <c r="T1344" s="3" t="str" cm="1">
        <f t="array" ref="T1344">_xlfn.IFS(student_scores[[#This Row],[weekly_self_study_hours]]&lt;=5,   "0 - 5", student_scores[[#This Row],[weekly_self_study_hours]]&lt;=10,  "6 - 10", student_scores[[#This Row],[weekly_self_study_hours]]&lt;=20,  "11 - 20",student_scores[[#This Row],[weekly_self_study_hours]]&lt;=30, "21 - 30",TRUE, "31+")</f>
        <v>21 - 30</v>
      </c>
      <c r="U1344" t="str" cm="1">
        <f t="array" ref="U1344">_xlfn.IFS(student_scores[[#This Row],[absence_days]]=0,"0", student_scores[[#This Row],[absence_days]]&lt;=3,"1-3", student_scores[[#This Row],[absence_days]]&lt;=6,"4-6", TRUE,"7-10")</f>
        <v>1-3</v>
      </c>
      <c r="V1344" t="str">
        <f>IF(student_scores[[#This Row],[Total_Score]] &gt;= _xlfn.PERCENTILE.INC(student_scores[Total_Score], 0.8), "Yes", "No")</f>
        <v>No</v>
      </c>
    </row>
    <row r="1345" spans="1:22" x14ac:dyDescent="0.35">
      <c r="A1345">
        <v>1344</v>
      </c>
      <c r="B1345" t="s">
        <v>738</v>
      </c>
      <c r="C1345" t="s">
        <v>1374</v>
      </c>
      <c r="D1345" t="s">
        <v>2325</v>
      </c>
      <c r="E1345" t="s">
        <v>25</v>
      </c>
      <c r="F1345" t="b">
        <v>0</v>
      </c>
      <c r="G1345">
        <v>1</v>
      </c>
      <c r="H1345" t="b">
        <v>0</v>
      </c>
      <c r="I1345">
        <v>3</v>
      </c>
      <c r="J1345" t="s">
        <v>34</v>
      </c>
      <c r="K1345">
        <v>65</v>
      </c>
      <c r="L1345">
        <v>67</v>
      </c>
      <c r="M1345">
        <v>90</v>
      </c>
      <c r="N1345">
        <v>99</v>
      </c>
      <c r="O1345">
        <v>93</v>
      </c>
      <c r="P1345">
        <v>91</v>
      </c>
      <c r="Q1345">
        <v>99</v>
      </c>
      <c r="R1345">
        <f>SUM(student_scores[[#This Row],[math_score]:[geography_score]])</f>
        <v>604</v>
      </c>
      <c r="S1345" s="3">
        <f>student_scores[[#This Row],[Total_Score]]/7</f>
        <v>86.285714285714292</v>
      </c>
      <c r="T1345" s="3" t="str" cm="1">
        <f t="array" ref="T1345">_xlfn.IFS(student_scores[[#This Row],[weekly_self_study_hours]]&lt;=5,   "0 - 5", student_scores[[#This Row],[weekly_self_study_hours]]&lt;=10,  "6 - 10", student_scores[[#This Row],[weekly_self_study_hours]]&lt;=20,  "11 - 20",student_scores[[#This Row],[weekly_self_study_hours]]&lt;=30, "21 - 30",TRUE, "31+")</f>
        <v>0 - 5</v>
      </c>
      <c r="U1345" t="str" cm="1">
        <f t="array" ref="U1345">_xlfn.IFS(student_scores[[#This Row],[absence_days]]=0,"0", student_scores[[#This Row],[absence_days]]&lt;=3,"1-3", student_scores[[#This Row],[absence_days]]&lt;=6,"4-6", TRUE,"7-10")</f>
        <v>1-3</v>
      </c>
      <c r="V1345" t="str">
        <f>IF(student_scores[[#This Row],[Total_Score]] &gt;= _xlfn.PERCENTILE.INC(student_scores[Total_Score], 0.8), "Yes", "No")</f>
        <v>Yes</v>
      </c>
    </row>
    <row r="1346" spans="1:22" x14ac:dyDescent="0.35">
      <c r="A1346">
        <v>1345</v>
      </c>
      <c r="B1346" t="s">
        <v>476</v>
      </c>
      <c r="C1346" t="s">
        <v>305</v>
      </c>
      <c r="D1346" t="s">
        <v>2326</v>
      </c>
      <c r="E1346" t="s">
        <v>20</v>
      </c>
      <c r="F1346" t="b">
        <v>0</v>
      </c>
      <c r="G1346">
        <v>2</v>
      </c>
      <c r="H1346" t="b">
        <v>0</v>
      </c>
      <c r="I1346">
        <v>10</v>
      </c>
      <c r="J1346" t="s">
        <v>38</v>
      </c>
      <c r="K1346">
        <v>85</v>
      </c>
      <c r="L1346">
        <v>90</v>
      </c>
      <c r="M1346">
        <v>61</v>
      </c>
      <c r="N1346">
        <v>94</v>
      </c>
      <c r="O1346">
        <v>86</v>
      </c>
      <c r="P1346">
        <v>79</v>
      </c>
      <c r="Q1346">
        <v>90</v>
      </c>
      <c r="R1346">
        <f>SUM(student_scores[[#This Row],[math_score]:[geography_score]])</f>
        <v>585</v>
      </c>
      <c r="S1346" s="3">
        <f>student_scores[[#This Row],[Total_Score]]/7</f>
        <v>83.571428571428569</v>
      </c>
      <c r="T1346" s="3" t="str" cm="1">
        <f t="array" ref="T1346">_xlfn.IFS(student_scores[[#This Row],[weekly_self_study_hours]]&lt;=5,   "0 - 5", student_scores[[#This Row],[weekly_self_study_hours]]&lt;=10,  "6 - 10", student_scores[[#This Row],[weekly_self_study_hours]]&lt;=20,  "11 - 20",student_scores[[#This Row],[weekly_self_study_hours]]&lt;=30, "21 - 30",TRUE, "31+")</f>
        <v>6 - 10</v>
      </c>
      <c r="U1346" t="str" cm="1">
        <f t="array" ref="U1346">_xlfn.IFS(student_scores[[#This Row],[absence_days]]=0,"0", student_scores[[#This Row],[absence_days]]&lt;=3,"1-3", student_scores[[#This Row],[absence_days]]&lt;=6,"4-6", TRUE,"7-10")</f>
        <v>1-3</v>
      </c>
      <c r="V1346" t="str">
        <f>IF(student_scores[[#This Row],[Total_Score]] &gt;= _xlfn.PERCENTILE.INC(student_scores[Total_Score], 0.8), "Yes", "No")</f>
        <v>No</v>
      </c>
    </row>
    <row r="1347" spans="1:22" x14ac:dyDescent="0.35">
      <c r="A1347">
        <v>1346</v>
      </c>
      <c r="B1347" t="s">
        <v>61</v>
      </c>
      <c r="C1347" t="s">
        <v>2141</v>
      </c>
      <c r="D1347" t="s">
        <v>2327</v>
      </c>
      <c r="E1347" t="s">
        <v>25</v>
      </c>
      <c r="F1347" t="b">
        <v>0</v>
      </c>
      <c r="G1347">
        <v>5</v>
      </c>
      <c r="H1347" t="b">
        <v>0</v>
      </c>
      <c r="I1347">
        <v>24</v>
      </c>
      <c r="J1347" t="s">
        <v>26</v>
      </c>
      <c r="K1347">
        <v>99</v>
      </c>
      <c r="L1347">
        <v>82</v>
      </c>
      <c r="M1347">
        <v>81</v>
      </c>
      <c r="N1347">
        <v>98</v>
      </c>
      <c r="O1347">
        <v>86</v>
      </c>
      <c r="P1347">
        <v>85</v>
      </c>
      <c r="Q1347">
        <v>85</v>
      </c>
      <c r="R1347">
        <f>SUM(student_scores[[#This Row],[math_score]:[geography_score]])</f>
        <v>616</v>
      </c>
      <c r="S1347" s="3">
        <f>student_scores[[#This Row],[Total_Score]]/7</f>
        <v>88</v>
      </c>
      <c r="T1347" s="3" t="str" cm="1">
        <f t="array" ref="T1347">_xlfn.IFS(student_scores[[#This Row],[weekly_self_study_hours]]&lt;=5,   "0 - 5", student_scores[[#This Row],[weekly_self_study_hours]]&lt;=10,  "6 - 10", student_scores[[#This Row],[weekly_self_study_hours]]&lt;=20,  "11 - 20",student_scores[[#This Row],[weekly_self_study_hours]]&lt;=30, "21 - 30",TRUE, "31+")</f>
        <v>21 - 30</v>
      </c>
      <c r="U1347" t="str" cm="1">
        <f t="array" ref="U1347">_xlfn.IFS(student_scores[[#This Row],[absence_days]]=0,"0", student_scores[[#This Row],[absence_days]]&lt;=3,"1-3", student_scores[[#This Row],[absence_days]]&lt;=6,"4-6", TRUE,"7-10")</f>
        <v>4-6</v>
      </c>
      <c r="V1347" t="str">
        <f>IF(student_scores[[#This Row],[Total_Score]] &gt;= _xlfn.PERCENTILE.INC(student_scores[Total_Score], 0.8), "Yes", "No")</f>
        <v>Yes</v>
      </c>
    </row>
    <row r="1348" spans="1:22" x14ac:dyDescent="0.35">
      <c r="A1348">
        <v>1347</v>
      </c>
      <c r="B1348" t="s">
        <v>2328</v>
      </c>
      <c r="C1348" t="s">
        <v>2329</v>
      </c>
      <c r="D1348" t="s">
        <v>2330</v>
      </c>
      <c r="E1348" t="s">
        <v>25</v>
      </c>
      <c r="F1348" t="b">
        <v>0</v>
      </c>
      <c r="G1348">
        <v>5</v>
      </c>
      <c r="H1348" t="b">
        <v>0</v>
      </c>
      <c r="I1348">
        <v>1</v>
      </c>
      <c r="J1348" t="s">
        <v>34</v>
      </c>
      <c r="K1348">
        <v>88</v>
      </c>
      <c r="L1348">
        <v>62</v>
      </c>
      <c r="M1348">
        <v>65</v>
      </c>
      <c r="N1348">
        <v>98</v>
      </c>
      <c r="O1348">
        <v>92</v>
      </c>
      <c r="P1348">
        <v>64</v>
      </c>
      <c r="Q1348">
        <v>82</v>
      </c>
      <c r="R1348">
        <f>SUM(student_scores[[#This Row],[math_score]:[geography_score]])</f>
        <v>551</v>
      </c>
      <c r="S1348" s="3">
        <f>student_scores[[#This Row],[Total_Score]]/7</f>
        <v>78.714285714285708</v>
      </c>
      <c r="T1348" s="3" t="str" cm="1">
        <f t="array" ref="T1348">_xlfn.IFS(student_scores[[#This Row],[weekly_self_study_hours]]&lt;=5,   "0 - 5", student_scores[[#This Row],[weekly_self_study_hours]]&lt;=10,  "6 - 10", student_scores[[#This Row],[weekly_self_study_hours]]&lt;=20,  "11 - 20",student_scores[[#This Row],[weekly_self_study_hours]]&lt;=30, "21 - 30",TRUE, "31+")</f>
        <v>0 - 5</v>
      </c>
      <c r="U1348" t="str" cm="1">
        <f t="array" ref="U1348">_xlfn.IFS(student_scores[[#This Row],[absence_days]]=0,"0", student_scores[[#This Row],[absence_days]]&lt;=3,"1-3", student_scores[[#This Row],[absence_days]]&lt;=6,"4-6", TRUE,"7-10")</f>
        <v>4-6</v>
      </c>
      <c r="V1348" t="str">
        <f>IF(student_scores[[#This Row],[Total_Score]] &gt;= _xlfn.PERCENTILE.INC(student_scores[Total_Score], 0.8), "Yes", "No")</f>
        <v>No</v>
      </c>
    </row>
    <row r="1349" spans="1:22" x14ac:dyDescent="0.35">
      <c r="A1349">
        <v>1348</v>
      </c>
      <c r="B1349" t="s">
        <v>65</v>
      </c>
      <c r="C1349" t="s">
        <v>982</v>
      </c>
      <c r="D1349" t="s">
        <v>2331</v>
      </c>
      <c r="E1349" t="s">
        <v>25</v>
      </c>
      <c r="F1349" t="b">
        <v>0</v>
      </c>
      <c r="G1349">
        <v>1</v>
      </c>
      <c r="H1349" t="b">
        <v>0</v>
      </c>
      <c r="I1349">
        <v>25</v>
      </c>
      <c r="J1349" t="s">
        <v>44</v>
      </c>
      <c r="K1349">
        <v>100</v>
      </c>
      <c r="L1349">
        <v>87</v>
      </c>
      <c r="M1349">
        <v>88</v>
      </c>
      <c r="N1349">
        <v>100</v>
      </c>
      <c r="O1349">
        <v>89</v>
      </c>
      <c r="P1349">
        <v>98</v>
      </c>
      <c r="Q1349">
        <v>71</v>
      </c>
      <c r="R1349">
        <f>SUM(student_scores[[#This Row],[math_score]:[geography_score]])</f>
        <v>633</v>
      </c>
      <c r="S1349" s="3">
        <f>student_scores[[#This Row],[Total_Score]]/7</f>
        <v>90.428571428571431</v>
      </c>
      <c r="T1349" s="3" t="str" cm="1">
        <f t="array" ref="T1349">_xlfn.IFS(student_scores[[#This Row],[weekly_self_study_hours]]&lt;=5,   "0 - 5", student_scores[[#This Row],[weekly_self_study_hours]]&lt;=10,  "6 - 10", student_scores[[#This Row],[weekly_self_study_hours]]&lt;=20,  "11 - 20",student_scores[[#This Row],[weekly_self_study_hours]]&lt;=30, "21 - 30",TRUE, "31+")</f>
        <v>21 - 30</v>
      </c>
      <c r="U1349" t="str" cm="1">
        <f t="array" ref="U1349">_xlfn.IFS(student_scores[[#This Row],[absence_days]]=0,"0", student_scores[[#This Row],[absence_days]]&lt;=3,"1-3", student_scores[[#This Row],[absence_days]]&lt;=6,"4-6", TRUE,"7-10")</f>
        <v>1-3</v>
      </c>
      <c r="V1349" t="str">
        <f>IF(student_scores[[#This Row],[Total_Score]] &gt;= _xlfn.PERCENTILE.INC(student_scores[Total_Score], 0.8), "Yes", "No")</f>
        <v>Yes</v>
      </c>
    </row>
    <row r="1350" spans="1:22" x14ac:dyDescent="0.35">
      <c r="A1350">
        <v>1349</v>
      </c>
      <c r="B1350" t="s">
        <v>493</v>
      </c>
      <c r="C1350" t="s">
        <v>103</v>
      </c>
      <c r="D1350" t="s">
        <v>2332</v>
      </c>
      <c r="E1350" t="s">
        <v>25</v>
      </c>
      <c r="F1350" t="b">
        <v>0</v>
      </c>
      <c r="G1350">
        <v>10</v>
      </c>
      <c r="H1350" t="b">
        <v>0</v>
      </c>
      <c r="I1350">
        <v>15</v>
      </c>
      <c r="J1350" t="s">
        <v>38</v>
      </c>
      <c r="K1350">
        <v>62</v>
      </c>
      <c r="L1350">
        <v>63</v>
      </c>
      <c r="M1350">
        <v>94</v>
      </c>
      <c r="N1350">
        <v>74</v>
      </c>
      <c r="O1350">
        <v>75</v>
      </c>
      <c r="P1350">
        <v>86</v>
      </c>
      <c r="Q1350">
        <v>100</v>
      </c>
      <c r="R1350">
        <f>SUM(student_scores[[#This Row],[math_score]:[geography_score]])</f>
        <v>554</v>
      </c>
      <c r="S1350" s="3">
        <f>student_scores[[#This Row],[Total_Score]]/7</f>
        <v>79.142857142857139</v>
      </c>
      <c r="T1350" s="3" t="str" cm="1">
        <f t="array" ref="T1350">_xlfn.IFS(student_scores[[#This Row],[weekly_self_study_hours]]&lt;=5,   "0 - 5", student_scores[[#This Row],[weekly_self_study_hours]]&lt;=10,  "6 - 10", student_scores[[#This Row],[weekly_self_study_hours]]&lt;=20,  "11 - 20",student_scores[[#This Row],[weekly_self_study_hours]]&lt;=30, "21 - 30",TRUE, "31+")</f>
        <v>11 - 20</v>
      </c>
      <c r="U1350" t="str" cm="1">
        <f t="array" ref="U1350">_xlfn.IFS(student_scores[[#This Row],[absence_days]]=0,"0", student_scores[[#This Row],[absence_days]]&lt;=3,"1-3", student_scores[[#This Row],[absence_days]]&lt;=6,"4-6", TRUE,"7-10")</f>
        <v>7-10</v>
      </c>
      <c r="V1350" t="str">
        <f>IF(student_scores[[#This Row],[Total_Score]] &gt;= _xlfn.PERCENTILE.INC(student_scores[Total_Score], 0.8), "Yes", "No")</f>
        <v>No</v>
      </c>
    </row>
    <row r="1351" spans="1:22" x14ac:dyDescent="0.35">
      <c r="A1351">
        <v>1350</v>
      </c>
      <c r="B1351" t="s">
        <v>94</v>
      </c>
      <c r="C1351" t="s">
        <v>1771</v>
      </c>
      <c r="D1351" t="s">
        <v>2333</v>
      </c>
      <c r="E1351" t="s">
        <v>20</v>
      </c>
      <c r="F1351" t="b">
        <v>1</v>
      </c>
      <c r="G1351">
        <v>10</v>
      </c>
      <c r="H1351" t="b">
        <v>0</v>
      </c>
      <c r="I1351">
        <v>3</v>
      </c>
      <c r="J1351" t="s">
        <v>64</v>
      </c>
      <c r="K1351">
        <v>84</v>
      </c>
      <c r="L1351">
        <v>75</v>
      </c>
      <c r="M1351">
        <v>61</v>
      </c>
      <c r="N1351">
        <v>87</v>
      </c>
      <c r="O1351">
        <v>86</v>
      </c>
      <c r="P1351">
        <v>67</v>
      </c>
      <c r="Q1351">
        <v>93</v>
      </c>
      <c r="R1351">
        <f>SUM(student_scores[[#This Row],[math_score]:[geography_score]])</f>
        <v>553</v>
      </c>
      <c r="S1351" s="3">
        <f>student_scores[[#This Row],[Total_Score]]/7</f>
        <v>79</v>
      </c>
      <c r="T1351" s="3" t="str" cm="1">
        <f t="array" ref="T1351">_xlfn.IFS(student_scores[[#This Row],[weekly_self_study_hours]]&lt;=5,   "0 - 5", student_scores[[#This Row],[weekly_self_study_hours]]&lt;=10,  "6 - 10", student_scores[[#This Row],[weekly_self_study_hours]]&lt;=20,  "11 - 20",student_scores[[#This Row],[weekly_self_study_hours]]&lt;=30, "21 - 30",TRUE, "31+")</f>
        <v>0 - 5</v>
      </c>
      <c r="U1351" t="str" cm="1">
        <f t="array" ref="U1351">_xlfn.IFS(student_scores[[#This Row],[absence_days]]=0,"0", student_scores[[#This Row],[absence_days]]&lt;=3,"1-3", student_scores[[#This Row],[absence_days]]&lt;=6,"4-6", TRUE,"7-10")</f>
        <v>7-10</v>
      </c>
      <c r="V1351" t="str">
        <f>IF(student_scores[[#This Row],[Total_Score]] &gt;= _xlfn.PERCENTILE.INC(student_scores[Total_Score], 0.8), "Yes", "No")</f>
        <v>No</v>
      </c>
    </row>
    <row r="1352" spans="1:22" x14ac:dyDescent="0.35">
      <c r="A1352">
        <v>1351</v>
      </c>
      <c r="B1352" t="s">
        <v>291</v>
      </c>
      <c r="C1352" t="s">
        <v>2334</v>
      </c>
      <c r="D1352" t="s">
        <v>2335</v>
      </c>
      <c r="E1352" t="s">
        <v>25</v>
      </c>
      <c r="F1352" t="b">
        <v>0</v>
      </c>
      <c r="G1352">
        <v>3</v>
      </c>
      <c r="H1352" t="b">
        <v>1</v>
      </c>
      <c r="I1352">
        <v>14</v>
      </c>
      <c r="J1352" t="s">
        <v>54</v>
      </c>
      <c r="K1352">
        <v>60</v>
      </c>
      <c r="L1352">
        <v>61</v>
      </c>
      <c r="M1352">
        <v>71</v>
      </c>
      <c r="N1352">
        <v>60</v>
      </c>
      <c r="O1352">
        <v>69</v>
      </c>
      <c r="P1352">
        <v>91</v>
      </c>
      <c r="Q1352">
        <v>84</v>
      </c>
      <c r="R1352">
        <f>SUM(student_scores[[#This Row],[math_score]:[geography_score]])</f>
        <v>496</v>
      </c>
      <c r="S1352" s="3">
        <f>student_scores[[#This Row],[Total_Score]]/7</f>
        <v>70.857142857142861</v>
      </c>
      <c r="T1352" s="3" t="str" cm="1">
        <f t="array" ref="T1352">_xlfn.IFS(student_scores[[#This Row],[weekly_self_study_hours]]&lt;=5,   "0 - 5", student_scores[[#This Row],[weekly_self_study_hours]]&lt;=10,  "6 - 10", student_scores[[#This Row],[weekly_self_study_hours]]&lt;=20,  "11 - 20",student_scores[[#This Row],[weekly_self_study_hours]]&lt;=30, "21 - 30",TRUE, "31+")</f>
        <v>11 - 20</v>
      </c>
      <c r="U1352" t="str" cm="1">
        <f t="array" ref="U1352">_xlfn.IFS(student_scores[[#This Row],[absence_days]]=0,"0", student_scores[[#This Row],[absence_days]]&lt;=3,"1-3", student_scores[[#This Row],[absence_days]]&lt;=6,"4-6", TRUE,"7-10")</f>
        <v>1-3</v>
      </c>
      <c r="V1352" t="str">
        <f>IF(student_scores[[#This Row],[Total_Score]] &gt;= _xlfn.PERCENTILE.INC(student_scores[Total_Score], 0.8), "Yes", "No")</f>
        <v>No</v>
      </c>
    </row>
    <row r="1353" spans="1:22" x14ac:dyDescent="0.35">
      <c r="A1353">
        <v>1352</v>
      </c>
      <c r="B1353" t="s">
        <v>676</v>
      </c>
      <c r="C1353" t="s">
        <v>128</v>
      </c>
      <c r="D1353" t="s">
        <v>2336</v>
      </c>
      <c r="E1353" t="s">
        <v>20</v>
      </c>
      <c r="F1353" t="b">
        <v>0</v>
      </c>
      <c r="G1353">
        <v>9</v>
      </c>
      <c r="H1353" t="b">
        <v>0</v>
      </c>
      <c r="I1353">
        <v>31</v>
      </c>
      <c r="J1353" t="s">
        <v>172</v>
      </c>
      <c r="K1353">
        <v>96</v>
      </c>
      <c r="L1353">
        <v>76</v>
      </c>
      <c r="M1353">
        <v>74</v>
      </c>
      <c r="N1353">
        <v>92</v>
      </c>
      <c r="O1353">
        <v>96</v>
      </c>
      <c r="P1353">
        <v>74</v>
      </c>
      <c r="Q1353">
        <v>99</v>
      </c>
      <c r="R1353">
        <f>SUM(student_scores[[#This Row],[math_score]:[geography_score]])</f>
        <v>607</v>
      </c>
      <c r="S1353" s="3">
        <f>student_scores[[#This Row],[Total_Score]]/7</f>
        <v>86.714285714285708</v>
      </c>
      <c r="T1353" s="3" t="str" cm="1">
        <f t="array" ref="T1353">_xlfn.IFS(student_scores[[#This Row],[weekly_self_study_hours]]&lt;=5,   "0 - 5", student_scores[[#This Row],[weekly_self_study_hours]]&lt;=10,  "6 - 10", student_scores[[#This Row],[weekly_self_study_hours]]&lt;=20,  "11 - 20",student_scores[[#This Row],[weekly_self_study_hours]]&lt;=30, "21 - 30",TRUE, "31+")</f>
        <v>31+</v>
      </c>
      <c r="U1353" t="str" cm="1">
        <f t="array" ref="U1353">_xlfn.IFS(student_scores[[#This Row],[absence_days]]=0,"0", student_scores[[#This Row],[absence_days]]&lt;=3,"1-3", student_scores[[#This Row],[absence_days]]&lt;=6,"4-6", TRUE,"7-10")</f>
        <v>7-10</v>
      </c>
      <c r="V1353" t="str">
        <f>IF(student_scores[[#This Row],[Total_Score]] &gt;= _xlfn.PERCENTILE.INC(student_scores[Total_Score], 0.8), "Yes", "No")</f>
        <v>Yes</v>
      </c>
    </row>
    <row r="1354" spans="1:22" x14ac:dyDescent="0.35">
      <c r="A1354">
        <v>1353</v>
      </c>
      <c r="B1354" t="s">
        <v>345</v>
      </c>
      <c r="C1354" t="s">
        <v>295</v>
      </c>
      <c r="D1354" t="s">
        <v>2337</v>
      </c>
      <c r="E1354" t="s">
        <v>25</v>
      </c>
      <c r="F1354" t="b">
        <v>0</v>
      </c>
      <c r="G1354">
        <v>2</v>
      </c>
      <c r="H1354" t="b">
        <v>1</v>
      </c>
      <c r="I1354">
        <v>9</v>
      </c>
      <c r="J1354" t="s">
        <v>224</v>
      </c>
      <c r="K1354">
        <v>58</v>
      </c>
      <c r="L1354">
        <v>81</v>
      </c>
      <c r="M1354">
        <v>100</v>
      </c>
      <c r="N1354">
        <v>97</v>
      </c>
      <c r="O1354">
        <v>74</v>
      </c>
      <c r="P1354">
        <v>90</v>
      </c>
      <c r="Q1354">
        <v>87</v>
      </c>
      <c r="R1354">
        <f>SUM(student_scores[[#This Row],[math_score]:[geography_score]])</f>
        <v>587</v>
      </c>
      <c r="S1354" s="3">
        <f>student_scores[[#This Row],[Total_Score]]/7</f>
        <v>83.857142857142861</v>
      </c>
      <c r="T1354" s="3" t="str" cm="1">
        <f t="array" ref="T1354">_xlfn.IFS(student_scores[[#This Row],[weekly_self_study_hours]]&lt;=5,   "0 - 5", student_scores[[#This Row],[weekly_self_study_hours]]&lt;=10,  "6 - 10", student_scores[[#This Row],[weekly_self_study_hours]]&lt;=20,  "11 - 20",student_scores[[#This Row],[weekly_self_study_hours]]&lt;=30, "21 - 30",TRUE, "31+")</f>
        <v>6 - 10</v>
      </c>
      <c r="U1354" t="str" cm="1">
        <f t="array" ref="U1354">_xlfn.IFS(student_scores[[#This Row],[absence_days]]=0,"0", student_scores[[#This Row],[absence_days]]&lt;=3,"1-3", student_scores[[#This Row],[absence_days]]&lt;=6,"4-6", TRUE,"7-10")</f>
        <v>1-3</v>
      </c>
      <c r="V1354" t="str">
        <f>IF(student_scores[[#This Row],[Total_Score]] &gt;= _xlfn.PERCENTILE.INC(student_scores[Total_Score], 0.8), "Yes", "No")</f>
        <v>No</v>
      </c>
    </row>
    <row r="1355" spans="1:22" x14ac:dyDescent="0.35">
      <c r="A1355">
        <v>1354</v>
      </c>
      <c r="B1355" t="s">
        <v>527</v>
      </c>
      <c r="C1355" t="s">
        <v>2214</v>
      </c>
      <c r="D1355" t="s">
        <v>2338</v>
      </c>
      <c r="E1355" t="s">
        <v>25</v>
      </c>
      <c r="F1355" t="b">
        <v>0</v>
      </c>
      <c r="G1355">
        <v>1</v>
      </c>
      <c r="H1355" t="b">
        <v>0</v>
      </c>
      <c r="I1355">
        <v>8</v>
      </c>
      <c r="J1355" t="s">
        <v>54</v>
      </c>
      <c r="K1355">
        <v>90</v>
      </c>
      <c r="L1355">
        <v>67</v>
      </c>
      <c r="M1355">
        <v>73</v>
      </c>
      <c r="N1355">
        <v>82</v>
      </c>
      <c r="O1355">
        <v>66</v>
      </c>
      <c r="P1355">
        <v>75</v>
      </c>
      <c r="Q1355">
        <v>90</v>
      </c>
      <c r="R1355">
        <f>SUM(student_scores[[#This Row],[math_score]:[geography_score]])</f>
        <v>543</v>
      </c>
      <c r="S1355" s="3">
        <f>student_scores[[#This Row],[Total_Score]]/7</f>
        <v>77.571428571428569</v>
      </c>
      <c r="T1355" s="3" t="str" cm="1">
        <f t="array" ref="T1355">_xlfn.IFS(student_scores[[#This Row],[weekly_self_study_hours]]&lt;=5,   "0 - 5", student_scores[[#This Row],[weekly_self_study_hours]]&lt;=10,  "6 - 10", student_scores[[#This Row],[weekly_self_study_hours]]&lt;=20,  "11 - 20",student_scores[[#This Row],[weekly_self_study_hours]]&lt;=30, "21 - 30",TRUE, "31+")</f>
        <v>6 - 10</v>
      </c>
      <c r="U1355" t="str" cm="1">
        <f t="array" ref="U1355">_xlfn.IFS(student_scores[[#This Row],[absence_days]]=0,"0", student_scores[[#This Row],[absence_days]]&lt;=3,"1-3", student_scores[[#This Row],[absence_days]]&lt;=6,"4-6", TRUE,"7-10")</f>
        <v>1-3</v>
      </c>
      <c r="V1355" t="str">
        <f>IF(student_scores[[#This Row],[Total_Score]] &gt;= _xlfn.PERCENTILE.INC(student_scores[Total_Score], 0.8), "Yes", "No")</f>
        <v>No</v>
      </c>
    </row>
    <row r="1356" spans="1:22" x14ac:dyDescent="0.35">
      <c r="A1356">
        <v>1355</v>
      </c>
      <c r="B1356" t="s">
        <v>1391</v>
      </c>
      <c r="C1356" t="s">
        <v>1739</v>
      </c>
      <c r="D1356" t="s">
        <v>2339</v>
      </c>
      <c r="E1356" t="s">
        <v>20</v>
      </c>
      <c r="F1356" t="b">
        <v>0</v>
      </c>
      <c r="G1356">
        <v>2</v>
      </c>
      <c r="H1356" t="b">
        <v>0</v>
      </c>
      <c r="I1356">
        <v>22</v>
      </c>
      <c r="J1356" t="s">
        <v>113</v>
      </c>
      <c r="K1356">
        <v>75</v>
      </c>
      <c r="L1356">
        <v>80</v>
      </c>
      <c r="M1356">
        <v>65</v>
      </c>
      <c r="N1356">
        <v>80</v>
      </c>
      <c r="O1356">
        <v>55</v>
      </c>
      <c r="P1356">
        <v>86</v>
      </c>
      <c r="Q1356">
        <v>95</v>
      </c>
      <c r="R1356">
        <f>SUM(student_scores[[#This Row],[math_score]:[geography_score]])</f>
        <v>536</v>
      </c>
      <c r="S1356" s="3">
        <f>student_scores[[#This Row],[Total_Score]]/7</f>
        <v>76.571428571428569</v>
      </c>
      <c r="T1356" s="3" t="str" cm="1">
        <f t="array" ref="T1356">_xlfn.IFS(student_scores[[#This Row],[weekly_self_study_hours]]&lt;=5,   "0 - 5", student_scores[[#This Row],[weekly_self_study_hours]]&lt;=10,  "6 - 10", student_scores[[#This Row],[weekly_self_study_hours]]&lt;=20,  "11 - 20",student_scores[[#This Row],[weekly_self_study_hours]]&lt;=30, "21 - 30",TRUE, "31+")</f>
        <v>21 - 30</v>
      </c>
      <c r="U1356" t="str" cm="1">
        <f t="array" ref="U1356">_xlfn.IFS(student_scores[[#This Row],[absence_days]]=0,"0", student_scores[[#This Row],[absence_days]]&lt;=3,"1-3", student_scores[[#This Row],[absence_days]]&lt;=6,"4-6", TRUE,"7-10")</f>
        <v>1-3</v>
      </c>
      <c r="V1356" t="str">
        <f>IF(student_scores[[#This Row],[Total_Score]] &gt;= _xlfn.PERCENTILE.INC(student_scores[Total_Score], 0.8), "Yes", "No")</f>
        <v>No</v>
      </c>
    </row>
    <row r="1357" spans="1:22" x14ac:dyDescent="0.35">
      <c r="A1357">
        <v>1356</v>
      </c>
      <c r="B1357" t="s">
        <v>83</v>
      </c>
      <c r="C1357" t="s">
        <v>1300</v>
      </c>
      <c r="D1357" t="s">
        <v>2340</v>
      </c>
      <c r="E1357" t="s">
        <v>25</v>
      </c>
      <c r="F1357" t="b">
        <v>0</v>
      </c>
      <c r="G1357">
        <v>3</v>
      </c>
      <c r="H1357" t="b">
        <v>0</v>
      </c>
      <c r="I1357">
        <v>11</v>
      </c>
      <c r="J1357" t="s">
        <v>105</v>
      </c>
      <c r="K1357">
        <v>76</v>
      </c>
      <c r="L1357">
        <v>82</v>
      </c>
      <c r="M1357">
        <v>74</v>
      </c>
      <c r="N1357">
        <v>79</v>
      </c>
      <c r="O1357">
        <v>81</v>
      </c>
      <c r="P1357">
        <v>93</v>
      </c>
      <c r="Q1357">
        <v>72</v>
      </c>
      <c r="R1357">
        <f>SUM(student_scores[[#This Row],[math_score]:[geography_score]])</f>
        <v>557</v>
      </c>
      <c r="S1357" s="3">
        <f>student_scores[[#This Row],[Total_Score]]/7</f>
        <v>79.571428571428569</v>
      </c>
      <c r="T1357" s="3" t="str" cm="1">
        <f t="array" ref="T1357">_xlfn.IFS(student_scores[[#This Row],[weekly_self_study_hours]]&lt;=5,   "0 - 5", student_scores[[#This Row],[weekly_self_study_hours]]&lt;=10,  "6 - 10", student_scores[[#This Row],[weekly_self_study_hours]]&lt;=20,  "11 - 20",student_scores[[#This Row],[weekly_self_study_hours]]&lt;=30, "21 - 30",TRUE, "31+")</f>
        <v>11 - 20</v>
      </c>
      <c r="U1357" t="str" cm="1">
        <f t="array" ref="U1357">_xlfn.IFS(student_scores[[#This Row],[absence_days]]=0,"0", student_scores[[#This Row],[absence_days]]&lt;=3,"1-3", student_scores[[#This Row],[absence_days]]&lt;=6,"4-6", TRUE,"7-10")</f>
        <v>1-3</v>
      </c>
      <c r="V1357" t="str">
        <f>IF(student_scores[[#This Row],[Total_Score]] &gt;= _xlfn.PERCENTILE.INC(student_scores[Total_Score], 0.8), "Yes", "No")</f>
        <v>No</v>
      </c>
    </row>
    <row r="1358" spans="1:22" x14ac:dyDescent="0.35">
      <c r="A1358">
        <v>1357</v>
      </c>
      <c r="B1358" t="s">
        <v>154</v>
      </c>
      <c r="C1358" t="s">
        <v>900</v>
      </c>
      <c r="D1358" t="s">
        <v>2341</v>
      </c>
      <c r="E1358" t="s">
        <v>25</v>
      </c>
      <c r="F1358" t="b">
        <v>1</v>
      </c>
      <c r="G1358">
        <v>10</v>
      </c>
      <c r="H1358" t="b">
        <v>0</v>
      </c>
      <c r="I1358">
        <v>2</v>
      </c>
      <c r="J1358" t="s">
        <v>64</v>
      </c>
      <c r="K1358">
        <v>81</v>
      </c>
      <c r="L1358">
        <v>100</v>
      </c>
      <c r="M1358">
        <v>64</v>
      </c>
      <c r="N1358">
        <v>61</v>
      </c>
      <c r="O1358">
        <v>91</v>
      </c>
      <c r="P1358">
        <v>76</v>
      </c>
      <c r="Q1358">
        <v>93</v>
      </c>
      <c r="R1358">
        <f>SUM(student_scores[[#This Row],[math_score]:[geography_score]])</f>
        <v>566</v>
      </c>
      <c r="S1358" s="3">
        <f>student_scores[[#This Row],[Total_Score]]/7</f>
        <v>80.857142857142861</v>
      </c>
      <c r="T1358" s="3" t="str" cm="1">
        <f t="array" ref="T1358">_xlfn.IFS(student_scores[[#This Row],[weekly_self_study_hours]]&lt;=5,   "0 - 5", student_scores[[#This Row],[weekly_self_study_hours]]&lt;=10,  "6 - 10", student_scores[[#This Row],[weekly_self_study_hours]]&lt;=20,  "11 - 20",student_scores[[#This Row],[weekly_self_study_hours]]&lt;=30, "21 - 30",TRUE, "31+")</f>
        <v>0 - 5</v>
      </c>
      <c r="U1358" t="str" cm="1">
        <f t="array" ref="U1358">_xlfn.IFS(student_scores[[#This Row],[absence_days]]=0,"0", student_scores[[#This Row],[absence_days]]&lt;=3,"1-3", student_scores[[#This Row],[absence_days]]&lt;=6,"4-6", TRUE,"7-10")</f>
        <v>7-10</v>
      </c>
      <c r="V1358" t="str">
        <f>IF(student_scores[[#This Row],[Total_Score]] &gt;= _xlfn.PERCENTILE.INC(student_scores[Total_Score], 0.8), "Yes", "No")</f>
        <v>No</v>
      </c>
    </row>
    <row r="1359" spans="1:22" x14ac:dyDescent="0.35">
      <c r="A1359">
        <v>1358</v>
      </c>
      <c r="B1359" t="s">
        <v>342</v>
      </c>
      <c r="C1359" t="s">
        <v>118</v>
      </c>
      <c r="D1359" t="s">
        <v>2342</v>
      </c>
      <c r="E1359" t="s">
        <v>25</v>
      </c>
      <c r="F1359" t="b">
        <v>0</v>
      </c>
      <c r="G1359">
        <v>2</v>
      </c>
      <c r="H1359" t="b">
        <v>0</v>
      </c>
      <c r="I1359">
        <v>21</v>
      </c>
      <c r="J1359" t="s">
        <v>38</v>
      </c>
      <c r="K1359">
        <v>73</v>
      </c>
      <c r="L1359">
        <v>98</v>
      </c>
      <c r="M1359">
        <v>72</v>
      </c>
      <c r="N1359">
        <v>100</v>
      </c>
      <c r="O1359">
        <v>77</v>
      </c>
      <c r="P1359">
        <v>62</v>
      </c>
      <c r="Q1359">
        <v>69</v>
      </c>
      <c r="R1359">
        <f>SUM(student_scores[[#This Row],[math_score]:[geography_score]])</f>
        <v>551</v>
      </c>
      <c r="S1359" s="3">
        <f>student_scores[[#This Row],[Total_Score]]/7</f>
        <v>78.714285714285708</v>
      </c>
      <c r="T1359" s="3" t="str" cm="1">
        <f t="array" ref="T1359">_xlfn.IFS(student_scores[[#This Row],[weekly_self_study_hours]]&lt;=5,   "0 - 5", student_scores[[#This Row],[weekly_self_study_hours]]&lt;=10,  "6 - 10", student_scores[[#This Row],[weekly_self_study_hours]]&lt;=20,  "11 - 20",student_scores[[#This Row],[weekly_self_study_hours]]&lt;=30, "21 - 30",TRUE, "31+")</f>
        <v>21 - 30</v>
      </c>
      <c r="U1359" t="str" cm="1">
        <f t="array" ref="U1359">_xlfn.IFS(student_scores[[#This Row],[absence_days]]=0,"0", student_scores[[#This Row],[absence_days]]&lt;=3,"1-3", student_scores[[#This Row],[absence_days]]&lt;=6,"4-6", TRUE,"7-10")</f>
        <v>1-3</v>
      </c>
      <c r="V1359" t="str">
        <f>IF(student_scores[[#This Row],[Total_Score]] &gt;= _xlfn.PERCENTILE.INC(student_scores[Total_Score], 0.8), "Yes", "No")</f>
        <v>No</v>
      </c>
    </row>
    <row r="1360" spans="1:22" x14ac:dyDescent="0.35">
      <c r="A1360">
        <v>1359</v>
      </c>
      <c r="B1360" t="s">
        <v>130</v>
      </c>
      <c r="C1360" t="s">
        <v>1105</v>
      </c>
      <c r="D1360" t="s">
        <v>2343</v>
      </c>
      <c r="E1360" t="s">
        <v>25</v>
      </c>
      <c r="F1360" t="b">
        <v>0</v>
      </c>
      <c r="G1360">
        <v>1</v>
      </c>
      <c r="H1360" t="b">
        <v>0</v>
      </c>
      <c r="I1360">
        <v>28</v>
      </c>
      <c r="J1360" t="s">
        <v>38</v>
      </c>
      <c r="K1360">
        <v>60</v>
      </c>
      <c r="L1360">
        <v>64</v>
      </c>
      <c r="M1360">
        <v>84</v>
      </c>
      <c r="N1360">
        <v>64</v>
      </c>
      <c r="O1360">
        <v>66</v>
      </c>
      <c r="P1360">
        <v>96</v>
      </c>
      <c r="Q1360">
        <v>99</v>
      </c>
      <c r="R1360">
        <f>SUM(student_scores[[#This Row],[math_score]:[geography_score]])</f>
        <v>533</v>
      </c>
      <c r="S1360" s="3">
        <f>student_scores[[#This Row],[Total_Score]]/7</f>
        <v>76.142857142857139</v>
      </c>
      <c r="T1360" s="3" t="str" cm="1">
        <f t="array" ref="T1360">_xlfn.IFS(student_scores[[#This Row],[weekly_self_study_hours]]&lt;=5,   "0 - 5", student_scores[[#This Row],[weekly_self_study_hours]]&lt;=10,  "6 - 10", student_scores[[#This Row],[weekly_self_study_hours]]&lt;=20,  "11 - 20",student_scores[[#This Row],[weekly_self_study_hours]]&lt;=30, "21 - 30",TRUE, "31+")</f>
        <v>21 - 30</v>
      </c>
      <c r="U1360" t="str" cm="1">
        <f t="array" ref="U1360">_xlfn.IFS(student_scores[[#This Row],[absence_days]]=0,"0", student_scores[[#This Row],[absence_days]]&lt;=3,"1-3", student_scores[[#This Row],[absence_days]]&lt;=6,"4-6", TRUE,"7-10")</f>
        <v>1-3</v>
      </c>
      <c r="V1360" t="str">
        <f>IF(student_scores[[#This Row],[Total_Score]] &gt;= _xlfn.PERCENTILE.INC(student_scores[Total_Score], 0.8), "Yes", "No")</f>
        <v>No</v>
      </c>
    </row>
    <row r="1361" spans="1:22" x14ac:dyDescent="0.35">
      <c r="A1361">
        <v>1360</v>
      </c>
      <c r="B1361" t="s">
        <v>845</v>
      </c>
      <c r="C1361" t="s">
        <v>246</v>
      </c>
      <c r="D1361" t="s">
        <v>2344</v>
      </c>
      <c r="E1361" t="s">
        <v>25</v>
      </c>
      <c r="F1361" t="b">
        <v>1</v>
      </c>
      <c r="G1361">
        <v>9</v>
      </c>
      <c r="H1361" t="b">
        <v>0</v>
      </c>
      <c r="I1361">
        <v>4</v>
      </c>
      <c r="J1361" t="s">
        <v>64</v>
      </c>
      <c r="K1361">
        <v>89</v>
      </c>
      <c r="L1361">
        <v>100</v>
      </c>
      <c r="M1361">
        <v>72</v>
      </c>
      <c r="N1361">
        <v>73</v>
      </c>
      <c r="O1361">
        <v>78</v>
      </c>
      <c r="P1361">
        <v>67</v>
      </c>
      <c r="Q1361">
        <v>91</v>
      </c>
      <c r="R1361">
        <f>SUM(student_scores[[#This Row],[math_score]:[geography_score]])</f>
        <v>570</v>
      </c>
      <c r="S1361" s="3">
        <f>student_scores[[#This Row],[Total_Score]]/7</f>
        <v>81.428571428571431</v>
      </c>
      <c r="T1361" s="3" t="str" cm="1">
        <f t="array" ref="T1361">_xlfn.IFS(student_scores[[#This Row],[weekly_self_study_hours]]&lt;=5,   "0 - 5", student_scores[[#This Row],[weekly_self_study_hours]]&lt;=10,  "6 - 10", student_scores[[#This Row],[weekly_self_study_hours]]&lt;=20,  "11 - 20",student_scores[[#This Row],[weekly_self_study_hours]]&lt;=30, "21 - 30",TRUE, "31+")</f>
        <v>0 - 5</v>
      </c>
      <c r="U1361" t="str" cm="1">
        <f t="array" ref="U1361">_xlfn.IFS(student_scores[[#This Row],[absence_days]]=0,"0", student_scores[[#This Row],[absence_days]]&lt;=3,"1-3", student_scores[[#This Row],[absence_days]]&lt;=6,"4-6", TRUE,"7-10")</f>
        <v>7-10</v>
      </c>
      <c r="V1361" t="str">
        <f>IF(student_scores[[#This Row],[Total_Score]] &gt;= _xlfn.PERCENTILE.INC(student_scores[Total_Score], 0.8), "Yes", "No")</f>
        <v>No</v>
      </c>
    </row>
    <row r="1362" spans="1:22" x14ac:dyDescent="0.35">
      <c r="A1362">
        <v>1361</v>
      </c>
      <c r="B1362" t="s">
        <v>280</v>
      </c>
      <c r="C1362" t="s">
        <v>136</v>
      </c>
      <c r="D1362" t="s">
        <v>2345</v>
      </c>
      <c r="E1362" t="s">
        <v>20</v>
      </c>
      <c r="F1362" t="b">
        <v>0</v>
      </c>
      <c r="G1362">
        <v>4</v>
      </c>
      <c r="H1362" t="b">
        <v>0</v>
      </c>
      <c r="I1362">
        <v>35</v>
      </c>
      <c r="J1362" t="s">
        <v>44</v>
      </c>
      <c r="K1362">
        <v>91</v>
      </c>
      <c r="L1362">
        <v>98</v>
      </c>
      <c r="M1362">
        <v>93</v>
      </c>
      <c r="N1362">
        <v>93</v>
      </c>
      <c r="O1362">
        <v>88</v>
      </c>
      <c r="P1362">
        <v>96</v>
      </c>
      <c r="Q1362">
        <v>97</v>
      </c>
      <c r="R1362">
        <f>SUM(student_scores[[#This Row],[math_score]:[geography_score]])</f>
        <v>656</v>
      </c>
      <c r="S1362" s="3">
        <f>student_scores[[#This Row],[Total_Score]]/7</f>
        <v>93.714285714285708</v>
      </c>
      <c r="T1362" s="3" t="str" cm="1">
        <f t="array" ref="T1362">_xlfn.IFS(student_scores[[#This Row],[weekly_self_study_hours]]&lt;=5,   "0 - 5", student_scores[[#This Row],[weekly_self_study_hours]]&lt;=10,  "6 - 10", student_scores[[#This Row],[weekly_self_study_hours]]&lt;=20,  "11 - 20",student_scores[[#This Row],[weekly_self_study_hours]]&lt;=30, "21 - 30",TRUE, "31+")</f>
        <v>31+</v>
      </c>
      <c r="U1362" t="str" cm="1">
        <f t="array" ref="U1362">_xlfn.IFS(student_scores[[#This Row],[absence_days]]=0,"0", student_scores[[#This Row],[absence_days]]&lt;=3,"1-3", student_scores[[#This Row],[absence_days]]&lt;=6,"4-6", TRUE,"7-10")</f>
        <v>4-6</v>
      </c>
      <c r="V1362" t="str">
        <f>IF(student_scores[[#This Row],[Total_Score]] &gt;= _xlfn.PERCENTILE.INC(student_scores[Total_Score], 0.8), "Yes", "No")</f>
        <v>Yes</v>
      </c>
    </row>
    <row r="1363" spans="1:22" x14ac:dyDescent="0.35">
      <c r="A1363">
        <v>1362</v>
      </c>
      <c r="B1363" t="s">
        <v>145</v>
      </c>
      <c r="C1363" t="s">
        <v>2346</v>
      </c>
      <c r="D1363" t="s">
        <v>2347</v>
      </c>
      <c r="E1363" t="s">
        <v>20</v>
      </c>
      <c r="F1363" t="b">
        <v>0</v>
      </c>
      <c r="G1363">
        <v>6</v>
      </c>
      <c r="H1363" t="b">
        <v>0</v>
      </c>
      <c r="I1363">
        <v>27</v>
      </c>
      <c r="J1363" t="s">
        <v>26</v>
      </c>
      <c r="K1363">
        <v>85</v>
      </c>
      <c r="L1363">
        <v>72</v>
      </c>
      <c r="M1363">
        <v>80</v>
      </c>
      <c r="N1363">
        <v>85</v>
      </c>
      <c r="O1363">
        <v>94</v>
      </c>
      <c r="P1363">
        <v>96</v>
      </c>
      <c r="Q1363">
        <v>87</v>
      </c>
      <c r="R1363">
        <f>SUM(student_scores[[#This Row],[math_score]:[geography_score]])</f>
        <v>599</v>
      </c>
      <c r="S1363" s="3">
        <f>student_scores[[#This Row],[Total_Score]]/7</f>
        <v>85.571428571428569</v>
      </c>
      <c r="T1363" s="3" t="str" cm="1">
        <f t="array" ref="T1363">_xlfn.IFS(student_scores[[#This Row],[weekly_self_study_hours]]&lt;=5,   "0 - 5", student_scores[[#This Row],[weekly_self_study_hours]]&lt;=10,  "6 - 10", student_scores[[#This Row],[weekly_self_study_hours]]&lt;=20,  "11 - 20",student_scores[[#This Row],[weekly_self_study_hours]]&lt;=30, "21 - 30",TRUE, "31+")</f>
        <v>21 - 30</v>
      </c>
      <c r="U1363" t="str" cm="1">
        <f t="array" ref="U1363">_xlfn.IFS(student_scores[[#This Row],[absence_days]]=0,"0", student_scores[[#This Row],[absence_days]]&lt;=3,"1-3", student_scores[[#This Row],[absence_days]]&lt;=6,"4-6", TRUE,"7-10")</f>
        <v>4-6</v>
      </c>
      <c r="V1363" t="str">
        <f>IF(student_scores[[#This Row],[Total_Score]] &gt;= _xlfn.PERCENTILE.INC(student_scores[Total_Score], 0.8), "Yes", "No")</f>
        <v>No</v>
      </c>
    </row>
    <row r="1364" spans="1:22" x14ac:dyDescent="0.35">
      <c r="A1364">
        <v>1363</v>
      </c>
      <c r="B1364" t="s">
        <v>160</v>
      </c>
      <c r="C1364" t="s">
        <v>2348</v>
      </c>
      <c r="D1364" t="s">
        <v>2349</v>
      </c>
      <c r="E1364" t="s">
        <v>20</v>
      </c>
      <c r="F1364" t="b">
        <v>0</v>
      </c>
      <c r="G1364">
        <v>0</v>
      </c>
      <c r="H1364" t="b">
        <v>1</v>
      </c>
      <c r="I1364">
        <v>14</v>
      </c>
      <c r="J1364" t="s">
        <v>113</v>
      </c>
      <c r="K1364">
        <v>81</v>
      </c>
      <c r="L1364">
        <v>84</v>
      </c>
      <c r="M1364">
        <v>69</v>
      </c>
      <c r="N1364">
        <v>99</v>
      </c>
      <c r="O1364">
        <v>55</v>
      </c>
      <c r="P1364">
        <v>68</v>
      </c>
      <c r="Q1364">
        <v>73</v>
      </c>
      <c r="R1364">
        <f>SUM(student_scores[[#This Row],[math_score]:[geography_score]])</f>
        <v>529</v>
      </c>
      <c r="S1364" s="3">
        <f>student_scores[[#This Row],[Total_Score]]/7</f>
        <v>75.571428571428569</v>
      </c>
      <c r="T1364" s="3" t="str" cm="1">
        <f t="array" ref="T1364">_xlfn.IFS(student_scores[[#This Row],[weekly_self_study_hours]]&lt;=5,   "0 - 5", student_scores[[#This Row],[weekly_self_study_hours]]&lt;=10,  "6 - 10", student_scores[[#This Row],[weekly_self_study_hours]]&lt;=20,  "11 - 20",student_scores[[#This Row],[weekly_self_study_hours]]&lt;=30, "21 - 30",TRUE, "31+")</f>
        <v>11 - 20</v>
      </c>
      <c r="U1364" t="str" cm="1">
        <f t="array" ref="U1364">_xlfn.IFS(student_scores[[#This Row],[absence_days]]=0,"0", student_scores[[#This Row],[absence_days]]&lt;=3,"1-3", student_scores[[#This Row],[absence_days]]&lt;=6,"4-6", TRUE,"7-10")</f>
        <v>0</v>
      </c>
      <c r="V1364" t="str">
        <f>IF(student_scores[[#This Row],[Total_Score]] &gt;= _xlfn.PERCENTILE.INC(student_scores[Total_Score], 0.8), "Yes", "No")</f>
        <v>No</v>
      </c>
    </row>
    <row r="1365" spans="1:22" x14ac:dyDescent="0.35">
      <c r="A1365">
        <v>1364</v>
      </c>
      <c r="B1365" t="s">
        <v>1034</v>
      </c>
      <c r="C1365" t="s">
        <v>354</v>
      </c>
      <c r="D1365" t="s">
        <v>2350</v>
      </c>
      <c r="E1365" t="s">
        <v>25</v>
      </c>
      <c r="F1365" t="b">
        <v>0</v>
      </c>
      <c r="G1365">
        <v>10</v>
      </c>
      <c r="H1365" t="b">
        <v>0</v>
      </c>
      <c r="I1365">
        <v>1</v>
      </c>
      <c r="J1365" t="s">
        <v>64</v>
      </c>
      <c r="K1365">
        <v>67</v>
      </c>
      <c r="L1365">
        <v>63</v>
      </c>
      <c r="M1365">
        <v>65</v>
      </c>
      <c r="N1365">
        <v>95</v>
      </c>
      <c r="O1365">
        <v>52</v>
      </c>
      <c r="P1365">
        <v>84</v>
      </c>
      <c r="Q1365">
        <v>77</v>
      </c>
      <c r="R1365">
        <f>SUM(student_scores[[#This Row],[math_score]:[geography_score]])</f>
        <v>503</v>
      </c>
      <c r="S1365" s="3">
        <f>student_scores[[#This Row],[Total_Score]]/7</f>
        <v>71.857142857142861</v>
      </c>
      <c r="T1365" s="3" t="str" cm="1">
        <f t="array" ref="T1365">_xlfn.IFS(student_scores[[#This Row],[weekly_self_study_hours]]&lt;=5,   "0 - 5", student_scores[[#This Row],[weekly_self_study_hours]]&lt;=10,  "6 - 10", student_scores[[#This Row],[weekly_self_study_hours]]&lt;=20,  "11 - 20",student_scores[[#This Row],[weekly_self_study_hours]]&lt;=30, "21 - 30",TRUE, "31+")</f>
        <v>0 - 5</v>
      </c>
      <c r="U1365" t="str" cm="1">
        <f t="array" ref="U1365">_xlfn.IFS(student_scores[[#This Row],[absence_days]]=0,"0", student_scores[[#This Row],[absence_days]]&lt;=3,"1-3", student_scores[[#This Row],[absence_days]]&lt;=6,"4-6", TRUE,"7-10")</f>
        <v>7-10</v>
      </c>
      <c r="V1365" t="str">
        <f>IF(student_scores[[#This Row],[Total_Score]] &gt;= _xlfn.PERCENTILE.INC(student_scores[Total_Score], 0.8), "Yes", "No")</f>
        <v>No</v>
      </c>
    </row>
    <row r="1366" spans="1:22" x14ac:dyDescent="0.35">
      <c r="A1366">
        <v>1365</v>
      </c>
      <c r="B1366" t="s">
        <v>568</v>
      </c>
      <c r="C1366" t="s">
        <v>2351</v>
      </c>
      <c r="D1366" t="s">
        <v>2352</v>
      </c>
      <c r="E1366" t="s">
        <v>20</v>
      </c>
      <c r="F1366" t="b">
        <v>0</v>
      </c>
      <c r="G1366">
        <v>4</v>
      </c>
      <c r="H1366" t="b">
        <v>0</v>
      </c>
      <c r="I1366">
        <v>29</v>
      </c>
      <c r="J1366" t="s">
        <v>26</v>
      </c>
      <c r="K1366">
        <v>86</v>
      </c>
      <c r="L1366">
        <v>71</v>
      </c>
      <c r="M1366">
        <v>86</v>
      </c>
      <c r="N1366">
        <v>93</v>
      </c>
      <c r="O1366">
        <v>99</v>
      </c>
      <c r="P1366">
        <v>92</v>
      </c>
      <c r="Q1366">
        <v>77</v>
      </c>
      <c r="R1366">
        <f>SUM(student_scores[[#This Row],[math_score]:[geography_score]])</f>
        <v>604</v>
      </c>
      <c r="S1366" s="3">
        <f>student_scores[[#This Row],[Total_Score]]/7</f>
        <v>86.285714285714292</v>
      </c>
      <c r="T1366" s="3" t="str" cm="1">
        <f t="array" ref="T1366">_xlfn.IFS(student_scores[[#This Row],[weekly_self_study_hours]]&lt;=5,   "0 - 5", student_scores[[#This Row],[weekly_self_study_hours]]&lt;=10,  "6 - 10", student_scores[[#This Row],[weekly_self_study_hours]]&lt;=20,  "11 - 20",student_scores[[#This Row],[weekly_self_study_hours]]&lt;=30, "21 - 30",TRUE, "31+")</f>
        <v>21 - 30</v>
      </c>
      <c r="U1366" t="str" cm="1">
        <f t="array" ref="U1366">_xlfn.IFS(student_scores[[#This Row],[absence_days]]=0,"0", student_scores[[#This Row],[absence_days]]&lt;=3,"1-3", student_scores[[#This Row],[absence_days]]&lt;=6,"4-6", TRUE,"7-10")</f>
        <v>4-6</v>
      </c>
      <c r="V1366" t="str">
        <f>IF(student_scores[[#This Row],[Total_Score]] &gt;= _xlfn.PERCENTILE.INC(student_scores[Total_Score], 0.8), "Yes", "No")</f>
        <v>Yes</v>
      </c>
    </row>
    <row r="1367" spans="1:22" x14ac:dyDescent="0.35">
      <c r="A1367">
        <v>1366</v>
      </c>
      <c r="B1367" t="s">
        <v>534</v>
      </c>
      <c r="C1367" t="s">
        <v>2353</v>
      </c>
      <c r="D1367" t="s">
        <v>2354</v>
      </c>
      <c r="E1367" t="s">
        <v>25</v>
      </c>
      <c r="F1367" t="b">
        <v>0</v>
      </c>
      <c r="G1367">
        <v>1</v>
      </c>
      <c r="H1367" t="b">
        <v>0</v>
      </c>
      <c r="I1367">
        <v>33</v>
      </c>
      <c r="J1367" t="s">
        <v>21</v>
      </c>
      <c r="K1367">
        <v>94</v>
      </c>
      <c r="L1367">
        <v>85</v>
      </c>
      <c r="M1367">
        <v>78</v>
      </c>
      <c r="N1367">
        <v>66</v>
      </c>
      <c r="O1367">
        <v>95</v>
      </c>
      <c r="P1367">
        <v>87</v>
      </c>
      <c r="Q1367">
        <v>95</v>
      </c>
      <c r="R1367">
        <f>SUM(student_scores[[#This Row],[math_score]:[geography_score]])</f>
        <v>600</v>
      </c>
      <c r="S1367" s="3">
        <f>student_scores[[#This Row],[Total_Score]]/7</f>
        <v>85.714285714285708</v>
      </c>
      <c r="T1367" s="3" t="str" cm="1">
        <f t="array" ref="T1367">_xlfn.IFS(student_scores[[#This Row],[weekly_self_study_hours]]&lt;=5,   "0 - 5", student_scores[[#This Row],[weekly_self_study_hours]]&lt;=10,  "6 - 10", student_scores[[#This Row],[weekly_self_study_hours]]&lt;=20,  "11 - 20",student_scores[[#This Row],[weekly_self_study_hours]]&lt;=30, "21 - 30",TRUE, "31+")</f>
        <v>31+</v>
      </c>
      <c r="U1367" t="str" cm="1">
        <f t="array" ref="U1367">_xlfn.IFS(student_scores[[#This Row],[absence_days]]=0,"0", student_scores[[#This Row],[absence_days]]&lt;=3,"1-3", student_scores[[#This Row],[absence_days]]&lt;=6,"4-6", TRUE,"7-10")</f>
        <v>1-3</v>
      </c>
      <c r="V1367" t="str">
        <f>IF(student_scores[[#This Row],[Total_Score]] &gt;= _xlfn.PERCENTILE.INC(student_scores[Total_Score], 0.8), "Yes", "No")</f>
        <v>No</v>
      </c>
    </row>
    <row r="1368" spans="1:22" x14ac:dyDescent="0.35">
      <c r="A1368">
        <v>1367</v>
      </c>
      <c r="B1368" t="s">
        <v>300</v>
      </c>
      <c r="C1368" t="s">
        <v>1547</v>
      </c>
      <c r="D1368" t="s">
        <v>2355</v>
      </c>
      <c r="E1368" t="s">
        <v>20</v>
      </c>
      <c r="F1368" t="b">
        <v>0</v>
      </c>
      <c r="G1368">
        <v>1</v>
      </c>
      <c r="H1368" t="b">
        <v>0</v>
      </c>
      <c r="I1368">
        <v>18</v>
      </c>
      <c r="J1368" t="s">
        <v>109</v>
      </c>
      <c r="K1368">
        <v>83</v>
      </c>
      <c r="L1368">
        <v>96</v>
      </c>
      <c r="M1368">
        <v>72</v>
      </c>
      <c r="N1368">
        <v>81</v>
      </c>
      <c r="O1368">
        <v>86</v>
      </c>
      <c r="P1368">
        <v>93</v>
      </c>
      <c r="Q1368">
        <v>75</v>
      </c>
      <c r="R1368">
        <f>SUM(student_scores[[#This Row],[math_score]:[geography_score]])</f>
        <v>586</v>
      </c>
      <c r="S1368" s="3">
        <f>student_scores[[#This Row],[Total_Score]]/7</f>
        <v>83.714285714285708</v>
      </c>
      <c r="T1368" s="3" t="str" cm="1">
        <f t="array" ref="T1368">_xlfn.IFS(student_scores[[#This Row],[weekly_self_study_hours]]&lt;=5,   "0 - 5", student_scores[[#This Row],[weekly_self_study_hours]]&lt;=10,  "6 - 10", student_scores[[#This Row],[weekly_self_study_hours]]&lt;=20,  "11 - 20",student_scores[[#This Row],[weekly_self_study_hours]]&lt;=30, "21 - 30",TRUE, "31+")</f>
        <v>11 - 20</v>
      </c>
      <c r="U1368" t="str" cm="1">
        <f t="array" ref="U1368">_xlfn.IFS(student_scores[[#This Row],[absence_days]]=0,"0", student_scores[[#This Row],[absence_days]]&lt;=3,"1-3", student_scores[[#This Row],[absence_days]]&lt;=6,"4-6", TRUE,"7-10")</f>
        <v>1-3</v>
      </c>
      <c r="V1368" t="str">
        <f>IF(student_scores[[#This Row],[Total_Score]] &gt;= _xlfn.PERCENTILE.INC(student_scores[Total_Score], 0.8), "Yes", "No")</f>
        <v>No</v>
      </c>
    </row>
    <row r="1369" spans="1:22" x14ac:dyDescent="0.35">
      <c r="A1369">
        <v>1368</v>
      </c>
      <c r="B1369" t="s">
        <v>695</v>
      </c>
      <c r="C1369" t="s">
        <v>136</v>
      </c>
      <c r="D1369" t="s">
        <v>2356</v>
      </c>
      <c r="E1369" t="s">
        <v>20</v>
      </c>
      <c r="F1369" t="b">
        <v>0</v>
      </c>
      <c r="G1369">
        <v>2</v>
      </c>
      <c r="H1369" t="b">
        <v>0</v>
      </c>
      <c r="I1369">
        <v>11</v>
      </c>
      <c r="J1369" t="s">
        <v>38</v>
      </c>
      <c r="K1369">
        <v>98</v>
      </c>
      <c r="L1369">
        <v>77</v>
      </c>
      <c r="M1369">
        <v>91</v>
      </c>
      <c r="N1369">
        <v>88</v>
      </c>
      <c r="O1369">
        <v>87</v>
      </c>
      <c r="P1369">
        <v>76</v>
      </c>
      <c r="Q1369">
        <v>68</v>
      </c>
      <c r="R1369">
        <f>SUM(student_scores[[#This Row],[math_score]:[geography_score]])</f>
        <v>585</v>
      </c>
      <c r="S1369" s="3">
        <f>student_scores[[#This Row],[Total_Score]]/7</f>
        <v>83.571428571428569</v>
      </c>
      <c r="T1369" s="3" t="str" cm="1">
        <f t="array" ref="T1369">_xlfn.IFS(student_scores[[#This Row],[weekly_self_study_hours]]&lt;=5,   "0 - 5", student_scores[[#This Row],[weekly_self_study_hours]]&lt;=10,  "6 - 10", student_scores[[#This Row],[weekly_self_study_hours]]&lt;=20,  "11 - 20",student_scores[[#This Row],[weekly_self_study_hours]]&lt;=30, "21 - 30",TRUE, "31+")</f>
        <v>11 - 20</v>
      </c>
      <c r="U1369" t="str" cm="1">
        <f t="array" ref="U1369">_xlfn.IFS(student_scores[[#This Row],[absence_days]]=0,"0", student_scores[[#This Row],[absence_days]]&lt;=3,"1-3", student_scores[[#This Row],[absence_days]]&lt;=6,"4-6", TRUE,"7-10")</f>
        <v>1-3</v>
      </c>
      <c r="V1369" t="str">
        <f>IF(student_scores[[#This Row],[Total_Score]] &gt;= _xlfn.PERCENTILE.INC(student_scores[Total_Score], 0.8), "Yes", "No")</f>
        <v>No</v>
      </c>
    </row>
    <row r="1370" spans="1:22" x14ac:dyDescent="0.35">
      <c r="A1370">
        <v>1369</v>
      </c>
      <c r="B1370" t="s">
        <v>2357</v>
      </c>
      <c r="C1370" t="s">
        <v>406</v>
      </c>
      <c r="D1370" t="s">
        <v>2358</v>
      </c>
      <c r="E1370" t="s">
        <v>25</v>
      </c>
      <c r="F1370" t="b">
        <v>1</v>
      </c>
      <c r="G1370">
        <v>5</v>
      </c>
      <c r="H1370" t="b">
        <v>0</v>
      </c>
      <c r="I1370">
        <v>3</v>
      </c>
      <c r="J1370" t="s">
        <v>64</v>
      </c>
      <c r="K1370">
        <v>46</v>
      </c>
      <c r="L1370">
        <v>63</v>
      </c>
      <c r="M1370">
        <v>60</v>
      </c>
      <c r="N1370">
        <v>61</v>
      </c>
      <c r="O1370">
        <v>66</v>
      </c>
      <c r="P1370">
        <v>91</v>
      </c>
      <c r="Q1370">
        <v>97</v>
      </c>
      <c r="R1370">
        <f>SUM(student_scores[[#This Row],[math_score]:[geography_score]])</f>
        <v>484</v>
      </c>
      <c r="S1370" s="3">
        <f>student_scores[[#This Row],[Total_Score]]/7</f>
        <v>69.142857142857139</v>
      </c>
      <c r="T1370" s="3" t="str" cm="1">
        <f t="array" ref="T1370">_xlfn.IFS(student_scores[[#This Row],[weekly_self_study_hours]]&lt;=5,   "0 - 5", student_scores[[#This Row],[weekly_self_study_hours]]&lt;=10,  "6 - 10", student_scores[[#This Row],[weekly_self_study_hours]]&lt;=20,  "11 - 20",student_scores[[#This Row],[weekly_self_study_hours]]&lt;=30, "21 - 30",TRUE, "31+")</f>
        <v>0 - 5</v>
      </c>
      <c r="U1370" t="str" cm="1">
        <f t="array" ref="U1370">_xlfn.IFS(student_scores[[#This Row],[absence_days]]=0,"0", student_scores[[#This Row],[absence_days]]&lt;=3,"1-3", student_scores[[#This Row],[absence_days]]&lt;=6,"4-6", TRUE,"7-10")</f>
        <v>4-6</v>
      </c>
      <c r="V1370" t="str">
        <f>IF(student_scores[[#This Row],[Total_Score]] &gt;= _xlfn.PERCENTILE.INC(student_scores[Total_Score], 0.8), "Yes", "No")</f>
        <v>No</v>
      </c>
    </row>
    <row r="1371" spans="1:22" x14ac:dyDescent="0.35">
      <c r="A1371">
        <v>1370</v>
      </c>
      <c r="B1371" t="s">
        <v>637</v>
      </c>
      <c r="C1371" t="s">
        <v>400</v>
      </c>
      <c r="D1371" t="s">
        <v>2359</v>
      </c>
      <c r="E1371" t="s">
        <v>20</v>
      </c>
      <c r="F1371" t="b">
        <v>0</v>
      </c>
      <c r="G1371">
        <v>2</v>
      </c>
      <c r="H1371" t="b">
        <v>0</v>
      </c>
      <c r="I1371">
        <v>19</v>
      </c>
      <c r="J1371" t="s">
        <v>44</v>
      </c>
      <c r="K1371">
        <v>95</v>
      </c>
      <c r="L1371">
        <v>92</v>
      </c>
      <c r="M1371">
        <v>73</v>
      </c>
      <c r="N1371">
        <v>94</v>
      </c>
      <c r="O1371">
        <v>73</v>
      </c>
      <c r="P1371">
        <v>70</v>
      </c>
      <c r="Q1371">
        <v>94</v>
      </c>
      <c r="R1371">
        <f>SUM(student_scores[[#This Row],[math_score]:[geography_score]])</f>
        <v>591</v>
      </c>
      <c r="S1371" s="3">
        <f>student_scores[[#This Row],[Total_Score]]/7</f>
        <v>84.428571428571431</v>
      </c>
      <c r="T1371" s="3" t="str" cm="1">
        <f t="array" ref="T1371">_xlfn.IFS(student_scores[[#This Row],[weekly_self_study_hours]]&lt;=5,   "0 - 5", student_scores[[#This Row],[weekly_self_study_hours]]&lt;=10,  "6 - 10", student_scores[[#This Row],[weekly_self_study_hours]]&lt;=20,  "11 - 20",student_scores[[#This Row],[weekly_self_study_hours]]&lt;=30, "21 - 30",TRUE, "31+")</f>
        <v>11 - 20</v>
      </c>
      <c r="U1371" t="str" cm="1">
        <f t="array" ref="U1371">_xlfn.IFS(student_scores[[#This Row],[absence_days]]=0,"0", student_scores[[#This Row],[absence_days]]&lt;=3,"1-3", student_scores[[#This Row],[absence_days]]&lt;=6,"4-6", TRUE,"7-10")</f>
        <v>1-3</v>
      </c>
      <c r="V1371" t="str">
        <f>IF(student_scores[[#This Row],[Total_Score]] &gt;= _xlfn.PERCENTILE.INC(student_scores[Total_Score], 0.8), "Yes", "No")</f>
        <v>No</v>
      </c>
    </row>
    <row r="1372" spans="1:22" x14ac:dyDescent="0.35">
      <c r="A1372">
        <v>1371</v>
      </c>
      <c r="B1372" t="s">
        <v>1024</v>
      </c>
      <c r="C1372" t="s">
        <v>135</v>
      </c>
      <c r="D1372" t="s">
        <v>2360</v>
      </c>
      <c r="E1372" t="s">
        <v>20</v>
      </c>
      <c r="F1372" t="b">
        <v>0</v>
      </c>
      <c r="G1372">
        <v>1</v>
      </c>
      <c r="H1372" t="b">
        <v>0</v>
      </c>
      <c r="I1372">
        <v>31</v>
      </c>
      <c r="J1372" t="s">
        <v>44</v>
      </c>
      <c r="K1372">
        <v>88</v>
      </c>
      <c r="L1372">
        <v>68</v>
      </c>
      <c r="M1372">
        <v>81</v>
      </c>
      <c r="N1372">
        <v>68</v>
      </c>
      <c r="O1372">
        <v>73</v>
      </c>
      <c r="P1372">
        <v>61</v>
      </c>
      <c r="Q1372">
        <v>93</v>
      </c>
      <c r="R1372">
        <f>SUM(student_scores[[#This Row],[math_score]:[geography_score]])</f>
        <v>532</v>
      </c>
      <c r="S1372" s="3">
        <f>student_scores[[#This Row],[Total_Score]]/7</f>
        <v>76</v>
      </c>
      <c r="T1372" s="3" t="str" cm="1">
        <f t="array" ref="T1372">_xlfn.IFS(student_scores[[#This Row],[weekly_self_study_hours]]&lt;=5,   "0 - 5", student_scores[[#This Row],[weekly_self_study_hours]]&lt;=10,  "6 - 10", student_scores[[#This Row],[weekly_self_study_hours]]&lt;=20,  "11 - 20",student_scores[[#This Row],[weekly_self_study_hours]]&lt;=30, "21 - 30",TRUE, "31+")</f>
        <v>31+</v>
      </c>
      <c r="U1372" t="str" cm="1">
        <f t="array" ref="U1372">_xlfn.IFS(student_scores[[#This Row],[absence_days]]=0,"0", student_scores[[#This Row],[absence_days]]&lt;=3,"1-3", student_scores[[#This Row],[absence_days]]&lt;=6,"4-6", TRUE,"7-10")</f>
        <v>1-3</v>
      </c>
      <c r="V1372" t="str">
        <f>IF(student_scores[[#This Row],[Total_Score]] &gt;= _xlfn.PERCENTILE.INC(student_scores[Total_Score], 0.8), "Yes", "No")</f>
        <v>No</v>
      </c>
    </row>
    <row r="1373" spans="1:22" x14ac:dyDescent="0.35">
      <c r="A1373">
        <v>1372</v>
      </c>
      <c r="B1373" t="s">
        <v>1505</v>
      </c>
      <c r="C1373" t="s">
        <v>246</v>
      </c>
      <c r="D1373" t="s">
        <v>2361</v>
      </c>
      <c r="E1373" t="s">
        <v>20</v>
      </c>
      <c r="F1373" t="b">
        <v>0</v>
      </c>
      <c r="G1373">
        <v>5</v>
      </c>
      <c r="H1373" t="b">
        <v>1</v>
      </c>
      <c r="I1373">
        <v>28</v>
      </c>
      <c r="J1373" t="s">
        <v>172</v>
      </c>
      <c r="K1373">
        <v>90</v>
      </c>
      <c r="L1373">
        <v>73</v>
      </c>
      <c r="M1373">
        <v>78</v>
      </c>
      <c r="N1373">
        <v>72</v>
      </c>
      <c r="O1373">
        <v>63</v>
      </c>
      <c r="P1373">
        <v>88</v>
      </c>
      <c r="Q1373">
        <v>72</v>
      </c>
      <c r="R1373">
        <f>SUM(student_scores[[#This Row],[math_score]:[geography_score]])</f>
        <v>536</v>
      </c>
      <c r="S1373" s="3">
        <f>student_scores[[#This Row],[Total_Score]]/7</f>
        <v>76.571428571428569</v>
      </c>
      <c r="T1373" s="3" t="str" cm="1">
        <f t="array" ref="T1373">_xlfn.IFS(student_scores[[#This Row],[weekly_self_study_hours]]&lt;=5,   "0 - 5", student_scores[[#This Row],[weekly_self_study_hours]]&lt;=10,  "6 - 10", student_scores[[#This Row],[weekly_self_study_hours]]&lt;=20,  "11 - 20",student_scores[[#This Row],[weekly_self_study_hours]]&lt;=30, "21 - 30",TRUE, "31+")</f>
        <v>21 - 30</v>
      </c>
      <c r="U1373" t="str" cm="1">
        <f t="array" ref="U1373">_xlfn.IFS(student_scores[[#This Row],[absence_days]]=0,"0", student_scores[[#This Row],[absence_days]]&lt;=3,"1-3", student_scores[[#This Row],[absence_days]]&lt;=6,"4-6", TRUE,"7-10")</f>
        <v>4-6</v>
      </c>
      <c r="V1373" t="str">
        <f>IF(student_scores[[#This Row],[Total_Score]] &gt;= _xlfn.PERCENTILE.INC(student_scores[Total_Score], 0.8), "Yes", "No")</f>
        <v>No</v>
      </c>
    </row>
    <row r="1374" spans="1:22" x14ac:dyDescent="0.35">
      <c r="A1374">
        <v>1373</v>
      </c>
      <c r="B1374" t="s">
        <v>266</v>
      </c>
      <c r="C1374" t="s">
        <v>2092</v>
      </c>
      <c r="D1374" t="s">
        <v>2362</v>
      </c>
      <c r="E1374" t="s">
        <v>20</v>
      </c>
      <c r="F1374" t="b">
        <v>0</v>
      </c>
      <c r="G1374">
        <v>10</v>
      </c>
      <c r="H1374" t="b">
        <v>0</v>
      </c>
      <c r="I1374">
        <v>11</v>
      </c>
      <c r="J1374" t="s">
        <v>138</v>
      </c>
      <c r="K1374">
        <v>100</v>
      </c>
      <c r="L1374">
        <v>60</v>
      </c>
      <c r="M1374">
        <v>87</v>
      </c>
      <c r="N1374">
        <v>60</v>
      </c>
      <c r="O1374">
        <v>86</v>
      </c>
      <c r="P1374">
        <v>93</v>
      </c>
      <c r="Q1374">
        <v>75</v>
      </c>
      <c r="R1374">
        <f>SUM(student_scores[[#This Row],[math_score]:[geography_score]])</f>
        <v>561</v>
      </c>
      <c r="S1374" s="3">
        <f>student_scores[[#This Row],[Total_Score]]/7</f>
        <v>80.142857142857139</v>
      </c>
      <c r="T1374" s="3" t="str" cm="1">
        <f t="array" ref="T1374">_xlfn.IFS(student_scores[[#This Row],[weekly_self_study_hours]]&lt;=5,   "0 - 5", student_scores[[#This Row],[weekly_self_study_hours]]&lt;=10,  "6 - 10", student_scores[[#This Row],[weekly_self_study_hours]]&lt;=20,  "11 - 20",student_scores[[#This Row],[weekly_self_study_hours]]&lt;=30, "21 - 30",TRUE, "31+")</f>
        <v>11 - 20</v>
      </c>
      <c r="U1374" t="str" cm="1">
        <f t="array" ref="U1374">_xlfn.IFS(student_scores[[#This Row],[absence_days]]=0,"0", student_scores[[#This Row],[absence_days]]&lt;=3,"1-3", student_scores[[#This Row],[absence_days]]&lt;=6,"4-6", TRUE,"7-10")</f>
        <v>7-10</v>
      </c>
      <c r="V1374" t="str">
        <f>IF(student_scores[[#This Row],[Total_Score]] &gt;= _xlfn.PERCENTILE.INC(student_scores[Total_Score], 0.8), "Yes", "No")</f>
        <v>No</v>
      </c>
    </row>
    <row r="1375" spans="1:22" x14ac:dyDescent="0.35">
      <c r="A1375">
        <v>1374</v>
      </c>
      <c r="B1375" t="s">
        <v>263</v>
      </c>
      <c r="C1375" t="s">
        <v>200</v>
      </c>
      <c r="D1375" t="s">
        <v>2363</v>
      </c>
      <c r="E1375" t="s">
        <v>20</v>
      </c>
      <c r="F1375" t="b">
        <v>0</v>
      </c>
      <c r="G1375">
        <v>1</v>
      </c>
      <c r="H1375" t="b">
        <v>0</v>
      </c>
      <c r="I1375">
        <v>16</v>
      </c>
      <c r="J1375" t="s">
        <v>123</v>
      </c>
      <c r="K1375">
        <v>76</v>
      </c>
      <c r="L1375">
        <v>76</v>
      </c>
      <c r="M1375">
        <v>92</v>
      </c>
      <c r="N1375">
        <v>86</v>
      </c>
      <c r="O1375">
        <v>79</v>
      </c>
      <c r="P1375">
        <v>85</v>
      </c>
      <c r="Q1375">
        <v>78</v>
      </c>
      <c r="R1375">
        <f>SUM(student_scores[[#This Row],[math_score]:[geography_score]])</f>
        <v>572</v>
      </c>
      <c r="S1375" s="3">
        <f>student_scores[[#This Row],[Total_Score]]/7</f>
        <v>81.714285714285708</v>
      </c>
      <c r="T1375" s="3" t="str" cm="1">
        <f t="array" ref="T1375">_xlfn.IFS(student_scores[[#This Row],[weekly_self_study_hours]]&lt;=5,   "0 - 5", student_scores[[#This Row],[weekly_self_study_hours]]&lt;=10,  "6 - 10", student_scores[[#This Row],[weekly_self_study_hours]]&lt;=20,  "11 - 20",student_scores[[#This Row],[weekly_self_study_hours]]&lt;=30, "21 - 30",TRUE, "31+")</f>
        <v>11 - 20</v>
      </c>
      <c r="U1375" t="str" cm="1">
        <f t="array" ref="U1375">_xlfn.IFS(student_scores[[#This Row],[absence_days]]=0,"0", student_scores[[#This Row],[absence_days]]&lt;=3,"1-3", student_scores[[#This Row],[absence_days]]&lt;=6,"4-6", TRUE,"7-10")</f>
        <v>1-3</v>
      </c>
      <c r="V1375" t="str">
        <f>IF(student_scores[[#This Row],[Total_Score]] &gt;= _xlfn.PERCENTILE.INC(student_scores[Total_Score], 0.8), "Yes", "No")</f>
        <v>No</v>
      </c>
    </row>
    <row r="1376" spans="1:22" x14ac:dyDescent="0.35">
      <c r="A1376">
        <v>1375</v>
      </c>
      <c r="B1376" t="s">
        <v>1367</v>
      </c>
      <c r="C1376" t="s">
        <v>136</v>
      </c>
      <c r="D1376" t="s">
        <v>2364</v>
      </c>
      <c r="E1376" t="s">
        <v>20</v>
      </c>
      <c r="F1376" t="b">
        <v>0</v>
      </c>
      <c r="G1376">
        <v>3</v>
      </c>
      <c r="H1376" t="b">
        <v>0</v>
      </c>
      <c r="I1376">
        <v>4</v>
      </c>
      <c r="J1376" t="s">
        <v>34</v>
      </c>
      <c r="K1376">
        <v>73</v>
      </c>
      <c r="L1376">
        <v>73</v>
      </c>
      <c r="M1376">
        <v>81</v>
      </c>
      <c r="N1376">
        <v>78</v>
      </c>
      <c r="O1376">
        <v>82</v>
      </c>
      <c r="P1376">
        <v>85</v>
      </c>
      <c r="Q1376">
        <v>66</v>
      </c>
      <c r="R1376">
        <f>SUM(student_scores[[#This Row],[math_score]:[geography_score]])</f>
        <v>538</v>
      </c>
      <c r="S1376" s="3">
        <f>student_scores[[#This Row],[Total_Score]]/7</f>
        <v>76.857142857142861</v>
      </c>
      <c r="T1376" s="3" t="str" cm="1">
        <f t="array" ref="T1376">_xlfn.IFS(student_scores[[#This Row],[weekly_self_study_hours]]&lt;=5,   "0 - 5", student_scores[[#This Row],[weekly_self_study_hours]]&lt;=10,  "6 - 10", student_scores[[#This Row],[weekly_self_study_hours]]&lt;=20,  "11 - 20",student_scores[[#This Row],[weekly_self_study_hours]]&lt;=30, "21 - 30",TRUE, "31+")</f>
        <v>0 - 5</v>
      </c>
      <c r="U1376" t="str" cm="1">
        <f t="array" ref="U1376">_xlfn.IFS(student_scores[[#This Row],[absence_days]]=0,"0", student_scores[[#This Row],[absence_days]]&lt;=3,"1-3", student_scores[[#This Row],[absence_days]]&lt;=6,"4-6", TRUE,"7-10")</f>
        <v>1-3</v>
      </c>
      <c r="V1376" t="str">
        <f>IF(student_scores[[#This Row],[Total_Score]] &gt;= _xlfn.PERCENTILE.INC(student_scores[Total_Score], 0.8), "Yes", "No")</f>
        <v>No</v>
      </c>
    </row>
    <row r="1377" spans="1:22" x14ac:dyDescent="0.35">
      <c r="A1377">
        <v>1376</v>
      </c>
      <c r="B1377" t="s">
        <v>634</v>
      </c>
      <c r="C1377" t="s">
        <v>1601</v>
      </c>
      <c r="D1377" t="s">
        <v>2365</v>
      </c>
      <c r="E1377" t="s">
        <v>25</v>
      </c>
      <c r="F1377" t="b">
        <v>0</v>
      </c>
      <c r="G1377">
        <v>1</v>
      </c>
      <c r="H1377" t="b">
        <v>0</v>
      </c>
      <c r="I1377">
        <v>15</v>
      </c>
      <c r="J1377" t="s">
        <v>105</v>
      </c>
      <c r="K1377">
        <v>96</v>
      </c>
      <c r="L1377">
        <v>95</v>
      </c>
      <c r="M1377">
        <v>67</v>
      </c>
      <c r="N1377">
        <v>88</v>
      </c>
      <c r="O1377">
        <v>68</v>
      </c>
      <c r="P1377">
        <v>93</v>
      </c>
      <c r="Q1377">
        <v>75</v>
      </c>
      <c r="R1377">
        <f>SUM(student_scores[[#This Row],[math_score]:[geography_score]])</f>
        <v>582</v>
      </c>
      <c r="S1377" s="3">
        <f>student_scores[[#This Row],[Total_Score]]/7</f>
        <v>83.142857142857139</v>
      </c>
      <c r="T1377" s="3" t="str" cm="1">
        <f t="array" ref="T1377">_xlfn.IFS(student_scores[[#This Row],[weekly_self_study_hours]]&lt;=5,   "0 - 5", student_scores[[#This Row],[weekly_self_study_hours]]&lt;=10,  "6 - 10", student_scores[[#This Row],[weekly_self_study_hours]]&lt;=20,  "11 - 20",student_scores[[#This Row],[weekly_self_study_hours]]&lt;=30, "21 - 30",TRUE, "31+")</f>
        <v>11 - 20</v>
      </c>
      <c r="U1377" t="str" cm="1">
        <f t="array" ref="U1377">_xlfn.IFS(student_scores[[#This Row],[absence_days]]=0,"0", student_scores[[#This Row],[absence_days]]&lt;=3,"1-3", student_scores[[#This Row],[absence_days]]&lt;=6,"4-6", TRUE,"7-10")</f>
        <v>1-3</v>
      </c>
      <c r="V1377" t="str">
        <f>IF(student_scores[[#This Row],[Total_Score]] &gt;= _xlfn.PERCENTILE.INC(student_scores[Total_Score], 0.8), "Yes", "No")</f>
        <v>No</v>
      </c>
    </row>
    <row r="1378" spans="1:22" x14ac:dyDescent="0.35">
      <c r="A1378">
        <v>1377</v>
      </c>
      <c r="B1378" t="s">
        <v>214</v>
      </c>
      <c r="C1378" t="s">
        <v>2366</v>
      </c>
      <c r="D1378" t="s">
        <v>2367</v>
      </c>
      <c r="E1378" t="s">
        <v>20</v>
      </c>
      <c r="F1378" t="b">
        <v>0</v>
      </c>
      <c r="G1378">
        <v>4</v>
      </c>
      <c r="H1378" t="b">
        <v>0</v>
      </c>
      <c r="I1378">
        <v>31</v>
      </c>
      <c r="J1378" t="s">
        <v>109</v>
      </c>
      <c r="K1378">
        <v>85</v>
      </c>
      <c r="L1378">
        <v>87</v>
      </c>
      <c r="M1378">
        <v>99</v>
      </c>
      <c r="N1378">
        <v>65</v>
      </c>
      <c r="O1378">
        <v>66</v>
      </c>
      <c r="P1378">
        <v>95</v>
      </c>
      <c r="Q1378">
        <v>77</v>
      </c>
      <c r="R1378">
        <f>SUM(student_scores[[#This Row],[math_score]:[geography_score]])</f>
        <v>574</v>
      </c>
      <c r="S1378" s="3">
        <f>student_scores[[#This Row],[Total_Score]]/7</f>
        <v>82</v>
      </c>
      <c r="T1378" s="3" t="str" cm="1">
        <f t="array" ref="T1378">_xlfn.IFS(student_scores[[#This Row],[weekly_self_study_hours]]&lt;=5,   "0 - 5", student_scores[[#This Row],[weekly_self_study_hours]]&lt;=10,  "6 - 10", student_scores[[#This Row],[weekly_self_study_hours]]&lt;=20,  "11 - 20",student_scores[[#This Row],[weekly_self_study_hours]]&lt;=30, "21 - 30",TRUE, "31+")</f>
        <v>31+</v>
      </c>
      <c r="U1378" t="str" cm="1">
        <f t="array" ref="U1378">_xlfn.IFS(student_scores[[#This Row],[absence_days]]=0,"0", student_scores[[#This Row],[absence_days]]&lt;=3,"1-3", student_scores[[#This Row],[absence_days]]&lt;=6,"4-6", TRUE,"7-10")</f>
        <v>4-6</v>
      </c>
      <c r="V1378" t="str">
        <f>IF(student_scores[[#This Row],[Total_Score]] &gt;= _xlfn.PERCENTILE.INC(student_scores[Total_Score], 0.8), "Yes", "No")</f>
        <v>No</v>
      </c>
    </row>
    <row r="1379" spans="1:22" x14ac:dyDescent="0.35">
      <c r="A1379">
        <v>1378</v>
      </c>
      <c r="B1379" t="s">
        <v>473</v>
      </c>
      <c r="C1379" t="s">
        <v>231</v>
      </c>
      <c r="D1379" t="s">
        <v>2368</v>
      </c>
      <c r="E1379" t="s">
        <v>20</v>
      </c>
      <c r="F1379" t="b">
        <v>0</v>
      </c>
      <c r="G1379">
        <v>4</v>
      </c>
      <c r="H1379" t="b">
        <v>0</v>
      </c>
      <c r="I1379">
        <v>29</v>
      </c>
      <c r="J1379" t="s">
        <v>44</v>
      </c>
      <c r="K1379">
        <v>91</v>
      </c>
      <c r="L1379">
        <v>93</v>
      </c>
      <c r="M1379">
        <v>62</v>
      </c>
      <c r="N1379">
        <v>63</v>
      </c>
      <c r="O1379">
        <v>100</v>
      </c>
      <c r="P1379">
        <v>85</v>
      </c>
      <c r="Q1379">
        <v>85</v>
      </c>
      <c r="R1379">
        <f>SUM(student_scores[[#This Row],[math_score]:[geography_score]])</f>
        <v>579</v>
      </c>
      <c r="S1379" s="3">
        <f>student_scores[[#This Row],[Total_Score]]/7</f>
        <v>82.714285714285708</v>
      </c>
      <c r="T1379" s="3" t="str" cm="1">
        <f t="array" ref="T1379">_xlfn.IFS(student_scores[[#This Row],[weekly_self_study_hours]]&lt;=5,   "0 - 5", student_scores[[#This Row],[weekly_self_study_hours]]&lt;=10,  "6 - 10", student_scores[[#This Row],[weekly_self_study_hours]]&lt;=20,  "11 - 20",student_scores[[#This Row],[weekly_self_study_hours]]&lt;=30, "21 - 30",TRUE, "31+")</f>
        <v>21 - 30</v>
      </c>
      <c r="U1379" t="str" cm="1">
        <f t="array" ref="U1379">_xlfn.IFS(student_scores[[#This Row],[absence_days]]=0,"0", student_scores[[#This Row],[absence_days]]&lt;=3,"1-3", student_scores[[#This Row],[absence_days]]&lt;=6,"4-6", TRUE,"7-10")</f>
        <v>4-6</v>
      </c>
      <c r="V1379" t="str">
        <f>IF(student_scores[[#This Row],[Total_Score]] &gt;= _xlfn.PERCENTILE.INC(student_scores[Total_Score], 0.8), "Yes", "No")</f>
        <v>No</v>
      </c>
    </row>
    <row r="1380" spans="1:22" x14ac:dyDescent="0.35">
      <c r="A1380">
        <v>1379</v>
      </c>
      <c r="B1380" t="s">
        <v>2109</v>
      </c>
      <c r="C1380" t="s">
        <v>246</v>
      </c>
      <c r="D1380" t="s">
        <v>2369</v>
      </c>
      <c r="E1380" t="s">
        <v>20</v>
      </c>
      <c r="F1380" t="b">
        <v>0</v>
      </c>
      <c r="G1380">
        <v>5</v>
      </c>
      <c r="H1380" t="b">
        <v>0</v>
      </c>
      <c r="I1380">
        <v>27</v>
      </c>
      <c r="J1380" t="s">
        <v>38</v>
      </c>
      <c r="K1380">
        <v>61</v>
      </c>
      <c r="L1380">
        <v>85</v>
      </c>
      <c r="M1380">
        <v>92</v>
      </c>
      <c r="N1380">
        <v>62</v>
      </c>
      <c r="O1380">
        <v>64</v>
      </c>
      <c r="P1380">
        <v>66</v>
      </c>
      <c r="Q1380">
        <v>95</v>
      </c>
      <c r="R1380">
        <f>SUM(student_scores[[#This Row],[math_score]:[geography_score]])</f>
        <v>525</v>
      </c>
      <c r="S1380" s="3">
        <f>student_scores[[#This Row],[Total_Score]]/7</f>
        <v>75</v>
      </c>
      <c r="T1380" s="3" t="str" cm="1">
        <f t="array" ref="T1380">_xlfn.IFS(student_scores[[#This Row],[weekly_self_study_hours]]&lt;=5,   "0 - 5", student_scores[[#This Row],[weekly_self_study_hours]]&lt;=10,  "6 - 10", student_scores[[#This Row],[weekly_self_study_hours]]&lt;=20,  "11 - 20",student_scores[[#This Row],[weekly_self_study_hours]]&lt;=30, "21 - 30",TRUE, "31+")</f>
        <v>21 - 30</v>
      </c>
      <c r="U1380" t="str" cm="1">
        <f t="array" ref="U1380">_xlfn.IFS(student_scores[[#This Row],[absence_days]]=0,"0", student_scores[[#This Row],[absence_days]]&lt;=3,"1-3", student_scores[[#This Row],[absence_days]]&lt;=6,"4-6", TRUE,"7-10")</f>
        <v>4-6</v>
      </c>
      <c r="V1380" t="str">
        <f>IF(student_scores[[#This Row],[Total_Score]] &gt;= _xlfn.PERCENTILE.INC(student_scores[Total_Score], 0.8), "Yes", "No")</f>
        <v>No</v>
      </c>
    </row>
    <row r="1381" spans="1:22" x14ac:dyDescent="0.35">
      <c r="A1381">
        <v>1380</v>
      </c>
      <c r="B1381" t="s">
        <v>2370</v>
      </c>
      <c r="C1381" t="s">
        <v>423</v>
      </c>
      <c r="D1381" t="s">
        <v>2371</v>
      </c>
      <c r="E1381" t="s">
        <v>20</v>
      </c>
      <c r="F1381" t="b">
        <v>0</v>
      </c>
      <c r="G1381">
        <v>1</v>
      </c>
      <c r="H1381" t="b">
        <v>0</v>
      </c>
      <c r="I1381">
        <v>29</v>
      </c>
      <c r="J1381" t="s">
        <v>123</v>
      </c>
      <c r="K1381">
        <v>79</v>
      </c>
      <c r="L1381">
        <v>69</v>
      </c>
      <c r="M1381">
        <v>78</v>
      </c>
      <c r="N1381">
        <v>78</v>
      </c>
      <c r="O1381">
        <v>99</v>
      </c>
      <c r="P1381">
        <v>61</v>
      </c>
      <c r="Q1381">
        <v>87</v>
      </c>
      <c r="R1381">
        <f>SUM(student_scores[[#This Row],[math_score]:[geography_score]])</f>
        <v>551</v>
      </c>
      <c r="S1381" s="3">
        <f>student_scores[[#This Row],[Total_Score]]/7</f>
        <v>78.714285714285708</v>
      </c>
      <c r="T1381" s="3" t="str" cm="1">
        <f t="array" ref="T1381">_xlfn.IFS(student_scores[[#This Row],[weekly_self_study_hours]]&lt;=5,   "0 - 5", student_scores[[#This Row],[weekly_self_study_hours]]&lt;=10,  "6 - 10", student_scores[[#This Row],[weekly_self_study_hours]]&lt;=20,  "11 - 20",student_scores[[#This Row],[weekly_self_study_hours]]&lt;=30, "21 - 30",TRUE, "31+")</f>
        <v>21 - 30</v>
      </c>
      <c r="U1381" t="str" cm="1">
        <f t="array" ref="U1381">_xlfn.IFS(student_scores[[#This Row],[absence_days]]=0,"0", student_scores[[#This Row],[absence_days]]&lt;=3,"1-3", student_scores[[#This Row],[absence_days]]&lt;=6,"4-6", TRUE,"7-10")</f>
        <v>1-3</v>
      </c>
      <c r="V1381" t="str">
        <f>IF(student_scores[[#This Row],[Total_Score]] &gt;= _xlfn.PERCENTILE.INC(student_scores[Total_Score], 0.8), "Yes", "No")</f>
        <v>No</v>
      </c>
    </row>
    <row r="1382" spans="1:22" x14ac:dyDescent="0.35">
      <c r="A1382">
        <v>1381</v>
      </c>
      <c r="B1382" t="s">
        <v>2372</v>
      </c>
      <c r="C1382" t="s">
        <v>191</v>
      </c>
      <c r="D1382" t="s">
        <v>2373</v>
      </c>
      <c r="E1382" t="s">
        <v>25</v>
      </c>
      <c r="F1382" t="b">
        <v>0</v>
      </c>
      <c r="G1382">
        <v>2</v>
      </c>
      <c r="H1382" t="b">
        <v>0</v>
      </c>
      <c r="I1382">
        <v>23</v>
      </c>
      <c r="J1382" t="s">
        <v>44</v>
      </c>
      <c r="K1382">
        <v>99</v>
      </c>
      <c r="L1382">
        <v>75</v>
      </c>
      <c r="M1382">
        <v>79</v>
      </c>
      <c r="N1382">
        <v>87</v>
      </c>
      <c r="O1382">
        <v>63</v>
      </c>
      <c r="P1382">
        <v>90</v>
      </c>
      <c r="Q1382">
        <v>90</v>
      </c>
      <c r="R1382">
        <f>SUM(student_scores[[#This Row],[math_score]:[geography_score]])</f>
        <v>583</v>
      </c>
      <c r="S1382" s="3">
        <f>student_scores[[#This Row],[Total_Score]]/7</f>
        <v>83.285714285714292</v>
      </c>
      <c r="T1382" s="3" t="str" cm="1">
        <f t="array" ref="T1382">_xlfn.IFS(student_scores[[#This Row],[weekly_self_study_hours]]&lt;=5,   "0 - 5", student_scores[[#This Row],[weekly_self_study_hours]]&lt;=10,  "6 - 10", student_scores[[#This Row],[weekly_self_study_hours]]&lt;=20,  "11 - 20",student_scores[[#This Row],[weekly_self_study_hours]]&lt;=30, "21 - 30",TRUE, "31+")</f>
        <v>21 - 30</v>
      </c>
      <c r="U1382" t="str" cm="1">
        <f t="array" ref="U1382">_xlfn.IFS(student_scores[[#This Row],[absence_days]]=0,"0", student_scores[[#This Row],[absence_days]]&lt;=3,"1-3", student_scores[[#This Row],[absence_days]]&lt;=6,"4-6", TRUE,"7-10")</f>
        <v>1-3</v>
      </c>
      <c r="V1382" t="str">
        <f>IF(student_scores[[#This Row],[Total_Score]] &gt;= _xlfn.PERCENTILE.INC(student_scores[Total_Score], 0.8), "Yes", "No")</f>
        <v>No</v>
      </c>
    </row>
    <row r="1383" spans="1:22" x14ac:dyDescent="0.35">
      <c r="A1383">
        <v>1382</v>
      </c>
      <c r="B1383" t="s">
        <v>710</v>
      </c>
      <c r="C1383" t="s">
        <v>1874</v>
      </c>
      <c r="D1383" t="s">
        <v>2374</v>
      </c>
      <c r="E1383" t="s">
        <v>25</v>
      </c>
      <c r="F1383" t="b">
        <v>0</v>
      </c>
      <c r="G1383">
        <v>2</v>
      </c>
      <c r="H1383" t="b">
        <v>0</v>
      </c>
      <c r="I1383">
        <v>32</v>
      </c>
      <c r="J1383" t="s">
        <v>76</v>
      </c>
      <c r="K1383">
        <v>81</v>
      </c>
      <c r="L1383">
        <v>64</v>
      </c>
      <c r="M1383">
        <v>81</v>
      </c>
      <c r="N1383">
        <v>92</v>
      </c>
      <c r="O1383">
        <v>87</v>
      </c>
      <c r="P1383">
        <v>84</v>
      </c>
      <c r="Q1383">
        <v>95</v>
      </c>
      <c r="R1383">
        <f>SUM(student_scores[[#This Row],[math_score]:[geography_score]])</f>
        <v>584</v>
      </c>
      <c r="S1383" s="3">
        <f>student_scores[[#This Row],[Total_Score]]/7</f>
        <v>83.428571428571431</v>
      </c>
      <c r="T1383" s="3" t="str" cm="1">
        <f t="array" ref="T1383">_xlfn.IFS(student_scores[[#This Row],[weekly_self_study_hours]]&lt;=5,   "0 - 5", student_scores[[#This Row],[weekly_self_study_hours]]&lt;=10,  "6 - 10", student_scores[[#This Row],[weekly_self_study_hours]]&lt;=20,  "11 - 20",student_scores[[#This Row],[weekly_self_study_hours]]&lt;=30, "21 - 30",TRUE, "31+")</f>
        <v>31+</v>
      </c>
      <c r="U1383" t="str" cm="1">
        <f t="array" ref="U1383">_xlfn.IFS(student_scores[[#This Row],[absence_days]]=0,"0", student_scores[[#This Row],[absence_days]]&lt;=3,"1-3", student_scores[[#This Row],[absence_days]]&lt;=6,"4-6", TRUE,"7-10")</f>
        <v>1-3</v>
      </c>
      <c r="V1383" t="str">
        <f>IF(student_scores[[#This Row],[Total_Score]] &gt;= _xlfn.PERCENTILE.INC(student_scores[Total_Score], 0.8), "Yes", "No")</f>
        <v>No</v>
      </c>
    </row>
    <row r="1384" spans="1:22" x14ac:dyDescent="0.35">
      <c r="A1384">
        <v>1383</v>
      </c>
      <c r="B1384" t="s">
        <v>417</v>
      </c>
      <c r="C1384" t="s">
        <v>2375</v>
      </c>
      <c r="D1384" t="s">
        <v>2376</v>
      </c>
      <c r="E1384" t="s">
        <v>25</v>
      </c>
      <c r="F1384" t="b">
        <v>0</v>
      </c>
      <c r="G1384">
        <v>5</v>
      </c>
      <c r="H1384" t="b">
        <v>0</v>
      </c>
      <c r="I1384">
        <v>9</v>
      </c>
      <c r="J1384" t="s">
        <v>54</v>
      </c>
      <c r="K1384">
        <v>91</v>
      </c>
      <c r="L1384">
        <v>87</v>
      </c>
      <c r="M1384">
        <v>71</v>
      </c>
      <c r="N1384">
        <v>98</v>
      </c>
      <c r="O1384">
        <v>93</v>
      </c>
      <c r="P1384">
        <v>83</v>
      </c>
      <c r="Q1384">
        <v>81</v>
      </c>
      <c r="R1384">
        <f>SUM(student_scores[[#This Row],[math_score]:[geography_score]])</f>
        <v>604</v>
      </c>
      <c r="S1384" s="3">
        <f>student_scores[[#This Row],[Total_Score]]/7</f>
        <v>86.285714285714292</v>
      </c>
      <c r="T1384" s="3" t="str" cm="1">
        <f t="array" ref="T1384">_xlfn.IFS(student_scores[[#This Row],[weekly_self_study_hours]]&lt;=5,   "0 - 5", student_scores[[#This Row],[weekly_self_study_hours]]&lt;=10,  "6 - 10", student_scores[[#This Row],[weekly_self_study_hours]]&lt;=20,  "11 - 20",student_scores[[#This Row],[weekly_self_study_hours]]&lt;=30, "21 - 30",TRUE, "31+")</f>
        <v>6 - 10</v>
      </c>
      <c r="U1384" t="str" cm="1">
        <f t="array" ref="U1384">_xlfn.IFS(student_scores[[#This Row],[absence_days]]=0,"0", student_scores[[#This Row],[absence_days]]&lt;=3,"1-3", student_scores[[#This Row],[absence_days]]&lt;=6,"4-6", TRUE,"7-10")</f>
        <v>4-6</v>
      </c>
      <c r="V1384" t="str">
        <f>IF(student_scores[[#This Row],[Total_Score]] &gt;= _xlfn.PERCENTILE.INC(student_scores[Total_Score], 0.8), "Yes", "No")</f>
        <v>Yes</v>
      </c>
    </row>
    <row r="1385" spans="1:22" x14ac:dyDescent="0.35">
      <c r="A1385">
        <v>1384</v>
      </c>
      <c r="B1385" t="s">
        <v>120</v>
      </c>
      <c r="C1385" t="s">
        <v>423</v>
      </c>
      <c r="D1385" t="s">
        <v>2377</v>
      </c>
      <c r="E1385" t="s">
        <v>25</v>
      </c>
      <c r="F1385" t="b">
        <v>0</v>
      </c>
      <c r="G1385">
        <v>3</v>
      </c>
      <c r="H1385" t="b">
        <v>0</v>
      </c>
      <c r="I1385">
        <v>16</v>
      </c>
      <c r="J1385" t="s">
        <v>44</v>
      </c>
      <c r="K1385">
        <v>91</v>
      </c>
      <c r="L1385">
        <v>84</v>
      </c>
      <c r="M1385">
        <v>95</v>
      </c>
      <c r="N1385">
        <v>97</v>
      </c>
      <c r="O1385">
        <v>88</v>
      </c>
      <c r="P1385">
        <v>70</v>
      </c>
      <c r="Q1385">
        <v>77</v>
      </c>
      <c r="R1385">
        <f>SUM(student_scores[[#This Row],[math_score]:[geography_score]])</f>
        <v>602</v>
      </c>
      <c r="S1385" s="3">
        <f>student_scores[[#This Row],[Total_Score]]/7</f>
        <v>86</v>
      </c>
      <c r="T1385" s="3" t="str" cm="1">
        <f t="array" ref="T1385">_xlfn.IFS(student_scores[[#This Row],[weekly_self_study_hours]]&lt;=5,   "0 - 5", student_scores[[#This Row],[weekly_self_study_hours]]&lt;=10,  "6 - 10", student_scores[[#This Row],[weekly_self_study_hours]]&lt;=20,  "11 - 20",student_scores[[#This Row],[weekly_self_study_hours]]&lt;=30, "21 - 30",TRUE, "31+")</f>
        <v>11 - 20</v>
      </c>
      <c r="U1385" t="str" cm="1">
        <f t="array" ref="U1385">_xlfn.IFS(student_scores[[#This Row],[absence_days]]=0,"0", student_scores[[#This Row],[absence_days]]&lt;=3,"1-3", student_scores[[#This Row],[absence_days]]&lt;=6,"4-6", TRUE,"7-10")</f>
        <v>1-3</v>
      </c>
      <c r="V1385" t="str">
        <f>IF(student_scores[[#This Row],[Total_Score]] &gt;= _xlfn.PERCENTILE.INC(student_scores[Total_Score], 0.8), "Yes", "No")</f>
        <v>Yes</v>
      </c>
    </row>
    <row r="1386" spans="1:22" x14ac:dyDescent="0.35">
      <c r="A1386">
        <v>1385</v>
      </c>
      <c r="B1386" t="s">
        <v>300</v>
      </c>
      <c r="C1386" t="s">
        <v>1030</v>
      </c>
      <c r="D1386" t="s">
        <v>2378</v>
      </c>
      <c r="E1386" t="s">
        <v>20</v>
      </c>
      <c r="F1386" t="b">
        <v>0</v>
      </c>
      <c r="G1386">
        <v>2</v>
      </c>
      <c r="H1386" t="b">
        <v>0</v>
      </c>
      <c r="I1386">
        <v>29</v>
      </c>
      <c r="J1386" t="s">
        <v>44</v>
      </c>
      <c r="K1386">
        <v>100</v>
      </c>
      <c r="L1386">
        <v>79</v>
      </c>
      <c r="M1386">
        <v>77</v>
      </c>
      <c r="N1386">
        <v>61</v>
      </c>
      <c r="O1386">
        <v>79</v>
      </c>
      <c r="P1386">
        <v>70</v>
      </c>
      <c r="Q1386">
        <v>69</v>
      </c>
      <c r="R1386">
        <f>SUM(student_scores[[#This Row],[math_score]:[geography_score]])</f>
        <v>535</v>
      </c>
      <c r="S1386" s="3">
        <f>student_scores[[#This Row],[Total_Score]]/7</f>
        <v>76.428571428571431</v>
      </c>
      <c r="T1386" s="3" t="str" cm="1">
        <f t="array" ref="T1386">_xlfn.IFS(student_scores[[#This Row],[weekly_self_study_hours]]&lt;=5,   "0 - 5", student_scores[[#This Row],[weekly_self_study_hours]]&lt;=10,  "6 - 10", student_scores[[#This Row],[weekly_self_study_hours]]&lt;=20,  "11 - 20",student_scores[[#This Row],[weekly_self_study_hours]]&lt;=30, "21 - 30",TRUE, "31+")</f>
        <v>21 - 30</v>
      </c>
      <c r="U1386" t="str" cm="1">
        <f t="array" ref="U1386">_xlfn.IFS(student_scores[[#This Row],[absence_days]]=0,"0", student_scores[[#This Row],[absence_days]]&lt;=3,"1-3", student_scores[[#This Row],[absence_days]]&lt;=6,"4-6", TRUE,"7-10")</f>
        <v>1-3</v>
      </c>
      <c r="V1386" t="str">
        <f>IF(student_scores[[#This Row],[Total_Score]] &gt;= _xlfn.PERCENTILE.INC(student_scores[Total_Score], 0.8), "Yes", "No")</f>
        <v>No</v>
      </c>
    </row>
    <row r="1387" spans="1:22" x14ac:dyDescent="0.35">
      <c r="A1387">
        <v>1386</v>
      </c>
      <c r="B1387" t="s">
        <v>61</v>
      </c>
      <c r="C1387" t="s">
        <v>2379</v>
      </c>
      <c r="D1387" t="s">
        <v>2380</v>
      </c>
      <c r="E1387" t="s">
        <v>25</v>
      </c>
      <c r="F1387" t="b">
        <v>0</v>
      </c>
      <c r="G1387">
        <v>3</v>
      </c>
      <c r="H1387" t="b">
        <v>1</v>
      </c>
      <c r="I1387">
        <v>5</v>
      </c>
      <c r="J1387" t="s">
        <v>34</v>
      </c>
      <c r="K1387">
        <v>60</v>
      </c>
      <c r="L1387">
        <v>69</v>
      </c>
      <c r="M1387">
        <v>80</v>
      </c>
      <c r="N1387">
        <v>87</v>
      </c>
      <c r="O1387">
        <v>100</v>
      </c>
      <c r="P1387">
        <v>93</v>
      </c>
      <c r="Q1387">
        <v>92</v>
      </c>
      <c r="R1387">
        <f>SUM(student_scores[[#This Row],[math_score]:[geography_score]])</f>
        <v>581</v>
      </c>
      <c r="S1387" s="3">
        <f>student_scores[[#This Row],[Total_Score]]/7</f>
        <v>83</v>
      </c>
      <c r="T1387" s="3" t="str" cm="1">
        <f t="array" ref="T1387">_xlfn.IFS(student_scores[[#This Row],[weekly_self_study_hours]]&lt;=5,   "0 - 5", student_scores[[#This Row],[weekly_self_study_hours]]&lt;=10,  "6 - 10", student_scores[[#This Row],[weekly_self_study_hours]]&lt;=20,  "11 - 20",student_scores[[#This Row],[weekly_self_study_hours]]&lt;=30, "21 - 30",TRUE, "31+")</f>
        <v>0 - 5</v>
      </c>
      <c r="U1387" t="str" cm="1">
        <f t="array" ref="U1387">_xlfn.IFS(student_scores[[#This Row],[absence_days]]=0,"0", student_scores[[#This Row],[absence_days]]&lt;=3,"1-3", student_scores[[#This Row],[absence_days]]&lt;=6,"4-6", TRUE,"7-10")</f>
        <v>1-3</v>
      </c>
      <c r="V1387" t="str">
        <f>IF(student_scores[[#This Row],[Total_Score]] &gt;= _xlfn.PERCENTILE.INC(student_scores[Total_Score], 0.8), "Yes", "No")</f>
        <v>No</v>
      </c>
    </row>
    <row r="1388" spans="1:22" x14ac:dyDescent="0.35">
      <c r="A1388">
        <v>1387</v>
      </c>
      <c r="B1388" t="s">
        <v>1227</v>
      </c>
      <c r="C1388" t="s">
        <v>1188</v>
      </c>
      <c r="D1388" t="s">
        <v>2381</v>
      </c>
      <c r="E1388" t="s">
        <v>20</v>
      </c>
      <c r="F1388" t="b">
        <v>0</v>
      </c>
      <c r="G1388">
        <v>3</v>
      </c>
      <c r="H1388" t="b">
        <v>0</v>
      </c>
      <c r="I1388">
        <v>14</v>
      </c>
      <c r="J1388" t="s">
        <v>44</v>
      </c>
      <c r="K1388">
        <v>90</v>
      </c>
      <c r="L1388">
        <v>95</v>
      </c>
      <c r="M1388">
        <v>68</v>
      </c>
      <c r="N1388">
        <v>75</v>
      </c>
      <c r="O1388">
        <v>71</v>
      </c>
      <c r="P1388">
        <v>68</v>
      </c>
      <c r="Q1388">
        <v>95</v>
      </c>
      <c r="R1388">
        <f>SUM(student_scores[[#This Row],[math_score]:[geography_score]])</f>
        <v>562</v>
      </c>
      <c r="S1388" s="3">
        <f>student_scores[[#This Row],[Total_Score]]/7</f>
        <v>80.285714285714292</v>
      </c>
      <c r="T1388" s="3" t="str" cm="1">
        <f t="array" ref="T1388">_xlfn.IFS(student_scores[[#This Row],[weekly_self_study_hours]]&lt;=5,   "0 - 5", student_scores[[#This Row],[weekly_self_study_hours]]&lt;=10,  "6 - 10", student_scores[[#This Row],[weekly_self_study_hours]]&lt;=20,  "11 - 20",student_scores[[#This Row],[weekly_self_study_hours]]&lt;=30, "21 - 30",TRUE, "31+")</f>
        <v>11 - 20</v>
      </c>
      <c r="U1388" t="str" cm="1">
        <f t="array" ref="U1388">_xlfn.IFS(student_scores[[#This Row],[absence_days]]=0,"0", student_scores[[#This Row],[absence_days]]&lt;=3,"1-3", student_scores[[#This Row],[absence_days]]&lt;=6,"4-6", TRUE,"7-10")</f>
        <v>1-3</v>
      </c>
      <c r="V1388" t="str">
        <f>IF(student_scores[[#This Row],[Total_Score]] &gt;= _xlfn.PERCENTILE.INC(student_scores[Total_Score], 0.8), "Yes", "No")</f>
        <v>No</v>
      </c>
    </row>
    <row r="1389" spans="1:22" x14ac:dyDescent="0.35">
      <c r="A1389">
        <v>1388</v>
      </c>
      <c r="B1389" t="s">
        <v>221</v>
      </c>
      <c r="C1389" t="s">
        <v>1711</v>
      </c>
      <c r="D1389" t="s">
        <v>2382</v>
      </c>
      <c r="E1389" t="s">
        <v>20</v>
      </c>
      <c r="F1389" t="b">
        <v>0</v>
      </c>
      <c r="G1389">
        <v>2</v>
      </c>
      <c r="H1389" t="b">
        <v>0</v>
      </c>
      <c r="I1389">
        <v>20</v>
      </c>
      <c r="J1389" t="s">
        <v>105</v>
      </c>
      <c r="K1389">
        <v>94</v>
      </c>
      <c r="L1389">
        <v>88</v>
      </c>
      <c r="M1389">
        <v>78</v>
      </c>
      <c r="N1389">
        <v>99</v>
      </c>
      <c r="O1389">
        <v>65</v>
      </c>
      <c r="P1389">
        <v>76</v>
      </c>
      <c r="Q1389">
        <v>68</v>
      </c>
      <c r="R1389">
        <f>SUM(student_scores[[#This Row],[math_score]:[geography_score]])</f>
        <v>568</v>
      </c>
      <c r="S1389" s="3">
        <f>student_scores[[#This Row],[Total_Score]]/7</f>
        <v>81.142857142857139</v>
      </c>
      <c r="T1389" s="3" t="str" cm="1">
        <f t="array" ref="T1389">_xlfn.IFS(student_scores[[#This Row],[weekly_self_study_hours]]&lt;=5,   "0 - 5", student_scores[[#This Row],[weekly_self_study_hours]]&lt;=10,  "6 - 10", student_scores[[#This Row],[weekly_self_study_hours]]&lt;=20,  "11 - 20",student_scores[[#This Row],[weekly_self_study_hours]]&lt;=30, "21 - 30",TRUE, "31+")</f>
        <v>11 - 20</v>
      </c>
      <c r="U1389" t="str" cm="1">
        <f t="array" ref="U1389">_xlfn.IFS(student_scores[[#This Row],[absence_days]]=0,"0", student_scores[[#This Row],[absence_days]]&lt;=3,"1-3", student_scores[[#This Row],[absence_days]]&lt;=6,"4-6", TRUE,"7-10")</f>
        <v>1-3</v>
      </c>
      <c r="V1389" t="str">
        <f>IF(student_scores[[#This Row],[Total_Score]] &gt;= _xlfn.PERCENTILE.INC(student_scores[Total_Score], 0.8), "Yes", "No")</f>
        <v>No</v>
      </c>
    </row>
    <row r="1390" spans="1:22" x14ac:dyDescent="0.35">
      <c r="A1390">
        <v>1389</v>
      </c>
      <c r="B1390" t="s">
        <v>919</v>
      </c>
      <c r="C1390" t="s">
        <v>2383</v>
      </c>
      <c r="D1390" t="s">
        <v>2384</v>
      </c>
      <c r="E1390" t="s">
        <v>25</v>
      </c>
      <c r="F1390" t="b">
        <v>0</v>
      </c>
      <c r="G1390">
        <v>2</v>
      </c>
      <c r="H1390" t="b">
        <v>0</v>
      </c>
      <c r="I1390">
        <v>28</v>
      </c>
      <c r="J1390" t="s">
        <v>44</v>
      </c>
      <c r="K1390">
        <v>90</v>
      </c>
      <c r="L1390">
        <v>79</v>
      </c>
      <c r="M1390">
        <v>64</v>
      </c>
      <c r="N1390">
        <v>93</v>
      </c>
      <c r="O1390">
        <v>81</v>
      </c>
      <c r="P1390">
        <v>63</v>
      </c>
      <c r="Q1390">
        <v>76</v>
      </c>
      <c r="R1390">
        <f>SUM(student_scores[[#This Row],[math_score]:[geography_score]])</f>
        <v>546</v>
      </c>
      <c r="S1390" s="3">
        <f>student_scores[[#This Row],[Total_Score]]/7</f>
        <v>78</v>
      </c>
      <c r="T1390" s="3" t="str" cm="1">
        <f t="array" ref="T1390">_xlfn.IFS(student_scores[[#This Row],[weekly_self_study_hours]]&lt;=5,   "0 - 5", student_scores[[#This Row],[weekly_self_study_hours]]&lt;=10,  "6 - 10", student_scores[[#This Row],[weekly_self_study_hours]]&lt;=20,  "11 - 20",student_scores[[#This Row],[weekly_self_study_hours]]&lt;=30, "21 - 30",TRUE, "31+")</f>
        <v>21 - 30</v>
      </c>
      <c r="U1390" t="str" cm="1">
        <f t="array" ref="U1390">_xlfn.IFS(student_scores[[#This Row],[absence_days]]=0,"0", student_scores[[#This Row],[absence_days]]&lt;=3,"1-3", student_scores[[#This Row],[absence_days]]&lt;=6,"4-6", TRUE,"7-10")</f>
        <v>1-3</v>
      </c>
      <c r="V1390" t="str">
        <f>IF(student_scores[[#This Row],[Total_Score]] &gt;= _xlfn.PERCENTILE.INC(student_scores[Total_Score], 0.8), "Yes", "No")</f>
        <v>No</v>
      </c>
    </row>
    <row r="1391" spans="1:22" x14ac:dyDescent="0.35">
      <c r="A1391">
        <v>1390</v>
      </c>
      <c r="B1391" t="s">
        <v>68</v>
      </c>
      <c r="C1391" t="s">
        <v>756</v>
      </c>
      <c r="D1391" t="s">
        <v>2385</v>
      </c>
      <c r="E1391" t="s">
        <v>25</v>
      </c>
      <c r="F1391" t="b">
        <v>1</v>
      </c>
      <c r="G1391">
        <v>2</v>
      </c>
      <c r="H1391" t="b">
        <v>0</v>
      </c>
      <c r="I1391">
        <v>13</v>
      </c>
      <c r="J1391" t="s">
        <v>105</v>
      </c>
      <c r="K1391">
        <v>78</v>
      </c>
      <c r="L1391">
        <v>89</v>
      </c>
      <c r="M1391">
        <v>83</v>
      </c>
      <c r="N1391">
        <v>80</v>
      </c>
      <c r="O1391">
        <v>67</v>
      </c>
      <c r="P1391">
        <v>90</v>
      </c>
      <c r="Q1391">
        <v>93</v>
      </c>
      <c r="R1391">
        <f>SUM(student_scores[[#This Row],[math_score]:[geography_score]])</f>
        <v>580</v>
      </c>
      <c r="S1391" s="3">
        <f>student_scores[[#This Row],[Total_Score]]/7</f>
        <v>82.857142857142861</v>
      </c>
      <c r="T1391" s="3" t="str" cm="1">
        <f t="array" ref="T1391">_xlfn.IFS(student_scores[[#This Row],[weekly_self_study_hours]]&lt;=5,   "0 - 5", student_scores[[#This Row],[weekly_self_study_hours]]&lt;=10,  "6 - 10", student_scores[[#This Row],[weekly_self_study_hours]]&lt;=20,  "11 - 20",student_scores[[#This Row],[weekly_self_study_hours]]&lt;=30, "21 - 30",TRUE, "31+")</f>
        <v>11 - 20</v>
      </c>
      <c r="U1391" t="str" cm="1">
        <f t="array" ref="U1391">_xlfn.IFS(student_scores[[#This Row],[absence_days]]=0,"0", student_scores[[#This Row],[absence_days]]&lt;=3,"1-3", student_scores[[#This Row],[absence_days]]&lt;=6,"4-6", TRUE,"7-10")</f>
        <v>1-3</v>
      </c>
      <c r="V1391" t="str">
        <f>IF(student_scores[[#This Row],[Total_Score]] &gt;= _xlfn.PERCENTILE.INC(student_scores[Total_Score], 0.8), "Yes", "No")</f>
        <v>No</v>
      </c>
    </row>
    <row r="1392" spans="1:22" x14ac:dyDescent="0.35">
      <c r="A1392">
        <v>1391</v>
      </c>
      <c r="B1392" t="s">
        <v>939</v>
      </c>
      <c r="C1392" t="s">
        <v>385</v>
      </c>
      <c r="D1392" t="s">
        <v>2386</v>
      </c>
      <c r="E1392" t="s">
        <v>20</v>
      </c>
      <c r="F1392" t="b">
        <v>1</v>
      </c>
      <c r="G1392">
        <v>9</v>
      </c>
      <c r="H1392" t="b">
        <v>1</v>
      </c>
      <c r="I1392">
        <v>3</v>
      </c>
      <c r="J1392" t="s">
        <v>64</v>
      </c>
      <c r="K1392">
        <v>40</v>
      </c>
      <c r="L1392">
        <v>73</v>
      </c>
      <c r="M1392">
        <v>88</v>
      </c>
      <c r="N1392">
        <v>95</v>
      </c>
      <c r="O1392">
        <v>64</v>
      </c>
      <c r="P1392">
        <v>61</v>
      </c>
      <c r="Q1392">
        <v>92</v>
      </c>
      <c r="R1392">
        <f>SUM(student_scores[[#This Row],[math_score]:[geography_score]])</f>
        <v>513</v>
      </c>
      <c r="S1392" s="3">
        <f>student_scores[[#This Row],[Total_Score]]/7</f>
        <v>73.285714285714292</v>
      </c>
      <c r="T1392" s="3" t="str" cm="1">
        <f t="array" ref="T1392">_xlfn.IFS(student_scores[[#This Row],[weekly_self_study_hours]]&lt;=5,   "0 - 5", student_scores[[#This Row],[weekly_self_study_hours]]&lt;=10,  "6 - 10", student_scores[[#This Row],[weekly_self_study_hours]]&lt;=20,  "11 - 20",student_scores[[#This Row],[weekly_self_study_hours]]&lt;=30, "21 - 30",TRUE, "31+")</f>
        <v>0 - 5</v>
      </c>
      <c r="U1392" t="str" cm="1">
        <f t="array" ref="U1392">_xlfn.IFS(student_scores[[#This Row],[absence_days]]=0,"0", student_scores[[#This Row],[absence_days]]&lt;=3,"1-3", student_scores[[#This Row],[absence_days]]&lt;=6,"4-6", TRUE,"7-10")</f>
        <v>7-10</v>
      </c>
      <c r="V1392" t="str">
        <f>IF(student_scores[[#This Row],[Total_Score]] &gt;= _xlfn.PERCENTILE.INC(student_scores[Total_Score], 0.8), "Yes", "No")</f>
        <v>No</v>
      </c>
    </row>
    <row r="1393" spans="1:22" x14ac:dyDescent="0.35">
      <c r="A1393">
        <v>1392</v>
      </c>
      <c r="B1393" t="s">
        <v>83</v>
      </c>
      <c r="C1393" t="s">
        <v>876</v>
      </c>
      <c r="D1393" t="s">
        <v>2387</v>
      </c>
      <c r="E1393" t="s">
        <v>25</v>
      </c>
      <c r="F1393" t="b">
        <v>0</v>
      </c>
      <c r="G1393">
        <v>5</v>
      </c>
      <c r="H1393" t="b">
        <v>0</v>
      </c>
      <c r="I1393">
        <v>26</v>
      </c>
      <c r="J1393" t="s">
        <v>105</v>
      </c>
      <c r="K1393">
        <v>97</v>
      </c>
      <c r="L1393">
        <v>84</v>
      </c>
      <c r="M1393">
        <v>70</v>
      </c>
      <c r="N1393">
        <v>90</v>
      </c>
      <c r="O1393">
        <v>97</v>
      </c>
      <c r="P1393">
        <v>95</v>
      </c>
      <c r="Q1393">
        <v>87</v>
      </c>
      <c r="R1393">
        <f>SUM(student_scores[[#This Row],[math_score]:[geography_score]])</f>
        <v>620</v>
      </c>
      <c r="S1393" s="3">
        <f>student_scores[[#This Row],[Total_Score]]/7</f>
        <v>88.571428571428569</v>
      </c>
      <c r="T1393" s="3" t="str" cm="1">
        <f t="array" ref="T1393">_xlfn.IFS(student_scores[[#This Row],[weekly_self_study_hours]]&lt;=5,   "0 - 5", student_scores[[#This Row],[weekly_self_study_hours]]&lt;=10,  "6 - 10", student_scores[[#This Row],[weekly_self_study_hours]]&lt;=20,  "11 - 20",student_scores[[#This Row],[weekly_self_study_hours]]&lt;=30, "21 - 30",TRUE, "31+")</f>
        <v>21 - 30</v>
      </c>
      <c r="U1393" t="str" cm="1">
        <f t="array" ref="U1393">_xlfn.IFS(student_scores[[#This Row],[absence_days]]=0,"0", student_scores[[#This Row],[absence_days]]&lt;=3,"1-3", student_scores[[#This Row],[absence_days]]&lt;=6,"4-6", TRUE,"7-10")</f>
        <v>4-6</v>
      </c>
      <c r="V1393" t="str">
        <f>IF(student_scores[[#This Row],[Total_Score]] &gt;= _xlfn.PERCENTILE.INC(student_scores[Total_Score], 0.8), "Yes", "No")</f>
        <v>Yes</v>
      </c>
    </row>
    <row r="1394" spans="1:22" x14ac:dyDescent="0.35">
      <c r="A1394">
        <v>1393</v>
      </c>
      <c r="B1394" t="s">
        <v>830</v>
      </c>
      <c r="C1394" t="s">
        <v>136</v>
      </c>
      <c r="D1394" t="s">
        <v>2388</v>
      </c>
      <c r="E1394" t="s">
        <v>20</v>
      </c>
      <c r="F1394" t="b">
        <v>1</v>
      </c>
      <c r="G1394">
        <v>3</v>
      </c>
      <c r="H1394" t="b">
        <v>0</v>
      </c>
      <c r="I1394">
        <v>8</v>
      </c>
      <c r="J1394" t="s">
        <v>172</v>
      </c>
      <c r="K1394">
        <v>84</v>
      </c>
      <c r="L1394">
        <v>98</v>
      </c>
      <c r="M1394">
        <v>71</v>
      </c>
      <c r="N1394">
        <v>62</v>
      </c>
      <c r="O1394">
        <v>89</v>
      </c>
      <c r="P1394">
        <v>86</v>
      </c>
      <c r="Q1394">
        <v>67</v>
      </c>
      <c r="R1394">
        <f>SUM(student_scores[[#This Row],[math_score]:[geography_score]])</f>
        <v>557</v>
      </c>
      <c r="S1394" s="3">
        <f>student_scores[[#This Row],[Total_Score]]/7</f>
        <v>79.571428571428569</v>
      </c>
      <c r="T1394" s="3" t="str" cm="1">
        <f t="array" ref="T1394">_xlfn.IFS(student_scores[[#This Row],[weekly_self_study_hours]]&lt;=5,   "0 - 5", student_scores[[#This Row],[weekly_self_study_hours]]&lt;=10,  "6 - 10", student_scores[[#This Row],[weekly_self_study_hours]]&lt;=20,  "11 - 20",student_scores[[#This Row],[weekly_self_study_hours]]&lt;=30, "21 - 30",TRUE, "31+")</f>
        <v>6 - 10</v>
      </c>
      <c r="U1394" t="str" cm="1">
        <f t="array" ref="U1394">_xlfn.IFS(student_scores[[#This Row],[absence_days]]=0,"0", student_scores[[#This Row],[absence_days]]&lt;=3,"1-3", student_scores[[#This Row],[absence_days]]&lt;=6,"4-6", TRUE,"7-10")</f>
        <v>1-3</v>
      </c>
      <c r="V1394" t="str">
        <f>IF(student_scores[[#This Row],[Total_Score]] &gt;= _xlfn.PERCENTILE.INC(student_scores[Total_Score], 0.8), "Yes", "No")</f>
        <v>No</v>
      </c>
    </row>
    <row r="1395" spans="1:22" x14ac:dyDescent="0.35">
      <c r="A1395">
        <v>1394</v>
      </c>
      <c r="B1395" t="s">
        <v>593</v>
      </c>
      <c r="C1395" t="s">
        <v>1569</v>
      </c>
      <c r="D1395" t="s">
        <v>2389</v>
      </c>
      <c r="E1395" t="s">
        <v>25</v>
      </c>
      <c r="F1395" t="b">
        <v>0</v>
      </c>
      <c r="G1395">
        <v>3</v>
      </c>
      <c r="H1395" t="b">
        <v>0</v>
      </c>
      <c r="I1395">
        <v>4</v>
      </c>
      <c r="J1395" t="s">
        <v>64</v>
      </c>
      <c r="K1395">
        <v>64</v>
      </c>
      <c r="L1395">
        <v>66</v>
      </c>
      <c r="M1395">
        <v>56</v>
      </c>
      <c r="N1395">
        <v>59</v>
      </c>
      <c r="O1395">
        <v>68</v>
      </c>
      <c r="P1395">
        <v>68</v>
      </c>
      <c r="Q1395">
        <v>84</v>
      </c>
      <c r="R1395">
        <f>SUM(student_scores[[#This Row],[math_score]:[geography_score]])</f>
        <v>465</v>
      </c>
      <c r="S1395" s="3">
        <f>student_scores[[#This Row],[Total_Score]]/7</f>
        <v>66.428571428571431</v>
      </c>
      <c r="T1395" s="3" t="str" cm="1">
        <f t="array" ref="T1395">_xlfn.IFS(student_scores[[#This Row],[weekly_self_study_hours]]&lt;=5,   "0 - 5", student_scores[[#This Row],[weekly_self_study_hours]]&lt;=10,  "6 - 10", student_scores[[#This Row],[weekly_self_study_hours]]&lt;=20,  "11 - 20",student_scores[[#This Row],[weekly_self_study_hours]]&lt;=30, "21 - 30",TRUE, "31+")</f>
        <v>0 - 5</v>
      </c>
      <c r="U1395" t="str" cm="1">
        <f t="array" ref="U1395">_xlfn.IFS(student_scores[[#This Row],[absence_days]]=0,"0", student_scores[[#This Row],[absence_days]]&lt;=3,"1-3", student_scores[[#This Row],[absence_days]]&lt;=6,"4-6", TRUE,"7-10")</f>
        <v>1-3</v>
      </c>
      <c r="V1395" t="str">
        <f>IF(student_scores[[#This Row],[Total_Score]] &gt;= _xlfn.PERCENTILE.INC(student_scores[Total_Score], 0.8), "Yes", "No")</f>
        <v>No</v>
      </c>
    </row>
    <row r="1396" spans="1:22" x14ac:dyDescent="0.35">
      <c r="A1396">
        <v>1395</v>
      </c>
      <c r="B1396" t="s">
        <v>568</v>
      </c>
      <c r="C1396" t="s">
        <v>2136</v>
      </c>
      <c r="D1396" t="s">
        <v>2390</v>
      </c>
      <c r="E1396" t="s">
        <v>20</v>
      </c>
      <c r="F1396" t="b">
        <v>0</v>
      </c>
      <c r="G1396">
        <v>4</v>
      </c>
      <c r="H1396" t="b">
        <v>1</v>
      </c>
      <c r="I1396">
        <v>20</v>
      </c>
      <c r="J1396" t="s">
        <v>44</v>
      </c>
      <c r="K1396">
        <v>89</v>
      </c>
      <c r="L1396">
        <v>88</v>
      </c>
      <c r="M1396">
        <v>86</v>
      </c>
      <c r="N1396">
        <v>77</v>
      </c>
      <c r="O1396">
        <v>87</v>
      </c>
      <c r="P1396">
        <v>88</v>
      </c>
      <c r="Q1396">
        <v>78</v>
      </c>
      <c r="R1396">
        <f>SUM(student_scores[[#This Row],[math_score]:[geography_score]])</f>
        <v>593</v>
      </c>
      <c r="S1396" s="3">
        <f>student_scores[[#This Row],[Total_Score]]/7</f>
        <v>84.714285714285708</v>
      </c>
      <c r="T1396" s="3" t="str" cm="1">
        <f t="array" ref="T1396">_xlfn.IFS(student_scores[[#This Row],[weekly_self_study_hours]]&lt;=5,   "0 - 5", student_scores[[#This Row],[weekly_self_study_hours]]&lt;=10,  "6 - 10", student_scores[[#This Row],[weekly_self_study_hours]]&lt;=20,  "11 - 20",student_scores[[#This Row],[weekly_self_study_hours]]&lt;=30, "21 - 30",TRUE, "31+")</f>
        <v>11 - 20</v>
      </c>
      <c r="U1396" t="str" cm="1">
        <f t="array" ref="U1396">_xlfn.IFS(student_scores[[#This Row],[absence_days]]=0,"0", student_scores[[#This Row],[absence_days]]&lt;=3,"1-3", student_scores[[#This Row],[absence_days]]&lt;=6,"4-6", TRUE,"7-10")</f>
        <v>4-6</v>
      </c>
      <c r="V1396" t="str">
        <f>IF(student_scores[[#This Row],[Total_Score]] &gt;= _xlfn.PERCENTILE.INC(student_scores[Total_Score], 0.8), "Yes", "No")</f>
        <v>No</v>
      </c>
    </row>
    <row r="1397" spans="1:22" x14ac:dyDescent="0.35">
      <c r="A1397">
        <v>1396</v>
      </c>
      <c r="B1397" t="s">
        <v>939</v>
      </c>
      <c r="C1397" t="s">
        <v>604</v>
      </c>
      <c r="D1397" t="s">
        <v>2391</v>
      </c>
      <c r="E1397" t="s">
        <v>20</v>
      </c>
      <c r="F1397" t="b">
        <v>0</v>
      </c>
      <c r="G1397">
        <v>3</v>
      </c>
      <c r="H1397" t="b">
        <v>0</v>
      </c>
      <c r="I1397">
        <v>34</v>
      </c>
      <c r="J1397" t="s">
        <v>138</v>
      </c>
      <c r="K1397">
        <v>99</v>
      </c>
      <c r="L1397">
        <v>93</v>
      </c>
      <c r="M1397">
        <v>98</v>
      </c>
      <c r="N1397">
        <v>74</v>
      </c>
      <c r="O1397">
        <v>87</v>
      </c>
      <c r="P1397">
        <v>88</v>
      </c>
      <c r="Q1397">
        <v>78</v>
      </c>
      <c r="R1397">
        <f>SUM(student_scores[[#This Row],[math_score]:[geography_score]])</f>
        <v>617</v>
      </c>
      <c r="S1397" s="3">
        <f>student_scores[[#This Row],[Total_Score]]/7</f>
        <v>88.142857142857139</v>
      </c>
      <c r="T1397" s="3" t="str" cm="1">
        <f t="array" ref="T1397">_xlfn.IFS(student_scores[[#This Row],[weekly_self_study_hours]]&lt;=5,   "0 - 5", student_scores[[#This Row],[weekly_self_study_hours]]&lt;=10,  "6 - 10", student_scores[[#This Row],[weekly_self_study_hours]]&lt;=20,  "11 - 20",student_scores[[#This Row],[weekly_self_study_hours]]&lt;=30, "21 - 30",TRUE, "31+")</f>
        <v>31+</v>
      </c>
      <c r="U1397" t="str" cm="1">
        <f t="array" ref="U1397">_xlfn.IFS(student_scores[[#This Row],[absence_days]]=0,"0", student_scores[[#This Row],[absence_days]]&lt;=3,"1-3", student_scores[[#This Row],[absence_days]]&lt;=6,"4-6", TRUE,"7-10")</f>
        <v>1-3</v>
      </c>
      <c r="V1397" t="str">
        <f>IF(student_scores[[#This Row],[Total_Score]] &gt;= _xlfn.PERCENTILE.INC(student_scores[Total_Score], 0.8), "Yes", "No")</f>
        <v>Yes</v>
      </c>
    </row>
    <row r="1398" spans="1:22" x14ac:dyDescent="0.35">
      <c r="A1398">
        <v>1397</v>
      </c>
      <c r="B1398" t="s">
        <v>2392</v>
      </c>
      <c r="C1398" t="s">
        <v>2071</v>
      </c>
      <c r="D1398" t="s">
        <v>2393</v>
      </c>
      <c r="E1398" t="s">
        <v>20</v>
      </c>
      <c r="F1398" t="b">
        <v>0</v>
      </c>
      <c r="G1398">
        <v>2</v>
      </c>
      <c r="H1398" t="b">
        <v>0</v>
      </c>
      <c r="I1398">
        <v>42</v>
      </c>
      <c r="J1398" t="s">
        <v>26</v>
      </c>
      <c r="K1398">
        <v>85</v>
      </c>
      <c r="L1398">
        <v>96</v>
      </c>
      <c r="M1398">
        <v>98</v>
      </c>
      <c r="N1398">
        <v>85</v>
      </c>
      <c r="O1398">
        <v>95</v>
      </c>
      <c r="P1398">
        <v>96</v>
      </c>
      <c r="Q1398">
        <v>97</v>
      </c>
      <c r="R1398">
        <f>SUM(student_scores[[#This Row],[math_score]:[geography_score]])</f>
        <v>652</v>
      </c>
      <c r="S1398" s="3">
        <f>student_scores[[#This Row],[Total_Score]]/7</f>
        <v>93.142857142857139</v>
      </c>
      <c r="T1398" s="3" t="str" cm="1">
        <f t="array" ref="T1398">_xlfn.IFS(student_scores[[#This Row],[weekly_self_study_hours]]&lt;=5,   "0 - 5", student_scores[[#This Row],[weekly_self_study_hours]]&lt;=10,  "6 - 10", student_scores[[#This Row],[weekly_self_study_hours]]&lt;=20,  "11 - 20",student_scores[[#This Row],[weekly_self_study_hours]]&lt;=30, "21 - 30",TRUE, "31+")</f>
        <v>31+</v>
      </c>
      <c r="U1398" t="str" cm="1">
        <f t="array" ref="U1398">_xlfn.IFS(student_scores[[#This Row],[absence_days]]=0,"0", student_scores[[#This Row],[absence_days]]&lt;=3,"1-3", student_scores[[#This Row],[absence_days]]&lt;=6,"4-6", TRUE,"7-10")</f>
        <v>1-3</v>
      </c>
      <c r="V1398" t="str">
        <f>IF(student_scores[[#This Row],[Total_Score]] &gt;= _xlfn.PERCENTILE.INC(student_scores[Total_Score], 0.8), "Yes", "No")</f>
        <v>Yes</v>
      </c>
    </row>
    <row r="1399" spans="1:22" x14ac:dyDescent="0.35">
      <c r="A1399">
        <v>1398</v>
      </c>
      <c r="B1399" t="s">
        <v>2394</v>
      </c>
      <c r="C1399" t="s">
        <v>103</v>
      </c>
      <c r="D1399" t="s">
        <v>2395</v>
      </c>
      <c r="E1399" t="s">
        <v>20</v>
      </c>
      <c r="F1399" t="b">
        <v>0</v>
      </c>
      <c r="G1399">
        <v>6</v>
      </c>
      <c r="H1399" t="b">
        <v>0</v>
      </c>
      <c r="I1399">
        <v>4</v>
      </c>
      <c r="J1399" t="s">
        <v>159</v>
      </c>
      <c r="K1399">
        <v>89</v>
      </c>
      <c r="L1399">
        <v>78</v>
      </c>
      <c r="M1399">
        <v>89</v>
      </c>
      <c r="N1399">
        <v>91</v>
      </c>
      <c r="O1399">
        <v>76</v>
      </c>
      <c r="P1399">
        <v>96</v>
      </c>
      <c r="Q1399">
        <v>81</v>
      </c>
      <c r="R1399">
        <f>SUM(student_scores[[#This Row],[math_score]:[geography_score]])</f>
        <v>600</v>
      </c>
      <c r="S1399" s="3">
        <f>student_scores[[#This Row],[Total_Score]]/7</f>
        <v>85.714285714285708</v>
      </c>
      <c r="T1399" s="3" t="str" cm="1">
        <f t="array" ref="T1399">_xlfn.IFS(student_scores[[#This Row],[weekly_self_study_hours]]&lt;=5,   "0 - 5", student_scores[[#This Row],[weekly_self_study_hours]]&lt;=10,  "6 - 10", student_scores[[#This Row],[weekly_self_study_hours]]&lt;=20,  "11 - 20",student_scores[[#This Row],[weekly_self_study_hours]]&lt;=30, "21 - 30",TRUE, "31+")</f>
        <v>0 - 5</v>
      </c>
      <c r="U1399" t="str" cm="1">
        <f t="array" ref="U1399">_xlfn.IFS(student_scores[[#This Row],[absence_days]]=0,"0", student_scores[[#This Row],[absence_days]]&lt;=3,"1-3", student_scores[[#This Row],[absence_days]]&lt;=6,"4-6", TRUE,"7-10")</f>
        <v>4-6</v>
      </c>
      <c r="V1399" t="str">
        <f>IF(student_scores[[#This Row],[Total_Score]] &gt;= _xlfn.PERCENTILE.INC(student_scores[Total_Score], 0.8), "Yes", "No")</f>
        <v>No</v>
      </c>
    </row>
    <row r="1400" spans="1:22" x14ac:dyDescent="0.35">
      <c r="A1400">
        <v>1399</v>
      </c>
      <c r="B1400" t="s">
        <v>2396</v>
      </c>
      <c r="C1400" t="s">
        <v>143</v>
      </c>
      <c r="D1400" t="s">
        <v>2397</v>
      </c>
      <c r="E1400" t="s">
        <v>25</v>
      </c>
      <c r="F1400" t="b">
        <v>0</v>
      </c>
      <c r="G1400">
        <v>6</v>
      </c>
      <c r="H1400" t="b">
        <v>1</v>
      </c>
      <c r="I1400">
        <v>14</v>
      </c>
      <c r="J1400" t="s">
        <v>44</v>
      </c>
      <c r="K1400">
        <v>97</v>
      </c>
      <c r="L1400">
        <v>92</v>
      </c>
      <c r="M1400">
        <v>64</v>
      </c>
      <c r="N1400">
        <v>93</v>
      </c>
      <c r="O1400">
        <v>60</v>
      </c>
      <c r="P1400">
        <v>63</v>
      </c>
      <c r="Q1400">
        <v>90</v>
      </c>
      <c r="R1400">
        <f>SUM(student_scores[[#This Row],[math_score]:[geography_score]])</f>
        <v>559</v>
      </c>
      <c r="S1400" s="3">
        <f>student_scores[[#This Row],[Total_Score]]/7</f>
        <v>79.857142857142861</v>
      </c>
      <c r="T1400" s="3" t="str" cm="1">
        <f t="array" ref="T1400">_xlfn.IFS(student_scores[[#This Row],[weekly_self_study_hours]]&lt;=5,   "0 - 5", student_scores[[#This Row],[weekly_self_study_hours]]&lt;=10,  "6 - 10", student_scores[[#This Row],[weekly_self_study_hours]]&lt;=20,  "11 - 20",student_scores[[#This Row],[weekly_self_study_hours]]&lt;=30, "21 - 30",TRUE, "31+")</f>
        <v>11 - 20</v>
      </c>
      <c r="U1400" t="str" cm="1">
        <f t="array" ref="U1400">_xlfn.IFS(student_scores[[#This Row],[absence_days]]=0,"0", student_scores[[#This Row],[absence_days]]&lt;=3,"1-3", student_scores[[#This Row],[absence_days]]&lt;=6,"4-6", TRUE,"7-10")</f>
        <v>4-6</v>
      </c>
      <c r="V1400" t="str">
        <f>IF(student_scores[[#This Row],[Total_Score]] &gt;= _xlfn.PERCENTILE.INC(student_scores[Total_Score], 0.8), "Yes", "No")</f>
        <v>No</v>
      </c>
    </row>
    <row r="1401" spans="1:22" x14ac:dyDescent="0.35">
      <c r="A1401">
        <v>1400</v>
      </c>
      <c r="B1401" t="s">
        <v>641</v>
      </c>
      <c r="C1401" t="s">
        <v>257</v>
      </c>
      <c r="D1401" t="s">
        <v>2398</v>
      </c>
      <c r="E1401" t="s">
        <v>20</v>
      </c>
      <c r="F1401" t="b">
        <v>0</v>
      </c>
      <c r="G1401">
        <v>1</v>
      </c>
      <c r="H1401" t="b">
        <v>0</v>
      </c>
      <c r="I1401">
        <v>29</v>
      </c>
      <c r="J1401" t="s">
        <v>138</v>
      </c>
      <c r="K1401">
        <v>86</v>
      </c>
      <c r="L1401">
        <v>100</v>
      </c>
      <c r="M1401">
        <v>86</v>
      </c>
      <c r="N1401">
        <v>96</v>
      </c>
      <c r="O1401">
        <v>73</v>
      </c>
      <c r="P1401">
        <v>60</v>
      </c>
      <c r="Q1401">
        <v>77</v>
      </c>
      <c r="R1401">
        <f>SUM(student_scores[[#This Row],[math_score]:[geography_score]])</f>
        <v>578</v>
      </c>
      <c r="S1401" s="3">
        <f>student_scores[[#This Row],[Total_Score]]/7</f>
        <v>82.571428571428569</v>
      </c>
      <c r="T1401" s="3" t="str" cm="1">
        <f t="array" ref="T1401">_xlfn.IFS(student_scores[[#This Row],[weekly_self_study_hours]]&lt;=5,   "0 - 5", student_scores[[#This Row],[weekly_self_study_hours]]&lt;=10,  "6 - 10", student_scores[[#This Row],[weekly_self_study_hours]]&lt;=20,  "11 - 20",student_scores[[#This Row],[weekly_self_study_hours]]&lt;=30, "21 - 30",TRUE, "31+")</f>
        <v>21 - 30</v>
      </c>
      <c r="U1401" t="str" cm="1">
        <f t="array" ref="U1401">_xlfn.IFS(student_scores[[#This Row],[absence_days]]=0,"0", student_scores[[#This Row],[absence_days]]&lt;=3,"1-3", student_scores[[#This Row],[absence_days]]&lt;=6,"4-6", TRUE,"7-10")</f>
        <v>1-3</v>
      </c>
      <c r="V1401" t="str">
        <f>IF(student_scores[[#This Row],[Total_Score]] &gt;= _xlfn.PERCENTILE.INC(student_scores[Total_Score], 0.8), "Yes", "No")</f>
        <v>No</v>
      </c>
    </row>
    <row r="1402" spans="1:22" x14ac:dyDescent="0.35">
      <c r="A1402">
        <v>1401</v>
      </c>
      <c r="B1402" t="s">
        <v>2399</v>
      </c>
      <c r="C1402" t="s">
        <v>520</v>
      </c>
      <c r="D1402" t="s">
        <v>2400</v>
      </c>
      <c r="E1402" t="s">
        <v>25</v>
      </c>
      <c r="F1402" t="b">
        <v>0</v>
      </c>
      <c r="G1402">
        <v>3</v>
      </c>
      <c r="H1402" t="b">
        <v>0</v>
      </c>
      <c r="I1402">
        <v>34</v>
      </c>
      <c r="J1402" t="s">
        <v>21</v>
      </c>
      <c r="K1402">
        <v>72</v>
      </c>
      <c r="L1402">
        <v>86</v>
      </c>
      <c r="M1402">
        <v>69</v>
      </c>
      <c r="N1402">
        <v>81</v>
      </c>
      <c r="O1402">
        <v>67</v>
      </c>
      <c r="P1402">
        <v>98</v>
      </c>
      <c r="Q1402">
        <v>72</v>
      </c>
      <c r="R1402">
        <f>SUM(student_scores[[#This Row],[math_score]:[geography_score]])</f>
        <v>545</v>
      </c>
      <c r="S1402" s="3">
        <f>student_scores[[#This Row],[Total_Score]]/7</f>
        <v>77.857142857142861</v>
      </c>
      <c r="T1402" s="3" t="str" cm="1">
        <f t="array" ref="T1402">_xlfn.IFS(student_scores[[#This Row],[weekly_self_study_hours]]&lt;=5,   "0 - 5", student_scores[[#This Row],[weekly_self_study_hours]]&lt;=10,  "6 - 10", student_scores[[#This Row],[weekly_self_study_hours]]&lt;=20,  "11 - 20",student_scores[[#This Row],[weekly_self_study_hours]]&lt;=30, "21 - 30",TRUE, "31+")</f>
        <v>31+</v>
      </c>
      <c r="U1402" t="str" cm="1">
        <f t="array" ref="U1402">_xlfn.IFS(student_scores[[#This Row],[absence_days]]=0,"0", student_scores[[#This Row],[absence_days]]&lt;=3,"1-3", student_scores[[#This Row],[absence_days]]&lt;=6,"4-6", TRUE,"7-10")</f>
        <v>1-3</v>
      </c>
      <c r="V1402" t="str">
        <f>IF(student_scores[[#This Row],[Total_Score]] &gt;= _xlfn.PERCENTILE.INC(student_scores[Total_Score], 0.8), "Yes", "No")</f>
        <v>No</v>
      </c>
    </row>
    <row r="1403" spans="1:22" x14ac:dyDescent="0.35">
      <c r="A1403">
        <v>1402</v>
      </c>
      <c r="B1403" t="s">
        <v>476</v>
      </c>
      <c r="C1403" t="s">
        <v>2102</v>
      </c>
      <c r="D1403" t="s">
        <v>2401</v>
      </c>
      <c r="E1403" t="s">
        <v>20</v>
      </c>
      <c r="F1403" t="b">
        <v>0</v>
      </c>
      <c r="G1403">
        <v>3</v>
      </c>
      <c r="H1403" t="b">
        <v>0</v>
      </c>
      <c r="I1403">
        <v>1</v>
      </c>
      <c r="J1403" t="s">
        <v>34</v>
      </c>
      <c r="K1403">
        <v>63</v>
      </c>
      <c r="L1403">
        <v>78</v>
      </c>
      <c r="M1403">
        <v>97</v>
      </c>
      <c r="N1403">
        <v>67</v>
      </c>
      <c r="O1403">
        <v>72</v>
      </c>
      <c r="P1403">
        <v>64</v>
      </c>
      <c r="Q1403">
        <v>67</v>
      </c>
      <c r="R1403">
        <f>SUM(student_scores[[#This Row],[math_score]:[geography_score]])</f>
        <v>508</v>
      </c>
      <c r="S1403" s="3">
        <f>student_scores[[#This Row],[Total_Score]]/7</f>
        <v>72.571428571428569</v>
      </c>
      <c r="T1403" s="3" t="str" cm="1">
        <f t="array" ref="T1403">_xlfn.IFS(student_scores[[#This Row],[weekly_self_study_hours]]&lt;=5,   "0 - 5", student_scores[[#This Row],[weekly_self_study_hours]]&lt;=10,  "6 - 10", student_scores[[#This Row],[weekly_self_study_hours]]&lt;=20,  "11 - 20",student_scores[[#This Row],[weekly_self_study_hours]]&lt;=30, "21 - 30",TRUE, "31+")</f>
        <v>0 - 5</v>
      </c>
      <c r="U1403" t="str" cm="1">
        <f t="array" ref="U1403">_xlfn.IFS(student_scores[[#This Row],[absence_days]]=0,"0", student_scores[[#This Row],[absence_days]]&lt;=3,"1-3", student_scores[[#This Row],[absence_days]]&lt;=6,"4-6", TRUE,"7-10")</f>
        <v>1-3</v>
      </c>
      <c r="V1403" t="str">
        <f>IF(student_scores[[#This Row],[Total_Score]] &gt;= _xlfn.PERCENTILE.INC(student_scores[Total_Score], 0.8), "Yes", "No")</f>
        <v>No</v>
      </c>
    </row>
    <row r="1404" spans="1:22" x14ac:dyDescent="0.35">
      <c r="A1404">
        <v>1403</v>
      </c>
      <c r="B1404" t="s">
        <v>446</v>
      </c>
      <c r="C1404" t="s">
        <v>1473</v>
      </c>
      <c r="D1404" t="s">
        <v>2402</v>
      </c>
      <c r="E1404" t="s">
        <v>20</v>
      </c>
      <c r="F1404" t="b">
        <v>0</v>
      </c>
      <c r="G1404">
        <v>5</v>
      </c>
      <c r="H1404" t="b">
        <v>0</v>
      </c>
      <c r="I1404">
        <v>27</v>
      </c>
      <c r="J1404" t="s">
        <v>44</v>
      </c>
      <c r="K1404">
        <v>99</v>
      </c>
      <c r="L1404">
        <v>78</v>
      </c>
      <c r="M1404">
        <v>92</v>
      </c>
      <c r="N1404">
        <v>65</v>
      </c>
      <c r="O1404">
        <v>90</v>
      </c>
      <c r="P1404">
        <v>96</v>
      </c>
      <c r="Q1404">
        <v>96</v>
      </c>
      <c r="R1404">
        <f>SUM(student_scores[[#This Row],[math_score]:[geography_score]])</f>
        <v>616</v>
      </c>
      <c r="S1404" s="3">
        <f>student_scores[[#This Row],[Total_Score]]/7</f>
        <v>88</v>
      </c>
      <c r="T1404" s="3" t="str" cm="1">
        <f t="array" ref="T1404">_xlfn.IFS(student_scores[[#This Row],[weekly_self_study_hours]]&lt;=5,   "0 - 5", student_scores[[#This Row],[weekly_self_study_hours]]&lt;=10,  "6 - 10", student_scores[[#This Row],[weekly_self_study_hours]]&lt;=20,  "11 - 20",student_scores[[#This Row],[weekly_self_study_hours]]&lt;=30, "21 - 30",TRUE, "31+")</f>
        <v>21 - 30</v>
      </c>
      <c r="U1404" t="str" cm="1">
        <f t="array" ref="U1404">_xlfn.IFS(student_scores[[#This Row],[absence_days]]=0,"0", student_scores[[#This Row],[absence_days]]&lt;=3,"1-3", student_scores[[#This Row],[absence_days]]&lt;=6,"4-6", TRUE,"7-10")</f>
        <v>4-6</v>
      </c>
      <c r="V1404" t="str">
        <f>IF(student_scores[[#This Row],[Total_Score]] &gt;= _xlfn.PERCENTILE.INC(student_scores[Total_Score], 0.8), "Yes", "No")</f>
        <v>Yes</v>
      </c>
    </row>
    <row r="1405" spans="1:22" x14ac:dyDescent="0.35">
      <c r="A1405">
        <v>1404</v>
      </c>
      <c r="B1405" t="s">
        <v>190</v>
      </c>
      <c r="C1405" t="s">
        <v>2403</v>
      </c>
      <c r="D1405" t="s">
        <v>2404</v>
      </c>
      <c r="E1405" t="s">
        <v>25</v>
      </c>
      <c r="F1405" t="b">
        <v>0</v>
      </c>
      <c r="G1405">
        <v>4</v>
      </c>
      <c r="H1405" t="b">
        <v>0</v>
      </c>
      <c r="I1405">
        <v>30</v>
      </c>
      <c r="J1405" t="s">
        <v>105</v>
      </c>
      <c r="K1405">
        <v>81</v>
      </c>
      <c r="L1405">
        <v>85</v>
      </c>
      <c r="M1405">
        <v>64</v>
      </c>
      <c r="N1405">
        <v>61</v>
      </c>
      <c r="O1405">
        <v>86</v>
      </c>
      <c r="P1405">
        <v>80</v>
      </c>
      <c r="Q1405">
        <v>83</v>
      </c>
      <c r="R1405">
        <f>SUM(student_scores[[#This Row],[math_score]:[geography_score]])</f>
        <v>540</v>
      </c>
      <c r="S1405" s="3">
        <f>student_scores[[#This Row],[Total_Score]]/7</f>
        <v>77.142857142857139</v>
      </c>
      <c r="T1405" s="3" t="str" cm="1">
        <f t="array" ref="T1405">_xlfn.IFS(student_scores[[#This Row],[weekly_self_study_hours]]&lt;=5,   "0 - 5", student_scores[[#This Row],[weekly_self_study_hours]]&lt;=10,  "6 - 10", student_scores[[#This Row],[weekly_self_study_hours]]&lt;=20,  "11 - 20",student_scores[[#This Row],[weekly_self_study_hours]]&lt;=30, "21 - 30",TRUE, "31+")</f>
        <v>21 - 30</v>
      </c>
      <c r="U1405" t="str" cm="1">
        <f t="array" ref="U1405">_xlfn.IFS(student_scores[[#This Row],[absence_days]]=0,"0", student_scores[[#This Row],[absence_days]]&lt;=3,"1-3", student_scores[[#This Row],[absence_days]]&lt;=6,"4-6", TRUE,"7-10")</f>
        <v>4-6</v>
      </c>
      <c r="V1405" t="str">
        <f>IF(student_scores[[#This Row],[Total_Score]] &gt;= _xlfn.PERCENTILE.INC(student_scores[Total_Score], 0.8), "Yes", "No")</f>
        <v>No</v>
      </c>
    </row>
    <row r="1406" spans="1:22" x14ac:dyDescent="0.35">
      <c r="A1406">
        <v>1405</v>
      </c>
      <c r="B1406" t="s">
        <v>1795</v>
      </c>
      <c r="C1406" t="s">
        <v>403</v>
      </c>
      <c r="D1406" t="s">
        <v>2405</v>
      </c>
      <c r="E1406" t="s">
        <v>20</v>
      </c>
      <c r="F1406" t="b">
        <v>0</v>
      </c>
      <c r="G1406">
        <v>10</v>
      </c>
      <c r="H1406" t="b">
        <v>0</v>
      </c>
      <c r="I1406">
        <v>33</v>
      </c>
      <c r="J1406" t="s">
        <v>21</v>
      </c>
      <c r="K1406">
        <v>72</v>
      </c>
      <c r="L1406">
        <v>80</v>
      </c>
      <c r="M1406">
        <v>84</v>
      </c>
      <c r="N1406">
        <v>91</v>
      </c>
      <c r="O1406">
        <v>96</v>
      </c>
      <c r="P1406">
        <v>93</v>
      </c>
      <c r="Q1406">
        <v>74</v>
      </c>
      <c r="R1406">
        <f>SUM(student_scores[[#This Row],[math_score]:[geography_score]])</f>
        <v>590</v>
      </c>
      <c r="S1406" s="3">
        <f>student_scores[[#This Row],[Total_Score]]/7</f>
        <v>84.285714285714292</v>
      </c>
      <c r="T1406" s="3" t="str" cm="1">
        <f t="array" ref="T1406">_xlfn.IFS(student_scores[[#This Row],[weekly_self_study_hours]]&lt;=5,   "0 - 5", student_scores[[#This Row],[weekly_self_study_hours]]&lt;=10,  "6 - 10", student_scores[[#This Row],[weekly_self_study_hours]]&lt;=20,  "11 - 20",student_scores[[#This Row],[weekly_self_study_hours]]&lt;=30, "21 - 30",TRUE, "31+")</f>
        <v>31+</v>
      </c>
      <c r="U1406" t="str" cm="1">
        <f t="array" ref="U1406">_xlfn.IFS(student_scores[[#This Row],[absence_days]]=0,"0", student_scores[[#This Row],[absence_days]]&lt;=3,"1-3", student_scores[[#This Row],[absence_days]]&lt;=6,"4-6", TRUE,"7-10")</f>
        <v>7-10</v>
      </c>
      <c r="V1406" t="str">
        <f>IF(student_scores[[#This Row],[Total_Score]] &gt;= _xlfn.PERCENTILE.INC(student_scores[Total_Score], 0.8), "Yes", "No")</f>
        <v>No</v>
      </c>
    </row>
    <row r="1407" spans="1:22" x14ac:dyDescent="0.35">
      <c r="A1407">
        <v>1406</v>
      </c>
      <c r="B1407" t="s">
        <v>861</v>
      </c>
      <c r="C1407" t="s">
        <v>707</v>
      </c>
      <c r="D1407" t="s">
        <v>2406</v>
      </c>
      <c r="E1407" t="s">
        <v>25</v>
      </c>
      <c r="F1407" t="b">
        <v>0</v>
      </c>
      <c r="G1407">
        <v>1</v>
      </c>
      <c r="H1407" t="b">
        <v>0</v>
      </c>
      <c r="I1407">
        <v>15</v>
      </c>
      <c r="J1407" t="s">
        <v>54</v>
      </c>
      <c r="K1407">
        <v>94</v>
      </c>
      <c r="L1407">
        <v>98</v>
      </c>
      <c r="M1407">
        <v>65</v>
      </c>
      <c r="N1407">
        <v>98</v>
      </c>
      <c r="O1407">
        <v>78</v>
      </c>
      <c r="P1407">
        <v>96</v>
      </c>
      <c r="Q1407">
        <v>86</v>
      </c>
      <c r="R1407">
        <f>SUM(student_scores[[#This Row],[math_score]:[geography_score]])</f>
        <v>615</v>
      </c>
      <c r="S1407" s="3">
        <f>student_scores[[#This Row],[Total_Score]]/7</f>
        <v>87.857142857142861</v>
      </c>
      <c r="T1407" s="3" t="str" cm="1">
        <f t="array" ref="T1407">_xlfn.IFS(student_scores[[#This Row],[weekly_self_study_hours]]&lt;=5,   "0 - 5", student_scores[[#This Row],[weekly_self_study_hours]]&lt;=10,  "6 - 10", student_scores[[#This Row],[weekly_self_study_hours]]&lt;=20,  "11 - 20",student_scores[[#This Row],[weekly_self_study_hours]]&lt;=30, "21 - 30",TRUE, "31+")</f>
        <v>11 - 20</v>
      </c>
      <c r="U1407" t="str" cm="1">
        <f t="array" ref="U1407">_xlfn.IFS(student_scores[[#This Row],[absence_days]]=0,"0", student_scores[[#This Row],[absence_days]]&lt;=3,"1-3", student_scores[[#This Row],[absence_days]]&lt;=6,"4-6", TRUE,"7-10")</f>
        <v>1-3</v>
      </c>
      <c r="V1407" t="str">
        <f>IF(student_scores[[#This Row],[Total_Score]] &gt;= _xlfn.PERCENTILE.INC(student_scores[Total_Score], 0.8), "Yes", "No")</f>
        <v>Yes</v>
      </c>
    </row>
    <row r="1408" spans="1:22" x14ac:dyDescent="0.35">
      <c r="A1408">
        <v>1407</v>
      </c>
      <c r="B1408" t="s">
        <v>465</v>
      </c>
      <c r="C1408" t="s">
        <v>639</v>
      </c>
      <c r="D1408" t="s">
        <v>2407</v>
      </c>
      <c r="E1408" t="s">
        <v>25</v>
      </c>
      <c r="F1408" t="b">
        <v>0</v>
      </c>
      <c r="G1408">
        <v>2</v>
      </c>
      <c r="H1408" t="b">
        <v>0</v>
      </c>
      <c r="I1408">
        <v>5</v>
      </c>
      <c r="J1408" t="s">
        <v>224</v>
      </c>
      <c r="K1408">
        <v>58</v>
      </c>
      <c r="L1408">
        <v>71</v>
      </c>
      <c r="M1408">
        <v>73</v>
      </c>
      <c r="N1408">
        <v>65</v>
      </c>
      <c r="O1408">
        <v>63</v>
      </c>
      <c r="P1408">
        <v>85</v>
      </c>
      <c r="Q1408">
        <v>64</v>
      </c>
      <c r="R1408">
        <f>SUM(student_scores[[#This Row],[math_score]:[geography_score]])</f>
        <v>479</v>
      </c>
      <c r="S1408" s="3">
        <f>student_scores[[#This Row],[Total_Score]]/7</f>
        <v>68.428571428571431</v>
      </c>
      <c r="T1408" s="3" t="str" cm="1">
        <f t="array" ref="T1408">_xlfn.IFS(student_scores[[#This Row],[weekly_self_study_hours]]&lt;=5,   "0 - 5", student_scores[[#This Row],[weekly_self_study_hours]]&lt;=10,  "6 - 10", student_scores[[#This Row],[weekly_self_study_hours]]&lt;=20,  "11 - 20",student_scores[[#This Row],[weekly_self_study_hours]]&lt;=30, "21 - 30",TRUE, "31+")</f>
        <v>0 - 5</v>
      </c>
      <c r="U1408" t="str" cm="1">
        <f t="array" ref="U1408">_xlfn.IFS(student_scores[[#This Row],[absence_days]]=0,"0", student_scores[[#This Row],[absence_days]]&lt;=3,"1-3", student_scores[[#This Row],[absence_days]]&lt;=6,"4-6", TRUE,"7-10")</f>
        <v>1-3</v>
      </c>
      <c r="V1408" t="str">
        <f>IF(student_scores[[#This Row],[Total_Score]] &gt;= _xlfn.PERCENTILE.INC(student_scores[Total_Score], 0.8), "Yes", "No")</f>
        <v>No</v>
      </c>
    </row>
    <row r="1409" spans="1:22" x14ac:dyDescent="0.35">
      <c r="A1409">
        <v>1408</v>
      </c>
      <c r="B1409" t="s">
        <v>89</v>
      </c>
      <c r="C1409" t="s">
        <v>1130</v>
      </c>
      <c r="D1409" t="s">
        <v>2408</v>
      </c>
      <c r="E1409" t="s">
        <v>20</v>
      </c>
      <c r="F1409" t="b">
        <v>0</v>
      </c>
      <c r="G1409">
        <v>3</v>
      </c>
      <c r="H1409" t="b">
        <v>0</v>
      </c>
      <c r="I1409">
        <v>29</v>
      </c>
      <c r="J1409" t="s">
        <v>38</v>
      </c>
      <c r="K1409">
        <v>61</v>
      </c>
      <c r="L1409">
        <v>86</v>
      </c>
      <c r="M1409">
        <v>78</v>
      </c>
      <c r="N1409">
        <v>80</v>
      </c>
      <c r="O1409">
        <v>94</v>
      </c>
      <c r="P1409">
        <v>60</v>
      </c>
      <c r="Q1409">
        <v>88</v>
      </c>
      <c r="R1409">
        <f>SUM(student_scores[[#This Row],[math_score]:[geography_score]])</f>
        <v>547</v>
      </c>
      <c r="S1409" s="3">
        <f>student_scores[[#This Row],[Total_Score]]/7</f>
        <v>78.142857142857139</v>
      </c>
      <c r="T1409" s="3" t="str" cm="1">
        <f t="array" ref="T1409">_xlfn.IFS(student_scores[[#This Row],[weekly_self_study_hours]]&lt;=5,   "0 - 5", student_scores[[#This Row],[weekly_self_study_hours]]&lt;=10,  "6 - 10", student_scores[[#This Row],[weekly_self_study_hours]]&lt;=20,  "11 - 20",student_scores[[#This Row],[weekly_self_study_hours]]&lt;=30, "21 - 30",TRUE, "31+")</f>
        <v>21 - 30</v>
      </c>
      <c r="U1409" t="str" cm="1">
        <f t="array" ref="U1409">_xlfn.IFS(student_scores[[#This Row],[absence_days]]=0,"0", student_scores[[#This Row],[absence_days]]&lt;=3,"1-3", student_scores[[#This Row],[absence_days]]&lt;=6,"4-6", TRUE,"7-10")</f>
        <v>1-3</v>
      </c>
      <c r="V1409" t="str">
        <f>IF(student_scores[[#This Row],[Total_Score]] &gt;= _xlfn.PERCENTILE.INC(student_scores[Total_Score], 0.8), "Yes", "No")</f>
        <v>No</v>
      </c>
    </row>
    <row r="1410" spans="1:22" x14ac:dyDescent="0.35">
      <c r="A1410">
        <v>1409</v>
      </c>
      <c r="B1410" t="s">
        <v>627</v>
      </c>
      <c r="C1410" t="s">
        <v>658</v>
      </c>
      <c r="D1410" t="s">
        <v>2409</v>
      </c>
      <c r="E1410" t="s">
        <v>25</v>
      </c>
      <c r="F1410" t="b">
        <v>1</v>
      </c>
      <c r="G1410">
        <v>1</v>
      </c>
      <c r="H1410" t="b">
        <v>0</v>
      </c>
      <c r="I1410">
        <v>28</v>
      </c>
      <c r="J1410" t="s">
        <v>26</v>
      </c>
      <c r="K1410">
        <v>89</v>
      </c>
      <c r="L1410">
        <v>76</v>
      </c>
      <c r="M1410">
        <v>100</v>
      </c>
      <c r="N1410">
        <v>100</v>
      </c>
      <c r="O1410">
        <v>99</v>
      </c>
      <c r="P1410">
        <v>68</v>
      </c>
      <c r="Q1410">
        <v>79</v>
      </c>
      <c r="R1410">
        <f>SUM(student_scores[[#This Row],[math_score]:[geography_score]])</f>
        <v>611</v>
      </c>
      <c r="S1410" s="3">
        <f>student_scores[[#This Row],[Total_Score]]/7</f>
        <v>87.285714285714292</v>
      </c>
      <c r="T1410" s="3" t="str" cm="1">
        <f t="array" ref="T1410">_xlfn.IFS(student_scores[[#This Row],[weekly_self_study_hours]]&lt;=5,   "0 - 5", student_scores[[#This Row],[weekly_self_study_hours]]&lt;=10,  "6 - 10", student_scores[[#This Row],[weekly_self_study_hours]]&lt;=20,  "11 - 20",student_scores[[#This Row],[weekly_self_study_hours]]&lt;=30, "21 - 30",TRUE, "31+")</f>
        <v>21 - 30</v>
      </c>
      <c r="U1410" t="str" cm="1">
        <f t="array" ref="U1410">_xlfn.IFS(student_scores[[#This Row],[absence_days]]=0,"0", student_scores[[#This Row],[absence_days]]&lt;=3,"1-3", student_scores[[#This Row],[absence_days]]&lt;=6,"4-6", TRUE,"7-10")</f>
        <v>1-3</v>
      </c>
      <c r="V1410" t="str">
        <f>IF(student_scores[[#This Row],[Total_Score]] &gt;= _xlfn.PERCENTILE.INC(student_scores[Total_Score], 0.8), "Yes", "No")</f>
        <v>Yes</v>
      </c>
    </row>
    <row r="1411" spans="1:22" x14ac:dyDescent="0.35">
      <c r="A1411">
        <v>1410</v>
      </c>
      <c r="B1411" t="s">
        <v>146</v>
      </c>
      <c r="C1411" t="s">
        <v>660</v>
      </c>
      <c r="D1411" t="s">
        <v>2410</v>
      </c>
      <c r="E1411" t="s">
        <v>25</v>
      </c>
      <c r="F1411" t="b">
        <v>1</v>
      </c>
      <c r="G1411">
        <v>9</v>
      </c>
      <c r="H1411" t="b">
        <v>0</v>
      </c>
      <c r="I1411">
        <v>1</v>
      </c>
      <c r="J1411" t="s">
        <v>64</v>
      </c>
      <c r="K1411">
        <v>96</v>
      </c>
      <c r="L1411">
        <v>58</v>
      </c>
      <c r="M1411">
        <v>65</v>
      </c>
      <c r="N1411">
        <v>62</v>
      </c>
      <c r="O1411">
        <v>76</v>
      </c>
      <c r="P1411">
        <v>93</v>
      </c>
      <c r="Q1411">
        <v>77</v>
      </c>
      <c r="R1411">
        <f>SUM(student_scores[[#This Row],[math_score]:[geography_score]])</f>
        <v>527</v>
      </c>
      <c r="S1411" s="3">
        <f>student_scores[[#This Row],[Total_Score]]/7</f>
        <v>75.285714285714292</v>
      </c>
      <c r="T1411" s="3" t="str" cm="1">
        <f t="array" ref="T1411">_xlfn.IFS(student_scores[[#This Row],[weekly_self_study_hours]]&lt;=5,   "0 - 5", student_scores[[#This Row],[weekly_self_study_hours]]&lt;=10,  "6 - 10", student_scores[[#This Row],[weekly_self_study_hours]]&lt;=20,  "11 - 20",student_scores[[#This Row],[weekly_self_study_hours]]&lt;=30, "21 - 30",TRUE, "31+")</f>
        <v>0 - 5</v>
      </c>
      <c r="U1411" t="str" cm="1">
        <f t="array" ref="U1411">_xlfn.IFS(student_scores[[#This Row],[absence_days]]=0,"0", student_scores[[#This Row],[absence_days]]&lt;=3,"1-3", student_scores[[#This Row],[absence_days]]&lt;=6,"4-6", TRUE,"7-10")</f>
        <v>7-10</v>
      </c>
      <c r="V1411" t="str">
        <f>IF(student_scores[[#This Row],[Total_Score]] &gt;= _xlfn.PERCENTILE.INC(student_scores[Total_Score], 0.8), "Yes", "No")</f>
        <v>No</v>
      </c>
    </row>
    <row r="1412" spans="1:22" x14ac:dyDescent="0.35">
      <c r="A1412">
        <v>1411</v>
      </c>
      <c r="B1412" t="s">
        <v>417</v>
      </c>
      <c r="C1412" t="s">
        <v>87</v>
      </c>
      <c r="D1412" t="s">
        <v>2411</v>
      </c>
      <c r="E1412" t="s">
        <v>25</v>
      </c>
      <c r="F1412" t="b">
        <v>0</v>
      </c>
      <c r="G1412">
        <v>2</v>
      </c>
      <c r="H1412" t="b">
        <v>0</v>
      </c>
      <c r="I1412">
        <v>22</v>
      </c>
      <c r="J1412" t="s">
        <v>26</v>
      </c>
      <c r="K1412">
        <v>96</v>
      </c>
      <c r="L1412">
        <v>73</v>
      </c>
      <c r="M1412">
        <v>80</v>
      </c>
      <c r="N1412">
        <v>99</v>
      </c>
      <c r="O1412">
        <v>91</v>
      </c>
      <c r="P1412">
        <v>82</v>
      </c>
      <c r="Q1412">
        <v>91</v>
      </c>
      <c r="R1412">
        <f>SUM(student_scores[[#This Row],[math_score]:[geography_score]])</f>
        <v>612</v>
      </c>
      <c r="S1412" s="3">
        <f>student_scores[[#This Row],[Total_Score]]/7</f>
        <v>87.428571428571431</v>
      </c>
      <c r="T1412" s="3" t="str" cm="1">
        <f t="array" ref="T1412">_xlfn.IFS(student_scores[[#This Row],[weekly_self_study_hours]]&lt;=5,   "0 - 5", student_scores[[#This Row],[weekly_self_study_hours]]&lt;=10,  "6 - 10", student_scores[[#This Row],[weekly_self_study_hours]]&lt;=20,  "11 - 20",student_scores[[#This Row],[weekly_self_study_hours]]&lt;=30, "21 - 30",TRUE, "31+")</f>
        <v>21 - 30</v>
      </c>
      <c r="U1412" t="str" cm="1">
        <f t="array" ref="U1412">_xlfn.IFS(student_scores[[#This Row],[absence_days]]=0,"0", student_scores[[#This Row],[absence_days]]&lt;=3,"1-3", student_scores[[#This Row],[absence_days]]&lt;=6,"4-6", TRUE,"7-10")</f>
        <v>1-3</v>
      </c>
      <c r="V1412" t="str">
        <f>IF(student_scores[[#This Row],[Total_Score]] &gt;= _xlfn.PERCENTILE.INC(student_scores[Total_Score], 0.8), "Yes", "No")</f>
        <v>Yes</v>
      </c>
    </row>
    <row r="1413" spans="1:22" x14ac:dyDescent="0.35">
      <c r="A1413">
        <v>1412</v>
      </c>
      <c r="B1413" t="s">
        <v>473</v>
      </c>
      <c r="C1413" t="s">
        <v>2412</v>
      </c>
      <c r="D1413" t="s">
        <v>2413</v>
      </c>
      <c r="E1413" t="s">
        <v>20</v>
      </c>
      <c r="F1413" t="b">
        <v>0</v>
      </c>
      <c r="G1413">
        <v>6</v>
      </c>
      <c r="H1413" t="b">
        <v>0</v>
      </c>
      <c r="I1413">
        <v>21</v>
      </c>
      <c r="J1413" t="s">
        <v>38</v>
      </c>
      <c r="K1413">
        <v>60</v>
      </c>
      <c r="L1413">
        <v>88</v>
      </c>
      <c r="M1413">
        <v>75</v>
      </c>
      <c r="N1413">
        <v>86</v>
      </c>
      <c r="O1413">
        <v>72</v>
      </c>
      <c r="P1413">
        <v>80</v>
      </c>
      <c r="Q1413">
        <v>69</v>
      </c>
      <c r="R1413">
        <f>SUM(student_scores[[#This Row],[math_score]:[geography_score]])</f>
        <v>530</v>
      </c>
      <c r="S1413" s="3">
        <f>student_scores[[#This Row],[Total_Score]]/7</f>
        <v>75.714285714285708</v>
      </c>
      <c r="T1413" s="3" t="str" cm="1">
        <f t="array" ref="T1413">_xlfn.IFS(student_scores[[#This Row],[weekly_self_study_hours]]&lt;=5,   "0 - 5", student_scores[[#This Row],[weekly_self_study_hours]]&lt;=10,  "6 - 10", student_scores[[#This Row],[weekly_self_study_hours]]&lt;=20,  "11 - 20",student_scores[[#This Row],[weekly_self_study_hours]]&lt;=30, "21 - 30",TRUE, "31+")</f>
        <v>21 - 30</v>
      </c>
      <c r="U1413" t="str" cm="1">
        <f t="array" ref="U1413">_xlfn.IFS(student_scores[[#This Row],[absence_days]]=0,"0", student_scores[[#This Row],[absence_days]]&lt;=3,"1-3", student_scores[[#This Row],[absence_days]]&lt;=6,"4-6", TRUE,"7-10")</f>
        <v>4-6</v>
      </c>
      <c r="V1413" t="str">
        <f>IF(student_scores[[#This Row],[Total_Score]] &gt;= _xlfn.PERCENTILE.INC(student_scores[Total_Score], 0.8), "Yes", "No")</f>
        <v>No</v>
      </c>
    </row>
    <row r="1414" spans="1:22" x14ac:dyDescent="0.35">
      <c r="A1414">
        <v>1413</v>
      </c>
      <c r="B1414" t="s">
        <v>280</v>
      </c>
      <c r="C1414" t="s">
        <v>135</v>
      </c>
      <c r="D1414" t="s">
        <v>2414</v>
      </c>
      <c r="E1414" t="s">
        <v>20</v>
      </c>
      <c r="F1414" t="b">
        <v>0</v>
      </c>
      <c r="G1414">
        <v>2</v>
      </c>
      <c r="H1414" t="b">
        <v>0</v>
      </c>
      <c r="I1414">
        <v>34</v>
      </c>
      <c r="J1414" t="s">
        <v>44</v>
      </c>
      <c r="K1414">
        <v>93</v>
      </c>
      <c r="L1414">
        <v>65</v>
      </c>
      <c r="M1414">
        <v>81</v>
      </c>
      <c r="N1414">
        <v>94</v>
      </c>
      <c r="O1414">
        <v>92</v>
      </c>
      <c r="P1414">
        <v>60</v>
      </c>
      <c r="Q1414">
        <v>100</v>
      </c>
      <c r="R1414">
        <f>SUM(student_scores[[#This Row],[math_score]:[geography_score]])</f>
        <v>585</v>
      </c>
      <c r="S1414" s="3">
        <f>student_scores[[#This Row],[Total_Score]]/7</f>
        <v>83.571428571428569</v>
      </c>
      <c r="T1414" s="3" t="str" cm="1">
        <f t="array" ref="T1414">_xlfn.IFS(student_scores[[#This Row],[weekly_self_study_hours]]&lt;=5,   "0 - 5", student_scores[[#This Row],[weekly_self_study_hours]]&lt;=10,  "6 - 10", student_scores[[#This Row],[weekly_self_study_hours]]&lt;=20,  "11 - 20",student_scores[[#This Row],[weekly_self_study_hours]]&lt;=30, "21 - 30",TRUE, "31+")</f>
        <v>31+</v>
      </c>
      <c r="U1414" t="str" cm="1">
        <f t="array" ref="U1414">_xlfn.IFS(student_scores[[#This Row],[absence_days]]=0,"0", student_scores[[#This Row],[absence_days]]&lt;=3,"1-3", student_scores[[#This Row],[absence_days]]&lt;=6,"4-6", TRUE,"7-10")</f>
        <v>1-3</v>
      </c>
      <c r="V1414" t="str">
        <f>IF(student_scores[[#This Row],[Total_Score]] &gt;= _xlfn.PERCENTILE.INC(student_scores[Total_Score], 0.8), "Yes", "No")</f>
        <v>No</v>
      </c>
    </row>
    <row r="1415" spans="1:22" x14ac:dyDescent="0.35">
      <c r="A1415">
        <v>1414</v>
      </c>
      <c r="B1415" t="s">
        <v>568</v>
      </c>
      <c r="C1415" t="s">
        <v>406</v>
      </c>
      <c r="D1415" t="s">
        <v>2415</v>
      </c>
      <c r="E1415" t="s">
        <v>20</v>
      </c>
      <c r="F1415" t="b">
        <v>0</v>
      </c>
      <c r="G1415">
        <v>3</v>
      </c>
      <c r="H1415" t="b">
        <v>0</v>
      </c>
      <c r="I1415">
        <v>33</v>
      </c>
      <c r="J1415" t="s">
        <v>172</v>
      </c>
      <c r="K1415">
        <v>93</v>
      </c>
      <c r="L1415">
        <v>63</v>
      </c>
      <c r="M1415">
        <v>69</v>
      </c>
      <c r="N1415">
        <v>97</v>
      </c>
      <c r="O1415">
        <v>64</v>
      </c>
      <c r="P1415">
        <v>82</v>
      </c>
      <c r="Q1415">
        <v>83</v>
      </c>
      <c r="R1415">
        <f>SUM(student_scores[[#This Row],[math_score]:[geography_score]])</f>
        <v>551</v>
      </c>
      <c r="S1415" s="3">
        <f>student_scores[[#This Row],[Total_Score]]/7</f>
        <v>78.714285714285708</v>
      </c>
      <c r="T1415" s="3" t="str" cm="1">
        <f t="array" ref="T1415">_xlfn.IFS(student_scores[[#This Row],[weekly_self_study_hours]]&lt;=5,   "0 - 5", student_scores[[#This Row],[weekly_self_study_hours]]&lt;=10,  "6 - 10", student_scores[[#This Row],[weekly_self_study_hours]]&lt;=20,  "11 - 20",student_scores[[#This Row],[weekly_self_study_hours]]&lt;=30, "21 - 30",TRUE, "31+")</f>
        <v>31+</v>
      </c>
      <c r="U1415" t="str" cm="1">
        <f t="array" ref="U1415">_xlfn.IFS(student_scores[[#This Row],[absence_days]]=0,"0", student_scores[[#This Row],[absence_days]]&lt;=3,"1-3", student_scores[[#This Row],[absence_days]]&lt;=6,"4-6", TRUE,"7-10")</f>
        <v>1-3</v>
      </c>
      <c r="V1415" t="str">
        <f>IF(student_scores[[#This Row],[Total_Score]] &gt;= _xlfn.PERCENTILE.INC(student_scores[Total_Score], 0.8), "Yes", "No")</f>
        <v>No</v>
      </c>
    </row>
    <row r="1416" spans="1:22" x14ac:dyDescent="0.35">
      <c r="A1416">
        <v>1415</v>
      </c>
      <c r="B1416" t="s">
        <v>534</v>
      </c>
      <c r="C1416" t="s">
        <v>1202</v>
      </c>
      <c r="D1416" t="s">
        <v>2416</v>
      </c>
      <c r="E1416" t="s">
        <v>25</v>
      </c>
      <c r="F1416" t="b">
        <v>0</v>
      </c>
      <c r="G1416">
        <v>10</v>
      </c>
      <c r="H1416" t="b">
        <v>1</v>
      </c>
      <c r="I1416">
        <v>3</v>
      </c>
      <c r="J1416" t="s">
        <v>64</v>
      </c>
      <c r="K1416">
        <v>58</v>
      </c>
      <c r="L1416">
        <v>65</v>
      </c>
      <c r="M1416">
        <v>72</v>
      </c>
      <c r="N1416">
        <v>98</v>
      </c>
      <c r="O1416">
        <v>56</v>
      </c>
      <c r="P1416">
        <v>59</v>
      </c>
      <c r="Q1416">
        <v>81</v>
      </c>
      <c r="R1416">
        <f>SUM(student_scores[[#This Row],[math_score]:[geography_score]])</f>
        <v>489</v>
      </c>
      <c r="S1416" s="3">
        <f>student_scores[[#This Row],[Total_Score]]/7</f>
        <v>69.857142857142861</v>
      </c>
      <c r="T1416" s="3" t="str" cm="1">
        <f t="array" ref="T1416">_xlfn.IFS(student_scores[[#This Row],[weekly_self_study_hours]]&lt;=5,   "0 - 5", student_scores[[#This Row],[weekly_self_study_hours]]&lt;=10,  "6 - 10", student_scores[[#This Row],[weekly_self_study_hours]]&lt;=20,  "11 - 20",student_scores[[#This Row],[weekly_self_study_hours]]&lt;=30, "21 - 30",TRUE, "31+")</f>
        <v>0 - 5</v>
      </c>
      <c r="U1416" t="str" cm="1">
        <f t="array" ref="U1416">_xlfn.IFS(student_scores[[#This Row],[absence_days]]=0,"0", student_scores[[#This Row],[absence_days]]&lt;=3,"1-3", student_scores[[#This Row],[absence_days]]&lt;=6,"4-6", TRUE,"7-10")</f>
        <v>7-10</v>
      </c>
      <c r="V1416" t="str">
        <f>IF(student_scores[[#This Row],[Total_Score]] &gt;= _xlfn.PERCENTILE.INC(student_scores[Total_Score], 0.8), "Yes", "No")</f>
        <v>No</v>
      </c>
    </row>
    <row r="1417" spans="1:22" x14ac:dyDescent="0.35">
      <c r="A1417">
        <v>1416</v>
      </c>
      <c r="B1417" t="s">
        <v>68</v>
      </c>
      <c r="C1417" t="s">
        <v>735</v>
      </c>
      <c r="D1417" t="s">
        <v>2417</v>
      </c>
      <c r="E1417" t="s">
        <v>25</v>
      </c>
      <c r="F1417" t="b">
        <v>1</v>
      </c>
      <c r="G1417">
        <v>1</v>
      </c>
      <c r="H1417" t="b">
        <v>0</v>
      </c>
      <c r="I1417">
        <v>0</v>
      </c>
      <c r="J1417" t="s">
        <v>64</v>
      </c>
      <c r="K1417">
        <v>73</v>
      </c>
      <c r="L1417">
        <v>85</v>
      </c>
      <c r="M1417">
        <v>84</v>
      </c>
      <c r="N1417">
        <v>88</v>
      </c>
      <c r="O1417">
        <v>78</v>
      </c>
      <c r="P1417">
        <v>87</v>
      </c>
      <c r="Q1417">
        <v>76</v>
      </c>
      <c r="R1417">
        <f>SUM(student_scores[[#This Row],[math_score]:[geography_score]])</f>
        <v>571</v>
      </c>
      <c r="S1417" s="3">
        <f>student_scores[[#This Row],[Total_Score]]/7</f>
        <v>81.571428571428569</v>
      </c>
      <c r="T1417" s="3" t="str" cm="1">
        <f t="array" ref="T1417">_xlfn.IFS(student_scores[[#This Row],[weekly_self_study_hours]]&lt;=5,   "0 - 5", student_scores[[#This Row],[weekly_self_study_hours]]&lt;=10,  "6 - 10", student_scores[[#This Row],[weekly_self_study_hours]]&lt;=20,  "11 - 20",student_scores[[#This Row],[weekly_self_study_hours]]&lt;=30, "21 - 30",TRUE, "31+")</f>
        <v>0 - 5</v>
      </c>
      <c r="U1417" t="str" cm="1">
        <f t="array" ref="U1417">_xlfn.IFS(student_scores[[#This Row],[absence_days]]=0,"0", student_scores[[#This Row],[absence_days]]&lt;=3,"1-3", student_scores[[#This Row],[absence_days]]&lt;=6,"4-6", TRUE,"7-10")</f>
        <v>1-3</v>
      </c>
      <c r="V1417" t="str">
        <f>IF(student_scores[[#This Row],[Total_Score]] &gt;= _xlfn.PERCENTILE.INC(student_scores[Total_Score], 0.8), "Yes", "No")</f>
        <v>No</v>
      </c>
    </row>
    <row r="1418" spans="1:22" x14ac:dyDescent="0.35">
      <c r="A1418">
        <v>1417</v>
      </c>
      <c r="B1418" t="s">
        <v>676</v>
      </c>
      <c r="C1418" t="s">
        <v>66</v>
      </c>
      <c r="D1418" t="s">
        <v>2418</v>
      </c>
      <c r="E1418" t="s">
        <v>20</v>
      </c>
      <c r="F1418" t="b">
        <v>0</v>
      </c>
      <c r="G1418">
        <v>9</v>
      </c>
      <c r="H1418" t="b">
        <v>0</v>
      </c>
      <c r="I1418">
        <v>3</v>
      </c>
      <c r="J1418" t="s">
        <v>64</v>
      </c>
      <c r="K1418">
        <v>93</v>
      </c>
      <c r="L1418">
        <v>51</v>
      </c>
      <c r="M1418">
        <v>58</v>
      </c>
      <c r="N1418">
        <v>70</v>
      </c>
      <c r="O1418">
        <v>63</v>
      </c>
      <c r="P1418">
        <v>64</v>
      </c>
      <c r="Q1418">
        <v>89</v>
      </c>
      <c r="R1418">
        <f>SUM(student_scores[[#This Row],[math_score]:[geography_score]])</f>
        <v>488</v>
      </c>
      <c r="S1418" s="3">
        <f>student_scores[[#This Row],[Total_Score]]/7</f>
        <v>69.714285714285708</v>
      </c>
      <c r="T1418" s="3" t="str" cm="1">
        <f t="array" ref="T1418">_xlfn.IFS(student_scores[[#This Row],[weekly_self_study_hours]]&lt;=5,   "0 - 5", student_scores[[#This Row],[weekly_self_study_hours]]&lt;=10,  "6 - 10", student_scores[[#This Row],[weekly_self_study_hours]]&lt;=20,  "11 - 20",student_scores[[#This Row],[weekly_self_study_hours]]&lt;=30, "21 - 30",TRUE, "31+")</f>
        <v>0 - 5</v>
      </c>
      <c r="U1418" t="str" cm="1">
        <f t="array" ref="U1418">_xlfn.IFS(student_scores[[#This Row],[absence_days]]=0,"0", student_scores[[#This Row],[absence_days]]&lt;=3,"1-3", student_scores[[#This Row],[absence_days]]&lt;=6,"4-6", TRUE,"7-10")</f>
        <v>7-10</v>
      </c>
      <c r="V1418" t="str">
        <f>IF(student_scores[[#This Row],[Total_Score]] &gt;= _xlfn.PERCENTILE.INC(student_scores[Total_Score], 0.8), "Yes", "No")</f>
        <v>No</v>
      </c>
    </row>
    <row r="1419" spans="1:22" x14ac:dyDescent="0.35">
      <c r="A1419">
        <v>1418</v>
      </c>
      <c r="B1419" t="s">
        <v>2419</v>
      </c>
      <c r="C1419" t="s">
        <v>1254</v>
      </c>
      <c r="D1419" t="s">
        <v>2420</v>
      </c>
      <c r="E1419" t="s">
        <v>25</v>
      </c>
      <c r="F1419" t="b">
        <v>0</v>
      </c>
      <c r="G1419">
        <v>0</v>
      </c>
      <c r="H1419" t="b">
        <v>0</v>
      </c>
      <c r="I1419">
        <v>20</v>
      </c>
      <c r="J1419" t="s">
        <v>113</v>
      </c>
      <c r="K1419">
        <v>92</v>
      </c>
      <c r="L1419">
        <v>66</v>
      </c>
      <c r="M1419">
        <v>77</v>
      </c>
      <c r="N1419">
        <v>96</v>
      </c>
      <c r="O1419">
        <v>92</v>
      </c>
      <c r="P1419">
        <v>62</v>
      </c>
      <c r="Q1419">
        <v>90</v>
      </c>
      <c r="R1419">
        <f>SUM(student_scores[[#This Row],[math_score]:[geography_score]])</f>
        <v>575</v>
      </c>
      <c r="S1419" s="3">
        <f>student_scores[[#This Row],[Total_Score]]/7</f>
        <v>82.142857142857139</v>
      </c>
      <c r="T1419" s="3" t="str" cm="1">
        <f t="array" ref="T1419">_xlfn.IFS(student_scores[[#This Row],[weekly_self_study_hours]]&lt;=5,   "0 - 5", student_scores[[#This Row],[weekly_self_study_hours]]&lt;=10,  "6 - 10", student_scores[[#This Row],[weekly_self_study_hours]]&lt;=20,  "11 - 20",student_scores[[#This Row],[weekly_self_study_hours]]&lt;=30, "21 - 30",TRUE, "31+")</f>
        <v>11 - 20</v>
      </c>
      <c r="U1419" t="str" cm="1">
        <f t="array" ref="U1419">_xlfn.IFS(student_scores[[#This Row],[absence_days]]=0,"0", student_scores[[#This Row],[absence_days]]&lt;=3,"1-3", student_scores[[#This Row],[absence_days]]&lt;=6,"4-6", TRUE,"7-10")</f>
        <v>0</v>
      </c>
      <c r="V1419" t="str">
        <f>IF(student_scores[[#This Row],[Total_Score]] &gt;= _xlfn.PERCENTILE.INC(student_scores[Total_Score], 0.8), "Yes", "No")</f>
        <v>No</v>
      </c>
    </row>
    <row r="1420" spans="1:22" x14ac:dyDescent="0.35">
      <c r="A1420">
        <v>1419</v>
      </c>
      <c r="B1420" t="s">
        <v>102</v>
      </c>
      <c r="C1420" t="s">
        <v>520</v>
      </c>
      <c r="D1420" t="s">
        <v>2421</v>
      </c>
      <c r="E1420" t="s">
        <v>20</v>
      </c>
      <c r="F1420" t="b">
        <v>0</v>
      </c>
      <c r="G1420">
        <v>1</v>
      </c>
      <c r="H1420" t="b">
        <v>0</v>
      </c>
      <c r="I1420">
        <v>18</v>
      </c>
      <c r="J1420" t="s">
        <v>44</v>
      </c>
      <c r="K1420">
        <v>99</v>
      </c>
      <c r="L1420">
        <v>99</v>
      </c>
      <c r="M1420">
        <v>69</v>
      </c>
      <c r="N1420">
        <v>92</v>
      </c>
      <c r="O1420">
        <v>95</v>
      </c>
      <c r="P1420">
        <v>79</v>
      </c>
      <c r="Q1420">
        <v>81</v>
      </c>
      <c r="R1420">
        <f>SUM(student_scores[[#This Row],[math_score]:[geography_score]])</f>
        <v>614</v>
      </c>
      <c r="S1420" s="3">
        <f>student_scores[[#This Row],[Total_Score]]/7</f>
        <v>87.714285714285708</v>
      </c>
      <c r="T1420" s="3" t="str" cm="1">
        <f t="array" ref="T1420">_xlfn.IFS(student_scores[[#This Row],[weekly_self_study_hours]]&lt;=5,   "0 - 5", student_scores[[#This Row],[weekly_self_study_hours]]&lt;=10,  "6 - 10", student_scores[[#This Row],[weekly_self_study_hours]]&lt;=20,  "11 - 20",student_scores[[#This Row],[weekly_self_study_hours]]&lt;=30, "21 - 30",TRUE, "31+")</f>
        <v>11 - 20</v>
      </c>
      <c r="U1420" t="str" cm="1">
        <f t="array" ref="U1420">_xlfn.IFS(student_scores[[#This Row],[absence_days]]=0,"0", student_scores[[#This Row],[absence_days]]&lt;=3,"1-3", student_scores[[#This Row],[absence_days]]&lt;=6,"4-6", TRUE,"7-10")</f>
        <v>1-3</v>
      </c>
      <c r="V1420" t="str">
        <f>IF(student_scores[[#This Row],[Total_Score]] &gt;= _xlfn.PERCENTILE.INC(student_scores[Total_Score], 0.8), "Yes", "No")</f>
        <v>Yes</v>
      </c>
    </row>
    <row r="1421" spans="1:22" x14ac:dyDescent="0.35">
      <c r="A1421">
        <v>1420</v>
      </c>
      <c r="B1421" t="s">
        <v>1267</v>
      </c>
      <c r="C1421" t="s">
        <v>2422</v>
      </c>
      <c r="D1421" t="s">
        <v>2423</v>
      </c>
      <c r="E1421" t="s">
        <v>25</v>
      </c>
      <c r="F1421" t="b">
        <v>0</v>
      </c>
      <c r="G1421">
        <v>1</v>
      </c>
      <c r="H1421" t="b">
        <v>0</v>
      </c>
      <c r="I1421">
        <v>35</v>
      </c>
      <c r="J1421" t="s">
        <v>123</v>
      </c>
      <c r="K1421">
        <v>99</v>
      </c>
      <c r="L1421">
        <v>96</v>
      </c>
      <c r="M1421">
        <v>99</v>
      </c>
      <c r="N1421">
        <v>91</v>
      </c>
      <c r="O1421">
        <v>94</v>
      </c>
      <c r="P1421">
        <v>92</v>
      </c>
      <c r="Q1421">
        <v>99</v>
      </c>
      <c r="R1421">
        <f>SUM(student_scores[[#This Row],[math_score]:[geography_score]])</f>
        <v>670</v>
      </c>
      <c r="S1421" s="3">
        <f>student_scores[[#This Row],[Total_Score]]/7</f>
        <v>95.714285714285708</v>
      </c>
      <c r="T1421" s="3" t="str" cm="1">
        <f t="array" ref="T1421">_xlfn.IFS(student_scores[[#This Row],[weekly_self_study_hours]]&lt;=5,   "0 - 5", student_scores[[#This Row],[weekly_self_study_hours]]&lt;=10,  "6 - 10", student_scores[[#This Row],[weekly_self_study_hours]]&lt;=20,  "11 - 20",student_scores[[#This Row],[weekly_self_study_hours]]&lt;=30, "21 - 30",TRUE, "31+")</f>
        <v>31+</v>
      </c>
      <c r="U1421" t="str" cm="1">
        <f t="array" ref="U1421">_xlfn.IFS(student_scores[[#This Row],[absence_days]]=0,"0", student_scores[[#This Row],[absence_days]]&lt;=3,"1-3", student_scores[[#This Row],[absence_days]]&lt;=6,"4-6", TRUE,"7-10")</f>
        <v>1-3</v>
      </c>
      <c r="V1421" t="str">
        <f>IF(student_scores[[#This Row],[Total_Score]] &gt;= _xlfn.PERCENTILE.INC(student_scores[Total_Score], 0.8), "Yes", "No")</f>
        <v>Yes</v>
      </c>
    </row>
    <row r="1422" spans="1:22" x14ac:dyDescent="0.35">
      <c r="A1422">
        <v>1421</v>
      </c>
      <c r="B1422" t="s">
        <v>1815</v>
      </c>
      <c r="C1422" t="s">
        <v>594</v>
      </c>
      <c r="D1422" t="s">
        <v>2424</v>
      </c>
      <c r="E1422" t="s">
        <v>25</v>
      </c>
      <c r="F1422" t="b">
        <v>0</v>
      </c>
      <c r="G1422">
        <v>2</v>
      </c>
      <c r="H1422" t="b">
        <v>0</v>
      </c>
      <c r="I1422">
        <v>3</v>
      </c>
      <c r="J1422" t="s">
        <v>64</v>
      </c>
      <c r="K1422">
        <v>73</v>
      </c>
      <c r="L1422">
        <v>70</v>
      </c>
      <c r="M1422">
        <v>80</v>
      </c>
      <c r="N1422">
        <v>74</v>
      </c>
      <c r="O1422">
        <v>71</v>
      </c>
      <c r="P1422">
        <v>90</v>
      </c>
      <c r="Q1422">
        <v>80</v>
      </c>
      <c r="R1422">
        <f>SUM(student_scores[[#This Row],[math_score]:[geography_score]])</f>
        <v>538</v>
      </c>
      <c r="S1422" s="3">
        <f>student_scores[[#This Row],[Total_Score]]/7</f>
        <v>76.857142857142861</v>
      </c>
      <c r="T1422" s="3" t="str" cm="1">
        <f t="array" ref="T1422">_xlfn.IFS(student_scores[[#This Row],[weekly_self_study_hours]]&lt;=5,   "0 - 5", student_scores[[#This Row],[weekly_self_study_hours]]&lt;=10,  "6 - 10", student_scores[[#This Row],[weekly_self_study_hours]]&lt;=20,  "11 - 20",student_scores[[#This Row],[weekly_self_study_hours]]&lt;=30, "21 - 30",TRUE, "31+")</f>
        <v>0 - 5</v>
      </c>
      <c r="U1422" t="str" cm="1">
        <f t="array" ref="U1422">_xlfn.IFS(student_scores[[#This Row],[absence_days]]=0,"0", student_scores[[#This Row],[absence_days]]&lt;=3,"1-3", student_scores[[#This Row],[absence_days]]&lt;=6,"4-6", TRUE,"7-10")</f>
        <v>1-3</v>
      </c>
      <c r="V1422" t="str">
        <f>IF(student_scores[[#This Row],[Total_Score]] &gt;= _xlfn.PERCENTILE.INC(student_scores[Total_Score], 0.8), "Yes", "No")</f>
        <v>No</v>
      </c>
    </row>
    <row r="1423" spans="1:22" x14ac:dyDescent="0.35">
      <c r="A1423">
        <v>1422</v>
      </c>
      <c r="B1423" t="s">
        <v>2425</v>
      </c>
      <c r="C1423" t="s">
        <v>178</v>
      </c>
      <c r="D1423" t="s">
        <v>2426</v>
      </c>
      <c r="E1423" t="s">
        <v>25</v>
      </c>
      <c r="F1423" t="b">
        <v>0</v>
      </c>
      <c r="G1423">
        <v>1</v>
      </c>
      <c r="H1423" t="b">
        <v>0</v>
      </c>
      <c r="I1423">
        <v>27</v>
      </c>
      <c r="J1423" t="s">
        <v>38</v>
      </c>
      <c r="K1423">
        <v>87</v>
      </c>
      <c r="L1423">
        <v>91</v>
      </c>
      <c r="M1423">
        <v>92</v>
      </c>
      <c r="N1423">
        <v>66</v>
      </c>
      <c r="O1423">
        <v>62</v>
      </c>
      <c r="P1423">
        <v>89</v>
      </c>
      <c r="Q1423">
        <v>76</v>
      </c>
      <c r="R1423">
        <f>SUM(student_scores[[#This Row],[math_score]:[geography_score]])</f>
        <v>563</v>
      </c>
      <c r="S1423" s="3">
        <f>student_scores[[#This Row],[Total_Score]]/7</f>
        <v>80.428571428571431</v>
      </c>
      <c r="T1423" s="3" t="str" cm="1">
        <f t="array" ref="T1423">_xlfn.IFS(student_scores[[#This Row],[weekly_self_study_hours]]&lt;=5,   "0 - 5", student_scores[[#This Row],[weekly_self_study_hours]]&lt;=10,  "6 - 10", student_scores[[#This Row],[weekly_self_study_hours]]&lt;=20,  "11 - 20",student_scores[[#This Row],[weekly_self_study_hours]]&lt;=30, "21 - 30",TRUE, "31+")</f>
        <v>21 - 30</v>
      </c>
      <c r="U1423" t="str" cm="1">
        <f t="array" ref="U1423">_xlfn.IFS(student_scores[[#This Row],[absence_days]]=0,"0", student_scores[[#This Row],[absence_days]]&lt;=3,"1-3", student_scores[[#This Row],[absence_days]]&lt;=6,"4-6", TRUE,"7-10")</f>
        <v>1-3</v>
      </c>
      <c r="V1423" t="str">
        <f>IF(student_scores[[#This Row],[Total_Score]] &gt;= _xlfn.PERCENTILE.INC(student_scores[Total_Score], 0.8), "Yes", "No")</f>
        <v>No</v>
      </c>
    </row>
    <row r="1424" spans="1:22" x14ac:dyDescent="0.35">
      <c r="A1424">
        <v>1423</v>
      </c>
      <c r="B1424" t="s">
        <v>17</v>
      </c>
      <c r="C1424" t="s">
        <v>515</v>
      </c>
      <c r="D1424" t="s">
        <v>2427</v>
      </c>
      <c r="E1424" t="s">
        <v>20</v>
      </c>
      <c r="F1424" t="b">
        <v>0</v>
      </c>
      <c r="G1424">
        <v>4</v>
      </c>
      <c r="H1424" t="b">
        <v>0</v>
      </c>
      <c r="I1424">
        <v>32</v>
      </c>
      <c r="J1424" t="s">
        <v>26</v>
      </c>
      <c r="K1424">
        <v>86</v>
      </c>
      <c r="L1424">
        <v>78</v>
      </c>
      <c r="M1424">
        <v>81</v>
      </c>
      <c r="N1424">
        <v>87</v>
      </c>
      <c r="O1424">
        <v>99</v>
      </c>
      <c r="P1424">
        <v>71</v>
      </c>
      <c r="Q1424">
        <v>97</v>
      </c>
      <c r="R1424">
        <f>SUM(student_scores[[#This Row],[math_score]:[geography_score]])</f>
        <v>599</v>
      </c>
      <c r="S1424" s="3">
        <f>student_scores[[#This Row],[Total_Score]]/7</f>
        <v>85.571428571428569</v>
      </c>
      <c r="T1424" s="3" t="str" cm="1">
        <f t="array" ref="T1424">_xlfn.IFS(student_scores[[#This Row],[weekly_self_study_hours]]&lt;=5,   "0 - 5", student_scores[[#This Row],[weekly_self_study_hours]]&lt;=10,  "6 - 10", student_scores[[#This Row],[weekly_self_study_hours]]&lt;=20,  "11 - 20",student_scores[[#This Row],[weekly_self_study_hours]]&lt;=30, "21 - 30",TRUE, "31+")</f>
        <v>31+</v>
      </c>
      <c r="U1424" t="str" cm="1">
        <f t="array" ref="U1424">_xlfn.IFS(student_scores[[#This Row],[absence_days]]=0,"0", student_scores[[#This Row],[absence_days]]&lt;=3,"1-3", student_scores[[#This Row],[absence_days]]&lt;=6,"4-6", TRUE,"7-10")</f>
        <v>4-6</v>
      </c>
      <c r="V1424" t="str">
        <f>IF(student_scores[[#This Row],[Total_Score]] &gt;= _xlfn.PERCENTILE.INC(student_scores[Total_Score], 0.8), "Yes", "No")</f>
        <v>No</v>
      </c>
    </row>
    <row r="1425" spans="1:22" x14ac:dyDescent="0.35">
      <c r="A1425">
        <v>1424</v>
      </c>
      <c r="B1425" t="s">
        <v>354</v>
      </c>
      <c r="C1425" t="s">
        <v>2428</v>
      </c>
      <c r="D1425" t="s">
        <v>2429</v>
      </c>
      <c r="E1425" t="s">
        <v>20</v>
      </c>
      <c r="F1425" t="b">
        <v>0</v>
      </c>
      <c r="G1425">
        <v>1</v>
      </c>
      <c r="H1425" t="b">
        <v>0</v>
      </c>
      <c r="I1425">
        <v>30</v>
      </c>
      <c r="J1425" t="s">
        <v>44</v>
      </c>
      <c r="K1425">
        <v>89</v>
      </c>
      <c r="L1425">
        <v>93</v>
      </c>
      <c r="M1425">
        <v>71</v>
      </c>
      <c r="N1425">
        <v>84</v>
      </c>
      <c r="O1425">
        <v>63</v>
      </c>
      <c r="P1425">
        <v>61</v>
      </c>
      <c r="Q1425">
        <v>76</v>
      </c>
      <c r="R1425">
        <f>SUM(student_scores[[#This Row],[math_score]:[geography_score]])</f>
        <v>537</v>
      </c>
      <c r="S1425" s="3">
        <f>student_scores[[#This Row],[Total_Score]]/7</f>
        <v>76.714285714285708</v>
      </c>
      <c r="T1425" s="3" t="str" cm="1">
        <f t="array" ref="T1425">_xlfn.IFS(student_scores[[#This Row],[weekly_self_study_hours]]&lt;=5,   "0 - 5", student_scores[[#This Row],[weekly_self_study_hours]]&lt;=10,  "6 - 10", student_scores[[#This Row],[weekly_self_study_hours]]&lt;=20,  "11 - 20",student_scores[[#This Row],[weekly_self_study_hours]]&lt;=30, "21 - 30",TRUE, "31+")</f>
        <v>21 - 30</v>
      </c>
      <c r="U1425" t="str" cm="1">
        <f t="array" ref="U1425">_xlfn.IFS(student_scores[[#This Row],[absence_days]]=0,"0", student_scores[[#This Row],[absence_days]]&lt;=3,"1-3", student_scores[[#This Row],[absence_days]]&lt;=6,"4-6", TRUE,"7-10")</f>
        <v>1-3</v>
      </c>
      <c r="V1425" t="str">
        <f>IF(student_scores[[#This Row],[Total_Score]] &gt;= _xlfn.PERCENTILE.INC(student_scores[Total_Score], 0.8), "Yes", "No")</f>
        <v>No</v>
      </c>
    </row>
    <row r="1426" spans="1:22" x14ac:dyDescent="0.35">
      <c r="A1426">
        <v>1425</v>
      </c>
      <c r="B1426" t="s">
        <v>70</v>
      </c>
      <c r="C1426" t="s">
        <v>349</v>
      </c>
      <c r="D1426" t="s">
        <v>2430</v>
      </c>
      <c r="E1426" t="s">
        <v>20</v>
      </c>
      <c r="F1426" t="b">
        <v>0</v>
      </c>
      <c r="G1426">
        <v>7</v>
      </c>
      <c r="H1426" t="b">
        <v>0</v>
      </c>
      <c r="I1426">
        <v>3</v>
      </c>
      <c r="J1426" t="s">
        <v>159</v>
      </c>
      <c r="K1426">
        <v>96</v>
      </c>
      <c r="L1426">
        <v>64</v>
      </c>
      <c r="M1426">
        <v>85</v>
      </c>
      <c r="N1426">
        <v>86</v>
      </c>
      <c r="O1426">
        <v>93</v>
      </c>
      <c r="P1426">
        <v>92</v>
      </c>
      <c r="Q1426">
        <v>65</v>
      </c>
      <c r="R1426">
        <f>SUM(student_scores[[#This Row],[math_score]:[geography_score]])</f>
        <v>581</v>
      </c>
      <c r="S1426" s="3">
        <f>student_scores[[#This Row],[Total_Score]]/7</f>
        <v>83</v>
      </c>
      <c r="T1426" s="3" t="str" cm="1">
        <f t="array" ref="T1426">_xlfn.IFS(student_scores[[#This Row],[weekly_self_study_hours]]&lt;=5,   "0 - 5", student_scores[[#This Row],[weekly_self_study_hours]]&lt;=10,  "6 - 10", student_scores[[#This Row],[weekly_self_study_hours]]&lt;=20,  "11 - 20",student_scores[[#This Row],[weekly_self_study_hours]]&lt;=30, "21 - 30",TRUE, "31+")</f>
        <v>0 - 5</v>
      </c>
      <c r="U1426" t="str" cm="1">
        <f t="array" ref="U1426">_xlfn.IFS(student_scores[[#This Row],[absence_days]]=0,"0", student_scores[[#This Row],[absence_days]]&lt;=3,"1-3", student_scores[[#This Row],[absence_days]]&lt;=6,"4-6", TRUE,"7-10")</f>
        <v>7-10</v>
      </c>
      <c r="V1426" t="str">
        <f>IF(student_scores[[#This Row],[Total_Score]] &gt;= _xlfn.PERCENTILE.INC(student_scores[Total_Score], 0.8), "Yes", "No")</f>
        <v>No</v>
      </c>
    </row>
    <row r="1427" spans="1:22" x14ac:dyDescent="0.35">
      <c r="A1427">
        <v>1426</v>
      </c>
      <c r="B1427" t="s">
        <v>61</v>
      </c>
      <c r="C1427" t="s">
        <v>2431</v>
      </c>
      <c r="D1427" t="s">
        <v>2432</v>
      </c>
      <c r="E1427" t="s">
        <v>25</v>
      </c>
      <c r="F1427" t="b">
        <v>0</v>
      </c>
      <c r="G1427">
        <v>2</v>
      </c>
      <c r="H1427" t="b">
        <v>1</v>
      </c>
      <c r="I1427">
        <v>19</v>
      </c>
      <c r="J1427" t="s">
        <v>44</v>
      </c>
      <c r="K1427">
        <v>90</v>
      </c>
      <c r="L1427">
        <v>73</v>
      </c>
      <c r="M1427">
        <v>71</v>
      </c>
      <c r="N1427">
        <v>68</v>
      </c>
      <c r="O1427">
        <v>74</v>
      </c>
      <c r="P1427">
        <v>87</v>
      </c>
      <c r="Q1427">
        <v>66</v>
      </c>
      <c r="R1427">
        <f>SUM(student_scores[[#This Row],[math_score]:[geography_score]])</f>
        <v>529</v>
      </c>
      <c r="S1427" s="3">
        <f>student_scores[[#This Row],[Total_Score]]/7</f>
        <v>75.571428571428569</v>
      </c>
      <c r="T1427" s="3" t="str" cm="1">
        <f t="array" ref="T1427">_xlfn.IFS(student_scores[[#This Row],[weekly_self_study_hours]]&lt;=5,   "0 - 5", student_scores[[#This Row],[weekly_self_study_hours]]&lt;=10,  "6 - 10", student_scores[[#This Row],[weekly_self_study_hours]]&lt;=20,  "11 - 20",student_scores[[#This Row],[weekly_self_study_hours]]&lt;=30, "21 - 30",TRUE, "31+")</f>
        <v>11 - 20</v>
      </c>
      <c r="U1427" t="str" cm="1">
        <f t="array" ref="U1427">_xlfn.IFS(student_scores[[#This Row],[absence_days]]=0,"0", student_scores[[#This Row],[absence_days]]&lt;=3,"1-3", student_scores[[#This Row],[absence_days]]&lt;=6,"4-6", TRUE,"7-10")</f>
        <v>1-3</v>
      </c>
      <c r="V1427" t="str">
        <f>IF(student_scores[[#This Row],[Total_Score]] &gt;= _xlfn.PERCENTILE.INC(student_scores[Total_Score], 0.8), "Yes", "No")</f>
        <v>No</v>
      </c>
    </row>
    <row r="1428" spans="1:22" x14ac:dyDescent="0.35">
      <c r="A1428">
        <v>1427</v>
      </c>
      <c r="B1428" t="s">
        <v>369</v>
      </c>
      <c r="C1428" t="s">
        <v>164</v>
      </c>
      <c r="D1428" t="s">
        <v>2433</v>
      </c>
      <c r="E1428" t="s">
        <v>25</v>
      </c>
      <c r="F1428" t="b">
        <v>0</v>
      </c>
      <c r="G1428">
        <v>2</v>
      </c>
      <c r="H1428" t="b">
        <v>0</v>
      </c>
      <c r="I1428">
        <v>9</v>
      </c>
      <c r="J1428" t="s">
        <v>54</v>
      </c>
      <c r="K1428">
        <v>98</v>
      </c>
      <c r="L1428">
        <v>65</v>
      </c>
      <c r="M1428">
        <v>66</v>
      </c>
      <c r="N1428">
        <v>87</v>
      </c>
      <c r="O1428">
        <v>78</v>
      </c>
      <c r="P1428">
        <v>84</v>
      </c>
      <c r="Q1428">
        <v>91</v>
      </c>
      <c r="R1428">
        <f>SUM(student_scores[[#This Row],[math_score]:[geography_score]])</f>
        <v>569</v>
      </c>
      <c r="S1428" s="3">
        <f>student_scores[[#This Row],[Total_Score]]/7</f>
        <v>81.285714285714292</v>
      </c>
      <c r="T1428" s="3" t="str" cm="1">
        <f t="array" ref="T1428">_xlfn.IFS(student_scores[[#This Row],[weekly_self_study_hours]]&lt;=5,   "0 - 5", student_scores[[#This Row],[weekly_self_study_hours]]&lt;=10,  "6 - 10", student_scores[[#This Row],[weekly_self_study_hours]]&lt;=20,  "11 - 20",student_scores[[#This Row],[weekly_self_study_hours]]&lt;=30, "21 - 30",TRUE, "31+")</f>
        <v>6 - 10</v>
      </c>
      <c r="U1428" t="str" cm="1">
        <f t="array" ref="U1428">_xlfn.IFS(student_scores[[#This Row],[absence_days]]=0,"0", student_scores[[#This Row],[absence_days]]&lt;=3,"1-3", student_scores[[#This Row],[absence_days]]&lt;=6,"4-6", TRUE,"7-10")</f>
        <v>1-3</v>
      </c>
      <c r="V1428" t="str">
        <f>IF(student_scores[[#This Row],[Total_Score]] &gt;= _xlfn.PERCENTILE.INC(student_scores[Total_Score], 0.8), "Yes", "No")</f>
        <v>No</v>
      </c>
    </row>
    <row r="1429" spans="1:22" x14ac:dyDescent="0.35">
      <c r="A1429">
        <v>1428</v>
      </c>
      <c r="B1429" t="s">
        <v>139</v>
      </c>
      <c r="C1429" t="s">
        <v>1728</v>
      </c>
      <c r="D1429" t="s">
        <v>2434</v>
      </c>
      <c r="E1429" t="s">
        <v>20</v>
      </c>
      <c r="F1429" t="b">
        <v>0</v>
      </c>
      <c r="G1429">
        <v>3</v>
      </c>
      <c r="H1429" t="b">
        <v>0</v>
      </c>
      <c r="I1429">
        <v>26</v>
      </c>
      <c r="J1429" t="s">
        <v>21</v>
      </c>
      <c r="K1429">
        <v>85</v>
      </c>
      <c r="L1429">
        <v>87</v>
      </c>
      <c r="M1429">
        <v>85</v>
      </c>
      <c r="N1429">
        <v>69</v>
      </c>
      <c r="O1429">
        <v>80</v>
      </c>
      <c r="P1429">
        <v>99</v>
      </c>
      <c r="Q1429">
        <v>93</v>
      </c>
      <c r="R1429">
        <f>SUM(student_scores[[#This Row],[math_score]:[geography_score]])</f>
        <v>598</v>
      </c>
      <c r="S1429" s="3">
        <f>student_scores[[#This Row],[Total_Score]]/7</f>
        <v>85.428571428571431</v>
      </c>
      <c r="T1429" s="3" t="str" cm="1">
        <f t="array" ref="T1429">_xlfn.IFS(student_scores[[#This Row],[weekly_self_study_hours]]&lt;=5,   "0 - 5", student_scores[[#This Row],[weekly_self_study_hours]]&lt;=10,  "6 - 10", student_scores[[#This Row],[weekly_self_study_hours]]&lt;=20,  "11 - 20",student_scores[[#This Row],[weekly_self_study_hours]]&lt;=30, "21 - 30",TRUE, "31+")</f>
        <v>21 - 30</v>
      </c>
      <c r="U1429" t="str" cm="1">
        <f t="array" ref="U1429">_xlfn.IFS(student_scores[[#This Row],[absence_days]]=0,"0", student_scores[[#This Row],[absence_days]]&lt;=3,"1-3", student_scores[[#This Row],[absence_days]]&lt;=6,"4-6", TRUE,"7-10")</f>
        <v>1-3</v>
      </c>
      <c r="V1429" t="str">
        <f>IF(student_scores[[#This Row],[Total_Score]] &gt;= _xlfn.PERCENTILE.INC(student_scores[Total_Score], 0.8), "Yes", "No")</f>
        <v>No</v>
      </c>
    </row>
    <row r="1430" spans="1:22" x14ac:dyDescent="0.35">
      <c r="A1430">
        <v>1429</v>
      </c>
      <c r="B1430" t="s">
        <v>193</v>
      </c>
      <c r="C1430" t="s">
        <v>292</v>
      </c>
      <c r="D1430" t="s">
        <v>2435</v>
      </c>
      <c r="E1430" t="s">
        <v>25</v>
      </c>
      <c r="F1430" t="b">
        <v>0</v>
      </c>
      <c r="G1430">
        <v>1</v>
      </c>
      <c r="H1430" t="b">
        <v>0</v>
      </c>
      <c r="I1430">
        <v>28</v>
      </c>
      <c r="J1430" t="s">
        <v>44</v>
      </c>
      <c r="K1430">
        <v>85</v>
      </c>
      <c r="L1430">
        <v>96</v>
      </c>
      <c r="M1430">
        <v>100</v>
      </c>
      <c r="N1430">
        <v>75</v>
      </c>
      <c r="O1430">
        <v>63</v>
      </c>
      <c r="P1430">
        <v>87</v>
      </c>
      <c r="Q1430">
        <v>89</v>
      </c>
      <c r="R1430">
        <f>SUM(student_scores[[#This Row],[math_score]:[geography_score]])</f>
        <v>595</v>
      </c>
      <c r="S1430" s="3">
        <f>student_scores[[#This Row],[Total_Score]]/7</f>
        <v>85</v>
      </c>
      <c r="T1430" s="3" t="str" cm="1">
        <f t="array" ref="T1430">_xlfn.IFS(student_scores[[#This Row],[weekly_self_study_hours]]&lt;=5,   "0 - 5", student_scores[[#This Row],[weekly_self_study_hours]]&lt;=10,  "6 - 10", student_scores[[#This Row],[weekly_self_study_hours]]&lt;=20,  "11 - 20",student_scores[[#This Row],[weekly_self_study_hours]]&lt;=30, "21 - 30",TRUE, "31+")</f>
        <v>21 - 30</v>
      </c>
      <c r="U1430" t="str" cm="1">
        <f t="array" ref="U1430">_xlfn.IFS(student_scores[[#This Row],[absence_days]]=0,"0", student_scores[[#This Row],[absence_days]]&lt;=3,"1-3", student_scores[[#This Row],[absence_days]]&lt;=6,"4-6", TRUE,"7-10")</f>
        <v>1-3</v>
      </c>
      <c r="V1430" t="str">
        <f>IF(student_scores[[#This Row],[Total_Score]] &gt;= _xlfn.PERCENTILE.INC(student_scores[Total_Score], 0.8), "Yes", "No")</f>
        <v>No</v>
      </c>
    </row>
    <row r="1431" spans="1:22" x14ac:dyDescent="0.35">
      <c r="A1431">
        <v>1430</v>
      </c>
      <c r="B1431" t="s">
        <v>527</v>
      </c>
      <c r="C1431" t="s">
        <v>1223</v>
      </c>
      <c r="D1431" t="s">
        <v>2436</v>
      </c>
      <c r="E1431" t="s">
        <v>25</v>
      </c>
      <c r="F1431" t="b">
        <v>1</v>
      </c>
      <c r="G1431">
        <v>1</v>
      </c>
      <c r="H1431" t="b">
        <v>0</v>
      </c>
      <c r="I1431">
        <v>35</v>
      </c>
      <c r="J1431" t="s">
        <v>105</v>
      </c>
      <c r="K1431">
        <v>89</v>
      </c>
      <c r="L1431">
        <v>94</v>
      </c>
      <c r="M1431">
        <v>92</v>
      </c>
      <c r="N1431">
        <v>98</v>
      </c>
      <c r="O1431">
        <v>92</v>
      </c>
      <c r="P1431">
        <v>92</v>
      </c>
      <c r="Q1431">
        <v>99</v>
      </c>
      <c r="R1431">
        <f>SUM(student_scores[[#This Row],[math_score]:[geography_score]])</f>
        <v>656</v>
      </c>
      <c r="S1431" s="3">
        <f>student_scores[[#This Row],[Total_Score]]/7</f>
        <v>93.714285714285708</v>
      </c>
      <c r="T1431" s="3" t="str" cm="1">
        <f t="array" ref="T1431">_xlfn.IFS(student_scores[[#This Row],[weekly_self_study_hours]]&lt;=5,   "0 - 5", student_scores[[#This Row],[weekly_self_study_hours]]&lt;=10,  "6 - 10", student_scores[[#This Row],[weekly_self_study_hours]]&lt;=20,  "11 - 20",student_scores[[#This Row],[weekly_self_study_hours]]&lt;=30, "21 - 30",TRUE, "31+")</f>
        <v>31+</v>
      </c>
      <c r="U1431" t="str" cm="1">
        <f t="array" ref="U1431">_xlfn.IFS(student_scores[[#This Row],[absence_days]]=0,"0", student_scores[[#This Row],[absence_days]]&lt;=3,"1-3", student_scores[[#This Row],[absence_days]]&lt;=6,"4-6", TRUE,"7-10")</f>
        <v>1-3</v>
      </c>
      <c r="V1431" t="str">
        <f>IF(student_scores[[#This Row],[Total_Score]] &gt;= _xlfn.PERCENTILE.INC(student_scores[Total_Score], 0.8), "Yes", "No")</f>
        <v>Yes</v>
      </c>
    </row>
    <row r="1432" spans="1:22" x14ac:dyDescent="0.35">
      <c r="A1432">
        <v>1431</v>
      </c>
      <c r="B1432" t="s">
        <v>2437</v>
      </c>
      <c r="C1432" t="s">
        <v>2438</v>
      </c>
      <c r="D1432" t="s">
        <v>2439</v>
      </c>
      <c r="E1432" t="s">
        <v>20</v>
      </c>
      <c r="F1432" t="b">
        <v>0</v>
      </c>
      <c r="G1432">
        <v>4</v>
      </c>
      <c r="H1432" t="b">
        <v>0</v>
      </c>
      <c r="I1432">
        <v>32</v>
      </c>
      <c r="J1432" t="s">
        <v>105</v>
      </c>
      <c r="K1432">
        <v>93</v>
      </c>
      <c r="L1432">
        <v>97</v>
      </c>
      <c r="M1432">
        <v>93</v>
      </c>
      <c r="N1432">
        <v>66</v>
      </c>
      <c r="O1432">
        <v>83</v>
      </c>
      <c r="P1432">
        <v>88</v>
      </c>
      <c r="Q1432">
        <v>79</v>
      </c>
      <c r="R1432">
        <f>SUM(student_scores[[#This Row],[math_score]:[geography_score]])</f>
        <v>599</v>
      </c>
      <c r="S1432" s="3">
        <f>student_scores[[#This Row],[Total_Score]]/7</f>
        <v>85.571428571428569</v>
      </c>
      <c r="T1432" s="3" t="str" cm="1">
        <f t="array" ref="T1432">_xlfn.IFS(student_scores[[#This Row],[weekly_self_study_hours]]&lt;=5,   "0 - 5", student_scores[[#This Row],[weekly_self_study_hours]]&lt;=10,  "6 - 10", student_scores[[#This Row],[weekly_self_study_hours]]&lt;=20,  "11 - 20",student_scores[[#This Row],[weekly_self_study_hours]]&lt;=30, "21 - 30",TRUE, "31+")</f>
        <v>31+</v>
      </c>
      <c r="U1432" t="str" cm="1">
        <f t="array" ref="U1432">_xlfn.IFS(student_scores[[#This Row],[absence_days]]=0,"0", student_scores[[#This Row],[absence_days]]&lt;=3,"1-3", student_scores[[#This Row],[absence_days]]&lt;=6,"4-6", TRUE,"7-10")</f>
        <v>4-6</v>
      </c>
      <c r="V1432" t="str">
        <f>IF(student_scores[[#This Row],[Total_Score]] &gt;= _xlfn.PERCENTILE.INC(student_scores[Total_Score], 0.8), "Yes", "No")</f>
        <v>No</v>
      </c>
    </row>
    <row r="1433" spans="1:22" x14ac:dyDescent="0.35">
      <c r="A1433">
        <v>1432</v>
      </c>
      <c r="B1433" t="s">
        <v>83</v>
      </c>
      <c r="C1433" t="s">
        <v>2440</v>
      </c>
      <c r="D1433" t="s">
        <v>2441</v>
      </c>
      <c r="E1433" t="s">
        <v>25</v>
      </c>
      <c r="F1433" t="b">
        <v>1</v>
      </c>
      <c r="G1433">
        <v>2</v>
      </c>
      <c r="H1433" t="b">
        <v>0</v>
      </c>
      <c r="I1433">
        <v>35</v>
      </c>
      <c r="J1433" t="s">
        <v>44</v>
      </c>
      <c r="K1433">
        <v>96</v>
      </c>
      <c r="L1433">
        <v>91</v>
      </c>
      <c r="M1433">
        <v>95</v>
      </c>
      <c r="N1433">
        <v>88</v>
      </c>
      <c r="O1433">
        <v>89</v>
      </c>
      <c r="P1433">
        <v>85</v>
      </c>
      <c r="Q1433">
        <v>92</v>
      </c>
      <c r="R1433">
        <f>SUM(student_scores[[#This Row],[math_score]:[geography_score]])</f>
        <v>636</v>
      </c>
      <c r="S1433" s="3">
        <f>student_scores[[#This Row],[Total_Score]]/7</f>
        <v>90.857142857142861</v>
      </c>
      <c r="T1433" s="3" t="str" cm="1">
        <f t="array" ref="T1433">_xlfn.IFS(student_scores[[#This Row],[weekly_self_study_hours]]&lt;=5,   "0 - 5", student_scores[[#This Row],[weekly_self_study_hours]]&lt;=10,  "6 - 10", student_scores[[#This Row],[weekly_self_study_hours]]&lt;=20,  "11 - 20",student_scores[[#This Row],[weekly_self_study_hours]]&lt;=30, "21 - 30",TRUE, "31+")</f>
        <v>31+</v>
      </c>
      <c r="U1433" t="str" cm="1">
        <f t="array" ref="U1433">_xlfn.IFS(student_scores[[#This Row],[absence_days]]=0,"0", student_scores[[#This Row],[absence_days]]&lt;=3,"1-3", student_scores[[#This Row],[absence_days]]&lt;=6,"4-6", TRUE,"7-10")</f>
        <v>1-3</v>
      </c>
      <c r="V1433" t="str">
        <f>IF(student_scores[[#This Row],[Total_Score]] &gt;= _xlfn.PERCENTILE.INC(student_scores[Total_Score], 0.8), "Yes", "No")</f>
        <v>Yes</v>
      </c>
    </row>
    <row r="1434" spans="1:22" x14ac:dyDescent="0.35">
      <c r="A1434">
        <v>1433</v>
      </c>
      <c r="B1434" t="s">
        <v>861</v>
      </c>
      <c r="C1434" t="s">
        <v>836</v>
      </c>
      <c r="D1434" t="s">
        <v>2442</v>
      </c>
      <c r="E1434" t="s">
        <v>25</v>
      </c>
      <c r="F1434" t="b">
        <v>0</v>
      </c>
      <c r="G1434">
        <v>3</v>
      </c>
      <c r="H1434" t="b">
        <v>0</v>
      </c>
      <c r="I1434">
        <v>26</v>
      </c>
      <c r="J1434" t="s">
        <v>123</v>
      </c>
      <c r="K1434">
        <v>84</v>
      </c>
      <c r="L1434">
        <v>64</v>
      </c>
      <c r="M1434">
        <v>98</v>
      </c>
      <c r="N1434">
        <v>100</v>
      </c>
      <c r="O1434">
        <v>89</v>
      </c>
      <c r="P1434">
        <v>79</v>
      </c>
      <c r="Q1434">
        <v>96</v>
      </c>
      <c r="R1434">
        <f>SUM(student_scores[[#This Row],[math_score]:[geography_score]])</f>
        <v>610</v>
      </c>
      <c r="S1434" s="3">
        <f>student_scores[[#This Row],[Total_Score]]/7</f>
        <v>87.142857142857139</v>
      </c>
      <c r="T1434" s="3" t="str" cm="1">
        <f t="array" ref="T1434">_xlfn.IFS(student_scores[[#This Row],[weekly_self_study_hours]]&lt;=5,   "0 - 5", student_scores[[#This Row],[weekly_self_study_hours]]&lt;=10,  "6 - 10", student_scores[[#This Row],[weekly_self_study_hours]]&lt;=20,  "11 - 20",student_scores[[#This Row],[weekly_self_study_hours]]&lt;=30, "21 - 30",TRUE, "31+")</f>
        <v>21 - 30</v>
      </c>
      <c r="U1434" t="str" cm="1">
        <f t="array" ref="U1434">_xlfn.IFS(student_scores[[#This Row],[absence_days]]=0,"0", student_scores[[#This Row],[absence_days]]&lt;=3,"1-3", student_scores[[#This Row],[absence_days]]&lt;=6,"4-6", TRUE,"7-10")</f>
        <v>1-3</v>
      </c>
      <c r="V1434" t="str">
        <f>IF(student_scores[[#This Row],[Total_Score]] &gt;= _xlfn.PERCENTILE.INC(student_scores[Total_Score], 0.8), "Yes", "No")</f>
        <v>Yes</v>
      </c>
    </row>
    <row r="1435" spans="1:22" x14ac:dyDescent="0.35">
      <c r="A1435">
        <v>1434</v>
      </c>
      <c r="B1435" t="s">
        <v>2318</v>
      </c>
      <c r="C1435" t="s">
        <v>146</v>
      </c>
      <c r="D1435" t="s">
        <v>2443</v>
      </c>
      <c r="E1435" t="s">
        <v>20</v>
      </c>
      <c r="F1435" t="b">
        <v>0</v>
      </c>
      <c r="G1435">
        <v>3</v>
      </c>
      <c r="H1435" t="b">
        <v>0</v>
      </c>
      <c r="I1435">
        <v>14</v>
      </c>
      <c r="J1435" t="s">
        <v>105</v>
      </c>
      <c r="K1435">
        <v>76</v>
      </c>
      <c r="L1435">
        <v>97</v>
      </c>
      <c r="M1435">
        <v>99</v>
      </c>
      <c r="N1435">
        <v>83</v>
      </c>
      <c r="O1435">
        <v>74</v>
      </c>
      <c r="P1435">
        <v>94</v>
      </c>
      <c r="Q1435">
        <v>99</v>
      </c>
      <c r="R1435">
        <f>SUM(student_scores[[#This Row],[math_score]:[geography_score]])</f>
        <v>622</v>
      </c>
      <c r="S1435" s="3">
        <f>student_scores[[#This Row],[Total_Score]]/7</f>
        <v>88.857142857142861</v>
      </c>
      <c r="T1435" s="3" t="str" cm="1">
        <f t="array" ref="T1435">_xlfn.IFS(student_scores[[#This Row],[weekly_self_study_hours]]&lt;=5,   "0 - 5", student_scores[[#This Row],[weekly_self_study_hours]]&lt;=10,  "6 - 10", student_scores[[#This Row],[weekly_self_study_hours]]&lt;=20,  "11 - 20",student_scores[[#This Row],[weekly_self_study_hours]]&lt;=30, "21 - 30",TRUE, "31+")</f>
        <v>11 - 20</v>
      </c>
      <c r="U1435" t="str" cm="1">
        <f t="array" ref="U1435">_xlfn.IFS(student_scores[[#This Row],[absence_days]]=0,"0", student_scores[[#This Row],[absence_days]]&lt;=3,"1-3", student_scores[[#This Row],[absence_days]]&lt;=6,"4-6", TRUE,"7-10")</f>
        <v>1-3</v>
      </c>
      <c r="V1435" t="str">
        <f>IF(student_scores[[#This Row],[Total_Score]] &gt;= _xlfn.PERCENTILE.INC(student_scores[Total_Score], 0.8), "Yes", "No")</f>
        <v>Yes</v>
      </c>
    </row>
    <row r="1436" spans="1:22" x14ac:dyDescent="0.35">
      <c r="A1436">
        <v>1435</v>
      </c>
      <c r="B1436" t="s">
        <v>190</v>
      </c>
      <c r="C1436" t="s">
        <v>1936</v>
      </c>
      <c r="D1436" t="s">
        <v>2444</v>
      </c>
      <c r="E1436" t="s">
        <v>25</v>
      </c>
      <c r="F1436" t="b">
        <v>0</v>
      </c>
      <c r="G1436">
        <v>4</v>
      </c>
      <c r="H1436" t="b">
        <v>0</v>
      </c>
      <c r="I1436">
        <v>26</v>
      </c>
      <c r="J1436" t="s">
        <v>105</v>
      </c>
      <c r="K1436">
        <v>80</v>
      </c>
      <c r="L1436">
        <v>78</v>
      </c>
      <c r="M1436">
        <v>71</v>
      </c>
      <c r="N1436">
        <v>69</v>
      </c>
      <c r="O1436">
        <v>76</v>
      </c>
      <c r="P1436">
        <v>97</v>
      </c>
      <c r="Q1436">
        <v>77</v>
      </c>
      <c r="R1436">
        <f>SUM(student_scores[[#This Row],[math_score]:[geography_score]])</f>
        <v>548</v>
      </c>
      <c r="S1436" s="3">
        <f>student_scores[[#This Row],[Total_Score]]/7</f>
        <v>78.285714285714292</v>
      </c>
      <c r="T1436" s="3" t="str" cm="1">
        <f t="array" ref="T1436">_xlfn.IFS(student_scores[[#This Row],[weekly_self_study_hours]]&lt;=5,   "0 - 5", student_scores[[#This Row],[weekly_self_study_hours]]&lt;=10,  "6 - 10", student_scores[[#This Row],[weekly_self_study_hours]]&lt;=20,  "11 - 20",student_scores[[#This Row],[weekly_self_study_hours]]&lt;=30, "21 - 30",TRUE, "31+")</f>
        <v>21 - 30</v>
      </c>
      <c r="U1436" t="str" cm="1">
        <f t="array" ref="U1436">_xlfn.IFS(student_scores[[#This Row],[absence_days]]=0,"0", student_scores[[#This Row],[absence_days]]&lt;=3,"1-3", student_scores[[#This Row],[absence_days]]&lt;=6,"4-6", TRUE,"7-10")</f>
        <v>4-6</v>
      </c>
      <c r="V1436" t="str">
        <f>IF(student_scores[[#This Row],[Total_Score]] &gt;= _xlfn.PERCENTILE.INC(student_scores[Total_Score], 0.8), "Yes", "No")</f>
        <v>No</v>
      </c>
    </row>
    <row r="1437" spans="1:22" x14ac:dyDescent="0.35">
      <c r="A1437">
        <v>1436</v>
      </c>
      <c r="B1437" t="s">
        <v>190</v>
      </c>
      <c r="C1437" t="s">
        <v>2445</v>
      </c>
      <c r="D1437" t="s">
        <v>2446</v>
      </c>
      <c r="E1437" t="s">
        <v>25</v>
      </c>
      <c r="F1437" t="b">
        <v>0</v>
      </c>
      <c r="G1437">
        <v>5</v>
      </c>
      <c r="H1437" t="b">
        <v>1</v>
      </c>
      <c r="I1437">
        <v>3</v>
      </c>
      <c r="J1437" t="s">
        <v>224</v>
      </c>
      <c r="K1437">
        <v>63</v>
      </c>
      <c r="L1437">
        <v>77</v>
      </c>
      <c r="M1437">
        <v>89</v>
      </c>
      <c r="N1437">
        <v>79</v>
      </c>
      <c r="O1437">
        <v>79</v>
      </c>
      <c r="P1437">
        <v>60</v>
      </c>
      <c r="Q1437">
        <v>81</v>
      </c>
      <c r="R1437">
        <f>SUM(student_scores[[#This Row],[math_score]:[geography_score]])</f>
        <v>528</v>
      </c>
      <c r="S1437" s="3">
        <f>student_scores[[#This Row],[Total_Score]]/7</f>
        <v>75.428571428571431</v>
      </c>
      <c r="T1437" s="3" t="str" cm="1">
        <f t="array" ref="T1437">_xlfn.IFS(student_scores[[#This Row],[weekly_self_study_hours]]&lt;=5,   "0 - 5", student_scores[[#This Row],[weekly_self_study_hours]]&lt;=10,  "6 - 10", student_scores[[#This Row],[weekly_self_study_hours]]&lt;=20,  "11 - 20",student_scores[[#This Row],[weekly_self_study_hours]]&lt;=30, "21 - 30",TRUE, "31+")</f>
        <v>0 - 5</v>
      </c>
      <c r="U1437" t="str" cm="1">
        <f t="array" ref="U1437">_xlfn.IFS(student_scores[[#This Row],[absence_days]]=0,"0", student_scores[[#This Row],[absence_days]]&lt;=3,"1-3", student_scores[[#This Row],[absence_days]]&lt;=6,"4-6", TRUE,"7-10")</f>
        <v>4-6</v>
      </c>
      <c r="V1437" t="str">
        <f>IF(student_scores[[#This Row],[Total_Score]] &gt;= _xlfn.PERCENTILE.INC(student_scores[Total_Score], 0.8), "Yes", "No")</f>
        <v>No</v>
      </c>
    </row>
    <row r="1438" spans="1:22" x14ac:dyDescent="0.35">
      <c r="A1438">
        <v>1437</v>
      </c>
      <c r="B1438" t="s">
        <v>1007</v>
      </c>
      <c r="C1438" t="s">
        <v>300</v>
      </c>
      <c r="D1438" t="s">
        <v>2447</v>
      </c>
      <c r="E1438" t="s">
        <v>20</v>
      </c>
      <c r="F1438" t="b">
        <v>0</v>
      </c>
      <c r="G1438">
        <v>1</v>
      </c>
      <c r="H1438" t="b">
        <v>0</v>
      </c>
      <c r="I1438">
        <v>33</v>
      </c>
      <c r="J1438" t="s">
        <v>138</v>
      </c>
      <c r="K1438">
        <v>90</v>
      </c>
      <c r="L1438">
        <v>86</v>
      </c>
      <c r="M1438">
        <v>100</v>
      </c>
      <c r="N1438">
        <v>90</v>
      </c>
      <c r="O1438">
        <v>76</v>
      </c>
      <c r="P1438">
        <v>66</v>
      </c>
      <c r="Q1438">
        <v>83</v>
      </c>
      <c r="R1438">
        <f>SUM(student_scores[[#This Row],[math_score]:[geography_score]])</f>
        <v>591</v>
      </c>
      <c r="S1438" s="3">
        <f>student_scores[[#This Row],[Total_Score]]/7</f>
        <v>84.428571428571431</v>
      </c>
      <c r="T1438" s="3" t="str" cm="1">
        <f t="array" ref="T1438">_xlfn.IFS(student_scores[[#This Row],[weekly_self_study_hours]]&lt;=5,   "0 - 5", student_scores[[#This Row],[weekly_self_study_hours]]&lt;=10,  "6 - 10", student_scores[[#This Row],[weekly_self_study_hours]]&lt;=20,  "11 - 20",student_scores[[#This Row],[weekly_self_study_hours]]&lt;=30, "21 - 30",TRUE, "31+")</f>
        <v>31+</v>
      </c>
      <c r="U1438" t="str" cm="1">
        <f t="array" ref="U1438">_xlfn.IFS(student_scores[[#This Row],[absence_days]]=0,"0", student_scores[[#This Row],[absence_days]]&lt;=3,"1-3", student_scores[[#This Row],[absence_days]]&lt;=6,"4-6", TRUE,"7-10")</f>
        <v>1-3</v>
      </c>
      <c r="V1438" t="str">
        <f>IF(student_scores[[#This Row],[Total_Score]] &gt;= _xlfn.PERCENTILE.INC(student_scores[Total_Score], 0.8), "Yes", "No")</f>
        <v>No</v>
      </c>
    </row>
    <row r="1439" spans="1:22" x14ac:dyDescent="0.35">
      <c r="A1439">
        <v>1438</v>
      </c>
      <c r="B1439" t="s">
        <v>208</v>
      </c>
      <c r="C1439" t="s">
        <v>1262</v>
      </c>
      <c r="D1439" t="s">
        <v>2448</v>
      </c>
      <c r="E1439" t="s">
        <v>20</v>
      </c>
      <c r="F1439" t="b">
        <v>0</v>
      </c>
      <c r="G1439">
        <v>1</v>
      </c>
      <c r="H1439" t="b">
        <v>0</v>
      </c>
      <c r="I1439">
        <v>35</v>
      </c>
      <c r="J1439" t="s">
        <v>105</v>
      </c>
      <c r="K1439">
        <v>85</v>
      </c>
      <c r="L1439">
        <v>93</v>
      </c>
      <c r="M1439">
        <v>85</v>
      </c>
      <c r="N1439">
        <v>91</v>
      </c>
      <c r="O1439">
        <v>86</v>
      </c>
      <c r="P1439">
        <v>94</v>
      </c>
      <c r="Q1439">
        <v>89</v>
      </c>
      <c r="R1439">
        <f>SUM(student_scores[[#This Row],[math_score]:[geography_score]])</f>
        <v>623</v>
      </c>
      <c r="S1439" s="3">
        <f>student_scores[[#This Row],[Total_Score]]/7</f>
        <v>89</v>
      </c>
      <c r="T1439" s="3" t="str" cm="1">
        <f t="array" ref="T1439">_xlfn.IFS(student_scores[[#This Row],[weekly_self_study_hours]]&lt;=5,   "0 - 5", student_scores[[#This Row],[weekly_self_study_hours]]&lt;=10,  "6 - 10", student_scores[[#This Row],[weekly_self_study_hours]]&lt;=20,  "11 - 20",student_scores[[#This Row],[weekly_self_study_hours]]&lt;=30, "21 - 30",TRUE, "31+")</f>
        <v>31+</v>
      </c>
      <c r="U1439" t="str" cm="1">
        <f t="array" ref="U1439">_xlfn.IFS(student_scores[[#This Row],[absence_days]]=0,"0", student_scores[[#This Row],[absence_days]]&lt;=3,"1-3", student_scores[[#This Row],[absence_days]]&lt;=6,"4-6", TRUE,"7-10")</f>
        <v>1-3</v>
      </c>
      <c r="V1439" t="str">
        <f>IF(student_scores[[#This Row],[Total_Score]] &gt;= _xlfn.PERCENTILE.INC(student_scores[Total_Score], 0.8), "Yes", "No")</f>
        <v>Yes</v>
      </c>
    </row>
    <row r="1440" spans="1:22" x14ac:dyDescent="0.35">
      <c r="A1440">
        <v>1439</v>
      </c>
      <c r="B1440" t="s">
        <v>388</v>
      </c>
      <c r="C1440" t="s">
        <v>1012</v>
      </c>
      <c r="D1440" t="s">
        <v>2449</v>
      </c>
      <c r="E1440" t="s">
        <v>25</v>
      </c>
      <c r="F1440" t="b">
        <v>0</v>
      </c>
      <c r="G1440">
        <v>1</v>
      </c>
      <c r="H1440" t="b">
        <v>0</v>
      </c>
      <c r="I1440">
        <v>22</v>
      </c>
      <c r="J1440" t="s">
        <v>38</v>
      </c>
      <c r="K1440">
        <v>78</v>
      </c>
      <c r="L1440">
        <v>81</v>
      </c>
      <c r="M1440">
        <v>94</v>
      </c>
      <c r="N1440">
        <v>64</v>
      </c>
      <c r="O1440">
        <v>61</v>
      </c>
      <c r="P1440">
        <v>91</v>
      </c>
      <c r="Q1440">
        <v>88</v>
      </c>
      <c r="R1440">
        <f>SUM(student_scores[[#This Row],[math_score]:[geography_score]])</f>
        <v>557</v>
      </c>
      <c r="S1440" s="3">
        <f>student_scores[[#This Row],[Total_Score]]/7</f>
        <v>79.571428571428569</v>
      </c>
      <c r="T1440" s="3" t="str" cm="1">
        <f t="array" ref="T1440">_xlfn.IFS(student_scores[[#This Row],[weekly_self_study_hours]]&lt;=5,   "0 - 5", student_scores[[#This Row],[weekly_self_study_hours]]&lt;=10,  "6 - 10", student_scores[[#This Row],[weekly_self_study_hours]]&lt;=20,  "11 - 20",student_scores[[#This Row],[weekly_self_study_hours]]&lt;=30, "21 - 30",TRUE, "31+")</f>
        <v>21 - 30</v>
      </c>
      <c r="U1440" t="str" cm="1">
        <f t="array" ref="U1440">_xlfn.IFS(student_scores[[#This Row],[absence_days]]=0,"0", student_scores[[#This Row],[absence_days]]&lt;=3,"1-3", student_scores[[#This Row],[absence_days]]&lt;=6,"4-6", TRUE,"7-10")</f>
        <v>1-3</v>
      </c>
      <c r="V1440" t="str">
        <f>IF(student_scores[[#This Row],[Total_Score]] &gt;= _xlfn.PERCENTILE.INC(student_scores[Total_Score], 0.8), "Yes", "No")</f>
        <v>No</v>
      </c>
    </row>
    <row r="1441" spans="1:22" x14ac:dyDescent="0.35">
      <c r="A1441">
        <v>1440</v>
      </c>
      <c r="B1441" t="s">
        <v>527</v>
      </c>
      <c r="C1441" t="s">
        <v>435</v>
      </c>
      <c r="D1441" t="s">
        <v>2450</v>
      </c>
      <c r="E1441" t="s">
        <v>25</v>
      </c>
      <c r="F1441" t="b">
        <v>0</v>
      </c>
      <c r="G1441">
        <v>2</v>
      </c>
      <c r="H1441" t="b">
        <v>0</v>
      </c>
      <c r="I1441">
        <v>23</v>
      </c>
      <c r="J1441" t="s">
        <v>123</v>
      </c>
      <c r="K1441">
        <v>74</v>
      </c>
      <c r="L1441">
        <v>90</v>
      </c>
      <c r="M1441">
        <v>90</v>
      </c>
      <c r="N1441">
        <v>80</v>
      </c>
      <c r="O1441">
        <v>91</v>
      </c>
      <c r="P1441">
        <v>92</v>
      </c>
      <c r="Q1441">
        <v>100</v>
      </c>
      <c r="R1441">
        <f>SUM(student_scores[[#This Row],[math_score]:[geography_score]])</f>
        <v>617</v>
      </c>
      <c r="S1441" s="3">
        <f>student_scores[[#This Row],[Total_Score]]/7</f>
        <v>88.142857142857139</v>
      </c>
      <c r="T1441" s="3" t="str" cm="1">
        <f t="array" ref="T1441">_xlfn.IFS(student_scores[[#This Row],[weekly_self_study_hours]]&lt;=5,   "0 - 5", student_scores[[#This Row],[weekly_self_study_hours]]&lt;=10,  "6 - 10", student_scores[[#This Row],[weekly_self_study_hours]]&lt;=20,  "11 - 20",student_scores[[#This Row],[weekly_self_study_hours]]&lt;=30, "21 - 30",TRUE, "31+")</f>
        <v>21 - 30</v>
      </c>
      <c r="U1441" t="str" cm="1">
        <f t="array" ref="U1441">_xlfn.IFS(student_scores[[#This Row],[absence_days]]=0,"0", student_scores[[#This Row],[absence_days]]&lt;=3,"1-3", student_scores[[#This Row],[absence_days]]&lt;=6,"4-6", TRUE,"7-10")</f>
        <v>1-3</v>
      </c>
      <c r="V1441" t="str">
        <f>IF(student_scores[[#This Row],[Total_Score]] &gt;= _xlfn.PERCENTILE.INC(student_scores[Total_Score], 0.8), "Yes", "No")</f>
        <v>Yes</v>
      </c>
    </row>
    <row r="1442" spans="1:22" x14ac:dyDescent="0.35">
      <c r="A1442">
        <v>1441</v>
      </c>
      <c r="B1442" t="s">
        <v>476</v>
      </c>
      <c r="C1442" t="s">
        <v>604</v>
      </c>
      <c r="D1442" t="s">
        <v>2451</v>
      </c>
      <c r="E1442" t="s">
        <v>20</v>
      </c>
      <c r="F1442" t="b">
        <v>0</v>
      </c>
      <c r="G1442">
        <v>2</v>
      </c>
      <c r="H1442" t="b">
        <v>1</v>
      </c>
      <c r="I1442">
        <v>27</v>
      </c>
      <c r="J1442" t="s">
        <v>21</v>
      </c>
      <c r="K1442">
        <v>83</v>
      </c>
      <c r="L1442">
        <v>89</v>
      </c>
      <c r="M1442">
        <v>95</v>
      </c>
      <c r="N1442">
        <v>70</v>
      </c>
      <c r="O1442">
        <v>95</v>
      </c>
      <c r="P1442">
        <v>80</v>
      </c>
      <c r="Q1442">
        <v>70</v>
      </c>
      <c r="R1442">
        <f>SUM(student_scores[[#This Row],[math_score]:[geography_score]])</f>
        <v>582</v>
      </c>
      <c r="S1442" s="3">
        <f>student_scores[[#This Row],[Total_Score]]/7</f>
        <v>83.142857142857139</v>
      </c>
      <c r="T1442" s="3" t="str" cm="1">
        <f t="array" ref="T1442">_xlfn.IFS(student_scores[[#This Row],[weekly_self_study_hours]]&lt;=5,   "0 - 5", student_scores[[#This Row],[weekly_self_study_hours]]&lt;=10,  "6 - 10", student_scores[[#This Row],[weekly_self_study_hours]]&lt;=20,  "11 - 20",student_scores[[#This Row],[weekly_self_study_hours]]&lt;=30, "21 - 30",TRUE, "31+")</f>
        <v>21 - 30</v>
      </c>
      <c r="U1442" t="str" cm="1">
        <f t="array" ref="U1442">_xlfn.IFS(student_scores[[#This Row],[absence_days]]=0,"0", student_scores[[#This Row],[absence_days]]&lt;=3,"1-3", student_scores[[#This Row],[absence_days]]&lt;=6,"4-6", TRUE,"7-10")</f>
        <v>1-3</v>
      </c>
      <c r="V1442" t="str">
        <f>IF(student_scores[[#This Row],[Total_Score]] &gt;= _xlfn.PERCENTILE.INC(student_scores[Total_Score], 0.8), "Yes", "No")</f>
        <v>No</v>
      </c>
    </row>
    <row r="1443" spans="1:22" x14ac:dyDescent="0.35">
      <c r="A1443">
        <v>1442</v>
      </c>
      <c r="B1443" t="s">
        <v>139</v>
      </c>
      <c r="C1443" t="s">
        <v>782</v>
      </c>
      <c r="D1443" t="s">
        <v>2452</v>
      </c>
      <c r="E1443" t="s">
        <v>20</v>
      </c>
      <c r="F1443" t="b">
        <v>0</v>
      </c>
      <c r="G1443">
        <v>6</v>
      </c>
      <c r="H1443" t="b">
        <v>0</v>
      </c>
      <c r="I1443">
        <v>31</v>
      </c>
      <c r="J1443" t="s">
        <v>44</v>
      </c>
      <c r="K1443">
        <v>87</v>
      </c>
      <c r="L1443">
        <v>96</v>
      </c>
      <c r="M1443">
        <v>79</v>
      </c>
      <c r="N1443">
        <v>79</v>
      </c>
      <c r="O1443">
        <v>74</v>
      </c>
      <c r="P1443">
        <v>86</v>
      </c>
      <c r="Q1443">
        <v>85</v>
      </c>
      <c r="R1443">
        <f>SUM(student_scores[[#This Row],[math_score]:[geography_score]])</f>
        <v>586</v>
      </c>
      <c r="S1443" s="3">
        <f>student_scores[[#This Row],[Total_Score]]/7</f>
        <v>83.714285714285708</v>
      </c>
      <c r="T1443" s="3" t="str" cm="1">
        <f t="array" ref="T1443">_xlfn.IFS(student_scores[[#This Row],[weekly_self_study_hours]]&lt;=5,   "0 - 5", student_scores[[#This Row],[weekly_self_study_hours]]&lt;=10,  "6 - 10", student_scores[[#This Row],[weekly_self_study_hours]]&lt;=20,  "11 - 20",student_scores[[#This Row],[weekly_self_study_hours]]&lt;=30, "21 - 30",TRUE, "31+")</f>
        <v>31+</v>
      </c>
      <c r="U1443" t="str" cm="1">
        <f t="array" ref="U1443">_xlfn.IFS(student_scores[[#This Row],[absence_days]]=0,"0", student_scores[[#This Row],[absence_days]]&lt;=3,"1-3", student_scores[[#This Row],[absence_days]]&lt;=6,"4-6", TRUE,"7-10")</f>
        <v>4-6</v>
      </c>
      <c r="V1443" t="str">
        <f>IF(student_scores[[#This Row],[Total_Score]] &gt;= _xlfn.PERCENTILE.INC(student_scores[Total_Score], 0.8), "Yes", "No")</f>
        <v>No</v>
      </c>
    </row>
    <row r="1444" spans="1:22" x14ac:dyDescent="0.35">
      <c r="A1444">
        <v>1443</v>
      </c>
      <c r="B1444" t="s">
        <v>2453</v>
      </c>
      <c r="C1444" t="s">
        <v>1881</v>
      </c>
      <c r="D1444" t="s">
        <v>2454</v>
      </c>
      <c r="E1444" t="s">
        <v>25</v>
      </c>
      <c r="F1444" t="b">
        <v>0</v>
      </c>
      <c r="G1444">
        <v>1</v>
      </c>
      <c r="H1444" t="b">
        <v>0</v>
      </c>
      <c r="I1444">
        <v>26</v>
      </c>
      <c r="J1444" t="s">
        <v>105</v>
      </c>
      <c r="K1444">
        <v>90</v>
      </c>
      <c r="L1444">
        <v>77</v>
      </c>
      <c r="M1444">
        <v>84</v>
      </c>
      <c r="N1444">
        <v>70</v>
      </c>
      <c r="O1444">
        <v>77</v>
      </c>
      <c r="P1444">
        <v>86</v>
      </c>
      <c r="Q1444">
        <v>70</v>
      </c>
      <c r="R1444">
        <f>SUM(student_scores[[#This Row],[math_score]:[geography_score]])</f>
        <v>554</v>
      </c>
      <c r="S1444" s="3">
        <f>student_scores[[#This Row],[Total_Score]]/7</f>
        <v>79.142857142857139</v>
      </c>
      <c r="T1444" s="3" t="str" cm="1">
        <f t="array" ref="T1444">_xlfn.IFS(student_scores[[#This Row],[weekly_self_study_hours]]&lt;=5,   "0 - 5", student_scores[[#This Row],[weekly_self_study_hours]]&lt;=10,  "6 - 10", student_scores[[#This Row],[weekly_self_study_hours]]&lt;=20,  "11 - 20",student_scores[[#This Row],[weekly_self_study_hours]]&lt;=30, "21 - 30",TRUE, "31+")</f>
        <v>21 - 30</v>
      </c>
      <c r="U1444" t="str" cm="1">
        <f t="array" ref="U1444">_xlfn.IFS(student_scores[[#This Row],[absence_days]]=0,"0", student_scores[[#This Row],[absence_days]]&lt;=3,"1-3", student_scores[[#This Row],[absence_days]]&lt;=6,"4-6", TRUE,"7-10")</f>
        <v>1-3</v>
      </c>
      <c r="V1444" t="str">
        <f>IF(student_scores[[#This Row],[Total_Score]] &gt;= _xlfn.PERCENTILE.INC(student_scores[Total_Score], 0.8), "Yes", "No")</f>
        <v>No</v>
      </c>
    </row>
    <row r="1445" spans="1:22" x14ac:dyDescent="0.35">
      <c r="A1445">
        <v>1444</v>
      </c>
      <c r="B1445" t="s">
        <v>148</v>
      </c>
      <c r="C1445" t="s">
        <v>1323</v>
      </c>
      <c r="D1445" t="s">
        <v>2455</v>
      </c>
      <c r="E1445" t="s">
        <v>25</v>
      </c>
      <c r="F1445" t="b">
        <v>0</v>
      </c>
      <c r="G1445">
        <v>4</v>
      </c>
      <c r="H1445" t="b">
        <v>0</v>
      </c>
      <c r="I1445">
        <v>1</v>
      </c>
      <c r="J1445" t="s">
        <v>224</v>
      </c>
      <c r="K1445">
        <v>73</v>
      </c>
      <c r="L1445">
        <v>71</v>
      </c>
      <c r="M1445">
        <v>95</v>
      </c>
      <c r="N1445">
        <v>63</v>
      </c>
      <c r="O1445">
        <v>62</v>
      </c>
      <c r="P1445">
        <v>85</v>
      </c>
      <c r="Q1445">
        <v>99</v>
      </c>
      <c r="R1445">
        <f>SUM(student_scores[[#This Row],[math_score]:[geography_score]])</f>
        <v>548</v>
      </c>
      <c r="S1445" s="3">
        <f>student_scores[[#This Row],[Total_Score]]/7</f>
        <v>78.285714285714292</v>
      </c>
      <c r="T1445" s="3" t="str" cm="1">
        <f t="array" ref="T1445">_xlfn.IFS(student_scores[[#This Row],[weekly_self_study_hours]]&lt;=5,   "0 - 5", student_scores[[#This Row],[weekly_self_study_hours]]&lt;=10,  "6 - 10", student_scores[[#This Row],[weekly_self_study_hours]]&lt;=20,  "11 - 20",student_scores[[#This Row],[weekly_self_study_hours]]&lt;=30, "21 - 30",TRUE, "31+")</f>
        <v>0 - 5</v>
      </c>
      <c r="U1445" t="str" cm="1">
        <f t="array" ref="U1445">_xlfn.IFS(student_scores[[#This Row],[absence_days]]=0,"0", student_scores[[#This Row],[absence_days]]&lt;=3,"1-3", student_scores[[#This Row],[absence_days]]&lt;=6,"4-6", TRUE,"7-10")</f>
        <v>4-6</v>
      </c>
      <c r="V1445" t="str">
        <f>IF(student_scores[[#This Row],[Total_Score]] &gt;= _xlfn.PERCENTILE.INC(student_scores[Total_Score], 0.8), "Yes", "No")</f>
        <v>No</v>
      </c>
    </row>
    <row r="1446" spans="1:22" x14ac:dyDescent="0.35">
      <c r="A1446">
        <v>1445</v>
      </c>
      <c r="B1446" t="s">
        <v>190</v>
      </c>
      <c r="C1446" t="s">
        <v>1193</v>
      </c>
      <c r="D1446" t="s">
        <v>2456</v>
      </c>
      <c r="E1446" t="s">
        <v>25</v>
      </c>
      <c r="F1446" t="b">
        <v>0</v>
      </c>
      <c r="G1446">
        <v>2</v>
      </c>
      <c r="H1446" t="b">
        <v>0</v>
      </c>
      <c r="I1446">
        <v>7</v>
      </c>
      <c r="J1446" t="s">
        <v>54</v>
      </c>
      <c r="K1446">
        <v>79</v>
      </c>
      <c r="L1446">
        <v>78</v>
      </c>
      <c r="M1446">
        <v>100</v>
      </c>
      <c r="N1446">
        <v>90</v>
      </c>
      <c r="O1446">
        <v>89</v>
      </c>
      <c r="P1446">
        <v>80</v>
      </c>
      <c r="Q1446">
        <v>68</v>
      </c>
      <c r="R1446">
        <f>SUM(student_scores[[#This Row],[math_score]:[geography_score]])</f>
        <v>584</v>
      </c>
      <c r="S1446" s="3">
        <f>student_scores[[#This Row],[Total_Score]]/7</f>
        <v>83.428571428571431</v>
      </c>
      <c r="T1446" s="3" t="str" cm="1">
        <f t="array" ref="T1446">_xlfn.IFS(student_scores[[#This Row],[weekly_self_study_hours]]&lt;=5,   "0 - 5", student_scores[[#This Row],[weekly_self_study_hours]]&lt;=10,  "6 - 10", student_scores[[#This Row],[weekly_self_study_hours]]&lt;=20,  "11 - 20",student_scores[[#This Row],[weekly_self_study_hours]]&lt;=30, "21 - 30",TRUE, "31+")</f>
        <v>6 - 10</v>
      </c>
      <c r="U1446" t="str" cm="1">
        <f t="array" ref="U1446">_xlfn.IFS(student_scores[[#This Row],[absence_days]]=0,"0", student_scores[[#This Row],[absence_days]]&lt;=3,"1-3", student_scores[[#This Row],[absence_days]]&lt;=6,"4-6", TRUE,"7-10")</f>
        <v>1-3</v>
      </c>
      <c r="V1446" t="str">
        <f>IF(student_scores[[#This Row],[Total_Score]] &gt;= _xlfn.PERCENTILE.INC(student_scores[Total_Score], 0.8), "Yes", "No")</f>
        <v>No</v>
      </c>
    </row>
    <row r="1447" spans="1:22" x14ac:dyDescent="0.35">
      <c r="A1447">
        <v>1446</v>
      </c>
      <c r="B1447" t="s">
        <v>560</v>
      </c>
      <c r="C1447" t="s">
        <v>423</v>
      </c>
      <c r="D1447" t="s">
        <v>2457</v>
      </c>
      <c r="E1447" t="s">
        <v>25</v>
      </c>
      <c r="F1447" t="b">
        <v>0</v>
      </c>
      <c r="G1447">
        <v>1</v>
      </c>
      <c r="H1447" t="b">
        <v>1</v>
      </c>
      <c r="I1447">
        <v>4</v>
      </c>
      <c r="J1447" t="s">
        <v>224</v>
      </c>
      <c r="K1447">
        <v>62</v>
      </c>
      <c r="L1447">
        <v>84</v>
      </c>
      <c r="M1447">
        <v>74</v>
      </c>
      <c r="N1447">
        <v>74</v>
      </c>
      <c r="O1447">
        <v>66</v>
      </c>
      <c r="P1447">
        <v>61</v>
      </c>
      <c r="Q1447">
        <v>90</v>
      </c>
      <c r="R1447">
        <f>SUM(student_scores[[#This Row],[math_score]:[geography_score]])</f>
        <v>511</v>
      </c>
      <c r="S1447" s="3">
        <f>student_scores[[#This Row],[Total_Score]]/7</f>
        <v>73</v>
      </c>
      <c r="T1447" s="3" t="str" cm="1">
        <f t="array" ref="T1447">_xlfn.IFS(student_scores[[#This Row],[weekly_self_study_hours]]&lt;=5,   "0 - 5", student_scores[[#This Row],[weekly_self_study_hours]]&lt;=10,  "6 - 10", student_scores[[#This Row],[weekly_self_study_hours]]&lt;=20,  "11 - 20",student_scores[[#This Row],[weekly_self_study_hours]]&lt;=30, "21 - 30",TRUE, "31+")</f>
        <v>0 - 5</v>
      </c>
      <c r="U1447" t="str" cm="1">
        <f t="array" ref="U1447">_xlfn.IFS(student_scores[[#This Row],[absence_days]]=0,"0", student_scores[[#This Row],[absence_days]]&lt;=3,"1-3", student_scores[[#This Row],[absence_days]]&lt;=6,"4-6", TRUE,"7-10")</f>
        <v>1-3</v>
      </c>
      <c r="V1447" t="str">
        <f>IF(student_scores[[#This Row],[Total_Score]] &gt;= _xlfn.PERCENTILE.INC(student_scores[Total_Score], 0.8), "Yes", "No")</f>
        <v>No</v>
      </c>
    </row>
    <row r="1448" spans="1:22" x14ac:dyDescent="0.35">
      <c r="A1448">
        <v>1447</v>
      </c>
      <c r="B1448" t="s">
        <v>35</v>
      </c>
      <c r="C1448" t="s">
        <v>600</v>
      </c>
      <c r="D1448" t="s">
        <v>2458</v>
      </c>
      <c r="E1448" t="s">
        <v>20</v>
      </c>
      <c r="F1448" t="b">
        <v>0</v>
      </c>
      <c r="G1448">
        <v>0</v>
      </c>
      <c r="H1448" t="b">
        <v>0</v>
      </c>
      <c r="I1448">
        <v>31</v>
      </c>
      <c r="J1448" t="s">
        <v>44</v>
      </c>
      <c r="K1448">
        <v>87</v>
      </c>
      <c r="L1448">
        <v>78</v>
      </c>
      <c r="M1448">
        <v>96</v>
      </c>
      <c r="N1448">
        <v>84</v>
      </c>
      <c r="O1448">
        <v>97</v>
      </c>
      <c r="P1448">
        <v>89</v>
      </c>
      <c r="Q1448">
        <v>82</v>
      </c>
      <c r="R1448">
        <f>SUM(student_scores[[#This Row],[math_score]:[geography_score]])</f>
        <v>613</v>
      </c>
      <c r="S1448" s="3">
        <f>student_scores[[#This Row],[Total_Score]]/7</f>
        <v>87.571428571428569</v>
      </c>
      <c r="T1448" s="3" t="str" cm="1">
        <f t="array" ref="T1448">_xlfn.IFS(student_scores[[#This Row],[weekly_self_study_hours]]&lt;=5,   "0 - 5", student_scores[[#This Row],[weekly_self_study_hours]]&lt;=10,  "6 - 10", student_scores[[#This Row],[weekly_self_study_hours]]&lt;=20,  "11 - 20",student_scores[[#This Row],[weekly_self_study_hours]]&lt;=30, "21 - 30",TRUE, "31+")</f>
        <v>31+</v>
      </c>
      <c r="U1448" t="str" cm="1">
        <f t="array" ref="U1448">_xlfn.IFS(student_scores[[#This Row],[absence_days]]=0,"0", student_scores[[#This Row],[absence_days]]&lt;=3,"1-3", student_scores[[#This Row],[absence_days]]&lt;=6,"4-6", TRUE,"7-10")</f>
        <v>0</v>
      </c>
      <c r="V1448" t="str">
        <f>IF(student_scores[[#This Row],[Total_Score]] &gt;= _xlfn.PERCENTILE.INC(student_scores[Total_Score], 0.8), "Yes", "No")</f>
        <v>Yes</v>
      </c>
    </row>
    <row r="1449" spans="1:22" x14ac:dyDescent="0.35">
      <c r="A1449">
        <v>1448</v>
      </c>
      <c r="B1449" t="s">
        <v>2132</v>
      </c>
      <c r="C1449" t="s">
        <v>128</v>
      </c>
      <c r="D1449" t="s">
        <v>2459</v>
      </c>
      <c r="E1449" t="s">
        <v>20</v>
      </c>
      <c r="F1449" t="b">
        <v>0</v>
      </c>
      <c r="G1449">
        <v>7</v>
      </c>
      <c r="H1449" t="b">
        <v>1</v>
      </c>
      <c r="I1449">
        <v>23</v>
      </c>
      <c r="J1449" t="s">
        <v>113</v>
      </c>
      <c r="K1449">
        <v>81</v>
      </c>
      <c r="L1449">
        <v>83</v>
      </c>
      <c r="M1449">
        <v>79</v>
      </c>
      <c r="N1449">
        <v>94</v>
      </c>
      <c r="O1449">
        <v>37</v>
      </c>
      <c r="P1449">
        <v>84</v>
      </c>
      <c r="Q1449">
        <v>71</v>
      </c>
      <c r="R1449">
        <f>SUM(student_scores[[#This Row],[math_score]:[geography_score]])</f>
        <v>529</v>
      </c>
      <c r="S1449" s="3">
        <f>student_scores[[#This Row],[Total_Score]]/7</f>
        <v>75.571428571428569</v>
      </c>
      <c r="T1449" s="3" t="str" cm="1">
        <f t="array" ref="T1449">_xlfn.IFS(student_scores[[#This Row],[weekly_self_study_hours]]&lt;=5,   "0 - 5", student_scores[[#This Row],[weekly_self_study_hours]]&lt;=10,  "6 - 10", student_scores[[#This Row],[weekly_self_study_hours]]&lt;=20,  "11 - 20",student_scores[[#This Row],[weekly_self_study_hours]]&lt;=30, "21 - 30",TRUE, "31+")</f>
        <v>21 - 30</v>
      </c>
      <c r="U1449" t="str" cm="1">
        <f t="array" ref="U1449">_xlfn.IFS(student_scores[[#This Row],[absence_days]]=0,"0", student_scores[[#This Row],[absence_days]]&lt;=3,"1-3", student_scores[[#This Row],[absence_days]]&lt;=6,"4-6", TRUE,"7-10")</f>
        <v>7-10</v>
      </c>
      <c r="V1449" t="str">
        <f>IF(student_scores[[#This Row],[Total_Score]] &gt;= _xlfn.PERCENTILE.INC(student_scores[Total_Score], 0.8), "Yes", "No")</f>
        <v>No</v>
      </c>
    </row>
    <row r="1450" spans="1:22" x14ac:dyDescent="0.35">
      <c r="A1450">
        <v>1449</v>
      </c>
      <c r="B1450" t="s">
        <v>2460</v>
      </c>
      <c r="C1450" t="s">
        <v>2375</v>
      </c>
      <c r="D1450" t="s">
        <v>2461</v>
      </c>
      <c r="E1450" t="s">
        <v>25</v>
      </c>
      <c r="F1450" t="b">
        <v>0</v>
      </c>
      <c r="G1450">
        <v>4</v>
      </c>
      <c r="H1450" t="b">
        <v>0</v>
      </c>
      <c r="I1450">
        <v>5</v>
      </c>
      <c r="J1450" t="s">
        <v>38</v>
      </c>
      <c r="K1450">
        <v>83</v>
      </c>
      <c r="L1450">
        <v>66</v>
      </c>
      <c r="M1450">
        <v>94</v>
      </c>
      <c r="N1450">
        <v>75</v>
      </c>
      <c r="O1450">
        <v>72</v>
      </c>
      <c r="P1450">
        <v>78</v>
      </c>
      <c r="Q1450">
        <v>74</v>
      </c>
      <c r="R1450">
        <f>SUM(student_scores[[#This Row],[math_score]:[geography_score]])</f>
        <v>542</v>
      </c>
      <c r="S1450" s="3">
        <f>student_scores[[#This Row],[Total_Score]]/7</f>
        <v>77.428571428571431</v>
      </c>
      <c r="T1450" s="3" t="str" cm="1">
        <f t="array" ref="T1450">_xlfn.IFS(student_scores[[#This Row],[weekly_self_study_hours]]&lt;=5,   "0 - 5", student_scores[[#This Row],[weekly_self_study_hours]]&lt;=10,  "6 - 10", student_scores[[#This Row],[weekly_self_study_hours]]&lt;=20,  "11 - 20",student_scores[[#This Row],[weekly_self_study_hours]]&lt;=30, "21 - 30",TRUE, "31+")</f>
        <v>0 - 5</v>
      </c>
      <c r="U1450" t="str" cm="1">
        <f t="array" ref="U1450">_xlfn.IFS(student_scores[[#This Row],[absence_days]]=0,"0", student_scores[[#This Row],[absence_days]]&lt;=3,"1-3", student_scores[[#This Row],[absence_days]]&lt;=6,"4-6", TRUE,"7-10")</f>
        <v>4-6</v>
      </c>
      <c r="V1450" t="str">
        <f>IF(student_scores[[#This Row],[Total_Score]] &gt;= _xlfn.PERCENTILE.INC(student_scores[Total_Score], 0.8), "Yes", "No")</f>
        <v>No</v>
      </c>
    </row>
    <row r="1451" spans="1:22" x14ac:dyDescent="0.35">
      <c r="A1451">
        <v>1450</v>
      </c>
      <c r="B1451" t="s">
        <v>80</v>
      </c>
      <c r="C1451" t="s">
        <v>1599</v>
      </c>
      <c r="D1451" t="s">
        <v>2462</v>
      </c>
      <c r="E1451" t="s">
        <v>20</v>
      </c>
      <c r="F1451" t="b">
        <v>0</v>
      </c>
      <c r="G1451">
        <v>10</v>
      </c>
      <c r="H1451" t="b">
        <v>0</v>
      </c>
      <c r="I1451">
        <v>1</v>
      </c>
      <c r="J1451" t="s">
        <v>64</v>
      </c>
      <c r="K1451">
        <v>90</v>
      </c>
      <c r="L1451">
        <v>50</v>
      </c>
      <c r="M1451">
        <v>84</v>
      </c>
      <c r="N1451">
        <v>90</v>
      </c>
      <c r="O1451">
        <v>83</v>
      </c>
      <c r="P1451">
        <v>62</v>
      </c>
      <c r="Q1451">
        <v>100</v>
      </c>
      <c r="R1451">
        <f>SUM(student_scores[[#This Row],[math_score]:[geography_score]])</f>
        <v>559</v>
      </c>
      <c r="S1451" s="3">
        <f>student_scores[[#This Row],[Total_Score]]/7</f>
        <v>79.857142857142861</v>
      </c>
      <c r="T1451" s="3" t="str" cm="1">
        <f t="array" ref="T1451">_xlfn.IFS(student_scores[[#This Row],[weekly_self_study_hours]]&lt;=5,   "0 - 5", student_scores[[#This Row],[weekly_self_study_hours]]&lt;=10,  "6 - 10", student_scores[[#This Row],[weekly_self_study_hours]]&lt;=20,  "11 - 20",student_scores[[#This Row],[weekly_self_study_hours]]&lt;=30, "21 - 30",TRUE, "31+")</f>
        <v>0 - 5</v>
      </c>
      <c r="U1451" t="str" cm="1">
        <f t="array" ref="U1451">_xlfn.IFS(student_scores[[#This Row],[absence_days]]=0,"0", student_scores[[#This Row],[absence_days]]&lt;=3,"1-3", student_scores[[#This Row],[absence_days]]&lt;=6,"4-6", TRUE,"7-10")</f>
        <v>7-10</v>
      </c>
      <c r="V1451" t="str">
        <f>IF(student_scores[[#This Row],[Total_Score]] &gt;= _xlfn.PERCENTILE.INC(student_scores[Total_Score], 0.8), "Yes", "No")</f>
        <v>No</v>
      </c>
    </row>
    <row r="1452" spans="1:22" x14ac:dyDescent="0.35">
      <c r="A1452">
        <v>1451</v>
      </c>
      <c r="B1452" t="s">
        <v>300</v>
      </c>
      <c r="C1452" t="s">
        <v>2463</v>
      </c>
      <c r="D1452" t="s">
        <v>2464</v>
      </c>
      <c r="E1452" t="s">
        <v>20</v>
      </c>
      <c r="F1452" t="b">
        <v>0</v>
      </c>
      <c r="G1452">
        <v>3</v>
      </c>
      <c r="H1452" t="b">
        <v>0</v>
      </c>
      <c r="I1452">
        <v>4</v>
      </c>
      <c r="J1452" t="s">
        <v>34</v>
      </c>
      <c r="K1452">
        <v>75</v>
      </c>
      <c r="L1452">
        <v>69</v>
      </c>
      <c r="M1452">
        <v>97</v>
      </c>
      <c r="N1452">
        <v>98</v>
      </c>
      <c r="O1452">
        <v>60</v>
      </c>
      <c r="P1452">
        <v>60</v>
      </c>
      <c r="Q1452">
        <v>85</v>
      </c>
      <c r="R1452">
        <f>SUM(student_scores[[#This Row],[math_score]:[geography_score]])</f>
        <v>544</v>
      </c>
      <c r="S1452" s="3">
        <f>student_scores[[#This Row],[Total_Score]]/7</f>
        <v>77.714285714285708</v>
      </c>
      <c r="T1452" s="3" t="str" cm="1">
        <f t="array" ref="T1452">_xlfn.IFS(student_scores[[#This Row],[weekly_self_study_hours]]&lt;=5,   "0 - 5", student_scores[[#This Row],[weekly_self_study_hours]]&lt;=10,  "6 - 10", student_scores[[#This Row],[weekly_self_study_hours]]&lt;=20,  "11 - 20",student_scores[[#This Row],[weekly_self_study_hours]]&lt;=30, "21 - 30",TRUE, "31+")</f>
        <v>0 - 5</v>
      </c>
      <c r="U1452" t="str" cm="1">
        <f t="array" ref="U1452">_xlfn.IFS(student_scores[[#This Row],[absence_days]]=0,"0", student_scores[[#This Row],[absence_days]]&lt;=3,"1-3", student_scores[[#This Row],[absence_days]]&lt;=6,"4-6", TRUE,"7-10")</f>
        <v>1-3</v>
      </c>
      <c r="V1452" t="str">
        <f>IF(student_scores[[#This Row],[Total_Score]] &gt;= _xlfn.PERCENTILE.INC(student_scores[Total_Score], 0.8), "Yes", "No")</f>
        <v>No</v>
      </c>
    </row>
    <row r="1453" spans="1:22" x14ac:dyDescent="0.35">
      <c r="A1453">
        <v>1452</v>
      </c>
      <c r="B1453" t="s">
        <v>473</v>
      </c>
      <c r="C1453" t="s">
        <v>1492</v>
      </c>
      <c r="D1453" t="s">
        <v>2465</v>
      </c>
      <c r="E1453" t="s">
        <v>20</v>
      </c>
      <c r="F1453" t="b">
        <v>0</v>
      </c>
      <c r="G1453">
        <v>0</v>
      </c>
      <c r="H1453" t="b">
        <v>1</v>
      </c>
      <c r="I1453">
        <v>23</v>
      </c>
      <c r="J1453" t="s">
        <v>138</v>
      </c>
      <c r="K1453">
        <v>94</v>
      </c>
      <c r="L1453">
        <v>61</v>
      </c>
      <c r="M1453">
        <v>81</v>
      </c>
      <c r="N1453">
        <v>64</v>
      </c>
      <c r="O1453">
        <v>75</v>
      </c>
      <c r="P1453">
        <v>72</v>
      </c>
      <c r="Q1453">
        <v>61</v>
      </c>
      <c r="R1453">
        <f>SUM(student_scores[[#This Row],[math_score]:[geography_score]])</f>
        <v>508</v>
      </c>
      <c r="S1453" s="3">
        <f>student_scores[[#This Row],[Total_Score]]/7</f>
        <v>72.571428571428569</v>
      </c>
      <c r="T1453" s="3" t="str" cm="1">
        <f t="array" ref="T1453">_xlfn.IFS(student_scores[[#This Row],[weekly_self_study_hours]]&lt;=5,   "0 - 5", student_scores[[#This Row],[weekly_self_study_hours]]&lt;=10,  "6 - 10", student_scores[[#This Row],[weekly_self_study_hours]]&lt;=20,  "11 - 20",student_scores[[#This Row],[weekly_self_study_hours]]&lt;=30, "21 - 30",TRUE, "31+")</f>
        <v>21 - 30</v>
      </c>
      <c r="U1453" t="str" cm="1">
        <f t="array" ref="U1453">_xlfn.IFS(student_scores[[#This Row],[absence_days]]=0,"0", student_scores[[#This Row],[absence_days]]&lt;=3,"1-3", student_scores[[#This Row],[absence_days]]&lt;=6,"4-6", TRUE,"7-10")</f>
        <v>0</v>
      </c>
      <c r="V1453" t="str">
        <f>IF(student_scores[[#This Row],[Total_Score]] &gt;= _xlfn.PERCENTILE.INC(student_scores[Total_Score], 0.8), "Yes", "No")</f>
        <v>No</v>
      </c>
    </row>
    <row r="1454" spans="1:22" x14ac:dyDescent="0.35">
      <c r="A1454">
        <v>1453</v>
      </c>
      <c r="B1454" t="s">
        <v>1024</v>
      </c>
      <c r="C1454" t="s">
        <v>1698</v>
      </c>
      <c r="D1454" t="s">
        <v>2466</v>
      </c>
      <c r="E1454" t="s">
        <v>20</v>
      </c>
      <c r="F1454" t="b">
        <v>0</v>
      </c>
      <c r="G1454">
        <v>3</v>
      </c>
      <c r="H1454" t="b">
        <v>0</v>
      </c>
      <c r="I1454">
        <v>15</v>
      </c>
      <c r="J1454" t="s">
        <v>30</v>
      </c>
      <c r="K1454">
        <v>91</v>
      </c>
      <c r="L1454">
        <v>68</v>
      </c>
      <c r="M1454">
        <v>62</v>
      </c>
      <c r="N1454">
        <v>82</v>
      </c>
      <c r="O1454">
        <v>70</v>
      </c>
      <c r="P1454">
        <v>92</v>
      </c>
      <c r="Q1454">
        <v>73</v>
      </c>
      <c r="R1454">
        <f>SUM(student_scores[[#This Row],[math_score]:[geography_score]])</f>
        <v>538</v>
      </c>
      <c r="S1454" s="3">
        <f>student_scores[[#This Row],[Total_Score]]/7</f>
        <v>76.857142857142861</v>
      </c>
      <c r="T1454" s="3" t="str" cm="1">
        <f t="array" ref="T1454">_xlfn.IFS(student_scores[[#This Row],[weekly_self_study_hours]]&lt;=5,   "0 - 5", student_scores[[#This Row],[weekly_self_study_hours]]&lt;=10,  "6 - 10", student_scores[[#This Row],[weekly_self_study_hours]]&lt;=20,  "11 - 20",student_scores[[#This Row],[weekly_self_study_hours]]&lt;=30, "21 - 30",TRUE, "31+")</f>
        <v>11 - 20</v>
      </c>
      <c r="U1454" t="str" cm="1">
        <f t="array" ref="U1454">_xlfn.IFS(student_scores[[#This Row],[absence_days]]=0,"0", student_scores[[#This Row],[absence_days]]&lt;=3,"1-3", student_scores[[#This Row],[absence_days]]&lt;=6,"4-6", TRUE,"7-10")</f>
        <v>1-3</v>
      </c>
      <c r="V1454" t="str">
        <f>IF(student_scores[[#This Row],[Total_Score]] &gt;= _xlfn.PERCENTILE.INC(student_scores[Total_Score], 0.8), "Yes", "No")</f>
        <v>No</v>
      </c>
    </row>
    <row r="1455" spans="1:22" x14ac:dyDescent="0.35">
      <c r="A1455">
        <v>1454</v>
      </c>
      <c r="B1455" t="s">
        <v>106</v>
      </c>
      <c r="C1455" t="s">
        <v>2467</v>
      </c>
      <c r="D1455" t="s">
        <v>2468</v>
      </c>
      <c r="E1455" t="s">
        <v>20</v>
      </c>
      <c r="F1455" t="b">
        <v>0</v>
      </c>
      <c r="G1455">
        <v>2</v>
      </c>
      <c r="H1455" t="b">
        <v>0</v>
      </c>
      <c r="I1455">
        <v>24</v>
      </c>
      <c r="J1455" t="s">
        <v>21</v>
      </c>
      <c r="K1455">
        <v>96</v>
      </c>
      <c r="L1455">
        <v>88</v>
      </c>
      <c r="M1455">
        <v>68</v>
      </c>
      <c r="N1455">
        <v>95</v>
      </c>
      <c r="O1455">
        <v>67</v>
      </c>
      <c r="P1455">
        <v>95</v>
      </c>
      <c r="Q1455">
        <v>75</v>
      </c>
      <c r="R1455">
        <f>SUM(student_scores[[#This Row],[math_score]:[geography_score]])</f>
        <v>584</v>
      </c>
      <c r="S1455" s="3">
        <f>student_scores[[#This Row],[Total_Score]]/7</f>
        <v>83.428571428571431</v>
      </c>
      <c r="T1455" s="3" t="str" cm="1">
        <f t="array" ref="T1455">_xlfn.IFS(student_scores[[#This Row],[weekly_self_study_hours]]&lt;=5,   "0 - 5", student_scores[[#This Row],[weekly_self_study_hours]]&lt;=10,  "6 - 10", student_scores[[#This Row],[weekly_self_study_hours]]&lt;=20,  "11 - 20",student_scores[[#This Row],[weekly_self_study_hours]]&lt;=30, "21 - 30",TRUE, "31+")</f>
        <v>21 - 30</v>
      </c>
      <c r="U1455" t="str" cm="1">
        <f t="array" ref="U1455">_xlfn.IFS(student_scores[[#This Row],[absence_days]]=0,"0", student_scores[[#This Row],[absence_days]]&lt;=3,"1-3", student_scores[[#This Row],[absence_days]]&lt;=6,"4-6", TRUE,"7-10")</f>
        <v>1-3</v>
      </c>
      <c r="V1455" t="str">
        <f>IF(student_scores[[#This Row],[Total_Score]] &gt;= _xlfn.PERCENTILE.INC(student_scores[Total_Score], 0.8), "Yes", "No")</f>
        <v>No</v>
      </c>
    </row>
    <row r="1456" spans="1:22" x14ac:dyDescent="0.35">
      <c r="A1456">
        <v>1455</v>
      </c>
      <c r="B1456" t="s">
        <v>2469</v>
      </c>
      <c r="C1456" t="s">
        <v>1889</v>
      </c>
      <c r="D1456" t="s">
        <v>2470</v>
      </c>
      <c r="E1456" t="s">
        <v>20</v>
      </c>
      <c r="F1456" t="b">
        <v>0</v>
      </c>
      <c r="G1456">
        <v>2</v>
      </c>
      <c r="H1456" t="b">
        <v>0</v>
      </c>
      <c r="I1456">
        <v>31</v>
      </c>
      <c r="J1456" t="s">
        <v>44</v>
      </c>
      <c r="K1456">
        <v>85</v>
      </c>
      <c r="L1456">
        <v>76</v>
      </c>
      <c r="M1456">
        <v>82</v>
      </c>
      <c r="N1456">
        <v>85</v>
      </c>
      <c r="O1456">
        <v>73</v>
      </c>
      <c r="P1456">
        <v>60</v>
      </c>
      <c r="Q1456">
        <v>90</v>
      </c>
      <c r="R1456">
        <f>SUM(student_scores[[#This Row],[math_score]:[geography_score]])</f>
        <v>551</v>
      </c>
      <c r="S1456" s="3">
        <f>student_scores[[#This Row],[Total_Score]]/7</f>
        <v>78.714285714285708</v>
      </c>
      <c r="T1456" s="3" t="str" cm="1">
        <f t="array" ref="T1456">_xlfn.IFS(student_scores[[#This Row],[weekly_self_study_hours]]&lt;=5,   "0 - 5", student_scores[[#This Row],[weekly_self_study_hours]]&lt;=10,  "6 - 10", student_scores[[#This Row],[weekly_self_study_hours]]&lt;=20,  "11 - 20",student_scores[[#This Row],[weekly_self_study_hours]]&lt;=30, "21 - 30",TRUE, "31+")</f>
        <v>31+</v>
      </c>
      <c r="U1456" t="str" cm="1">
        <f t="array" ref="U1456">_xlfn.IFS(student_scores[[#This Row],[absence_days]]=0,"0", student_scores[[#This Row],[absence_days]]&lt;=3,"1-3", student_scores[[#This Row],[absence_days]]&lt;=6,"4-6", TRUE,"7-10")</f>
        <v>1-3</v>
      </c>
      <c r="V1456" t="str">
        <f>IF(student_scores[[#This Row],[Total_Score]] &gt;= _xlfn.PERCENTILE.INC(student_scores[Total_Score], 0.8), "Yes", "No")</f>
        <v>No</v>
      </c>
    </row>
    <row r="1457" spans="1:22" x14ac:dyDescent="0.35">
      <c r="A1457">
        <v>1456</v>
      </c>
      <c r="B1457" t="s">
        <v>139</v>
      </c>
      <c r="C1457" t="s">
        <v>2471</v>
      </c>
      <c r="D1457" t="s">
        <v>2472</v>
      </c>
      <c r="E1457" t="s">
        <v>20</v>
      </c>
      <c r="F1457" t="b">
        <v>0</v>
      </c>
      <c r="G1457">
        <v>4</v>
      </c>
      <c r="H1457" t="b">
        <v>0</v>
      </c>
      <c r="I1457">
        <v>29</v>
      </c>
      <c r="J1457" t="s">
        <v>21</v>
      </c>
      <c r="K1457">
        <v>71</v>
      </c>
      <c r="L1457">
        <v>93</v>
      </c>
      <c r="M1457">
        <v>90</v>
      </c>
      <c r="N1457">
        <v>89</v>
      </c>
      <c r="O1457">
        <v>69</v>
      </c>
      <c r="P1457">
        <v>94</v>
      </c>
      <c r="Q1457">
        <v>79</v>
      </c>
      <c r="R1457">
        <f>SUM(student_scores[[#This Row],[math_score]:[geography_score]])</f>
        <v>585</v>
      </c>
      <c r="S1457" s="3">
        <f>student_scores[[#This Row],[Total_Score]]/7</f>
        <v>83.571428571428569</v>
      </c>
      <c r="T1457" s="3" t="str" cm="1">
        <f t="array" ref="T1457">_xlfn.IFS(student_scores[[#This Row],[weekly_self_study_hours]]&lt;=5,   "0 - 5", student_scores[[#This Row],[weekly_self_study_hours]]&lt;=10,  "6 - 10", student_scores[[#This Row],[weekly_self_study_hours]]&lt;=20,  "11 - 20",student_scores[[#This Row],[weekly_self_study_hours]]&lt;=30, "21 - 30",TRUE, "31+")</f>
        <v>21 - 30</v>
      </c>
      <c r="U1457" t="str" cm="1">
        <f t="array" ref="U1457">_xlfn.IFS(student_scores[[#This Row],[absence_days]]=0,"0", student_scores[[#This Row],[absence_days]]&lt;=3,"1-3", student_scores[[#This Row],[absence_days]]&lt;=6,"4-6", TRUE,"7-10")</f>
        <v>4-6</v>
      </c>
      <c r="V1457" t="str">
        <f>IF(student_scores[[#This Row],[Total_Score]] &gt;= _xlfn.PERCENTILE.INC(student_scores[Total_Score], 0.8), "Yes", "No")</f>
        <v>No</v>
      </c>
    </row>
    <row r="1458" spans="1:22" x14ac:dyDescent="0.35">
      <c r="A1458">
        <v>1457</v>
      </c>
      <c r="B1458" t="s">
        <v>383</v>
      </c>
      <c r="C1458" t="s">
        <v>1533</v>
      </c>
      <c r="D1458" t="s">
        <v>2473</v>
      </c>
      <c r="E1458" t="s">
        <v>25</v>
      </c>
      <c r="F1458" t="b">
        <v>0</v>
      </c>
      <c r="G1458">
        <v>3</v>
      </c>
      <c r="H1458" t="b">
        <v>0</v>
      </c>
      <c r="I1458">
        <v>49</v>
      </c>
      <c r="J1458" t="s">
        <v>26</v>
      </c>
      <c r="K1458">
        <v>98</v>
      </c>
      <c r="L1458">
        <v>90</v>
      </c>
      <c r="M1458">
        <v>87</v>
      </c>
      <c r="N1458">
        <v>92</v>
      </c>
      <c r="O1458">
        <v>92</v>
      </c>
      <c r="P1458">
        <v>99</v>
      </c>
      <c r="Q1458">
        <v>98</v>
      </c>
      <c r="R1458">
        <f>SUM(student_scores[[#This Row],[math_score]:[geography_score]])</f>
        <v>656</v>
      </c>
      <c r="S1458" s="3">
        <f>student_scores[[#This Row],[Total_Score]]/7</f>
        <v>93.714285714285708</v>
      </c>
      <c r="T1458" s="3" t="str" cm="1">
        <f t="array" ref="T1458">_xlfn.IFS(student_scores[[#This Row],[weekly_self_study_hours]]&lt;=5,   "0 - 5", student_scores[[#This Row],[weekly_self_study_hours]]&lt;=10,  "6 - 10", student_scores[[#This Row],[weekly_self_study_hours]]&lt;=20,  "11 - 20",student_scores[[#This Row],[weekly_self_study_hours]]&lt;=30, "21 - 30",TRUE, "31+")</f>
        <v>31+</v>
      </c>
      <c r="U1458" t="str" cm="1">
        <f t="array" ref="U1458">_xlfn.IFS(student_scores[[#This Row],[absence_days]]=0,"0", student_scores[[#This Row],[absence_days]]&lt;=3,"1-3", student_scores[[#This Row],[absence_days]]&lt;=6,"4-6", TRUE,"7-10")</f>
        <v>1-3</v>
      </c>
      <c r="V1458" t="str">
        <f>IF(student_scores[[#This Row],[Total_Score]] &gt;= _xlfn.PERCENTILE.INC(student_scores[Total_Score], 0.8), "Yes", "No")</f>
        <v>Yes</v>
      </c>
    </row>
    <row r="1459" spans="1:22" x14ac:dyDescent="0.35">
      <c r="A1459">
        <v>1458</v>
      </c>
      <c r="B1459" t="s">
        <v>266</v>
      </c>
      <c r="C1459" t="s">
        <v>1275</v>
      </c>
      <c r="D1459" t="s">
        <v>2474</v>
      </c>
      <c r="E1459" t="s">
        <v>20</v>
      </c>
      <c r="F1459" t="b">
        <v>0</v>
      </c>
      <c r="G1459">
        <v>4</v>
      </c>
      <c r="H1459" t="b">
        <v>0</v>
      </c>
      <c r="I1459">
        <v>6</v>
      </c>
      <c r="J1459" t="s">
        <v>38</v>
      </c>
      <c r="K1459">
        <v>66</v>
      </c>
      <c r="L1459">
        <v>97</v>
      </c>
      <c r="M1459">
        <v>82</v>
      </c>
      <c r="N1459">
        <v>70</v>
      </c>
      <c r="O1459">
        <v>93</v>
      </c>
      <c r="P1459">
        <v>68</v>
      </c>
      <c r="Q1459">
        <v>98</v>
      </c>
      <c r="R1459">
        <f>SUM(student_scores[[#This Row],[math_score]:[geography_score]])</f>
        <v>574</v>
      </c>
      <c r="S1459" s="3">
        <f>student_scores[[#This Row],[Total_Score]]/7</f>
        <v>82</v>
      </c>
      <c r="T1459" s="3" t="str" cm="1">
        <f t="array" ref="T1459">_xlfn.IFS(student_scores[[#This Row],[weekly_self_study_hours]]&lt;=5,   "0 - 5", student_scores[[#This Row],[weekly_self_study_hours]]&lt;=10,  "6 - 10", student_scores[[#This Row],[weekly_self_study_hours]]&lt;=20,  "11 - 20",student_scores[[#This Row],[weekly_self_study_hours]]&lt;=30, "21 - 30",TRUE, "31+")</f>
        <v>6 - 10</v>
      </c>
      <c r="U1459" t="str" cm="1">
        <f t="array" ref="U1459">_xlfn.IFS(student_scores[[#This Row],[absence_days]]=0,"0", student_scores[[#This Row],[absence_days]]&lt;=3,"1-3", student_scores[[#This Row],[absence_days]]&lt;=6,"4-6", TRUE,"7-10")</f>
        <v>4-6</v>
      </c>
      <c r="V1459" t="str">
        <f>IF(student_scores[[#This Row],[Total_Score]] &gt;= _xlfn.PERCENTILE.INC(student_scores[Total_Score], 0.8), "Yes", "No")</f>
        <v>No</v>
      </c>
    </row>
    <row r="1460" spans="1:22" x14ac:dyDescent="0.35">
      <c r="A1460">
        <v>1459</v>
      </c>
      <c r="B1460" t="s">
        <v>139</v>
      </c>
      <c r="C1460" t="s">
        <v>42</v>
      </c>
      <c r="D1460" t="s">
        <v>2475</v>
      </c>
      <c r="E1460" t="s">
        <v>20</v>
      </c>
      <c r="F1460" t="b">
        <v>0</v>
      </c>
      <c r="G1460">
        <v>7</v>
      </c>
      <c r="H1460" t="b">
        <v>1</v>
      </c>
      <c r="I1460">
        <v>33</v>
      </c>
      <c r="J1460" t="s">
        <v>113</v>
      </c>
      <c r="K1460">
        <v>99</v>
      </c>
      <c r="L1460">
        <v>82</v>
      </c>
      <c r="M1460">
        <v>69</v>
      </c>
      <c r="N1460">
        <v>84</v>
      </c>
      <c r="O1460">
        <v>79</v>
      </c>
      <c r="P1460">
        <v>88</v>
      </c>
      <c r="Q1460">
        <v>67</v>
      </c>
      <c r="R1460">
        <f>SUM(student_scores[[#This Row],[math_score]:[geography_score]])</f>
        <v>568</v>
      </c>
      <c r="S1460" s="3">
        <f>student_scores[[#This Row],[Total_Score]]/7</f>
        <v>81.142857142857139</v>
      </c>
      <c r="T1460" s="3" t="str" cm="1">
        <f t="array" ref="T1460">_xlfn.IFS(student_scores[[#This Row],[weekly_self_study_hours]]&lt;=5,   "0 - 5", student_scores[[#This Row],[weekly_self_study_hours]]&lt;=10,  "6 - 10", student_scores[[#This Row],[weekly_self_study_hours]]&lt;=20,  "11 - 20",student_scores[[#This Row],[weekly_self_study_hours]]&lt;=30, "21 - 30",TRUE, "31+")</f>
        <v>31+</v>
      </c>
      <c r="U1460" t="str" cm="1">
        <f t="array" ref="U1460">_xlfn.IFS(student_scores[[#This Row],[absence_days]]=0,"0", student_scores[[#This Row],[absence_days]]&lt;=3,"1-3", student_scores[[#This Row],[absence_days]]&lt;=6,"4-6", TRUE,"7-10")</f>
        <v>7-10</v>
      </c>
      <c r="V1460" t="str">
        <f>IF(student_scores[[#This Row],[Total_Score]] &gt;= _xlfn.PERCENTILE.INC(student_scores[Total_Score], 0.8), "Yes", "No")</f>
        <v>No</v>
      </c>
    </row>
    <row r="1461" spans="1:22" x14ac:dyDescent="0.35">
      <c r="A1461">
        <v>1460</v>
      </c>
      <c r="B1461" t="s">
        <v>845</v>
      </c>
      <c r="C1461" t="s">
        <v>1300</v>
      </c>
      <c r="D1461" t="s">
        <v>2476</v>
      </c>
      <c r="E1461" t="s">
        <v>25</v>
      </c>
      <c r="F1461" t="b">
        <v>1</v>
      </c>
      <c r="G1461">
        <v>5</v>
      </c>
      <c r="H1461" t="b">
        <v>1</v>
      </c>
      <c r="I1461">
        <v>10</v>
      </c>
      <c r="J1461" t="s">
        <v>123</v>
      </c>
      <c r="K1461">
        <v>71</v>
      </c>
      <c r="L1461">
        <v>70</v>
      </c>
      <c r="M1461">
        <v>87</v>
      </c>
      <c r="N1461">
        <v>62</v>
      </c>
      <c r="O1461">
        <v>92</v>
      </c>
      <c r="P1461">
        <v>63</v>
      </c>
      <c r="Q1461">
        <v>80</v>
      </c>
      <c r="R1461">
        <f>SUM(student_scores[[#This Row],[math_score]:[geography_score]])</f>
        <v>525</v>
      </c>
      <c r="S1461" s="3">
        <f>student_scores[[#This Row],[Total_Score]]/7</f>
        <v>75</v>
      </c>
      <c r="T1461" s="3" t="str" cm="1">
        <f t="array" ref="T1461">_xlfn.IFS(student_scores[[#This Row],[weekly_self_study_hours]]&lt;=5,   "0 - 5", student_scores[[#This Row],[weekly_self_study_hours]]&lt;=10,  "6 - 10", student_scores[[#This Row],[weekly_self_study_hours]]&lt;=20,  "11 - 20",student_scores[[#This Row],[weekly_self_study_hours]]&lt;=30, "21 - 30",TRUE, "31+")</f>
        <v>6 - 10</v>
      </c>
      <c r="U1461" t="str" cm="1">
        <f t="array" ref="U1461">_xlfn.IFS(student_scores[[#This Row],[absence_days]]=0,"0", student_scores[[#This Row],[absence_days]]&lt;=3,"1-3", student_scores[[#This Row],[absence_days]]&lt;=6,"4-6", TRUE,"7-10")</f>
        <v>4-6</v>
      </c>
      <c r="V1461" t="str">
        <f>IF(student_scores[[#This Row],[Total_Score]] &gt;= _xlfn.PERCENTILE.INC(student_scores[Total_Score], 0.8), "Yes", "No")</f>
        <v>No</v>
      </c>
    </row>
    <row r="1462" spans="1:22" x14ac:dyDescent="0.35">
      <c r="A1462">
        <v>1461</v>
      </c>
      <c r="B1462" t="s">
        <v>2477</v>
      </c>
      <c r="C1462" t="s">
        <v>118</v>
      </c>
      <c r="D1462" t="s">
        <v>2478</v>
      </c>
      <c r="E1462" t="s">
        <v>25</v>
      </c>
      <c r="F1462" t="b">
        <v>0</v>
      </c>
      <c r="G1462">
        <v>1</v>
      </c>
      <c r="H1462" t="b">
        <v>0</v>
      </c>
      <c r="I1462">
        <v>13</v>
      </c>
      <c r="J1462" t="s">
        <v>30</v>
      </c>
      <c r="K1462">
        <v>74</v>
      </c>
      <c r="L1462">
        <v>76</v>
      </c>
      <c r="M1462">
        <v>81</v>
      </c>
      <c r="N1462">
        <v>69</v>
      </c>
      <c r="O1462">
        <v>98</v>
      </c>
      <c r="P1462">
        <v>96</v>
      </c>
      <c r="Q1462">
        <v>65</v>
      </c>
      <c r="R1462">
        <f>SUM(student_scores[[#This Row],[math_score]:[geography_score]])</f>
        <v>559</v>
      </c>
      <c r="S1462" s="3">
        <f>student_scores[[#This Row],[Total_Score]]/7</f>
        <v>79.857142857142861</v>
      </c>
      <c r="T1462" s="3" t="str" cm="1">
        <f t="array" ref="T1462">_xlfn.IFS(student_scores[[#This Row],[weekly_self_study_hours]]&lt;=5,   "0 - 5", student_scores[[#This Row],[weekly_self_study_hours]]&lt;=10,  "6 - 10", student_scores[[#This Row],[weekly_self_study_hours]]&lt;=20,  "11 - 20",student_scores[[#This Row],[weekly_self_study_hours]]&lt;=30, "21 - 30",TRUE, "31+")</f>
        <v>11 - 20</v>
      </c>
      <c r="U1462" t="str" cm="1">
        <f t="array" ref="U1462">_xlfn.IFS(student_scores[[#This Row],[absence_days]]=0,"0", student_scores[[#This Row],[absence_days]]&lt;=3,"1-3", student_scores[[#This Row],[absence_days]]&lt;=6,"4-6", TRUE,"7-10")</f>
        <v>1-3</v>
      </c>
      <c r="V1462" t="str">
        <f>IF(student_scores[[#This Row],[Total_Score]] &gt;= _xlfn.PERCENTILE.INC(student_scores[Total_Score], 0.8), "Yes", "No")</f>
        <v>No</v>
      </c>
    </row>
    <row r="1463" spans="1:22" x14ac:dyDescent="0.35">
      <c r="A1463">
        <v>1462</v>
      </c>
      <c r="B1463" t="s">
        <v>1079</v>
      </c>
      <c r="C1463" t="s">
        <v>203</v>
      </c>
      <c r="D1463" t="s">
        <v>2479</v>
      </c>
      <c r="E1463" t="s">
        <v>25</v>
      </c>
      <c r="F1463" t="b">
        <v>0</v>
      </c>
      <c r="G1463">
        <v>6</v>
      </c>
      <c r="H1463" t="b">
        <v>1</v>
      </c>
      <c r="I1463">
        <v>25</v>
      </c>
      <c r="J1463" t="s">
        <v>105</v>
      </c>
      <c r="K1463">
        <v>93</v>
      </c>
      <c r="L1463">
        <v>60</v>
      </c>
      <c r="M1463">
        <v>71</v>
      </c>
      <c r="N1463">
        <v>63</v>
      </c>
      <c r="O1463">
        <v>75</v>
      </c>
      <c r="P1463">
        <v>76</v>
      </c>
      <c r="Q1463">
        <v>77</v>
      </c>
      <c r="R1463">
        <f>SUM(student_scores[[#This Row],[math_score]:[geography_score]])</f>
        <v>515</v>
      </c>
      <c r="S1463" s="3">
        <f>student_scores[[#This Row],[Total_Score]]/7</f>
        <v>73.571428571428569</v>
      </c>
      <c r="T1463" s="3" t="str" cm="1">
        <f t="array" ref="T1463">_xlfn.IFS(student_scores[[#This Row],[weekly_self_study_hours]]&lt;=5,   "0 - 5", student_scores[[#This Row],[weekly_self_study_hours]]&lt;=10,  "6 - 10", student_scores[[#This Row],[weekly_self_study_hours]]&lt;=20,  "11 - 20",student_scores[[#This Row],[weekly_self_study_hours]]&lt;=30, "21 - 30",TRUE, "31+")</f>
        <v>21 - 30</v>
      </c>
      <c r="U1463" t="str" cm="1">
        <f t="array" ref="U1463">_xlfn.IFS(student_scores[[#This Row],[absence_days]]=0,"0", student_scores[[#This Row],[absence_days]]&lt;=3,"1-3", student_scores[[#This Row],[absence_days]]&lt;=6,"4-6", TRUE,"7-10")</f>
        <v>4-6</v>
      </c>
      <c r="V1463" t="str">
        <f>IF(student_scores[[#This Row],[Total_Score]] &gt;= _xlfn.PERCENTILE.INC(student_scores[Total_Score], 0.8), "Yes", "No")</f>
        <v>No</v>
      </c>
    </row>
    <row r="1464" spans="1:22" x14ac:dyDescent="0.35">
      <c r="A1464">
        <v>1463</v>
      </c>
      <c r="B1464" t="s">
        <v>1383</v>
      </c>
      <c r="C1464" t="s">
        <v>2480</v>
      </c>
      <c r="D1464" t="s">
        <v>2481</v>
      </c>
      <c r="E1464" t="s">
        <v>25</v>
      </c>
      <c r="F1464" t="b">
        <v>0</v>
      </c>
      <c r="G1464">
        <v>2</v>
      </c>
      <c r="H1464" t="b">
        <v>0</v>
      </c>
      <c r="I1464">
        <v>35</v>
      </c>
      <c r="J1464" t="s">
        <v>21</v>
      </c>
      <c r="K1464">
        <v>89</v>
      </c>
      <c r="L1464">
        <v>90</v>
      </c>
      <c r="M1464">
        <v>99</v>
      </c>
      <c r="N1464">
        <v>91</v>
      </c>
      <c r="O1464">
        <v>94</v>
      </c>
      <c r="P1464">
        <v>96</v>
      </c>
      <c r="Q1464">
        <v>85</v>
      </c>
      <c r="R1464">
        <f>SUM(student_scores[[#This Row],[math_score]:[geography_score]])</f>
        <v>644</v>
      </c>
      <c r="S1464" s="3">
        <f>student_scores[[#This Row],[Total_Score]]/7</f>
        <v>92</v>
      </c>
      <c r="T1464" s="3" t="str" cm="1">
        <f t="array" ref="T1464">_xlfn.IFS(student_scores[[#This Row],[weekly_self_study_hours]]&lt;=5,   "0 - 5", student_scores[[#This Row],[weekly_self_study_hours]]&lt;=10,  "6 - 10", student_scores[[#This Row],[weekly_self_study_hours]]&lt;=20,  "11 - 20",student_scores[[#This Row],[weekly_self_study_hours]]&lt;=30, "21 - 30",TRUE, "31+")</f>
        <v>31+</v>
      </c>
      <c r="U1464" t="str" cm="1">
        <f t="array" ref="U1464">_xlfn.IFS(student_scores[[#This Row],[absence_days]]=0,"0", student_scores[[#This Row],[absence_days]]&lt;=3,"1-3", student_scores[[#This Row],[absence_days]]&lt;=6,"4-6", TRUE,"7-10")</f>
        <v>1-3</v>
      </c>
      <c r="V1464" t="str">
        <f>IF(student_scores[[#This Row],[Total_Score]] &gt;= _xlfn.PERCENTILE.INC(student_scores[Total_Score], 0.8), "Yes", "No")</f>
        <v>Yes</v>
      </c>
    </row>
    <row r="1465" spans="1:22" x14ac:dyDescent="0.35">
      <c r="A1465">
        <v>1464</v>
      </c>
      <c r="B1465" t="s">
        <v>1378</v>
      </c>
      <c r="C1465" t="s">
        <v>1204</v>
      </c>
      <c r="D1465" t="s">
        <v>2482</v>
      </c>
      <c r="E1465" t="s">
        <v>20</v>
      </c>
      <c r="F1465" t="b">
        <v>1</v>
      </c>
      <c r="G1465">
        <v>8</v>
      </c>
      <c r="H1465" t="b">
        <v>1</v>
      </c>
      <c r="I1465">
        <v>1</v>
      </c>
      <c r="J1465" t="s">
        <v>64</v>
      </c>
      <c r="K1465">
        <v>66</v>
      </c>
      <c r="L1465">
        <v>53</v>
      </c>
      <c r="M1465">
        <v>85</v>
      </c>
      <c r="N1465">
        <v>84</v>
      </c>
      <c r="O1465">
        <v>98</v>
      </c>
      <c r="P1465">
        <v>86</v>
      </c>
      <c r="Q1465">
        <v>79</v>
      </c>
      <c r="R1465">
        <f>SUM(student_scores[[#This Row],[math_score]:[geography_score]])</f>
        <v>551</v>
      </c>
      <c r="S1465" s="3">
        <f>student_scores[[#This Row],[Total_Score]]/7</f>
        <v>78.714285714285708</v>
      </c>
      <c r="T1465" s="3" t="str" cm="1">
        <f t="array" ref="T1465">_xlfn.IFS(student_scores[[#This Row],[weekly_self_study_hours]]&lt;=5,   "0 - 5", student_scores[[#This Row],[weekly_self_study_hours]]&lt;=10,  "6 - 10", student_scores[[#This Row],[weekly_self_study_hours]]&lt;=20,  "11 - 20",student_scores[[#This Row],[weekly_self_study_hours]]&lt;=30, "21 - 30",TRUE, "31+")</f>
        <v>0 - 5</v>
      </c>
      <c r="U1465" t="str" cm="1">
        <f t="array" ref="U1465">_xlfn.IFS(student_scores[[#This Row],[absence_days]]=0,"0", student_scores[[#This Row],[absence_days]]&lt;=3,"1-3", student_scores[[#This Row],[absence_days]]&lt;=6,"4-6", TRUE,"7-10")</f>
        <v>7-10</v>
      </c>
      <c r="V1465" t="str">
        <f>IF(student_scores[[#This Row],[Total_Score]] &gt;= _xlfn.PERCENTILE.INC(student_scores[Total_Score], 0.8), "Yes", "No")</f>
        <v>No</v>
      </c>
    </row>
    <row r="1466" spans="1:22" x14ac:dyDescent="0.35">
      <c r="A1466">
        <v>1465</v>
      </c>
      <c r="B1466" t="s">
        <v>1141</v>
      </c>
      <c r="C1466" t="s">
        <v>135</v>
      </c>
      <c r="D1466" t="s">
        <v>2483</v>
      </c>
      <c r="E1466" t="s">
        <v>20</v>
      </c>
      <c r="F1466" t="b">
        <v>0</v>
      </c>
      <c r="G1466">
        <v>1</v>
      </c>
      <c r="H1466" t="b">
        <v>0</v>
      </c>
      <c r="I1466">
        <v>29</v>
      </c>
      <c r="J1466" t="s">
        <v>172</v>
      </c>
      <c r="K1466">
        <v>80</v>
      </c>
      <c r="L1466">
        <v>96</v>
      </c>
      <c r="M1466">
        <v>79</v>
      </c>
      <c r="N1466">
        <v>95</v>
      </c>
      <c r="O1466">
        <v>74</v>
      </c>
      <c r="P1466">
        <v>95</v>
      </c>
      <c r="Q1466">
        <v>61</v>
      </c>
      <c r="R1466">
        <f>SUM(student_scores[[#This Row],[math_score]:[geography_score]])</f>
        <v>580</v>
      </c>
      <c r="S1466" s="3">
        <f>student_scores[[#This Row],[Total_Score]]/7</f>
        <v>82.857142857142861</v>
      </c>
      <c r="T1466" s="3" t="str" cm="1">
        <f t="array" ref="T1466">_xlfn.IFS(student_scores[[#This Row],[weekly_self_study_hours]]&lt;=5,   "0 - 5", student_scores[[#This Row],[weekly_self_study_hours]]&lt;=10,  "6 - 10", student_scores[[#This Row],[weekly_self_study_hours]]&lt;=20,  "11 - 20",student_scores[[#This Row],[weekly_self_study_hours]]&lt;=30, "21 - 30",TRUE, "31+")</f>
        <v>21 - 30</v>
      </c>
      <c r="U1466" t="str" cm="1">
        <f t="array" ref="U1466">_xlfn.IFS(student_scores[[#This Row],[absence_days]]=0,"0", student_scores[[#This Row],[absence_days]]&lt;=3,"1-3", student_scores[[#This Row],[absence_days]]&lt;=6,"4-6", TRUE,"7-10")</f>
        <v>1-3</v>
      </c>
      <c r="V1466" t="str">
        <f>IF(student_scores[[#This Row],[Total_Score]] &gt;= _xlfn.PERCENTILE.INC(student_scores[Total_Score], 0.8), "Yes", "No")</f>
        <v>No</v>
      </c>
    </row>
    <row r="1467" spans="1:22" x14ac:dyDescent="0.35">
      <c r="A1467">
        <v>1466</v>
      </c>
      <c r="B1467" t="s">
        <v>197</v>
      </c>
      <c r="C1467" t="s">
        <v>742</v>
      </c>
      <c r="D1467" t="s">
        <v>2484</v>
      </c>
      <c r="E1467" t="s">
        <v>20</v>
      </c>
      <c r="F1467" t="b">
        <v>0</v>
      </c>
      <c r="G1467">
        <v>3</v>
      </c>
      <c r="H1467" t="b">
        <v>0</v>
      </c>
      <c r="I1467">
        <v>20</v>
      </c>
      <c r="J1467" t="s">
        <v>44</v>
      </c>
      <c r="K1467">
        <v>97</v>
      </c>
      <c r="L1467">
        <v>93</v>
      </c>
      <c r="M1467">
        <v>67</v>
      </c>
      <c r="N1467">
        <v>85</v>
      </c>
      <c r="O1467">
        <v>90</v>
      </c>
      <c r="P1467">
        <v>72</v>
      </c>
      <c r="Q1467">
        <v>96</v>
      </c>
      <c r="R1467">
        <f>SUM(student_scores[[#This Row],[math_score]:[geography_score]])</f>
        <v>600</v>
      </c>
      <c r="S1467" s="3">
        <f>student_scores[[#This Row],[Total_Score]]/7</f>
        <v>85.714285714285708</v>
      </c>
      <c r="T1467" s="3" t="str" cm="1">
        <f t="array" ref="T1467">_xlfn.IFS(student_scores[[#This Row],[weekly_self_study_hours]]&lt;=5,   "0 - 5", student_scores[[#This Row],[weekly_self_study_hours]]&lt;=10,  "6 - 10", student_scores[[#This Row],[weekly_self_study_hours]]&lt;=20,  "11 - 20",student_scores[[#This Row],[weekly_self_study_hours]]&lt;=30, "21 - 30",TRUE, "31+")</f>
        <v>11 - 20</v>
      </c>
      <c r="U1467" t="str" cm="1">
        <f t="array" ref="U1467">_xlfn.IFS(student_scores[[#This Row],[absence_days]]=0,"0", student_scores[[#This Row],[absence_days]]&lt;=3,"1-3", student_scores[[#This Row],[absence_days]]&lt;=6,"4-6", TRUE,"7-10")</f>
        <v>1-3</v>
      </c>
      <c r="V1467" t="str">
        <f>IF(student_scores[[#This Row],[Total_Score]] &gt;= _xlfn.PERCENTILE.INC(student_scores[Total_Score], 0.8), "Yes", "No")</f>
        <v>No</v>
      </c>
    </row>
    <row r="1468" spans="1:22" x14ac:dyDescent="0.35">
      <c r="A1468">
        <v>1467</v>
      </c>
      <c r="B1468" t="s">
        <v>410</v>
      </c>
      <c r="C1468" t="s">
        <v>316</v>
      </c>
      <c r="D1468" t="s">
        <v>2485</v>
      </c>
      <c r="E1468" t="s">
        <v>20</v>
      </c>
      <c r="F1468" t="b">
        <v>1</v>
      </c>
      <c r="G1468">
        <v>3</v>
      </c>
      <c r="H1468" t="b">
        <v>0</v>
      </c>
      <c r="I1468">
        <v>49</v>
      </c>
      <c r="J1468" t="s">
        <v>26</v>
      </c>
      <c r="K1468">
        <v>87</v>
      </c>
      <c r="L1468">
        <v>86</v>
      </c>
      <c r="M1468">
        <v>87</v>
      </c>
      <c r="N1468">
        <v>91</v>
      </c>
      <c r="O1468">
        <v>86</v>
      </c>
      <c r="P1468">
        <v>96</v>
      </c>
      <c r="Q1468">
        <v>92</v>
      </c>
      <c r="R1468">
        <f>SUM(student_scores[[#This Row],[math_score]:[geography_score]])</f>
        <v>625</v>
      </c>
      <c r="S1468" s="3">
        <f>student_scores[[#This Row],[Total_Score]]/7</f>
        <v>89.285714285714292</v>
      </c>
      <c r="T1468" s="3" t="str" cm="1">
        <f t="array" ref="T1468">_xlfn.IFS(student_scores[[#This Row],[weekly_self_study_hours]]&lt;=5,   "0 - 5", student_scores[[#This Row],[weekly_self_study_hours]]&lt;=10,  "6 - 10", student_scores[[#This Row],[weekly_self_study_hours]]&lt;=20,  "11 - 20",student_scores[[#This Row],[weekly_self_study_hours]]&lt;=30, "21 - 30",TRUE, "31+")</f>
        <v>31+</v>
      </c>
      <c r="U1468" t="str" cm="1">
        <f t="array" ref="U1468">_xlfn.IFS(student_scores[[#This Row],[absence_days]]=0,"0", student_scores[[#This Row],[absence_days]]&lt;=3,"1-3", student_scores[[#This Row],[absence_days]]&lt;=6,"4-6", TRUE,"7-10")</f>
        <v>1-3</v>
      </c>
      <c r="V1468" t="str">
        <f>IF(student_scores[[#This Row],[Total_Score]] &gt;= _xlfn.PERCENTILE.INC(student_scores[Total_Score], 0.8), "Yes", "No")</f>
        <v>Yes</v>
      </c>
    </row>
    <row r="1469" spans="1:22" x14ac:dyDescent="0.35">
      <c r="A1469">
        <v>1468</v>
      </c>
      <c r="B1469" t="s">
        <v>190</v>
      </c>
      <c r="C1469" t="s">
        <v>316</v>
      </c>
      <c r="D1469" t="s">
        <v>2486</v>
      </c>
      <c r="E1469" t="s">
        <v>25</v>
      </c>
      <c r="F1469" t="b">
        <v>0</v>
      </c>
      <c r="G1469">
        <v>4</v>
      </c>
      <c r="H1469" t="b">
        <v>0</v>
      </c>
      <c r="I1469">
        <v>13</v>
      </c>
      <c r="J1469" t="s">
        <v>54</v>
      </c>
      <c r="K1469">
        <v>77</v>
      </c>
      <c r="L1469">
        <v>87</v>
      </c>
      <c r="M1469">
        <v>83</v>
      </c>
      <c r="N1469">
        <v>81</v>
      </c>
      <c r="O1469">
        <v>60</v>
      </c>
      <c r="P1469">
        <v>92</v>
      </c>
      <c r="Q1469">
        <v>76</v>
      </c>
      <c r="R1469">
        <f>SUM(student_scores[[#This Row],[math_score]:[geography_score]])</f>
        <v>556</v>
      </c>
      <c r="S1469" s="3">
        <f>student_scores[[#This Row],[Total_Score]]/7</f>
        <v>79.428571428571431</v>
      </c>
      <c r="T1469" s="3" t="str" cm="1">
        <f t="array" ref="T1469">_xlfn.IFS(student_scores[[#This Row],[weekly_self_study_hours]]&lt;=5,   "0 - 5", student_scores[[#This Row],[weekly_self_study_hours]]&lt;=10,  "6 - 10", student_scores[[#This Row],[weekly_self_study_hours]]&lt;=20,  "11 - 20",student_scores[[#This Row],[weekly_self_study_hours]]&lt;=30, "21 - 30",TRUE, "31+")</f>
        <v>11 - 20</v>
      </c>
      <c r="U1469" t="str" cm="1">
        <f t="array" ref="U1469">_xlfn.IFS(student_scores[[#This Row],[absence_days]]=0,"0", student_scores[[#This Row],[absence_days]]&lt;=3,"1-3", student_scores[[#This Row],[absence_days]]&lt;=6,"4-6", TRUE,"7-10")</f>
        <v>4-6</v>
      </c>
      <c r="V1469" t="str">
        <f>IF(student_scores[[#This Row],[Total_Score]] &gt;= _xlfn.PERCENTILE.INC(student_scores[Total_Score], 0.8), "Yes", "No")</f>
        <v>No</v>
      </c>
    </row>
    <row r="1470" spans="1:22" x14ac:dyDescent="0.35">
      <c r="A1470">
        <v>1469</v>
      </c>
      <c r="B1470" t="s">
        <v>173</v>
      </c>
      <c r="C1470" t="s">
        <v>2487</v>
      </c>
      <c r="D1470" t="s">
        <v>2488</v>
      </c>
      <c r="E1470" t="s">
        <v>25</v>
      </c>
      <c r="F1470" t="b">
        <v>0</v>
      </c>
      <c r="G1470">
        <v>2</v>
      </c>
      <c r="H1470" t="b">
        <v>0</v>
      </c>
      <c r="I1470">
        <v>20</v>
      </c>
      <c r="J1470" t="s">
        <v>38</v>
      </c>
      <c r="K1470">
        <v>99</v>
      </c>
      <c r="L1470">
        <v>93</v>
      </c>
      <c r="M1470">
        <v>90</v>
      </c>
      <c r="N1470">
        <v>79</v>
      </c>
      <c r="O1470">
        <v>93</v>
      </c>
      <c r="P1470">
        <v>71</v>
      </c>
      <c r="Q1470">
        <v>84</v>
      </c>
      <c r="R1470">
        <f>SUM(student_scores[[#This Row],[math_score]:[geography_score]])</f>
        <v>609</v>
      </c>
      <c r="S1470" s="3">
        <f>student_scores[[#This Row],[Total_Score]]/7</f>
        <v>87</v>
      </c>
      <c r="T1470" s="3" t="str" cm="1">
        <f t="array" ref="T1470">_xlfn.IFS(student_scores[[#This Row],[weekly_self_study_hours]]&lt;=5,   "0 - 5", student_scores[[#This Row],[weekly_self_study_hours]]&lt;=10,  "6 - 10", student_scores[[#This Row],[weekly_self_study_hours]]&lt;=20,  "11 - 20",student_scores[[#This Row],[weekly_self_study_hours]]&lt;=30, "21 - 30",TRUE, "31+")</f>
        <v>11 - 20</v>
      </c>
      <c r="U1470" t="str" cm="1">
        <f t="array" ref="U1470">_xlfn.IFS(student_scores[[#This Row],[absence_days]]=0,"0", student_scores[[#This Row],[absence_days]]&lt;=3,"1-3", student_scores[[#This Row],[absence_days]]&lt;=6,"4-6", TRUE,"7-10")</f>
        <v>1-3</v>
      </c>
      <c r="V1470" t="str">
        <f>IF(student_scores[[#This Row],[Total_Score]] &gt;= _xlfn.PERCENTILE.INC(student_scores[Total_Score], 0.8), "Yes", "No")</f>
        <v>Yes</v>
      </c>
    </row>
    <row r="1471" spans="1:22" x14ac:dyDescent="0.35">
      <c r="A1471">
        <v>1470</v>
      </c>
      <c r="B1471" t="s">
        <v>845</v>
      </c>
      <c r="C1471" t="s">
        <v>1947</v>
      </c>
      <c r="D1471" t="s">
        <v>2489</v>
      </c>
      <c r="E1471" t="s">
        <v>25</v>
      </c>
      <c r="F1471" t="b">
        <v>0</v>
      </c>
      <c r="G1471">
        <v>2</v>
      </c>
      <c r="H1471" t="b">
        <v>1</v>
      </c>
      <c r="I1471">
        <v>18</v>
      </c>
      <c r="J1471" t="s">
        <v>54</v>
      </c>
      <c r="K1471">
        <v>89</v>
      </c>
      <c r="L1471">
        <v>75</v>
      </c>
      <c r="M1471">
        <v>65</v>
      </c>
      <c r="N1471">
        <v>100</v>
      </c>
      <c r="O1471">
        <v>74</v>
      </c>
      <c r="P1471">
        <v>71</v>
      </c>
      <c r="Q1471">
        <v>75</v>
      </c>
      <c r="R1471">
        <f>SUM(student_scores[[#This Row],[math_score]:[geography_score]])</f>
        <v>549</v>
      </c>
      <c r="S1471" s="3">
        <f>student_scores[[#This Row],[Total_Score]]/7</f>
        <v>78.428571428571431</v>
      </c>
      <c r="T1471" s="3" t="str" cm="1">
        <f t="array" ref="T1471">_xlfn.IFS(student_scores[[#This Row],[weekly_self_study_hours]]&lt;=5,   "0 - 5", student_scores[[#This Row],[weekly_self_study_hours]]&lt;=10,  "6 - 10", student_scores[[#This Row],[weekly_self_study_hours]]&lt;=20,  "11 - 20",student_scores[[#This Row],[weekly_self_study_hours]]&lt;=30, "21 - 30",TRUE, "31+")</f>
        <v>11 - 20</v>
      </c>
      <c r="U1471" t="str" cm="1">
        <f t="array" ref="U1471">_xlfn.IFS(student_scores[[#This Row],[absence_days]]=0,"0", student_scores[[#This Row],[absence_days]]&lt;=3,"1-3", student_scores[[#This Row],[absence_days]]&lt;=6,"4-6", TRUE,"7-10")</f>
        <v>1-3</v>
      </c>
      <c r="V1471" t="str">
        <f>IF(student_scores[[#This Row],[Total_Score]] &gt;= _xlfn.PERCENTILE.INC(student_scores[Total_Score], 0.8), "Yes", "No")</f>
        <v>No</v>
      </c>
    </row>
    <row r="1472" spans="1:22" x14ac:dyDescent="0.35">
      <c r="A1472">
        <v>1471</v>
      </c>
      <c r="B1472" t="s">
        <v>106</v>
      </c>
      <c r="C1472" t="s">
        <v>782</v>
      </c>
      <c r="D1472" t="s">
        <v>2490</v>
      </c>
      <c r="E1472" t="s">
        <v>20</v>
      </c>
      <c r="F1472" t="b">
        <v>0</v>
      </c>
      <c r="G1472">
        <v>1</v>
      </c>
      <c r="H1472" t="b">
        <v>0</v>
      </c>
      <c r="I1472">
        <v>23</v>
      </c>
      <c r="J1472" t="s">
        <v>44</v>
      </c>
      <c r="K1472">
        <v>86</v>
      </c>
      <c r="L1472">
        <v>79</v>
      </c>
      <c r="M1472">
        <v>69</v>
      </c>
      <c r="N1472">
        <v>60</v>
      </c>
      <c r="O1472">
        <v>76</v>
      </c>
      <c r="P1472">
        <v>76</v>
      </c>
      <c r="Q1472">
        <v>92</v>
      </c>
      <c r="R1472">
        <f>SUM(student_scores[[#This Row],[math_score]:[geography_score]])</f>
        <v>538</v>
      </c>
      <c r="S1472" s="3">
        <f>student_scores[[#This Row],[Total_Score]]/7</f>
        <v>76.857142857142861</v>
      </c>
      <c r="T1472" s="3" t="str" cm="1">
        <f t="array" ref="T1472">_xlfn.IFS(student_scores[[#This Row],[weekly_self_study_hours]]&lt;=5,   "0 - 5", student_scores[[#This Row],[weekly_self_study_hours]]&lt;=10,  "6 - 10", student_scores[[#This Row],[weekly_self_study_hours]]&lt;=20,  "11 - 20",student_scores[[#This Row],[weekly_self_study_hours]]&lt;=30, "21 - 30",TRUE, "31+")</f>
        <v>21 - 30</v>
      </c>
      <c r="U1472" t="str" cm="1">
        <f t="array" ref="U1472">_xlfn.IFS(student_scores[[#This Row],[absence_days]]=0,"0", student_scores[[#This Row],[absence_days]]&lt;=3,"1-3", student_scores[[#This Row],[absence_days]]&lt;=6,"4-6", TRUE,"7-10")</f>
        <v>1-3</v>
      </c>
      <c r="V1472" t="str">
        <f>IF(student_scores[[#This Row],[Total_Score]] &gt;= _xlfn.PERCENTILE.INC(student_scores[Total_Score], 0.8), "Yes", "No")</f>
        <v>No</v>
      </c>
    </row>
    <row r="1473" spans="1:22" x14ac:dyDescent="0.35">
      <c r="A1473">
        <v>1472</v>
      </c>
      <c r="B1473" t="s">
        <v>861</v>
      </c>
      <c r="C1473" t="s">
        <v>518</v>
      </c>
      <c r="D1473" t="s">
        <v>2491</v>
      </c>
      <c r="E1473" t="s">
        <v>25</v>
      </c>
      <c r="F1473" t="b">
        <v>0</v>
      </c>
      <c r="G1473">
        <v>0</v>
      </c>
      <c r="H1473" t="b">
        <v>0</v>
      </c>
      <c r="I1473">
        <v>10</v>
      </c>
      <c r="J1473" t="s">
        <v>224</v>
      </c>
      <c r="K1473">
        <v>82</v>
      </c>
      <c r="L1473">
        <v>86</v>
      </c>
      <c r="M1473">
        <v>91</v>
      </c>
      <c r="N1473">
        <v>68</v>
      </c>
      <c r="O1473">
        <v>80</v>
      </c>
      <c r="P1473">
        <v>62</v>
      </c>
      <c r="Q1473">
        <v>81</v>
      </c>
      <c r="R1473">
        <f>SUM(student_scores[[#This Row],[math_score]:[geography_score]])</f>
        <v>550</v>
      </c>
      <c r="S1473" s="3">
        <f>student_scores[[#This Row],[Total_Score]]/7</f>
        <v>78.571428571428569</v>
      </c>
      <c r="T1473" s="3" t="str" cm="1">
        <f t="array" ref="T1473">_xlfn.IFS(student_scores[[#This Row],[weekly_self_study_hours]]&lt;=5,   "0 - 5", student_scores[[#This Row],[weekly_self_study_hours]]&lt;=10,  "6 - 10", student_scores[[#This Row],[weekly_self_study_hours]]&lt;=20,  "11 - 20",student_scores[[#This Row],[weekly_self_study_hours]]&lt;=30, "21 - 30",TRUE, "31+")</f>
        <v>6 - 10</v>
      </c>
      <c r="U1473" t="str" cm="1">
        <f t="array" ref="U1473">_xlfn.IFS(student_scores[[#This Row],[absence_days]]=0,"0", student_scores[[#This Row],[absence_days]]&lt;=3,"1-3", student_scores[[#This Row],[absence_days]]&lt;=6,"4-6", TRUE,"7-10")</f>
        <v>0</v>
      </c>
      <c r="V1473" t="str">
        <f>IF(student_scores[[#This Row],[Total_Score]] &gt;= _xlfn.PERCENTILE.INC(student_scores[Total_Score], 0.8), "Yes", "No")</f>
        <v>No</v>
      </c>
    </row>
    <row r="1474" spans="1:22" x14ac:dyDescent="0.35">
      <c r="A1474">
        <v>1473</v>
      </c>
      <c r="B1474" t="s">
        <v>861</v>
      </c>
      <c r="C1474" t="s">
        <v>42</v>
      </c>
      <c r="D1474" t="s">
        <v>2492</v>
      </c>
      <c r="E1474" t="s">
        <v>25</v>
      </c>
      <c r="F1474" t="b">
        <v>0</v>
      </c>
      <c r="G1474">
        <v>4</v>
      </c>
      <c r="H1474" t="b">
        <v>1</v>
      </c>
      <c r="I1474">
        <v>4</v>
      </c>
      <c r="J1474" t="s">
        <v>34</v>
      </c>
      <c r="K1474">
        <v>79</v>
      </c>
      <c r="L1474">
        <v>100</v>
      </c>
      <c r="M1474">
        <v>75</v>
      </c>
      <c r="N1474">
        <v>85</v>
      </c>
      <c r="O1474">
        <v>100</v>
      </c>
      <c r="P1474">
        <v>81</v>
      </c>
      <c r="Q1474">
        <v>64</v>
      </c>
      <c r="R1474">
        <f>SUM(student_scores[[#This Row],[math_score]:[geography_score]])</f>
        <v>584</v>
      </c>
      <c r="S1474" s="3">
        <f>student_scores[[#This Row],[Total_Score]]/7</f>
        <v>83.428571428571431</v>
      </c>
      <c r="T1474" s="3" t="str" cm="1">
        <f t="array" ref="T1474">_xlfn.IFS(student_scores[[#This Row],[weekly_self_study_hours]]&lt;=5,   "0 - 5", student_scores[[#This Row],[weekly_self_study_hours]]&lt;=10,  "6 - 10", student_scores[[#This Row],[weekly_self_study_hours]]&lt;=20,  "11 - 20",student_scores[[#This Row],[weekly_self_study_hours]]&lt;=30, "21 - 30",TRUE, "31+")</f>
        <v>0 - 5</v>
      </c>
      <c r="U1474" t="str" cm="1">
        <f t="array" ref="U1474">_xlfn.IFS(student_scores[[#This Row],[absence_days]]=0,"0", student_scores[[#This Row],[absence_days]]&lt;=3,"1-3", student_scores[[#This Row],[absence_days]]&lt;=6,"4-6", TRUE,"7-10")</f>
        <v>4-6</v>
      </c>
      <c r="V1474" t="str">
        <f>IF(student_scores[[#This Row],[Total_Score]] &gt;= _xlfn.PERCENTILE.INC(student_scores[Total_Score], 0.8), "Yes", "No")</f>
        <v>No</v>
      </c>
    </row>
    <row r="1475" spans="1:22" x14ac:dyDescent="0.35">
      <c r="A1475">
        <v>1474</v>
      </c>
      <c r="B1475" t="s">
        <v>410</v>
      </c>
      <c r="C1475" t="s">
        <v>292</v>
      </c>
      <c r="D1475" t="s">
        <v>2493</v>
      </c>
      <c r="E1475" t="s">
        <v>20</v>
      </c>
      <c r="F1475" t="b">
        <v>0</v>
      </c>
      <c r="G1475">
        <v>1</v>
      </c>
      <c r="H1475" t="b">
        <v>0</v>
      </c>
      <c r="I1475">
        <v>11</v>
      </c>
      <c r="J1475" t="s">
        <v>138</v>
      </c>
      <c r="K1475">
        <v>89</v>
      </c>
      <c r="L1475">
        <v>70</v>
      </c>
      <c r="M1475">
        <v>92</v>
      </c>
      <c r="N1475">
        <v>100</v>
      </c>
      <c r="O1475">
        <v>100</v>
      </c>
      <c r="P1475">
        <v>95</v>
      </c>
      <c r="Q1475">
        <v>65</v>
      </c>
      <c r="R1475">
        <f>SUM(student_scores[[#This Row],[math_score]:[geography_score]])</f>
        <v>611</v>
      </c>
      <c r="S1475" s="3">
        <f>student_scores[[#This Row],[Total_Score]]/7</f>
        <v>87.285714285714292</v>
      </c>
      <c r="T1475" s="3" t="str" cm="1">
        <f t="array" ref="T1475">_xlfn.IFS(student_scores[[#This Row],[weekly_self_study_hours]]&lt;=5,   "0 - 5", student_scores[[#This Row],[weekly_self_study_hours]]&lt;=10,  "6 - 10", student_scores[[#This Row],[weekly_self_study_hours]]&lt;=20,  "11 - 20",student_scores[[#This Row],[weekly_self_study_hours]]&lt;=30, "21 - 30",TRUE, "31+")</f>
        <v>11 - 20</v>
      </c>
      <c r="U1475" t="str" cm="1">
        <f t="array" ref="U1475">_xlfn.IFS(student_scores[[#This Row],[absence_days]]=0,"0", student_scores[[#This Row],[absence_days]]&lt;=3,"1-3", student_scores[[#This Row],[absence_days]]&lt;=6,"4-6", TRUE,"7-10")</f>
        <v>1-3</v>
      </c>
      <c r="V1475" t="str">
        <f>IF(student_scores[[#This Row],[Total_Score]] &gt;= _xlfn.PERCENTILE.INC(student_scores[Total_Score], 0.8), "Yes", "No")</f>
        <v>Yes</v>
      </c>
    </row>
    <row r="1476" spans="1:22" x14ac:dyDescent="0.35">
      <c r="A1476">
        <v>1475</v>
      </c>
      <c r="B1476" t="s">
        <v>498</v>
      </c>
      <c r="C1476" t="s">
        <v>2494</v>
      </c>
      <c r="D1476" t="s">
        <v>2495</v>
      </c>
      <c r="E1476" t="s">
        <v>25</v>
      </c>
      <c r="F1476" t="b">
        <v>0</v>
      </c>
      <c r="G1476">
        <v>3</v>
      </c>
      <c r="H1476" t="b">
        <v>0</v>
      </c>
      <c r="I1476">
        <v>15</v>
      </c>
      <c r="J1476" t="s">
        <v>54</v>
      </c>
      <c r="K1476">
        <v>77</v>
      </c>
      <c r="L1476">
        <v>73</v>
      </c>
      <c r="M1476">
        <v>67</v>
      </c>
      <c r="N1476">
        <v>67</v>
      </c>
      <c r="O1476">
        <v>88</v>
      </c>
      <c r="P1476">
        <v>89</v>
      </c>
      <c r="Q1476">
        <v>99</v>
      </c>
      <c r="R1476">
        <f>SUM(student_scores[[#This Row],[math_score]:[geography_score]])</f>
        <v>560</v>
      </c>
      <c r="S1476" s="3">
        <f>student_scores[[#This Row],[Total_Score]]/7</f>
        <v>80</v>
      </c>
      <c r="T1476" s="3" t="str" cm="1">
        <f t="array" ref="T1476">_xlfn.IFS(student_scores[[#This Row],[weekly_self_study_hours]]&lt;=5,   "0 - 5", student_scores[[#This Row],[weekly_self_study_hours]]&lt;=10,  "6 - 10", student_scores[[#This Row],[weekly_self_study_hours]]&lt;=20,  "11 - 20",student_scores[[#This Row],[weekly_self_study_hours]]&lt;=30, "21 - 30",TRUE, "31+")</f>
        <v>11 - 20</v>
      </c>
      <c r="U1476" t="str" cm="1">
        <f t="array" ref="U1476">_xlfn.IFS(student_scores[[#This Row],[absence_days]]=0,"0", student_scores[[#This Row],[absence_days]]&lt;=3,"1-3", student_scores[[#This Row],[absence_days]]&lt;=6,"4-6", TRUE,"7-10")</f>
        <v>1-3</v>
      </c>
      <c r="V1476" t="str">
        <f>IF(student_scores[[#This Row],[Total_Score]] &gt;= _xlfn.PERCENTILE.INC(student_scores[Total_Score], 0.8), "Yes", "No")</f>
        <v>No</v>
      </c>
    </row>
    <row r="1477" spans="1:22" x14ac:dyDescent="0.35">
      <c r="A1477">
        <v>1476</v>
      </c>
      <c r="B1477" t="s">
        <v>2496</v>
      </c>
      <c r="C1477" t="s">
        <v>209</v>
      </c>
      <c r="D1477" t="s">
        <v>2497</v>
      </c>
      <c r="E1477" t="s">
        <v>25</v>
      </c>
      <c r="F1477" t="b">
        <v>0</v>
      </c>
      <c r="G1477">
        <v>1</v>
      </c>
      <c r="H1477" t="b">
        <v>1</v>
      </c>
      <c r="I1477">
        <v>16</v>
      </c>
      <c r="J1477" t="s">
        <v>105</v>
      </c>
      <c r="K1477">
        <v>95</v>
      </c>
      <c r="L1477">
        <v>79</v>
      </c>
      <c r="M1477">
        <v>85</v>
      </c>
      <c r="N1477">
        <v>73</v>
      </c>
      <c r="O1477">
        <v>74</v>
      </c>
      <c r="P1477">
        <v>86</v>
      </c>
      <c r="Q1477">
        <v>68</v>
      </c>
      <c r="R1477">
        <f>SUM(student_scores[[#This Row],[math_score]:[geography_score]])</f>
        <v>560</v>
      </c>
      <c r="S1477" s="3">
        <f>student_scores[[#This Row],[Total_Score]]/7</f>
        <v>80</v>
      </c>
      <c r="T1477" s="3" t="str" cm="1">
        <f t="array" ref="T1477">_xlfn.IFS(student_scores[[#This Row],[weekly_self_study_hours]]&lt;=5,   "0 - 5", student_scores[[#This Row],[weekly_self_study_hours]]&lt;=10,  "6 - 10", student_scores[[#This Row],[weekly_self_study_hours]]&lt;=20,  "11 - 20",student_scores[[#This Row],[weekly_self_study_hours]]&lt;=30, "21 - 30",TRUE, "31+")</f>
        <v>11 - 20</v>
      </c>
      <c r="U1477" t="str" cm="1">
        <f t="array" ref="U1477">_xlfn.IFS(student_scores[[#This Row],[absence_days]]=0,"0", student_scores[[#This Row],[absence_days]]&lt;=3,"1-3", student_scores[[#This Row],[absence_days]]&lt;=6,"4-6", TRUE,"7-10")</f>
        <v>1-3</v>
      </c>
      <c r="V1477" t="str">
        <f>IF(student_scores[[#This Row],[Total_Score]] &gt;= _xlfn.PERCENTILE.INC(student_scores[Total_Score], 0.8), "Yes", "No")</f>
        <v>No</v>
      </c>
    </row>
    <row r="1478" spans="1:22" x14ac:dyDescent="0.35">
      <c r="A1478">
        <v>1477</v>
      </c>
      <c r="B1478" t="s">
        <v>331</v>
      </c>
      <c r="C1478" t="s">
        <v>103</v>
      </c>
      <c r="D1478" t="s">
        <v>2498</v>
      </c>
      <c r="E1478" t="s">
        <v>20</v>
      </c>
      <c r="F1478" t="b">
        <v>0</v>
      </c>
      <c r="G1478">
        <v>10</v>
      </c>
      <c r="H1478" t="b">
        <v>1</v>
      </c>
      <c r="I1478">
        <v>5</v>
      </c>
      <c r="J1478" t="s">
        <v>64</v>
      </c>
      <c r="K1478">
        <v>63</v>
      </c>
      <c r="L1478">
        <v>54</v>
      </c>
      <c r="M1478">
        <v>57</v>
      </c>
      <c r="N1478">
        <v>51</v>
      </c>
      <c r="O1478">
        <v>63</v>
      </c>
      <c r="P1478">
        <v>88</v>
      </c>
      <c r="Q1478">
        <v>83</v>
      </c>
      <c r="R1478">
        <f>SUM(student_scores[[#This Row],[math_score]:[geography_score]])</f>
        <v>459</v>
      </c>
      <c r="S1478" s="3">
        <f>student_scores[[#This Row],[Total_Score]]/7</f>
        <v>65.571428571428569</v>
      </c>
      <c r="T1478" s="3" t="str" cm="1">
        <f t="array" ref="T1478">_xlfn.IFS(student_scores[[#This Row],[weekly_self_study_hours]]&lt;=5,   "0 - 5", student_scores[[#This Row],[weekly_self_study_hours]]&lt;=10,  "6 - 10", student_scores[[#This Row],[weekly_self_study_hours]]&lt;=20,  "11 - 20",student_scores[[#This Row],[weekly_self_study_hours]]&lt;=30, "21 - 30",TRUE, "31+")</f>
        <v>0 - 5</v>
      </c>
      <c r="U1478" t="str" cm="1">
        <f t="array" ref="U1478">_xlfn.IFS(student_scores[[#This Row],[absence_days]]=0,"0", student_scores[[#This Row],[absence_days]]&lt;=3,"1-3", student_scores[[#This Row],[absence_days]]&lt;=6,"4-6", TRUE,"7-10")</f>
        <v>7-10</v>
      </c>
      <c r="V1478" t="str">
        <f>IF(student_scores[[#This Row],[Total_Score]] &gt;= _xlfn.PERCENTILE.INC(student_scores[Total_Score], 0.8), "Yes", "No")</f>
        <v>No</v>
      </c>
    </row>
    <row r="1479" spans="1:22" x14ac:dyDescent="0.35">
      <c r="A1479">
        <v>1478</v>
      </c>
      <c r="B1479" t="s">
        <v>120</v>
      </c>
      <c r="C1479" t="s">
        <v>143</v>
      </c>
      <c r="D1479" t="s">
        <v>2499</v>
      </c>
      <c r="E1479" t="s">
        <v>25</v>
      </c>
      <c r="F1479" t="b">
        <v>0</v>
      </c>
      <c r="G1479">
        <v>1</v>
      </c>
      <c r="H1479" t="b">
        <v>1</v>
      </c>
      <c r="I1479">
        <v>26</v>
      </c>
      <c r="J1479" t="s">
        <v>44</v>
      </c>
      <c r="K1479">
        <v>98</v>
      </c>
      <c r="L1479">
        <v>85</v>
      </c>
      <c r="M1479">
        <v>95</v>
      </c>
      <c r="N1479">
        <v>92</v>
      </c>
      <c r="O1479">
        <v>74</v>
      </c>
      <c r="P1479">
        <v>79</v>
      </c>
      <c r="Q1479">
        <v>63</v>
      </c>
      <c r="R1479">
        <f>SUM(student_scores[[#This Row],[math_score]:[geography_score]])</f>
        <v>586</v>
      </c>
      <c r="S1479" s="3">
        <f>student_scores[[#This Row],[Total_Score]]/7</f>
        <v>83.714285714285708</v>
      </c>
      <c r="T1479" s="3" t="str" cm="1">
        <f t="array" ref="T1479">_xlfn.IFS(student_scores[[#This Row],[weekly_self_study_hours]]&lt;=5,   "0 - 5", student_scores[[#This Row],[weekly_self_study_hours]]&lt;=10,  "6 - 10", student_scores[[#This Row],[weekly_self_study_hours]]&lt;=20,  "11 - 20",student_scores[[#This Row],[weekly_self_study_hours]]&lt;=30, "21 - 30",TRUE, "31+")</f>
        <v>21 - 30</v>
      </c>
      <c r="U1479" t="str" cm="1">
        <f t="array" ref="U1479">_xlfn.IFS(student_scores[[#This Row],[absence_days]]=0,"0", student_scores[[#This Row],[absence_days]]&lt;=3,"1-3", student_scores[[#This Row],[absence_days]]&lt;=6,"4-6", TRUE,"7-10")</f>
        <v>1-3</v>
      </c>
      <c r="V1479" t="str">
        <f>IF(student_scores[[#This Row],[Total_Score]] &gt;= _xlfn.PERCENTILE.INC(student_scores[Total_Score], 0.8), "Yes", "No")</f>
        <v>No</v>
      </c>
    </row>
    <row r="1480" spans="1:22" x14ac:dyDescent="0.35">
      <c r="A1480">
        <v>1479</v>
      </c>
      <c r="B1480" t="s">
        <v>676</v>
      </c>
      <c r="C1480" t="s">
        <v>2500</v>
      </c>
      <c r="D1480" t="s">
        <v>2501</v>
      </c>
      <c r="E1480" t="s">
        <v>20</v>
      </c>
      <c r="F1480" t="b">
        <v>0</v>
      </c>
      <c r="G1480">
        <v>2</v>
      </c>
      <c r="H1480" t="b">
        <v>0</v>
      </c>
      <c r="I1480">
        <v>29</v>
      </c>
      <c r="J1480" t="s">
        <v>38</v>
      </c>
      <c r="K1480">
        <v>76</v>
      </c>
      <c r="L1480">
        <v>81</v>
      </c>
      <c r="M1480">
        <v>69</v>
      </c>
      <c r="N1480">
        <v>87</v>
      </c>
      <c r="O1480">
        <v>60</v>
      </c>
      <c r="P1480">
        <v>93</v>
      </c>
      <c r="Q1480">
        <v>62</v>
      </c>
      <c r="R1480">
        <f>SUM(student_scores[[#This Row],[math_score]:[geography_score]])</f>
        <v>528</v>
      </c>
      <c r="S1480" s="3">
        <f>student_scores[[#This Row],[Total_Score]]/7</f>
        <v>75.428571428571431</v>
      </c>
      <c r="T1480" s="3" t="str" cm="1">
        <f t="array" ref="T1480">_xlfn.IFS(student_scores[[#This Row],[weekly_self_study_hours]]&lt;=5,   "0 - 5", student_scores[[#This Row],[weekly_self_study_hours]]&lt;=10,  "6 - 10", student_scores[[#This Row],[weekly_self_study_hours]]&lt;=20,  "11 - 20",student_scores[[#This Row],[weekly_self_study_hours]]&lt;=30, "21 - 30",TRUE, "31+")</f>
        <v>21 - 30</v>
      </c>
      <c r="U1480" t="str" cm="1">
        <f t="array" ref="U1480">_xlfn.IFS(student_scores[[#This Row],[absence_days]]=0,"0", student_scores[[#This Row],[absence_days]]&lt;=3,"1-3", student_scores[[#This Row],[absence_days]]&lt;=6,"4-6", TRUE,"7-10")</f>
        <v>1-3</v>
      </c>
      <c r="V1480" t="str">
        <f>IF(student_scores[[#This Row],[Total_Score]] &gt;= _xlfn.PERCENTILE.INC(student_scores[Total_Score], 0.8), "Yes", "No")</f>
        <v>No</v>
      </c>
    </row>
    <row r="1481" spans="1:22" x14ac:dyDescent="0.35">
      <c r="A1481">
        <v>1480</v>
      </c>
      <c r="B1481" t="s">
        <v>388</v>
      </c>
      <c r="C1481" t="s">
        <v>2502</v>
      </c>
      <c r="D1481" t="s">
        <v>2503</v>
      </c>
      <c r="E1481" t="s">
        <v>25</v>
      </c>
      <c r="F1481" t="b">
        <v>0</v>
      </c>
      <c r="G1481">
        <v>10</v>
      </c>
      <c r="H1481" t="b">
        <v>0</v>
      </c>
      <c r="I1481">
        <v>3</v>
      </c>
      <c r="J1481" t="s">
        <v>64</v>
      </c>
      <c r="K1481">
        <v>40</v>
      </c>
      <c r="L1481">
        <v>81</v>
      </c>
      <c r="M1481">
        <v>54</v>
      </c>
      <c r="N1481">
        <v>70</v>
      </c>
      <c r="O1481">
        <v>53</v>
      </c>
      <c r="P1481">
        <v>98</v>
      </c>
      <c r="Q1481">
        <v>61</v>
      </c>
      <c r="R1481">
        <f>SUM(student_scores[[#This Row],[math_score]:[geography_score]])</f>
        <v>457</v>
      </c>
      <c r="S1481" s="3">
        <f>student_scores[[#This Row],[Total_Score]]/7</f>
        <v>65.285714285714292</v>
      </c>
      <c r="T1481" s="3" t="str" cm="1">
        <f t="array" ref="T1481">_xlfn.IFS(student_scores[[#This Row],[weekly_self_study_hours]]&lt;=5,   "0 - 5", student_scores[[#This Row],[weekly_self_study_hours]]&lt;=10,  "6 - 10", student_scores[[#This Row],[weekly_self_study_hours]]&lt;=20,  "11 - 20",student_scores[[#This Row],[weekly_self_study_hours]]&lt;=30, "21 - 30",TRUE, "31+")</f>
        <v>0 - 5</v>
      </c>
      <c r="U1481" t="str" cm="1">
        <f t="array" ref="U1481">_xlfn.IFS(student_scores[[#This Row],[absence_days]]=0,"0", student_scores[[#This Row],[absence_days]]&lt;=3,"1-3", student_scores[[#This Row],[absence_days]]&lt;=6,"4-6", TRUE,"7-10")</f>
        <v>7-10</v>
      </c>
      <c r="V1481" t="str">
        <f>IF(student_scores[[#This Row],[Total_Score]] &gt;= _xlfn.PERCENTILE.INC(student_scores[Total_Score], 0.8), "Yes", "No")</f>
        <v>No</v>
      </c>
    </row>
    <row r="1482" spans="1:22" x14ac:dyDescent="0.35">
      <c r="A1482">
        <v>1481</v>
      </c>
      <c r="B1482" t="s">
        <v>124</v>
      </c>
      <c r="C1482" t="s">
        <v>1623</v>
      </c>
      <c r="D1482" t="s">
        <v>2504</v>
      </c>
      <c r="E1482" t="s">
        <v>20</v>
      </c>
      <c r="F1482" t="b">
        <v>0</v>
      </c>
      <c r="G1482">
        <v>4</v>
      </c>
      <c r="H1482" t="b">
        <v>1</v>
      </c>
      <c r="I1482">
        <v>32</v>
      </c>
      <c r="J1482" t="s">
        <v>44</v>
      </c>
      <c r="K1482">
        <v>89</v>
      </c>
      <c r="L1482">
        <v>84</v>
      </c>
      <c r="M1482">
        <v>84</v>
      </c>
      <c r="N1482">
        <v>100</v>
      </c>
      <c r="O1482">
        <v>77</v>
      </c>
      <c r="P1482">
        <v>62</v>
      </c>
      <c r="Q1482">
        <v>69</v>
      </c>
      <c r="R1482">
        <f>SUM(student_scores[[#This Row],[math_score]:[geography_score]])</f>
        <v>565</v>
      </c>
      <c r="S1482" s="3">
        <f>student_scores[[#This Row],[Total_Score]]/7</f>
        <v>80.714285714285708</v>
      </c>
      <c r="T1482" s="3" t="str" cm="1">
        <f t="array" ref="T1482">_xlfn.IFS(student_scores[[#This Row],[weekly_self_study_hours]]&lt;=5,   "0 - 5", student_scores[[#This Row],[weekly_self_study_hours]]&lt;=10,  "6 - 10", student_scores[[#This Row],[weekly_self_study_hours]]&lt;=20,  "11 - 20",student_scores[[#This Row],[weekly_self_study_hours]]&lt;=30, "21 - 30",TRUE, "31+")</f>
        <v>31+</v>
      </c>
      <c r="U1482" t="str" cm="1">
        <f t="array" ref="U1482">_xlfn.IFS(student_scores[[#This Row],[absence_days]]=0,"0", student_scores[[#This Row],[absence_days]]&lt;=3,"1-3", student_scores[[#This Row],[absence_days]]&lt;=6,"4-6", TRUE,"7-10")</f>
        <v>4-6</v>
      </c>
      <c r="V1482" t="str">
        <f>IF(student_scores[[#This Row],[Total_Score]] &gt;= _xlfn.PERCENTILE.INC(student_scores[Total_Score], 0.8), "Yes", "No")</f>
        <v>No</v>
      </c>
    </row>
    <row r="1483" spans="1:22" x14ac:dyDescent="0.35">
      <c r="A1483">
        <v>1482</v>
      </c>
      <c r="B1483" t="s">
        <v>560</v>
      </c>
      <c r="C1483" t="s">
        <v>2505</v>
      </c>
      <c r="D1483" t="s">
        <v>2506</v>
      </c>
      <c r="E1483" t="s">
        <v>25</v>
      </c>
      <c r="F1483" t="b">
        <v>0</v>
      </c>
      <c r="G1483">
        <v>5</v>
      </c>
      <c r="H1483" t="b">
        <v>0</v>
      </c>
      <c r="I1483">
        <v>24</v>
      </c>
      <c r="J1483" t="s">
        <v>26</v>
      </c>
      <c r="K1483">
        <v>86</v>
      </c>
      <c r="L1483">
        <v>75</v>
      </c>
      <c r="M1483">
        <v>97</v>
      </c>
      <c r="N1483">
        <v>93</v>
      </c>
      <c r="O1483">
        <v>88</v>
      </c>
      <c r="P1483">
        <v>74</v>
      </c>
      <c r="Q1483">
        <v>97</v>
      </c>
      <c r="R1483">
        <f>SUM(student_scores[[#This Row],[math_score]:[geography_score]])</f>
        <v>610</v>
      </c>
      <c r="S1483" s="3">
        <f>student_scores[[#This Row],[Total_Score]]/7</f>
        <v>87.142857142857139</v>
      </c>
      <c r="T1483" s="3" t="str" cm="1">
        <f t="array" ref="T1483">_xlfn.IFS(student_scores[[#This Row],[weekly_self_study_hours]]&lt;=5,   "0 - 5", student_scores[[#This Row],[weekly_self_study_hours]]&lt;=10,  "6 - 10", student_scores[[#This Row],[weekly_self_study_hours]]&lt;=20,  "11 - 20",student_scores[[#This Row],[weekly_self_study_hours]]&lt;=30, "21 - 30",TRUE, "31+")</f>
        <v>21 - 30</v>
      </c>
      <c r="U1483" t="str" cm="1">
        <f t="array" ref="U1483">_xlfn.IFS(student_scores[[#This Row],[absence_days]]=0,"0", student_scores[[#This Row],[absence_days]]&lt;=3,"1-3", student_scores[[#This Row],[absence_days]]&lt;=6,"4-6", TRUE,"7-10")</f>
        <v>4-6</v>
      </c>
      <c r="V1483" t="str">
        <f>IF(student_scores[[#This Row],[Total_Score]] &gt;= _xlfn.PERCENTILE.INC(student_scores[Total_Score], 0.8), "Yes", "No")</f>
        <v>Yes</v>
      </c>
    </row>
    <row r="1484" spans="1:22" x14ac:dyDescent="0.35">
      <c r="A1484">
        <v>1483</v>
      </c>
      <c r="B1484" t="s">
        <v>202</v>
      </c>
      <c r="C1484" t="s">
        <v>1214</v>
      </c>
      <c r="D1484" t="s">
        <v>2507</v>
      </c>
      <c r="E1484" t="s">
        <v>25</v>
      </c>
      <c r="F1484" t="b">
        <v>0</v>
      </c>
      <c r="G1484">
        <v>3</v>
      </c>
      <c r="H1484" t="b">
        <v>1</v>
      </c>
      <c r="I1484">
        <v>20</v>
      </c>
      <c r="J1484" t="s">
        <v>44</v>
      </c>
      <c r="K1484">
        <v>99</v>
      </c>
      <c r="L1484">
        <v>77</v>
      </c>
      <c r="M1484">
        <v>60</v>
      </c>
      <c r="N1484">
        <v>99</v>
      </c>
      <c r="O1484">
        <v>100</v>
      </c>
      <c r="P1484">
        <v>83</v>
      </c>
      <c r="Q1484">
        <v>72</v>
      </c>
      <c r="R1484">
        <f>SUM(student_scores[[#This Row],[math_score]:[geography_score]])</f>
        <v>590</v>
      </c>
      <c r="S1484" s="3">
        <f>student_scores[[#This Row],[Total_Score]]/7</f>
        <v>84.285714285714292</v>
      </c>
      <c r="T1484" s="3" t="str" cm="1">
        <f t="array" ref="T1484">_xlfn.IFS(student_scores[[#This Row],[weekly_self_study_hours]]&lt;=5,   "0 - 5", student_scores[[#This Row],[weekly_self_study_hours]]&lt;=10,  "6 - 10", student_scores[[#This Row],[weekly_self_study_hours]]&lt;=20,  "11 - 20",student_scores[[#This Row],[weekly_self_study_hours]]&lt;=30, "21 - 30",TRUE, "31+")</f>
        <v>11 - 20</v>
      </c>
      <c r="U1484" t="str" cm="1">
        <f t="array" ref="U1484">_xlfn.IFS(student_scores[[#This Row],[absence_days]]=0,"0", student_scores[[#This Row],[absence_days]]&lt;=3,"1-3", student_scores[[#This Row],[absence_days]]&lt;=6,"4-6", TRUE,"7-10")</f>
        <v>1-3</v>
      </c>
      <c r="V1484" t="str">
        <f>IF(student_scores[[#This Row],[Total_Score]] &gt;= _xlfn.PERCENTILE.INC(student_scores[Total_Score], 0.8), "Yes", "No")</f>
        <v>No</v>
      </c>
    </row>
    <row r="1485" spans="1:22" x14ac:dyDescent="0.35">
      <c r="A1485">
        <v>1484</v>
      </c>
      <c r="B1485" t="s">
        <v>1034</v>
      </c>
      <c r="C1485" t="s">
        <v>2508</v>
      </c>
      <c r="D1485" t="s">
        <v>2509</v>
      </c>
      <c r="E1485" t="s">
        <v>25</v>
      </c>
      <c r="F1485" t="b">
        <v>1</v>
      </c>
      <c r="G1485">
        <v>5</v>
      </c>
      <c r="H1485" t="b">
        <v>1</v>
      </c>
      <c r="I1485">
        <v>1</v>
      </c>
      <c r="J1485" t="s">
        <v>64</v>
      </c>
      <c r="K1485">
        <v>67</v>
      </c>
      <c r="L1485">
        <v>61</v>
      </c>
      <c r="M1485">
        <v>61</v>
      </c>
      <c r="N1485">
        <v>82</v>
      </c>
      <c r="O1485">
        <v>69</v>
      </c>
      <c r="P1485">
        <v>87</v>
      </c>
      <c r="Q1485">
        <v>97</v>
      </c>
      <c r="R1485">
        <f>SUM(student_scores[[#This Row],[math_score]:[geography_score]])</f>
        <v>524</v>
      </c>
      <c r="S1485" s="3">
        <f>student_scores[[#This Row],[Total_Score]]/7</f>
        <v>74.857142857142861</v>
      </c>
      <c r="T1485" s="3" t="str" cm="1">
        <f t="array" ref="T1485">_xlfn.IFS(student_scores[[#This Row],[weekly_self_study_hours]]&lt;=5,   "0 - 5", student_scores[[#This Row],[weekly_self_study_hours]]&lt;=10,  "6 - 10", student_scores[[#This Row],[weekly_self_study_hours]]&lt;=20,  "11 - 20",student_scores[[#This Row],[weekly_self_study_hours]]&lt;=30, "21 - 30",TRUE, "31+")</f>
        <v>0 - 5</v>
      </c>
      <c r="U1485" t="str" cm="1">
        <f t="array" ref="U1485">_xlfn.IFS(student_scores[[#This Row],[absence_days]]=0,"0", student_scores[[#This Row],[absence_days]]&lt;=3,"1-3", student_scores[[#This Row],[absence_days]]&lt;=6,"4-6", TRUE,"7-10")</f>
        <v>4-6</v>
      </c>
      <c r="V1485" t="str">
        <f>IF(student_scores[[#This Row],[Total_Score]] &gt;= _xlfn.PERCENTILE.INC(student_scores[Total_Score], 0.8), "Yes", "No")</f>
        <v>No</v>
      </c>
    </row>
    <row r="1486" spans="1:22" x14ac:dyDescent="0.35">
      <c r="A1486">
        <v>1485</v>
      </c>
      <c r="B1486" t="s">
        <v>1335</v>
      </c>
      <c r="C1486" t="s">
        <v>2510</v>
      </c>
      <c r="D1486" t="s">
        <v>2511</v>
      </c>
      <c r="E1486" t="s">
        <v>20</v>
      </c>
      <c r="F1486" t="b">
        <v>0</v>
      </c>
      <c r="G1486">
        <v>9</v>
      </c>
      <c r="H1486" t="b">
        <v>0</v>
      </c>
      <c r="I1486">
        <v>0</v>
      </c>
      <c r="J1486" t="s">
        <v>64</v>
      </c>
      <c r="K1486">
        <v>43</v>
      </c>
      <c r="L1486">
        <v>87</v>
      </c>
      <c r="M1486">
        <v>81</v>
      </c>
      <c r="N1486">
        <v>61</v>
      </c>
      <c r="O1486">
        <v>65</v>
      </c>
      <c r="P1486">
        <v>53</v>
      </c>
      <c r="Q1486">
        <v>84</v>
      </c>
      <c r="R1486">
        <f>SUM(student_scores[[#This Row],[math_score]:[geography_score]])</f>
        <v>474</v>
      </c>
      <c r="S1486" s="3">
        <f>student_scores[[#This Row],[Total_Score]]/7</f>
        <v>67.714285714285708</v>
      </c>
      <c r="T1486" s="3" t="str" cm="1">
        <f t="array" ref="T1486">_xlfn.IFS(student_scores[[#This Row],[weekly_self_study_hours]]&lt;=5,   "0 - 5", student_scores[[#This Row],[weekly_self_study_hours]]&lt;=10,  "6 - 10", student_scores[[#This Row],[weekly_self_study_hours]]&lt;=20,  "11 - 20",student_scores[[#This Row],[weekly_self_study_hours]]&lt;=30, "21 - 30",TRUE, "31+")</f>
        <v>0 - 5</v>
      </c>
      <c r="U1486" t="str" cm="1">
        <f t="array" ref="U1486">_xlfn.IFS(student_scores[[#This Row],[absence_days]]=0,"0", student_scores[[#This Row],[absence_days]]&lt;=3,"1-3", student_scores[[#This Row],[absence_days]]&lt;=6,"4-6", TRUE,"7-10")</f>
        <v>7-10</v>
      </c>
      <c r="V1486" t="str">
        <f>IF(student_scores[[#This Row],[Total_Score]] &gt;= _xlfn.PERCENTILE.INC(student_scores[Total_Score], 0.8), "Yes", "No")</f>
        <v>No</v>
      </c>
    </row>
    <row r="1487" spans="1:22" x14ac:dyDescent="0.35">
      <c r="A1487">
        <v>1486</v>
      </c>
      <c r="B1487" t="s">
        <v>160</v>
      </c>
      <c r="C1487" t="s">
        <v>800</v>
      </c>
      <c r="D1487" t="s">
        <v>2512</v>
      </c>
      <c r="E1487" t="s">
        <v>20</v>
      </c>
      <c r="F1487" t="b">
        <v>0</v>
      </c>
      <c r="G1487">
        <v>8</v>
      </c>
      <c r="H1487" t="b">
        <v>1</v>
      </c>
      <c r="I1487">
        <v>5</v>
      </c>
      <c r="J1487" t="s">
        <v>64</v>
      </c>
      <c r="K1487">
        <v>40</v>
      </c>
      <c r="L1487">
        <v>97</v>
      </c>
      <c r="M1487">
        <v>92</v>
      </c>
      <c r="N1487">
        <v>93</v>
      </c>
      <c r="O1487">
        <v>92</v>
      </c>
      <c r="P1487">
        <v>65</v>
      </c>
      <c r="Q1487">
        <v>82</v>
      </c>
      <c r="R1487">
        <f>SUM(student_scores[[#This Row],[math_score]:[geography_score]])</f>
        <v>561</v>
      </c>
      <c r="S1487" s="3">
        <f>student_scores[[#This Row],[Total_Score]]/7</f>
        <v>80.142857142857139</v>
      </c>
      <c r="T1487" s="3" t="str" cm="1">
        <f t="array" ref="T1487">_xlfn.IFS(student_scores[[#This Row],[weekly_self_study_hours]]&lt;=5,   "0 - 5", student_scores[[#This Row],[weekly_self_study_hours]]&lt;=10,  "6 - 10", student_scores[[#This Row],[weekly_self_study_hours]]&lt;=20,  "11 - 20",student_scores[[#This Row],[weekly_self_study_hours]]&lt;=30, "21 - 30",TRUE, "31+")</f>
        <v>0 - 5</v>
      </c>
      <c r="U1487" t="str" cm="1">
        <f t="array" ref="U1487">_xlfn.IFS(student_scores[[#This Row],[absence_days]]=0,"0", student_scores[[#This Row],[absence_days]]&lt;=3,"1-3", student_scores[[#This Row],[absence_days]]&lt;=6,"4-6", TRUE,"7-10")</f>
        <v>7-10</v>
      </c>
      <c r="V1487" t="str">
        <f>IF(student_scores[[#This Row],[Total_Score]] &gt;= _xlfn.PERCENTILE.INC(student_scores[Total_Score], 0.8), "Yes", "No")</f>
        <v>No</v>
      </c>
    </row>
    <row r="1488" spans="1:22" x14ac:dyDescent="0.35">
      <c r="A1488">
        <v>1487</v>
      </c>
      <c r="B1488" t="s">
        <v>981</v>
      </c>
      <c r="C1488" t="s">
        <v>2099</v>
      </c>
      <c r="D1488" t="s">
        <v>2513</v>
      </c>
      <c r="E1488" t="s">
        <v>25</v>
      </c>
      <c r="F1488" t="b">
        <v>0</v>
      </c>
      <c r="G1488">
        <v>2</v>
      </c>
      <c r="H1488" t="b">
        <v>0</v>
      </c>
      <c r="I1488">
        <v>5</v>
      </c>
      <c r="J1488" t="s">
        <v>64</v>
      </c>
      <c r="K1488">
        <v>65</v>
      </c>
      <c r="L1488">
        <v>93</v>
      </c>
      <c r="M1488">
        <v>67</v>
      </c>
      <c r="N1488">
        <v>73</v>
      </c>
      <c r="O1488">
        <v>57</v>
      </c>
      <c r="P1488">
        <v>72</v>
      </c>
      <c r="Q1488">
        <v>97</v>
      </c>
      <c r="R1488">
        <f>SUM(student_scores[[#This Row],[math_score]:[geography_score]])</f>
        <v>524</v>
      </c>
      <c r="S1488" s="3">
        <f>student_scores[[#This Row],[Total_Score]]/7</f>
        <v>74.857142857142861</v>
      </c>
      <c r="T1488" s="3" t="str" cm="1">
        <f t="array" ref="T1488">_xlfn.IFS(student_scores[[#This Row],[weekly_self_study_hours]]&lt;=5,   "0 - 5", student_scores[[#This Row],[weekly_self_study_hours]]&lt;=10,  "6 - 10", student_scores[[#This Row],[weekly_self_study_hours]]&lt;=20,  "11 - 20",student_scores[[#This Row],[weekly_self_study_hours]]&lt;=30, "21 - 30",TRUE, "31+")</f>
        <v>0 - 5</v>
      </c>
      <c r="U1488" t="str" cm="1">
        <f t="array" ref="U1488">_xlfn.IFS(student_scores[[#This Row],[absence_days]]=0,"0", student_scores[[#This Row],[absence_days]]&lt;=3,"1-3", student_scores[[#This Row],[absence_days]]&lt;=6,"4-6", TRUE,"7-10")</f>
        <v>1-3</v>
      </c>
      <c r="V1488" t="str">
        <f>IF(student_scores[[#This Row],[Total_Score]] &gt;= _xlfn.PERCENTILE.INC(student_scores[Total_Score], 0.8), "Yes", "No")</f>
        <v>No</v>
      </c>
    </row>
    <row r="1489" spans="1:22" x14ac:dyDescent="0.35">
      <c r="A1489">
        <v>1488</v>
      </c>
      <c r="B1489" t="s">
        <v>300</v>
      </c>
      <c r="C1489" t="s">
        <v>2514</v>
      </c>
      <c r="D1489" t="s">
        <v>2515</v>
      </c>
      <c r="E1489" t="s">
        <v>20</v>
      </c>
      <c r="F1489" t="b">
        <v>0</v>
      </c>
      <c r="G1489">
        <v>6</v>
      </c>
      <c r="H1489" t="b">
        <v>0</v>
      </c>
      <c r="I1489">
        <v>1</v>
      </c>
      <c r="J1489" t="s">
        <v>64</v>
      </c>
      <c r="K1489">
        <v>96</v>
      </c>
      <c r="L1489">
        <v>92</v>
      </c>
      <c r="M1489">
        <v>64</v>
      </c>
      <c r="N1489">
        <v>54</v>
      </c>
      <c r="O1489">
        <v>87</v>
      </c>
      <c r="P1489">
        <v>60</v>
      </c>
      <c r="Q1489">
        <v>88</v>
      </c>
      <c r="R1489">
        <f>SUM(student_scores[[#This Row],[math_score]:[geography_score]])</f>
        <v>541</v>
      </c>
      <c r="S1489" s="3">
        <f>student_scores[[#This Row],[Total_Score]]/7</f>
        <v>77.285714285714292</v>
      </c>
      <c r="T1489" s="3" t="str" cm="1">
        <f t="array" ref="T1489">_xlfn.IFS(student_scores[[#This Row],[weekly_self_study_hours]]&lt;=5,   "0 - 5", student_scores[[#This Row],[weekly_self_study_hours]]&lt;=10,  "6 - 10", student_scores[[#This Row],[weekly_self_study_hours]]&lt;=20,  "11 - 20",student_scores[[#This Row],[weekly_self_study_hours]]&lt;=30, "21 - 30",TRUE, "31+")</f>
        <v>0 - 5</v>
      </c>
      <c r="U1489" t="str" cm="1">
        <f t="array" ref="U1489">_xlfn.IFS(student_scores[[#This Row],[absence_days]]=0,"0", student_scores[[#This Row],[absence_days]]&lt;=3,"1-3", student_scores[[#This Row],[absence_days]]&lt;=6,"4-6", TRUE,"7-10")</f>
        <v>4-6</v>
      </c>
      <c r="V1489" t="str">
        <f>IF(student_scores[[#This Row],[Total_Score]] &gt;= _xlfn.PERCENTILE.INC(student_scores[Total_Score], 0.8), "Yes", "No")</f>
        <v>No</v>
      </c>
    </row>
    <row r="1490" spans="1:22" x14ac:dyDescent="0.35">
      <c r="A1490">
        <v>1489</v>
      </c>
      <c r="B1490" t="s">
        <v>715</v>
      </c>
      <c r="C1490" t="s">
        <v>2173</v>
      </c>
      <c r="D1490" t="s">
        <v>2516</v>
      </c>
      <c r="E1490" t="s">
        <v>25</v>
      </c>
      <c r="F1490" t="b">
        <v>0</v>
      </c>
      <c r="G1490">
        <v>1</v>
      </c>
      <c r="H1490" t="b">
        <v>1</v>
      </c>
      <c r="I1490">
        <v>27</v>
      </c>
      <c r="J1490" t="s">
        <v>44</v>
      </c>
      <c r="K1490">
        <v>96</v>
      </c>
      <c r="L1490">
        <v>92</v>
      </c>
      <c r="M1490">
        <v>80</v>
      </c>
      <c r="N1490">
        <v>61</v>
      </c>
      <c r="O1490">
        <v>66</v>
      </c>
      <c r="P1490">
        <v>98</v>
      </c>
      <c r="Q1490">
        <v>70</v>
      </c>
      <c r="R1490">
        <f>SUM(student_scores[[#This Row],[math_score]:[geography_score]])</f>
        <v>563</v>
      </c>
      <c r="S1490" s="3">
        <f>student_scores[[#This Row],[Total_Score]]/7</f>
        <v>80.428571428571431</v>
      </c>
      <c r="T1490" s="3" t="str" cm="1">
        <f t="array" ref="T1490">_xlfn.IFS(student_scores[[#This Row],[weekly_self_study_hours]]&lt;=5,   "0 - 5", student_scores[[#This Row],[weekly_self_study_hours]]&lt;=10,  "6 - 10", student_scores[[#This Row],[weekly_self_study_hours]]&lt;=20,  "11 - 20",student_scores[[#This Row],[weekly_self_study_hours]]&lt;=30, "21 - 30",TRUE, "31+")</f>
        <v>21 - 30</v>
      </c>
      <c r="U1490" t="str" cm="1">
        <f t="array" ref="U1490">_xlfn.IFS(student_scores[[#This Row],[absence_days]]=0,"0", student_scores[[#This Row],[absence_days]]&lt;=3,"1-3", student_scores[[#This Row],[absence_days]]&lt;=6,"4-6", TRUE,"7-10")</f>
        <v>1-3</v>
      </c>
      <c r="V1490" t="str">
        <f>IF(student_scores[[#This Row],[Total_Score]] &gt;= _xlfn.PERCENTILE.INC(student_scores[Total_Score], 0.8), "Yes", "No")</f>
        <v>No</v>
      </c>
    </row>
    <row r="1491" spans="1:22" x14ac:dyDescent="0.35">
      <c r="A1491">
        <v>1490</v>
      </c>
      <c r="B1491" t="s">
        <v>1007</v>
      </c>
      <c r="C1491" t="s">
        <v>136</v>
      </c>
      <c r="D1491" t="s">
        <v>2517</v>
      </c>
      <c r="E1491" t="s">
        <v>20</v>
      </c>
      <c r="F1491" t="b">
        <v>1</v>
      </c>
      <c r="G1491">
        <v>1</v>
      </c>
      <c r="H1491" t="b">
        <v>0</v>
      </c>
      <c r="I1491">
        <v>29</v>
      </c>
      <c r="J1491" t="s">
        <v>21</v>
      </c>
      <c r="K1491">
        <v>90</v>
      </c>
      <c r="L1491">
        <v>84</v>
      </c>
      <c r="M1491">
        <v>90</v>
      </c>
      <c r="N1491">
        <v>81</v>
      </c>
      <c r="O1491">
        <v>92</v>
      </c>
      <c r="P1491">
        <v>83</v>
      </c>
      <c r="Q1491">
        <v>69</v>
      </c>
      <c r="R1491">
        <f>SUM(student_scores[[#This Row],[math_score]:[geography_score]])</f>
        <v>589</v>
      </c>
      <c r="S1491" s="3">
        <f>student_scores[[#This Row],[Total_Score]]/7</f>
        <v>84.142857142857139</v>
      </c>
      <c r="T1491" s="3" t="str" cm="1">
        <f t="array" ref="T1491">_xlfn.IFS(student_scores[[#This Row],[weekly_self_study_hours]]&lt;=5,   "0 - 5", student_scores[[#This Row],[weekly_self_study_hours]]&lt;=10,  "6 - 10", student_scores[[#This Row],[weekly_self_study_hours]]&lt;=20,  "11 - 20",student_scores[[#This Row],[weekly_self_study_hours]]&lt;=30, "21 - 30",TRUE, "31+")</f>
        <v>21 - 30</v>
      </c>
      <c r="U1491" t="str" cm="1">
        <f t="array" ref="U1491">_xlfn.IFS(student_scores[[#This Row],[absence_days]]=0,"0", student_scores[[#This Row],[absence_days]]&lt;=3,"1-3", student_scores[[#This Row],[absence_days]]&lt;=6,"4-6", TRUE,"7-10")</f>
        <v>1-3</v>
      </c>
      <c r="V1491" t="str">
        <f>IF(student_scores[[#This Row],[Total_Score]] &gt;= _xlfn.PERCENTILE.INC(student_scores[Total_Score], 0.8), "Yes", "No")</f>
        <v>No</v>
      </c>
    </row>
    <row r="1492" spans="1:22" x14ac:dyDescent="0.35">
      <c r="A1492">
        <v>1491</v>
      </c>
      <c r="B1492" t="s">
        <v>1034</v>
      </c>
      <c r="C1492" t="s">
        <v>295</v>
      </c>
      <c r="D1492" t="s">
        <v>2518</v>
      </c>
      <c r="E1492" t="s">
        <v>25</v>
      </c>
      <c r="F1492" t="b">
        <v>1</v>
      </c>
      <c r="G1492">
        <v>9</v>
      </c>
      <c r="H1492" t="b">
        <v>0</v>
      </c>
      <c r="I1492">
        <v>4</v>
      </c>
      <c r="J1492" t="s">
        <v>64</v>
      </c>
      <c r="K1492">
        <v>85</v>
      </c>
      <c r="L1492">
        <v>57</v>
      </c>
      <c r="M1492">
        <v>77</v>
      </c>
      <c r="N1492">
        <v>81</v>
      </c>
      <c r="O1492">
        <v>65</v>
      </c>
      <c r="P1492">
        <v>75</v>
      </c>
      <c r="Q1492">
        <v>85</v>
      </c>
      <c r="R1492">
        <f>SUM(student_scores[[#This Row],[math_score]:[geography_score]])</f>
        <v>525</v>
      </c>
      <c r="S1492" s="3">
        <f>student_scores[[#This Row],[Total_Score]]/7</f>
        <v>75</v>
      </c>
      <c r="T1492" s="3" t="str" cm="1">
        <f t="array" ref="T1492">_xlfn.IFS(student_scores[[#This Row],[weekly_self_study_hours]]&lt;=5,   "0 - 5", student_scores[[#This Row],[weekly_self_study_hours]]&lt;=10,  "6 - 10", student_scores[[#This Row],[weekly_self_study_hours]]&lt;=20,  "11 - 20",student_scores[[#This Row],[weekly_self_study_hours]]&lt;=30, "21 - 30",TRUE, "31+")</f>
        <v>0 - 5</v>
      </c>
      <c r="U1492" t="str" cm="1">
        <f t="array" ref="U1492">_xlfn.IFS(student_scores[[#This Row],[absence_days]]=0,"0", student_scores[[#This Row],[absence_days]]&lt;=3,"1-3", student_scores[[#This Row],[absence_days]]&lt;=6,"4-6", TRUE,"7-10")</f>
        <v>7-10</v>
      </c>
      <c r="V1492" t="str">
        <f>IF(student_scores[[#This Row],[Total_Score]] &gt;= _xlfn.PERCENTILE.INC(student_scores[Total_Score], 0.8), "Yes", "No")</f>
        <v>No</v>
      </c>
    </row>
    <row r="1493" spans="1:22" x14ac:dyDescent="0.35">
      <c r="A1493">
        <v>1492</v>
      </c>
      <c r="B1493" t="s">
        <v>493</v>
      </c>
      <c r="C1493" t="s">
        <v>1991</v>
      </c>
      <c r="D1493" t="s">
        <v>2519</v>
      </c>
      <c r="E1493" t="s">
        <v>25</v>
      </c>
      <c r="F1493" t="b">
        <v>1</v>
      </c>
      <c r="G1493">
        <v>8</v>
      </c>
      <c r="H1493" t="b">
        <v>1</v>
      </c>
      <c r="I1493">
        <v>4</v>
      </c>
      <c r="J1493" t="s">
        <v>64</v>
      </c>
      <c r="K1493">
        <v>92</v>
      </c>
      <c r="L1493">
        <v>96</v>
      </c>
      <c r="M1493">
        <v>80</v>
      </c>
      <c r="N1493">
        <v>98</v>
      </c>
      <c r="O1493">
        <v>61</v>
      </c>
      <c r="P1493">
        <v>84</v>
      </c>
      <c r="Q1493">
        <v>74</v>
      </c>
      <c r="R1493">
        <f>SUM(student_scores[[#This Row],[math_score]:[geography_score]])</f>
        <v>585</v>
      </c>
      <c r="S1493" s="3">
        <f>student_scores[[#This Row],[Total_Score]]/7</f>
        <v>83.571428571428569</v>
      </c>
      <c r="T1493" s="3" t="str" cm="1">
        <f t="array" ref="T1493">_xlfn.IFS(student_scores[[#This Row],[weekly_self_study_hours]]&lt;=5,   "0 - 5", student_scores[[#This Row],[weekly_self_study_hours]]&lt;=10,  "6 - 10", student_scores[[#This Row],[weekly_self_study_hours]]&lt;=20,  "11 - 20",student_scores[[#This Row],[weekly_self_study_hours]]&lt;=30, "21 - 30",TRUE, "31+")</f>
        <v>0 - 5</v>
      </c>
      <c r="U1493" t="str" cm="1">
        <f t="array" ref="U1493">_xlfn.IFS(student_scores[[#This Row],[absence_days]]=0,"0", student_scores[[#This Row],[absence_days]]&lt;=3,"1-3", student_scores[[#This Row],[absence_days]]&lt;=6,"4-6", TRUE,"7-10")</f>
        <v>7-10</v>
      </c>
      <c r="V1493" t="str">
        <f>IF(student_scores[[#This Row],[Total_Score]] &gt;= _xlfn.PERCENTILE.INC(student_scores[Total_Score], 0.8), "Yes", "No")</f>
        <v>No</v>
      </c>
    </row>
    <row r="1494" spans="1:22" x14ac:dyDescent="0.35">
      <c r="A1494">
        <v>1493</v>
      </c>
      <c r="B1494" t="s">
        <v>1837</v>
      </c>
      <c r="C1494" t="s">
        <v>322</v>
      </c>
      <c r="D1494" t="s">
        <v>2520</v>
      </c>
      <c r="E1494" t="s">
        <v>20</v>
      </c>
      <c r="F1494" t="b">
        <v>0</v>
      </c>
      <c r="G1494">
        <v>3</v>
      </c>
      <c r="H1494" t="b">
        <v>0</v>
      </c>
      <c r="I1494">
        <v>21</v>
      </c>
      <c r="J1494" t="s">
        <v>26</v>
      </c>
      <c r="K1494">
        <v>100</v>
      </c>
      <c r="L1494">
        <v>82</v>
      </c>
      <c r="M1494">
        <v>84</v>
      </c>
      <c r="N1494">
        <v>100</v>
      </c>
      <c r="O1494">
        <v>90</v>
      </c>
      <c r="P1494">
        <v>62</v>
      </c>
      <c r="Q1494">
        <v>87</v>
      </c>
      <c r="R1494">
        <f>SUM(student_scores[[#This Row],[math_score]:[geography_score]])</f>
        <v>605</v>
      </c>
      <c r="S1494" s="3">
        <f>student_scores[[#This Row],[Total_Score]]/7</f>
        <v>86.428571428571431</v>
      </c>
      <c r="T1494" s="3" t="str" cm="1">
        <f t="array" ref="T1494">_xlfn.IFS(student_scores[[#This Row],[weekly_self_study_hours]]&lt;=5,   "0 - 5", student_scores[[#This Row],[weekly_self_study_hours]]&lt;=10,  "6 - 10", student_scores[[#This Row],[weekly_self_study_hours]]&lt;=20,  "11 - 20",student_scores[[#This Row],[weekly_self_study_hours]]&lt;=30, "21 - 30",TRUE, "31+")</f>
        <v>21 - 30</v>
      </c>
      <c r="U1494" t="str" cm="1">
        <f t="array" ref="U1494">_xlfn.IFS(student_scores[[#This Row],[absence_days]]=0,"0", student_scores[[#This Row],[absence_days]]&lt;=3,"1-3", student_scores[[#This Row],[absence_days]]&lt;=6,"4-6", TRUE,"7-10")</f>
        <v>1-3</v>
      </c>
      <c r="V1494" t="str">
        <f>IF(student_scores[[#This Row],[Total_Score]] &gt;= _xlfn.PERCENTILE.INC(student_scores[Total_Score], 0.8), "Yes", "No")</f>
        <v>Yes</v>
      </c>
    </row>
    <row r="1495" spans="1:22" x14ac:dyDescent="0.35">
      <c r="A1495">
        <v>1494</v>
      </c>
      <c r="B1495" t="s">
        <v>634</v>
      </c>
      <c r="C1495" t="s">
        <v>281</v>
      </c>
      <c r="D1495" t="s">
        <v>2521</v>
      </c>
      <c r="E1495" t="s">
        <v>25</v>
      </c>
      <c r="F1495" t="b">
        <v>0</v>
      </c>
      <c r="G1495">
        <v>3</v>
      </c>
      <c r="H1495" t="b">
        <v>0</v>
      </c>
      <c r="I1495">
        <v>31</v>
      </c>
      <c r="J1495" t="s">
        <v>172</v>
      </c>
      <c r="K1495">
        <v>94</v>
      </c>
      <c r="L1495">
        <v>63</v>
      </c>
      <c r="M1495">
        <v>98</v>
      </c>
      <c r="N1495">
        <v>73</v>
      </c>
      <c r="O1495">
        <v>63</v>
      </c>
      <c r="P1495">
        <v>98</v>
      </c>
      <c r="Q1495">
        <v>100</v>
      </c>
      <c r="R1495">
        <f>SUM(student_scores[[#This Row],[math_score]:[geography_score]])</f>
        <v>589</v>
      </c>
      <c r="S1495" s="3">
        <f>student_scores[[#This Row],[Total_Score]]/7</f>
        <v>84.142857142857139</v>
      </c>
      <c r="T1495" s="3" t="str" cm="1">
        <f t="array" ref="T1495">_xlfn.IFS(student_scores[[#This Row],[weekly_self_study_hours]]&lt;=5,   "0 - 5", student_scores[[#This Row],[weekly_self_study_hours]]&lt;=10,  "6 - 10", student_scores[[#This Row],[weekly_self_study_hours]]&lt;=20,  "11 - 20",student_scores[[#This Row],[weekly_self_study_hours]]&lt;=30, "21 - 30",TRUE, "31+")</f>
        <v>31+</v>
      </c>
      <c r="U1495" t="str" cm="1">
        <f t="array" ref="U1495">_xlfn.IFS(student_scores[[#This Row],[absence_days]]=0,"0", student_scores[[#This Row],[absence_days]]&lt;=3,"1-3", student_scores[[#This Row],[absence_days]]&lt;=6,"4-6", TRUE,"7-10")</f>
        <v>1-3</v>
      </c>
      <c r="V1495" t="str">
        <f>IF(student_scores[[#This Row],[Total_Score]] &gt;= _xlfn.PERCENTILE.INC(student_scores[Total_Score], 0.8), "Yes", "No")</f>
        <v>No</v>
      </c>
    </row>
    <row r="1496" spans="1:22" x14ac:dyDescent="0.35">
      <c r="A1496">
        <v>1495</v>
      </c>
      <c r="B1496" t="s">
        <v>190</v>
      </c>
      <c r="C1496" t="s">
        <v>167</v>
      </c>
      <c r="D1496" t="s">
        <v>2522</v>
      </c>
      <c r="E1496" t="s">
        <v>25</v>
      </c>
      <c r="F1496" t="b">
        <v>0</v>
      </c>
      <c r="G1496">
        <v>3</v>
      </c>
      <c r="H1496" t="b">
        <v>0</v>
      </c>
      <c r="I1496">
        <v>15</v>
      </c>
      <c r="J1496" t="s">
        <v>105</v>
      </c>
      <c r="K1496">
        <v>85</v>
      </c>
      <c r="L1496">
        <v>76</v>
      </c>
      <c r="M1496">
        <v>94</v>
      </c>
      <c r="N1496">
        <v>89</v>
      </c>
      <c r="O1496">
        <v>85</v>
      </c>
      <c r="P1496">
        <v>83</v>
      </c>
      <c r="Q1496">
        <v>80</v>
      </c>
      <c r="R1496">
        <f>SUM(student_scores[[#This Row],[math_score]:[geography_score]])</f>
        <v>592</v>
      </c>
      <c r="S1496" s="3">
        <f>student_scores[[#This Row],[Total_Score]]/7</f>
        <v>84.571428571428569</v>
      </c>
      <c r="T1496" s="3" t="str" cm="1">
        <f t="array" ref="T1496">_xlfn.IFS(student_scores[[#This Row],[weekly_self_study_hours]]&lt;=5,   "0 - 5", student_scores[[#This Row],[weekly_self_study_hours]]&lt;=10,  "6 - 10", student_scores[[#This Row],[weekly_self_study_hours]]&lt;=20,  "11 - 20",student_scores[[#This Row],[weekly_self_study_hours]]&lt;=30, "21 - 30",TRUE, "31+")</f>
        <v>11 - 20</v>
      </c>
      <c r="U1496" t="str" cm="1">
        <f t="array" ref="U1496">_xlfn.IFS(student_scores[[#This Row],[absence_days]]=0,"0", student_scores[[#This Row],[absence_days]]&lt;=3,"1-3", student_scores[[#This Row],[absence_days]]&lt;=6,"4-6", TRUE,"7-10")</f>
        <v>1-3</v>
      </c>
      <c r="V1496" t="str">
        <f>IF(student_scores[[#This Row],[Total_Score]] &gt;= _xlfn.PERCENTILE.INC(student_scores[Total_Score], 0.8), "Yes", "No")</f>
        <v>No</v>
      </c>
    </row>
    <row r="1497" spans="1:22" x14ac:dyDescent="0.35">
      <c r="A1497">
        <v>1496</v>
      </c>
      <c r="B1497" t="s">
        <v>110</v>
      </c>
      <c r="C1497" t="s">
        <v>606</v>
      </c>
      <c r="D1497" t="s">
        <v>2523</v>
      </c>
      <c r="E1497" t="s">
        <v>20</v>
      </c>
      <c r="F1497" t="b">
        <v>0</v>
      </c>
      <c r="G1497">
        <v>0</v>
      </c>
      <c r="H1497" t="b">
        <v>0</v>
      </c>
      <c r="I1497">
        <v>30</v>
      </c>
      <c r="J1497" t="s">
        <v>21</v>
      </c>
      <c r="K1497">
        <v>80</v>
      </c>
      <c r="L1497">
        <v>84</v>
      </c>
      <c r="M1497">
        <v>82</v>
      </c>
      <c r="N1497">
        <v>69</v>
      </c>
      <c r="O1497">
        <v>91</v>
      </c>
      <c r="P1497">
        <v>80</v>
      </c>
      <c r="Q1497">
        <v>96</v>
      </c>
      <c r="R1497">
        <f>SUM(student_scores[[#This Row],[math_score]:[geography_score]])</f>
        <v>582</v>
      </c>
      <c r="S1497" s="3">
        <f>student_scores[[#This Row],[Total_Score]]/7</f>
        <v>83.142857142857139</v>
      </c>
      <c r="T1497" s="3" t="str" cm="1">
        <f t="array" ref="T1497">_xlfn.IFS(student_scores[[#This Row],[weekly_self_study_hours]]&lt;=5,   "0 - 5", student_scores[[#This Row],[weekly_self_study_hours]]&lt;=10,  "6 - 10", student_scores[[#This Row],[weekly_self_study_hours]]&lt;=20,  "11 - 20",student_scores[[#This Row],[weekly_self_study_hours]]&lt;=30, "21 - 30",TRUE, "31+")</f>
        <v>21 - 30</v>
      </c>
      <c r="U1497" t="str" cm="1">
        <f t="array" ref="U1497">_xlfn.IFS(student_scores[[#This Row],[absence_days]]=0,"0", student_scores[[#This Row],[absence_days]]&lt;=3,"1-3", student_scores[[#This Row],[absence_days]]&lt;=6,"4-6", TRUE,"7-10")</f>
        <v>0</v>
      </c>
      <c r="V1497" t="str">
        <f>IF(student_scores[[#This Row],[Total_Score]] &gt;= _xlfn.PERCENTILE.INC(student_scores[Total_Score], 0.8), "Yes", "No")</f>
        <v>No</v>
      </c>
    </row>
    <row r="1498" spans="1:22" x14ac:dyDescent="0.35">
      <c r="A1498">
        <v>1497</v>
      </c>
      <c r="B1498" t="s">
        <v>379</v>
      </c>
      <c r="C1498" t="s">
        <v>604</v>
      </c>
      <c r="D1498" t="s">
        <v>2524</v>
      </c>
      <c r="E1498" t="s">
        <v>20</v>
      </c>
      <c r="F1498" t="b">
        <v>0</v>
      </c>
      <c r="G1498">
        <v>1</v>
      </c>
      <c r="H1498" t="b">
        <v>0</v>
      </c>
      <c r="I1498">
        <v>31</v>
      </c>
      <c r="J1498" t="s">
        <v>44</v>
      </c>
      <c r="K1498">
        <v>99</v>
      </c>
      <c r="L1498">
        <v>61</v>
      </c>
      <c r="M1498">
        <v>91</v>
      </c>
      <c r="N1498">
        <v>73</v>
      </c>
      <c r="O1498">
        <v>89</v>
      </c>
      <c r="P1498">
        <v>62</v>
      </c>
      <c r="Q1498">
        <v>82</v>
      </c>
      <c r="R1498">
        <f>SUM(student_scores[[#This Row],[math_score]:[geography_score]])</f>
        <v>557</v>
      </c>
      <c r="S1498" s="3">
        <f>student_scores[[#This Row],[Total_Score]]/7</f>
        <v>79.571428571428569</v>
      </c>
      <c r="T1498" s="3" t="str" cm="1">
        <f t="array" ref="T1498">_xlfn.IFS(student_scores[[#This Row],[weekly_self_study_hours]]&lt;=5,   "0 - 5", student_scores[[#This Row],[weekly_self_study_hours]]&lt;=10,  "6 - 10", student_scores[[#This Row],[weekly_self_study_hours]]&lt;=20,  "11 - 20",student_scores[[#This Row],[weekly_self_study_hours]]&lt;=30, "21 - 30",TRUE, "31+")</f>
        <v>31+</v>
      </c>
      <c r="U1498" t="str" cm="1">
        <f t="array" ref="U1498">_xlfn.IFS(student_scores[[#This Row],[absence_days]]=0,"0", student_scores[[#This Row],[absence_days]]&lt;=3,"1-3", student_scores[[#This Row],[absence_days]]&lt;=6,"4-6", TRUE,"7-10")</f>
        <v>1-3</v>
      </c>
      <c r="V1498" t="str">
        <f>IF(student_scores[[#This Row],[Total_Score]] &gt;= _xlfn.PERCENTILE.INC(student_scores[Total_Score], 0.8), "Yes", "No")</f>
        <v>No</v>
      </c>
    </row>
    <row r="1499" spans="1:22" x14ac:dyDescent="0.35">
      <c r="A1499">
        <v>1498</v>
      </c>
      <c r="B1499" t="s">
        <v>160</v>
      </c>
      <c r="C1499" t="s">
        <v>773</v>
      </c>
      <c r="D1499" t="s">
        <v>2525</v>
      </c>
      <c r="E1499" t="s">
        <v>20</v>
      </c>
      <c r="F1499" t="b">
        <v>0</v>
      </c>
      <c r="G1499">
        <v>7</v>
      </c>
      <c r="H1499" t="b">
        <v>0</v>
      </c>
      <c r="I1499">
        <v>23</v>
      </c>
      <c r="J1499" t="s">
        <v>109</v>
      </c>
      <c r="K1499">
        <v>70</v>
      </c>
      <c r="L1499">
        <v>91</v>
      </c>
      <c r="M1499">
        <v>81</v>
      </c>
      <c r="N1499">
        <v>61</v>
      </c>
      <c r="O1499">
        <v>64</v>
      </c>
      <c r="P1499">
        <v>93</v>
      </c>
      <c r="Q1499">
        <v>96</v>
      </c>
      <c r="R1499">
        <f>SUM(student_scores[[#This Row],[math_score]:[geography_score]])</f>
        <v>556</v>
      </c>
      <c r="S1499" s="3">
        <f>student_scores[[#This Row],[Total_Score]]/7</f>
        <v>79.428571428571431</v>
      </c>
      <c r="T1499" s="3" t="str" cm="1">
        <f t="array" ref="T1499">_xlfn.IFS(student_scores[[#This Row],[weekly_self_study_hours]]&lt;=5,   "0 - 5", student_scores[[#This Row],[weekly_self_study_hours]]&lt;=10,  "6 - 10", student_scores[[#This Row],[weekly_self_study_hours]]&lt;=20,  "11 - 20",student_scores[[#This Row],[weekly_self_study_hours]]&lt;=30, "21 - 30",TRUE, "31+")</f>
        <v>21 - 30</v>
      </c>
      <c r="U1499" t="str" cm="1">
        <f t="array" ref="U1499">_xlfn.IFS(student_scores[[#This Row],[absence_days]]=0,"0", student_scores[[#This Row],[absence_days]]&lt;=3,"1-3", student_scores[[#This Row],[absence_days]]&lt;=6,"4-6", TRUE,"7-10")</f>
        <v>7-10</v>
      </c>
      <c r="V1499" t="str">
        <f>IF(student_scores[[#This Row],[Total_Score]] &gt;= _xlfn.PERCENTILE.INC(student_scores[Total_Score], 0.8), "Yes", "No")</f>
        <v>No</v>
      </c>
    </row>
    <row r="1500" spans="1:22" x14ac:dyDescent="0.35">
      <c r="A1500">
        <v>1499</v>
      </c>
      <c r="B1500" t="s">
        <v>110</v>
      </c>
      <c r="C1500" t="s">
        <v>429</v>
      </c>
      <c r="D1500" t="s">
        <v>2526</v>
      </c>
      <c r="E1500" t="s">
        <v>20</v>
      </c>
      <c r="F1500" t="b">
        <v>0</v>
      </c>
      <c r="G1500">
        <v>1</v>
      </c>
      <c r="H1500" t="b">
        <v>0</v>
      </c>
      <c r="I1500">
        <v>23</v>
      </c>
      <c r="J1500" t="s">
        <v>123</v>
      </c>
      <c r="K1500">
        <v>62</v>
      </c>
      <c r="L1500">
        <v>72</v>
      </c>
      <c r="M1500">
        <v>78</v>
      </c>
      <c r="N1500">
        <v>96</v>
      </c>
      <c r="O1500">
        <v>70</v>
      </c>
      <c r="P1500">
        <v>74</v>
      </c>
      <c r="Q1500">
        <v>72</v>
      </c>
      <c r="R1500">
        <f>SUM(student_scores[[#This Row],[math_score]:[geography_score]])</f>
        <v>524</v>
      </c>
      <c r="S1500" s="3">
        <f>student_scores[[#This Row],[Total_Score]]/7</f>
        <v>74.857142857142861</v>
      </c>
      <c r="T1500" s="3" t="str" cm="1">
        <f t="array" ref="T1500">_xlfn.IFS(student_scores[[#This Row],[weekly_self_study_hours]]&lt;=5,   "0 - 5", student_scores[[#This Row],[weekly_self_study_hours]]&lt;=10,  "6 - 10", student_scores[[#This Row],[weekly_self_study_hours]]&lt;=20,  "11 - 20",student_scores[[#This Row],[weekly_self_study_hours]]&lt;=30, "21 - 30",TRUE, "31+")</f>
        <v>21 - 30</v>
      </c>
      <c r="U1500" t="str" cm="1">
        <f t="array" ref="U1500">_xlfn.IFS(student_scores[[#This Row],[absence_days]]=0,"0", student_scores[[#This Row],[absence_days]]&lt;=3,"1-3", student_scores[[#This Row],[absence_days]]&lt;=6,"4-6", TRUE,"7-10")</f>
        <v>1-3</v>
      </c>
      <c r="V1500" t="str">
        <f>IF(student_scores[[#This Row],[Total_Score]] &gt;= _xlfn.PERCENTILE.INC(student_scores[Total_Score], 0.8), "Yes", "No")</f>
        <v>No</v>
      </c>
    </row>
    <row r="1501" spans="1:22" x14ac:dyDescent="0.35">
      <c r="A1501">
        <v>1500</v>
      </c>
      <c r="B1501" t="s">
        <v>1559</v>
      </c>
      <c r="C1501" t="s">
        <v>103</v>
      </c>
      <c r="D1501" t="s">
        <v>2527</v>
      </c>
      <c r="E1501" t="s">
        <v>25</v>
      </c>
      <c r="F1501" t="b">
        <v>1</v>
      </c>
      <c r="G1501">
        <v>0</v>
      </c>
      <c r="H1501" t="b">
        <v>0</v>
      </c>
      <c r="I1501">
        <v>27</v>
      </c>
      <c r="J1501" t="s">
        <v>44</v>
      </c>
      <c r="K1501">
        <v>94</v>
      </c>
      <c r="L1501">
        <v>97</v>
      </c>
      <c r="M1501">
        <v>73</v>
      </c>
      <c r="N1501">
        <v>79</v>
      </c>
      <c r="O1501">
        <v>84</v>
      </c>
      <c r="P1501">
        <v>66</v>
      </c>
      <c r="Q1501">
        <v>64</v>
      </c>
      <c r="R1501">
        <f>SUM(student_scores[[#This Row],[math_score]:[geography_score]])</f>
        <v>557</v>
      </c>
      <c r="S1501" s="3">
        <f>student_scores[[#This Row],[Total_Score]]/7</f>
        <v>79.571428571428569</v>
      </c>
      <c r="T1501" s="3" t="str" cm="1">
        <f t="array" ref="T1501">_xlfn.IFS(student_scores[[#This Row],[weekly_self_study_hours]]&lt;=5,   "0 - 5", student_scores[[#This Row],[weekly_self_study_hours]]&lt;=10,  "6 - 10", student_scores[[#This Row],[weekly_self_study_hours]]&lt;=20,  "11 - 20",student_scores[[#This Row],[weekly_self_study_hours]]&lt;=30, "21 - 30",TRUE, "31+")</f>
        <v>21 - 30</v>
      </c>
      <c r="U1501" t="str" cm="1">
        <f t="array" ref="U1501">_xlfn.IFS(student_scores[[#This Row],[absence_days]]=0,"0", student_scores[[#This Row],[absence_days]]&lt;=3,"1-3", student_scores[[#This Row],[absence_days]]&lt;=6,"4-6", TRUE,"7-10")</f>
        <v>0</v>
      </c>
      <c r="V1501" t="str">
        <f>IF(student_scores[[#This Row],[Total_Score]] &gt;= _xlfn.PERCENTILE.INC(student_scores[Total_Score], 0.8), "Yes", "No")</f>
        <v>No</v>
      </c>
    </row>
    <row r="1502" spans="1:22" x14ac:dyDescent="0.35">
      <c r="A1502">
        <v>1501</v>
      </c>
      <c r="B1502" t="s">
        <v>345</v>
      </c>
      <c r="C1502" t="s">
        <v>222</v>
      </c>
      <c r="D1502" t="s">
        <v>2528</v>
      </c>
      <c r="E1502" t="s">
        <v>25</v>
      </c>
      <c r="F1502" t="b">
        <v>0</v>
      </c>
      <c r="G1502">
        <v>3</v>
      </c>
      <c r="H1502" t="b">
        <v>1</v>
      </c>
      <c r="I1502">
        <v>5</v>
      </c>
      <c r="J1502" t="s">
        <v>224</v>
      </c>
      <c r="K1502">
        <v>79</v>
      </c>
      <c r="L1502">
        <v>93</v>
      </c>
      <c r="M1502">
        <v>100</v>
      </c>
      <c r="N1502">
        <v>83</v>
      </c>
      <c r="O1502">
        <v>78</v>
      </c>
      <c r="P1502">
        <v>80</v>
      </c>
      <c r="Q1502">
        <v>87</v>
      </c>
      <c r="R1502">
        <f>SUM(student_scores[[#This Row],[math_score]:[geography_score]])</f>
        <v>600</v>
      </c>
      <c r="S1502" s="3">
        <f>student_scores[[#This Row],[Total_Score]]/7</f>
        <v>85.714285714285708</v>
      </c>
      <c r="T1502" s="3" t="str" cm="1">
        <f t="array" ref="T1502">_xlfn.IFS(student_scores[[#This Row],[weekly_self_study_hours]]&lt;=5,   "0 - 5", student_scores[[#This Row],[weekly_self_study_hours]]&lt;=10,  "6 - 10", student_scores[[#This Row],[weekly_self_study_hours]]&lt;=20,  "11 - 20",student_scores[[#This Row],[weekly_self_study_hours]]&lt;=30, "21 - 30",TRUE, "31+")</f>
        <v>0 - 5</v>
      </c>
      <c r="U1502" t="str" cm="1">
        <f t="array" ref="U1502">_xlfn.IFS(student_scores[[#This Row],[absence_days]]=0,"0", student_scores[[#This Row],[absence_days]]&lt;=3,"1-3", student_scores[[#This Row],[absence_days]]&lt;=6,"4-6", TRUE,"7-10")</f>
        <v>1-3</v>
      </c>
      <c r="V1502" t="str">
        <f>IF(student_scores[[#This Row],[Total_Score]] &gt;= _xlfn.PERCENTILE.INC(student_scores[Total_Score], 0.8), "Yes", "No")</f>
        <v>No</v>
      </c>
    </row>
    <row r="1503" spans="1:22" x14ac:dyDescent="0.35">
      <c r="A1503">
        <v>1502</v>
      </c>
      <c r="B1503" t="s">
        <v>130</v>
      </c>
      <c r="C1503" t="s">
        <v>1907</v>
      </c>
      <c r="D1503" t="s">
        <v>2529</v>
      </c>
      <c r="E1503" t="s">
        <v>25</v>
      </c>
      <c r="F1503" t="b">
        <v>1</v>
      </c>
      <c r="G1503">
        <v>10</v>
      </c>
      <c r="H1503" t="b">
        <v>0</v>
      </c>
      <c r="I1503">
        <v>4</v>
      </c>
      <c r="J1503" t="s">
        <v>64</v>
      </c>
      <c r="K1503">
        <v>47</v>
      </c>
      <c r="L1503">
        <v>75</v>
      </c>
      <c r="M1503">
        <v>53</v>
      </c>
      <c r="N1503">
        <v>60</v>
      </c>
      <c r="O1503">
        <v>90</v>
      </c>
      <c r="P1503">
        <v>59</v>
      </c>
      <c r="Q1503">
        <v>86</v>
      </c>
      <c r="R1503">
        <f>SUM(student_scores[[#This Row],[math_score]:[geography_score]])</f>
        <v>470</v>
      </c>
      <c r="S1503" s="3">
        <f>student_scores[[#This Row],[Total_Score]]/7</f>
        <v>67.142857142857139</v>
      </c>
      <c r="T1503" s="3" t="str" cm="1">
        <f t="array" ref="T1503">_xlfn.IFS(student_scores[[#This Row],[weekly_self_study_hours]]&lt;=5,   "0 - 5", student_scores[[#This Row],[weekly_self_study_hours]]&lt;=10,  "6 - 10", student_scores[[#This Row],[weekly_self_study_hours]]&lt;=20,  "11 - 20",student_scores[[#This Row],[weekly_self_study_hours]]&lt;=30, "21 - 30",TRUE, "31+")</f>
        <v>0 - 5</v>
      </c>
      <c r="U1503" t="str" cm="1">
        <f t="array" ref="U1503">_xlfn.IFS(student_scores[[#This Row],[absence_days]]=0,"0", student_scores[[#This Row],[absence_days]]&lt;=3,"1-3", student_scores[[#This Row],[absence_days]]&lt;=6,"4-6", TRUE,"7-10")</f>
        <v>7-10</v>
      </c>
      <c r="V1503" t="str">
        <f>IF(student_scores[[#This Row],[Total_Score]] &gt;= _xlfn.PERCENTILE.INC(student_scores[Total_Score], 0.8), "Yes", "No")</f>
        <v>No</v>
      </c>
    </row>
    <row r="1504" spans="1:22" x14ac:dyDescent="0.35">
      <c r="A1504">
        <v>1503</v>
      </c>
      <c r="B1504" t="s">
        <v>655</v>
      </c>
      <c r="C1504" t="s">
        <v>2530</v>
      </c>
      <c r="D1504" t="s">
        <v>2531</v>
      </c>
      <c r="E1504" t="s">
        <v>25</v>
      </c>
      <c r="F1504" t="b">
        <v>0</v>
      </c>
      <c r="G1504">
        <v>9</v>
      </c>
      <c r="H1504" t="b">
        <v>0</v>
      </c>
      <c r="I1504">
        <v>21</v>
      </c>
      <c r="J1504" t="s">
        <v>105</v>
      </c>
      <c r="K1504">
        <v>100</v>
      </c>
      <c r="L1504">
        <v>73</v>
      </c>
      <c r="M1504">
        <v>70</v>
      </c>
      <c r="N1504">
        <v>71</v>
      </c>
      <c r="O1504">
        <v>73</v>
      </c>
      <c r="P1504">
        <v>96</v>
      </c>
      <c r="Q1504">
        <v>67</v>
      </c>
      <c r="R1504">
        <f>SUM(student_scores[[#This Row],[math_score]:[geography_score]])</f>
        <v>550</v>
      </c>
      <c r="S1504" s="3">
        <f>student_scores[[#This Row],[Total_Score]]/7</f>
        <v>78.571428571428569</v>
      </c>
      <c r="T1504" s="3" t="str" cm="1">
        <f t="array" ref="T1504">_xlfn.IFS(student_scores[[#This Row],[weekly_self_study_hours]]&lt;=5,   "0 - 5", student_scores[[#This Row],[weekly_self_study_hours]]&lt;=10,  "6 - 10", student_scores[[#This Row],[weekly_self_study_hours]]&lt;=20,  "11 - 20",student_scores[[#This Row],[weekly_self_study_hours]]&lt;=30, "21 - 30",TRUE, "31+")</f>
        <v>21 - 30</v>
      </c>
      <c r="U1504" t="str" cm="1">
        <f t="array" ref="U1504">_xlfn.IFS(student_scores[[#This Row],[absence_days]]=0,"0", student_scores[[#This Row],[absence_days]]&lt;=3,"1-3", student_scores[[#This Row],[absence_days]]&lt;=6,"4-6", TRUE,"7-10")</f>
        <v>7-10</v>
      </c>
      <c r="V1504" t="str">
        <f>IF(student_scores[[#This Row],[Total_Score]] &gt;= _xlfn.PERCENTILE.INC(student_scores[Total_Score], 0.8), "Yes", "No")</f>
        <v>No</v>
      </c>
    </row>
    <row r="1505" spans="1:22" x14ac:dyDescent="0.35">
      <c r="A1505">
        <v>1504</v>
      </c>
      <c r="B1505" t="s">
        <v>2165</v>
      </c>
      <c r="C1505" t="s">
        <v>501</v>
      </c>
      <c r="D1505" t="s">
        <v>2532</v>
      </c>
      <c r="E1505" t="s">
        <v>20</v>
      </c>
      <c r="F1505" t="b">
        <v>0</v>
      </c>
      <c r="G1505">
        <v>5</v>
      </c>
      <c r="H1505" t="b">
        <v>0</v>
      </c>
      <c r="I1505">
        <v>26</v>
      </c>
      <c r="J1505" t="s">
        <v>105</v>
      </c>
      <c r="K1505">
        <v>90</v>
      </c>
      <c r="L1505">
        <v>69</v>
      </c>
      <c r="M1505">
        <v>75</v>
      </c>
      <c r="N1505">
        <v>98</v>
      </c>
      <c r="O1505">
        <v>70</v>
      </c>
      <c r="P1505">
        <v>75</v>
      </c>
      <c r="Q1505">
        <v>80</v>
      </c>
      <c r="R1505">
        <f>SUM(student_scores[[#This Row],[math_score]:[geography_score]])</f>
        <v>557</v>
      </c>
      <c r="S1505" s="3">
        <f>student_scores[[#This Row],[Total_Score]]/7</f>
        <v>79.571428571428569</v>
      </c>
      <c r="T1505" s="3" t="str" cm="1">
        <f t="array" ref="T1505">_xlfn.IFS(student_scores[[#This Row],[weekly_self_study_hours]]&lt;=5,   "0 - 5", student_scores[[#This Row],[weekly_self_study_hours]]&lt;=10,  "6 - 10", student_scores[[#This Row],[weekly_self_study_hours]]&lt;=20,  "11 - 20",student_scores[[#This Row],[weekly_self_study_hours]]&lt;=30, "21 - 30",TRUE, "31+")</f>
        <v>21 - 30</v>
      </c>
      <c r="U1505" t="str" cm="1">
        <f t="array" ref="U1505">_xlfn.IFS(student_scores[[#This Row],[absence_days]]=0,"0", student_scores[[#This Row],[absence_days]]&lt;=3,"1-3", student_scores[[#This Row],[absence_days]]&lt;=6,"4-6", TRUE,"7-10")</f>
        <v>4-6</v>
      </c>
      <c r="V1505" t="str">
        <f>IF(student_scores[[#This Row],[Total_Score]] &gt;= _xlfn.PERCENTILE.INC(student_scores[Total_Score], 0.8), "Yes", "No")</f>
        <v>No</v>
      </c>
    </row>
    <row r="1506" spans="1:22" x14ac:dyDescent="0.35">
      <c r="A1506">
        <v>1505</v>
      </c>
      <c r="B1506" t="s">
        <v>120</v>
      </c>
      <c r="C1506" t="s">
        <v>56</v>
      </c>
      <c r="D1506" t="s">
        <v>2533</v>
      </c>
      <c r="E1506" t="s">
        <v>25</v>
      </c>
      <c r="F1506" t="b">
        <v>0</v>
      </c>
      <c r="G1506">
        <v>2</v>
      </c>
      <c r="H1506" t="b">
        <v>0</v>
      </c>
      <c r="I1506">
        <v>13</v>
      </c>
      <c r="J1506" t="s">
        <v>54</v>
      </c>
      <c r="K1506">
        <v>63</v>
      </c>
      <c r="L1506">
        <v>94</v>
      </c>
      <c r="M1506">
        <v>65</v>
      </c>
      <c r="N1506">
        <v>98</v>
      </c>
      <c r="O1506">
        <v>69</v>
      </c>
      <c r="P1506">
        <v>90</v>
      </c>
      <c r="Q1506">
        <v>85</v>
      </c>
      <c r="R1506">
        <f>SUM(student_scores[[#This Row],[math_score]:[geography_score]])</f>
        <v>564</v>
      </c>
      <c r="S1506" s="3">
        <f>student_scores[[#This Row],[Total_Score]]/7</f>
        <v>80.571428571428569</v>
      </c>
      <c r="T1506" s="3" t="str" cm="1">
        <f t="array" ref="T1506">_xlfn.IFS(student_scores[[#This Row],[weekly_self_study_hours]]&lt;=5,   "0 - 5", student_scores[[#This Row],[weekly_self_study_hours]]&lt;=10,  "6 - 10", student_scores[[#This Row],[weekly_self_study_hours]]&lt;=20,  "11 - 20",student_scores[[#This Row],[weekly_self_study_hours]]&lt;=30, "21 - 30",TRUE, "31+")</f>
        <v>11 - 20</v>
      </c>
      <c r="U1506" t="str" cm="1">
        <f t="array" ref="U1506">_xlfn.IFS(student_scores[[#This Row],[absence_days]]=0,"0", student_scores[[#This Row],[absence_days]]&lt;=3,"1-3", student_scores[[#This Row],[absence_days]]&lt;=6,"4-6", TRUE,"7-10")</f>
        <v>1-3</v>
      </c>
      <c r="V1506" t="str">
        <f>IF(student_scores[[#This Row],[Total_Score]] &gt;= _xlfn.PERCENTILE.INC(student_scores[Total_Score], 0.8), "Yes", "No")</f>
        <v>No</v>
      </c>
    </row>
    <row r="1507" spans="1:22" x14ac:dyDescent="0.35">
      <c r="A1507">
        <v>1506</v>
      </c>
      <c r="B1507" t="s">
        <v>560</v>
      </c>
      <c r="C1507" t="s">
        <v>2015</v>
      </c>
      <c r="D1507" t="s">
        <v>2534</v>
      </c>
      <c r="E1507" t="s">
        <v>25</v>
      </c>
      <c r="F1507" t="b">
        <v>0</v>
      </c>
      <c r="G1507">
        <v>7</v>
      </c>
      <c r="H1507" t="b">
        <v>0</v>
      </c>
      <c r="I1507">
        <v>10</v>
      </c>
      <c r="J1507" t="s">
        <v>38</v>
      </c>
      <c r="K1507">
        <v>78</v>
      </c>
      <c r="L1507">
        <v>76</v>
      </c>
      <c r="M1507">
        <v>93</v>
      </c>
      <c r="N1507">
        <v>88</v>
      </c>
      <c r="O1507">
        <v>83</v>
      </c>
      <c r="P1507">
        <v>99</v>
      </c>
      <c r="Q1507">
        <v>98</v>
      </c>
      <c r="R1507">
        <f>SUM(student_scores[[#This Row],[math_score]:[geography_score]])</f>
        <v>615</v>
      </c>
      <c r="S1507" s="3">
        <f>student_scores[[#This Row],[Total_Score]]/7</f>
        <v>87.857142857142861</v>
      </c>
      <c r="T1507" s="3" t="str" cm="1">
        <f t="array" ref="T1507">_xlfn.IFS(student_scores[[#This Row],[weekly_self_study_hours]]&lt;=5,   "0 - 5", student_scores[[#This Row],[weekly_self_study_hours]]&lt;=10,  "6 - 10", student_scores[[#This Row],[weekly_self_study_hours]]&lt;=20,  "11 - 20",student_scores[[#This Row],[weekly_self_study_hours]]&lt;=30, "21 - 30",TRUE, "31+")</f>
        <v>6 - 10</v>
      </c>
      <c r="U1507" t="str" cm="1">
        <f t="array" ref="U1507">_xlfn.IFS(student_scores[[#This Row],[absence_days]]=0,"0", student_scores[[#This Row],[absence_days]]&lt;=3,"1-3", student_scores[[#This Row],[absence_days]]&lt;=6,"4-6", TRUE,"7-10")</f>
        <v>7-10</v>
      </c>
      <c r="V1507" t="str">
        <f>IF(student_scores[[#This Row],[Total_Score]] &gt;= _xlfn.PERCENTILE.INC(student_scores[Total_Score], 0.8), "Yes", "No")</f>
        <v>Yes</v>
      </c>
    </row>
    <row r="1508" spans="1:22" x14ac:dyDescent="0.35">
      <c r="A1508">
        <v>1507</v>
      </c>
      <c r="B1508" t="s">
        <v>2535</v>
      </c>
      <c r="C1508" t="s">
        <v>2141</v>
      </c>
      <c r="D1508" t="s">
        <v>2536</v>
      </c>
      <c r="E1508" t="s">
        <v>25</v>
      </c>
      <c r="F1508" t="b">
        <v>0</v>
      </c>
      <c r="G1508">
        <v>4</v>
      </c>
      <c r="H1508" t="b">
        <v>0</v>
      </c>
      <c r="I1508">
        <v>25</v>
      </c>
      <c r="J1508" t="s">
        <v>44</v>
      </c>
      <c r="K1508">
        <v>95</v>
      </c>
      <c r="L1508">
        <v>94</v>
      </c>
      <c r="M1508">
        <v>69</v>
      </c>
      <c r="N1508">
        <v>73</v>
      </c>
      <c r="O1508">
        <v>71</v>
      </c>
      <c r="P1508">
        <v>93</v>
      </c>
      <c r="Q1508">
        <v>71</v>
      </c>
      <c r="R1508">
        <f>SUM(student_scores[[#This Row],[math_score]:[geography_score]])</f>
        <v>566</v>
      </c>
      <c r="S1508" s="3">
        <f>student_scores[[#This Row],[Total_Score]]/7</f>
        <v>80.857142857142861</v>
      </c>
      <c r="T1508" s="3" t="str" cm="1">
        <f t="array" ref="T1508">_xlfn.IFS(student_scores[[#This Row],[weekly_self_study_hours]]&lt;=5,   "0 - 5", student_scores[[#This Row],[weekly_self_study_hours]]&lt;=10,  "6 - 10", student_scores[[#This Row],[weekly_self_study_hours]]&lt;=20,  "11 - 20",student_scores[[#This Row],[weekly_self_study_hours]]&lt;=30, "21 - 30",TRUE, "31+")</f>
        <v>21 - 30</v>
      </c>
      <c r="U1508" t="str" cm="1">
        <f t="array" ref="U1508">_xlfn.IFS(student_scores[[#This Row],[absence_days]]=0,"0", student_scores[[#This Row],[absence_days]]&lt;=3,"1-3", student_scores[[#This Row],[absence_days]]&lt;=6,"4-6", TRUE,"7-10")</f>
        <v>4-6</v>
      </c>
      <c r="V1508" t="str">
        <f>IF(student_scores[[#This Row],[Total_Score]] &gt;= _xlfn.PERCENTILE.INC(student_scores[Total_Score], 0.8), "Yes", "No")</f>
        <v>No</v>
      </c>
    </row>
    <row r="1509" spans="1:22" x14ac:dyDescent="0.35">
      <c r="A1509">
        <v>1508</v>
      </c>
      <c r="B1509" t="s">
        <v>388</v>
      </c>
      <c r="C1509" t="s">
        <v>295</v>
      </c>
      <c r="D1509" t="s">
        <v>2537</v>
      </c>
      <c r="E1509" t="s">
        <v>25</v>
      </c>
      <c r="F1509" t="b">
        <v>0</v>
      </c>
      <c r="G1509">
        <v>4</v>
      </c>
      <c r="H1509" t="b">
        <v>0</v>
      </c>
      <c r="I1509">
        <v>13</v>
      </c>
      <c r="J1509" t="s">
        <v>38</v>
      </c>
      <c r="K1509">
        <v>88</v>
      </c>
      <c r="L1509">
        <v>92</v>
      </c>
      <c r="M1509">
        <v>66</v>
      </c>
      <c r="N1509">
        <v>100</v>
      </c>
      <c r="O1509">
        <v>98</v>
      </c>
      <c r="P1509">
        <v>99</v>
      </c>
      <c r="Q1509">
        <v>70</v>
      </c>
      <c r="R1509">
        <f>SUM(student_scores[[#This Row],[math_score]:[geography_score]])</f>
        <v>613</v>
      </c>
      <c r="S1509" s="3">
        <f>student_scores[[#This Row],[Total_Score]]/7</f>
        <v>87.571428571428569</v>
      </c>
      <c r="T1509" s="3" t="str" cm="1">
        <f t="array" ref="T1509">_xlfn.IFS(student_scores[[#This Row],[weekly_self_study_hours]]&lt;=5,   "0 - 5", student_scores[[#This Row],[weekly_self_study_hours]]&lt;=10,  "6 - 10", student_scores[[#This Row],[weekly_self_study_hours]]&lt;=20,  "11 - 20",student_scores[[#This Row],[weekly_self_study_hours]]&lt;=30, "21 - 30",TRUE, "31+")</f>
        <v>11 - 20</v>
      </c>
      <c r="U1509" t="str" cm="1">
        <f t="array" ref="U1509">_xlfn.IFS(student_scores[[#This Row],[absence_days]]=0,"0", student_scores[[#This Row],[absence_days]]&lt;=3,"1-3", student_scores[[#This Row],[absence_days]]&lt;=6,"4-6", TRUE,"7-10")</f>
        <v>4-6</v>
      </c>
      <c r="V1509" t="str">
        <f>IF(student_scores[[#This Row],[Total_Score]] &gt;= _xlfn.PERCENTILE.INC(student_scores[Total_Score], 0.8), "Yes", "No")</f>
        <v>Yes</v>
      </c>
    </row>
    <row r="1510" spans="1:22" x14ac:dyDescent="0.35">
      <c r="A1510">
        <v>1509</v>
      </c>
      <c r="B1510" t="s">
        <v>410</v>
      </c>
      <c r="C1510" t="s">
        <v>42</v>
      </c>
      <c r="D1510" t="s">
        <v>2538</v>
      </c>
      <c r="E1510" t="s">
        <v>20</v>
      </c>
      <c r="F1510" t="b">
        <v>0</v>
      </c>
      <c r="G1510">
        <v>2</v>
      </c>
      <c r="H1510" t="b">
        <v>0</v>
      </c>
      <c r="I1510">
        <v>29</v>
      </c>
      <c r="J1510" t="s">
        <v>138</v>
      </c>
      <c r="K1510">
        <v>87</v>
      </c>
      <c r="L1510">
        <v>86</v>
      </c>
      <c r="M1510">
        <v>95</v>
      </c>
      <c r="N1510">
        <v>92</v>
      </c>
      <c r="O1510">
        <v>91</v>
      </c>
      <c r="P1510">
        <v>79</v>
      </c>
      <c r="Q1510">
        <v>64</v>
      </c>
      <c r="R1510">
        <f>SUM(student_scores[[#This Row],[math_score]:[geography_score]])</f>
        <v>594</v>
      </c>
      <c r="S1510" s="3">
        <f>student_scores[[#This Row],[Total_Score]]/7</f>
        <v>84.857142857142861</v>
      </c>
      <c r="T1510" s="3" t="str" cm="1">
        <f t="array" ref="T1510">_xlfn.IFS(student_scores[[#This Row],[weekly_self_study_hours]]&lt;=5,   "0 - 5", student_scores[[#This Row],[weekly_self_study_hours]]&lt;=10,  "6 - 10", student_scores[[#This Row],[weekly_self_study_hours]]&lt;=20,  "11 - 20",student_scores[[#This Row],[weekly_self_study_hours]]&lt;=30, "21 - 30",TRUE, "31+")</f>
        <v>21 - 30</v>
      </c>
      <c r="U1510" t="str" cm="1">
        <f t="array" ref="U1510">_xlfn.IFS(student_scores[[#This Row],[absence_days]]=0,"0", student_scores[[#This Row],[absence_days]]&lt;=3,"1-3", student_scores[[#This Row],[absence_days]]&lt;=6,"4-6", TRUE,"7-10")</f>
        <v>1-3</v>
      </c>
      <c r="V1510" t="str">
        <f>IF(student_scores[[#This Row],[Total_Score]] &gt;= _xlfn.PERCENTILE.INC(student_scores[Total_Score], 0.8), "Yes", "No")</f>
        <v>No</v>
      </c>
    </row>
    <row r="1511" spans="1:22" x14ac:dyDescent="0.35">
      <c r="A1511">
        <v>1510</v>
      </c>
      <c r="B1511" t="s">
        <v>1852</v>
      </c>
      <c r="C1511" t="s">
        <v>2539</v>
      </c>
      <c r="D1511" t="s">
        <v>2540</v>
      </c>
      <c r="E1511" t="s">
        <v>25</v>
      </c>
      <c r="F1511" t="b">
        <v>0</v>
      </c>
      <c r="G1511">
        <v>4</v>
      </c>
      <c r="H1511" t="b">
        <v>0</v>
      </c>
      <c r="I1511">
        <v>1</v>
      </c>
      <c r="J1511" t="s">
        <v>224</v>
      </c>
      <c r="K1511">
        <v>89</v>
      </c>
      <c r="L1511">
        <v>100</v>
      </c>
      <c r="M1511">
        <v>81</v>
      </c>
      <c r="N1511">
        <v>62</v>
      </c>
      <c r="O1511">
        <v>75</v>
      </c>
      <c r="P1511">
        <v>68</v>
      </c>
      <c r="Q1511">
        <v>71</v>
      </c>
      <c r="R1511">
        <f>SUM(student_scores[[#This Row],[math_score]:[geography_score]])</f>
        <v>546</v>
      </c>
      <c r="S1511" s="3">
        <f>student_scores[[#This Row],[Total_Score]]/7</f>
        <v>78</v>
      </c>
      <c r="T1511" s="3" t="str" cm="1">
        <f t="array" ref="T1511">_xlfn.IFS(student_scores[[#This Row],[weekly_self_study_hours]]&lt;=5,   "0 - 5", student_scores[[#This Row],[weekly_self_study_hours]]&lt;=10,  "6 - 10", student_scores[[#This Row],[weekly_self_study_hours]]&lt;=20,  "11 - 20",student_scores[[#This Row],[weekly_self_study_hours]]&lt;=30, "21 - 30",TRUE, "31+")</f>
        <v>0 - 5</v>
      </c>
      <c r="U1511" t="str" cm="1">
        <f t="array" ref="U1511">_xlfn.IFS(student_scores[[#This Row],[absence_days]]=0,"0", student_scores[[#This Row],[absence_days]]&lt;=3,"1-3", student_scores[[#This Row],[absence_days]]&lt;=6,"4-6", TRUE,"7-10")</f>
        <v>4-6</v>
      </c>
      <c r="V1511" t="str">
        <f>IF(student_scores[[#This Row],[Total_Score]] &gt;= _xlfn.PERCENTILE.INC(student_scores[Total_Score], 0.8), "Yes", "No")</f>
        <v>No</v>
      </c>
    </row>
    <row r="1512" spans="1:22" x14ac:dyDescent="0.35">
      <c r="A1512">
        <v>1511</v>
      </c>
      <c r="B1512" t="s">
        <v>190</v>
      </c>
      <c r="C1512" t="s">
        <v>2541</v>
      </c>
      <c r="D1512" t="s">
        <v>2542</v>
      </c>
      <c r="E1512" t="s">
        <v>25</v>
      </c>
      <c r="F1512" t="b">
        <v>1</v>
      </c>
      <c r="G1512">
        <v>2</v>
      </c>
      <c r="H1512" t="b">
        <v>0</v>
      </c>
      <c r="I1512">
        <v>11</v>
      </c>
      <c r="J1512" t="s">
        <v>172</v>
      </c>
      <c r="K1512">
        <v>89</v>
      </c>
      <c r="L1512">
        <v>65</v>
      </c>
      <c r="M1512">
        <v>82</v>
      </c>
      <c r="N1512">
        <v>77</v>
      </c>
      <c r="O1512">
        <v>90</v>
      </c>
      <c r="P1512">
        <v>76</v>
      </c>
      <c r="Q1512">
        <v>84</v>
      </c>
      <c r="R1512">
        <f>SUM(student_scores[[#This Row],[math_score]:[geography_score]])</f>
        <v>563</v>
      </c>
      <c r="S1512" s="3">
        <f>student_scores[[#This Row],[Total_Score]]/7</f>
        <v>80.428571428571431</v>
      </c>
      <c r="T1512" s="3" t="str" cm="1">
        <f t="array" ref="T1512">_xlfn.IFS(student_scores[[#This Row],[weekly_self_study_hours]]&lt;=5,   "0 - 5", student_scores[[#This Row],[weekly_self_study_hours]]&lt;=10,  "6 - 10", student_scores[[#This Row],[weekly_self_study_hours]]&lt;=20,  "11 - 20",student_scores[[#This Row],[weekly_self_study_hours]]&lt;=30, "21 - 30",TRUE, "31+")</f>
        <v>11 - 20</v>
      </c>
      <c r="U1512" t="str" cm="1">
        <f t="array" ref="U1512">_xlfn.IFS(student_scores[[#This Row],[absence_days]]=0,"0", student_scores[[#This Row],[absence_days]]&lt;=3,"1-3", student_scores[[#This Row],[absence_days]]&lt;=6,"4-6", TRUE,"7-10")</f>
        <v>1-3</v>
      </c>
      <c r="V1512" t="str">
        <f>IF(student_scores[[#This Row],[Total_Score]] &gt;= _xlfn.PERCENTILE.INC(student_scores[Total_Score], 0.8), "Yes", "No")</f>
        <v>No</v>
      </c>
    </row>
    <row r="1513" spans="1:22" x14ac:dyDescent="0.35">
      <c r="A1513">
        <v>1512</v>
      </c>
      <c r="B1513" t="s">
        <v>190</v>
      </c>
      <c r="C1513" t="s">
        <v>2422</v>
      </c>
      <c r="D1513" t="s">
        <v>2543</v>
      </c>
      <c r="E1513" t="s">
        <v>25</v>
      </c>
      <c r="F1513" t="b">
        <v>0</v>
      </c>
      <c r="G1513">
        <v>1</v>
      </c>
      <c r="H1513" t="b">
        <v>0</v>
      </c>
      <c r="I1513">
        <v>26</v>
      </c>
      <c r="J1513" t="s">
        <v>21</v>
      </c>
      <c r="K1513">
        <v>90</v>
      </c>
      <c r="L1513">
        <v>100</v>
      </c>
      <c r="M1513">
        <v>89</v>
      </c>
      <c r="N1513">
        <v>69</v>
      </c>
      <c r="O1513">
        <v>100</v>
      </c>
      <c r="P1513">
        <v>95</v>
      </c>
      <c r="Q1513">
        <v>94</v>
      </c>
      <c r="R1513">
        <f>SUM(student_scores[[#This Row],[math_score]:[geography_score]])</f>
        <v>637</v>
      </c>
      <c r="S1513" s="3">
        <f>student_scores[[#This Row],[Total_Score]]/7</f>
        <v>91</v>
      </c>
      <c r="T1513" s="3" t="str" cm="1">
        <f t="array" ref="T1513">_xlfn.IFS(student_scores[[#This Row],[weekly_self_study_hours]]&lt;=5,   "0 - 5", student_scores[[#This Row],[weekly_self_study_hours]]&lt;=10,  "6 - 10", student_scores[[#This Row],[weekly_self_study_hours]]&lt;=20,  "11 - 20",student_scores[[#This Row],[weekly_self_study_hours]]&lt;=30, "21 - 30",TRUE, "31+")</f>
        <v>21 - 30</v>
      </c>
      <c r="U1513" t="str" cm="1">
        <f t="array" ref="U1513">_xlfn.IFS(student_scores[[#This Row],[absence_days]]=0,"0", student_scores[[#This Row],[absence_days]]&lt;=3,"1-3", student_scores[[#This Row],[absence_days]]&lt;=6,"4-6", TRUE,"7-10")</f>
        <v>1-3</v>
      </c>
      <c r="V1513" t="str">
        <f>IF(student_scores[[#This Row],[Total_Score]] &gt;= _xlfn.PERCENTILE.INC(student_scores[Total_Score], 0.8), "Yes", "No")</f>
        <v>Yes</v>
      </c>
    </row>
    <row r="1514" spans="1:22" x14ac:dyDescent="0.35">
      <c r="A1514">
        <v>1513</v>
      </c>
      <c r="B1514" t="s">
        <v>68</v>
      </c>
      <c r="C1514" t="s">
        <v>42</v>
      </c>
      <c r="D1514" t="s">
        <v>2544</v>
      </c>
      <c r="E1514" t="s">
        <v>25</v>
      </c>
      <c r="F1514" t="b">
        <v>0</v>
      </c>
      <c r="G1514">
        <v>0</v>
      </c>
      <c r="H1514" t="b">
        <v>0</v>
      </c>
      <c r="I1514">
        <v>12</v>
      </c>
      <c r="J1514" t="s">
        <v>54</v>
      </c>
      <c r="K1514">
        <v>99</v>
      </c>
      <c r="L1514">
        <v>75</v>
      </c>
      <c r="M1514">
        <v>71</v>
      </c>
      <c r="N1514">
        <v>90</v>
      </c>
      <c r="O1514">
        <v>92</v>
      </c>
      <c r="P1514">
        <v>78</v>
      </c>
      <c r="Q1514">
        <v>69</v>
      </c>
      <c r="R1514">
        <f>SUM(student_scores[[#This Row],[math_score]:[geography_score]])</f>
        <v>574</v>
      </c>
      <c r="S1514" s="3">
        <f>student_scores[[#This Row],[Total_Score]]/7</f>
        <v>82</v>
      </c>
      <c r="T1514" s="3" t="str" cm="1">
        <f t="array" ref="T1514">_xlfn.IFS(student_scores[[#This Row],[weekly_self_study_hours]]&lt;=5,   "0 - 5", student_scores[[#This Row],[weekly_self_study_hours]]&lt;=10,  "6 - 10", student_scores[[#This Row],[weekly_self_study_hours]]&lt;=20,  "11 - 20",student_scores[[#This Row],[weekly_self_study_hours]]&lt;=30, "21 - 30",TRUE, "31+")</f>
        <v>11 - 20</v>
      </c>
      <c r="U1514" t="str" cm="1">
        <f t="array" ref="U1514">_xlfn.IFS(student_scores[[#This Row],[absence_days]]=0,"0", student_scores[[#This Row],[absence_days]]&lt;=3,"1-3", student_scores[[#This Row],[absence_days]]&lt;=6,"4-6", TRUE,"7-10")</f>
        <v>0</v>
      </c>
      <c r="V1514" t="str">
        <f>IF(student_scores[[#This Row],[Total_Score]] &gt;= _xlfn.PERCENTILE.INC(student_scores[Total_Score], 0.8), "Yes", "No")</f>
        <v>No</v>
      </c>
    </row>
    <row r="1515" spans="1:22" x14ac:dyDescent="0.35">
      <c r="A1515">
        <v>1514</v>
      </c>
      <c r="B1515" t="s">
        <v>160</v>
      </c>
      <c r="C1515" t="s">
        <v>2545</v>
      </c>
      <c r="D1515" t="s">
        <v>2546</v>
      </c>
      <c r="E1515" t="s">
        <v>20</v>
      </c>
      <c r="F1515" t="b">
        <v>1</v>
      </c>
      <c r="G1515">
        <v>0</v>
      </c>
      <c r="H1515" t="b">
        <v>0</v>
      </c>
      <c r="I1515">
        <v>32</v>
      </c>
      <c r="J1515" t="s">
        <v>44</v>
      </c>
      <c r="K1515">
        <v>91</v>
      </c>
      <c r="L1515">
        <v>75</v>
      </c>
      <c r="M1515">
        <v>77</v>
      </c>
      <c r="N1515">
        <v>95</v>
      </c>
      <c r="O1515">
        <v>80</v>
      </c>
      <c r="P1515">
        <v>95</v>
      </c>
      <c r="Q1515">
        <v>88</v>
      </c>
      <c r="R1515">
        <f>SUM(student_scores[[#This Row],[math_score]:[geography_score]])</f>
        <v>601</v>
      </c>
      <c r="S1515" s="3">
        <f>student_scores[[#This Row],[Total_Score]]/7</f>
        <v>85.857142857142861</v>
      </c>
      <c r="T1515" s="3" t="str" cm="1">
        <f t="array" ref="T1515">_xlfn.IFS(student_scores[[#This Row],[weekly_self_study_hours]]&lt;=5,   "0 - 5", student_scores[[#This Row],[weekly_self_study_hours]]&lt;=10,  "6 - 10", student_scores[[#This Row],[weekly_self_study_hours]]&lt;=20,  "11 - 20",student_scores[[#This Row],[weekly_self_study_hours]]&lt;=30, "21 - 30",TRUE, "31+")</f>
        <v>31+</v>
      </c>
      <c r="U1515" t="str" cm="1">
        <f t="array" ref="U1515">_xlfn.IFS(student_scores[[#This Row],[absence_days]]=0,"0", student_scores[[#This Row],[absence_days]]&lt;=3,"1-3", student_scores[[#This Row],[absence_days]]&lt;=6,"4-6", TRUE,"7-10")</f>
        <v>0</v>
      </c>
      <c r="V1515" t="str">
        <f>IF(student_scores[[#This Row],[Total_Score]] &gt;= _xlfn.PERCENTILE.INC(student_scores[Total_Score], 0.8), "Yes", "No")</f>
        <v>Yes</v>
      </c>
    </row>
    <row r="1516" spans="1:22" x14ac:dyDescent="0.35">
      <c r="A1516">
        <v>1515</v>
      </c>
      <c r="B1516" t="s">
        <v>838</v>
      </c>
      <c r="C1516" t="s">
        <v>2547</v>
      </c>
      <c r="D1516" t="s">
        <v>2548</v>
      </c>
      <c r="E1516" t="s">
        <v>25</v>
      </c>
      <c r="F1516" t="b">
        <v>0</v>
      </c>
      <c r="G1516">
        <v>5</v>
      </c>
      <c r="H1516" t="b">
        <v>0</v>
      </c>
      <c r="I1516">
        <v>28</v>
      </c>
      <c r="J1516" t="s">
        <v>113</v>
      </c>
      <c r="K1516">
        <v>75</v>
      </c>
      <c r="L1516">
        <v>99</v>
      </c>
      <c r="M1516">
        <v>60</v>
      </c>
      <c r="N1516">
        <v>90</v>
      </c>
      <c r="O1516">
        <v>51</v>
      </c>
      <c r="P1516">
        <v>77</v>
      </c>
      <c r="Q1516">
        <v>84</v>
      </c>
      <c r="R1516">
        <f>SUM(student_scores[[#This Row],[math_score]:[geography_score]])</f>
        <v>536</v>
      </c>
      <c r="S1516" s="3">
        <f>student_scores[[#This Row],[Total_Score]]/7</f>
        <v>76.571428571428569</v>
      </c>
      <c r="T1516" s="3" t="str" cm="1">
        <f t="array" ref="T1516">_xlfn.IFS(student_scores[[#This Row],[weekly_self_study_hours]]&lt;=5,   "0 - 5", student_scores[[#This Row],[weekly_self_study_hours]]&lt;=10,  "6 - 10", student_scores[[#This Row],[weekly_self_study_hours]]&lt;=20,  "11 - 20",student_scores[[#This Row],[weekly_self_study_hours]]&lt;=30, "21 - 30",TRUE, "31+")</f>
        <v>21 - 30</v>
      </c>
      <c r="U1516" t="str" cm="1">
        <f t="array" ref="U1516">_xlfn.IFS(student_scores[[#This Row],[absence_days]]=0,"0", student_scores[[#This Row],[absence_days]]&lt;=3,"1-3", student_scores[[#This Row],[absence_days]]&lt;=6,"4-6", TRUE,"7-10")</f>
        <v>4-6</v>
      </c>
      <c r="V1516" t="str">
        <f>IF(student_scores[[#This Row],[Total_Score]] &gt;= _xlfn.PERCENTILE.INC(student_scores[Total_Score], 0.8), "Yes", "No")</f>
        <v>No</v>
      </c>
    </row>
    <row r="1517" spans="1:22" x14ac:dyDescent="0.35">
      <c r="A1517">
        <v>1516</v>
      </c>
      <c r="B1517" t="s">
        <v>1387</v>
      </c>
      <c r="C1517" t="s">
        <v>515</v>
      </c>
      <c r="D1517" t="s">
        <v>2549</v>
      </c>
      <c r="E1517" t="s">
        <v>25</v>
      </c>
      <c r="F1517" t="b">
        <v>0</v>
      </c>
      <c r="G1517">
        <v>1</v>
      </c>
      <c r="H1517" t="b">
        <v>0</v>
      </c>
      <c r="I1517">
        <v>34</v>
      </c>
      <c r="J1517" t="s">
        <v>38</v>
      </c>
      <c r="K1517">
        <v>60</v>
      </c>
      <c r="L1517">
        <v>93</v>
      </c>
      <c r="M1517">
        <v>99</v>
      </c>
      <c r="N1517">
        <v>81</v>
      </c>
      <c r="O1517">
        <v>96</v>
      </c>
      <c r="P1517">
        <v>92</v>
      </c>
      <c r="Q1517">
        <v>80</v>
      </c>
      <c r="R1517">
        <f>SUM(student_scores[[#This Row],[math_score]:[geography_score]])</f>
        <v>601</v>
      </c>
      <c r="S1517" s="3">
        <f>student_scores[[#This Row],[Total_Score]]/7</f>
        <v>85.857142857142861</v>
      </c>
      <c r="T1517" s="3" t="str" cm="1">
        <f t="array" ref="T1517">_xlfn.IFS(student_scores[[#This Row],[weekly_self_study_hours]]&lt;=5,   "0 - 5", student_scores[[#This Row],[weekly_self_study_hours]]&lt;=10,  "6 - 10", student_scores[[#This Row],[weekly_self_study_hours]]&lt;=20,  "11 - 20",student_scores[[#This Row],[weekly_self_study_hours]]&lt;=30, "21 - 30",TRUE, "31+")</f>
        <v>31+</v>
      </c>
      <c r="U1517" t="str" cm="1">
        <f t="array" ref="U1517">_xlfn.IFS(student_scores[[#This Row],[absence_days]]=0,"0", student_scores[[#This Row],[absence_days]]&lt;=3,"1-3", student_scores[[#This Row],[absence_days]]&lt;=6,"4-6", TRUE,"7-10")</f>
        <v>1-3</v>
      </c>
      <c r="V1517" t="str">
        <f>IF(student_scores[[#This Row],[Total_Score]] &gt;= _xlfn.PERCENTILE.INC(student_scores[Total_Score], 0.8), "Yes", "No")</f>
        <v>Yes</v>
      </c>
    </row>
    <row r="1518" spans="1:22" x14ac:dyDescent="0.35">
      <c r="A1518">
        <v>1517</v>
      </c>
      <c r="B1518" t="s">
        <v>193</v>
      </c>
      <c r="C1518" t="s">
        <v>66</v>
      </c>
      <c r="D1518" t="s">
        <v>2550</v>
      </c>
      <c r="E1518" t="s">
        <v>25</v>
      </c>
      <c r="F1518" t="b">
        <v>0</v>
      </c>
      <c r="G1518">
        <v>6</v>
      </c>
      <c r="H1518" t="b">
        <v>0</v>
      </c>
      <c r="I1518">
        <v>17</v>
      </c>
      <c r="J1518" t="s">
        <v>44</v>
      </c>
      <c r="K1518">
        <v>90</v>
      </c>
      <c r="L1518">
        <v>64</v>
      </c>
      <c r="M1518">
        <v>79</v>
      </c>
      <c r="N1518">
        <v>66</v>
      </c>
      <c r="O1518">
        <v>96</v>
      </c>
      <c r="P1518">
        <v>61</v>
      </c>
      <c r="Q1518">
        <v>81</v>
      </c>
      <c r="R1518">
        <f>SUM(student_scores[[#This Row],[math_score]:[geography_score]])</f>
        <v>537</v>
      </c>
      <c r="S1518" s="3">
        <f>student_scores[[#This Row],[Total_Score]]/7</f>
        <v>76.714285714285708</v>
      </c>
      <c r="T1518" s="3" t="str" cm="1">
        <f t="array" ref="T1518">_xlfn.IFS(student_scores[[#This Row],[weekly_self_study_hours]]&lt;=5,   "0 - 5", student_scores[[#This Row],[weekly_self_study_hours]]&lt;=10,  "6 - 10", student_scores[[#This Row],[weekly_self_study_hours]]&lt;=20,  "11 - 20",student_scores[[#This Row],[weekly_self_study_hours]]&lt;=30, "21 - 30",TRUE, "31+")</f>
        <v>11 - 20</v>
      </c>
      <c r="U1518" t="str" cm="1">
        <f t="array" ref="U1518">_xlfn.IFS(student_scores[[#This Row],[absence_days]]=0,"0", student_scores[[#This Row],[absence_days]]&lt;=3,"1-3", student_scores[[#This Row],[absence_days]]&lt;=6,"4-6", TRUE,"7-10")</f>
        <v>4-6</v>
      </c>
      <c r="V1518" t="str">
        <f>IF(student_scores[[#This Row],[Total_Score]] &gt;= _xlfn.PERCENTILE.INC(student_scores[Total_Score], 0.8), "Yes", "No")</f>
        <v>No</v>
      </c>
    </row>
    <row r="1519" spans="1:22" x14ac:dyDescent="0.35">
      <c r="A1519">
        <v>1518</v>
      </c>
      <c r="B1519" t="s">
        <v>173</v>
      </c>
      <c r="C1519" t="s">
        <v>118</v>
      </c>
      <c r="D1519" t="s">
        <v>2551</v>
      </c>
      <c r="E1519" t="s">
        <v>25</v>
      </c>
      <c r="F1519" t="b">
        <v>0</v>
      </c>
      <c r="G1519">
        <v>2</v>
      </c>
      <c r="H1519" t="b">
        <v>0</v>
      </c>
      <c r="I1519">
        <v>31</v>
      </c>
      <c r="J1519" t="s">
        <v>44</v>
      </c>
      <c r="K1519">
        <v>93</v>
      </c>
      <c r="L1519">
        <v>74</v>
      </c>
      <c r="M1519">
        <v>80</v>
      </c>
      <c r="N1519">
        <v>79</v>
      </c>
      <c r="O1519">
        <v>70</v>
      </c>
      <c r="P1519">
        <v>66</v>
      </c>
      <c r="Q1519">
        <v>91</v>
      </c>
      <c r="R1519">
        <f>SUM(student_scores[[#This Row],[math_score]:[geography_score]])</f>
        <v>553</v>
      </c>
      <c r="S1519" s="3">
        <f>student_scores[[#This Row],[Total_Score]]/7</f>
        <v>79</v>
      </c>
      <c r="T1519" s="3" t="str" cm="1">
        <f t="array" ref="T1519">_xlfn.IFS(student_scores[[#This Row],[weekly_self_study_hours]]&lt;=5,   "0 - 5", student_scores[[#This Row],[weekly_self_study_hours]]&lt;=10,  "6 - 10", student_scores[[#This Row],[weekly_self_study_hours]]&lt;=20,  "11 - 20",student_scores[[#This Row],[weekly_self_study_hours]]&lt;=30, "21 - 30",TRUE, "31+")</f>
        <v>31+</v>
      </c>
      <c r="U1519" t="str" cm="1">
        <f t="array" ref="U1519">_xlfn.IFS(student_scores[[#This Row],[absence_days]]=0,"0", student_scores[[#This Row],[absence_days]]&lt;=3,"1-3", student_scores[[#This Row],[absence_days]]&lt;=6,"4-6", TRUE,"7-10")</f>
        <v>1-3</v>
      </c>
      <c r="V1519" t="str">
        <f>IF(student_scores[[#This Row],[Total_Score]] &gt;= _xlfn.PERCENTILE.INC(student_scores[Total_Score], 0.8), "Yes", "No")</f>
        <v>No</v>
      </c>
    </row>
    <row r="1520" spans="1:22" x14ac:dyDescent="0.35">
      <c r="A1520">
        <v>1519</v>
      </c>
      <c r="B1520" t="s">
        <v>348</v>
      </c>
      <c r="C1520" t="s">
        <v>48</v>
      </c>
      <c r="D1520" t="s">
        <v>2552</v>
      </c>
      <c r="E1520" t="s">
        <v>20</v>
      </c>
      <c r="F1520" t="b">
        <v>0</v>
      </c>
      <c r="G1520">
        <v>2</v>
      </c>
      <c r="H1520" t="b">
        <v>1</v>
      </c>
      <c r="I1520">
        <v>25</v>
      </c>
      <c r="J1520" t="s">
        <v>113</v>
      </c>
      <c r="K1520">
        <v>93</v>
      </c>
      <c r="L1520">
        <v>74</v>
      </c>
      <c r="M1520">
        <v>96</v>
      </c>
      <c r="N1520">
        <v>69</v>
      </c>
      <c r="O1520">
        <v>71</v>
      </c>
      <c r="P1520">
        <v>82</v>
      </c>
      <c r="Q1520">
        <v>76</v>
      </c>
      <c r="R1520">
        <f>SUM(student_scores[[#This Row],[math_score]:[geography_score]])</f>
        <v>561</v>
      </c>
      <c r="S1520" s="3">
        <f>student_scores[[#This Row],[Total_Score]]/7</f>
        <v>80.142857142857139</v>
      </c>
      <c r="T1520" s="3" t="str" cm="1">
        <f t="array" ref="T1520">_xlfn.IFS(student_scores[[#This Row],[weekly_self_study_hours]]&lt;=5,   "0 - 5", student_scores[[#This Row],[weekly_self_study_hours]]&lt;=10,  "6 - 10", student_scores[[#This Row],[weekly_self_study_hours]]&lt;=20,  "11 - 20",student_scores[[#This Row],[weekly_self_study_hours]]&lt;=30, "21 - 30",TRUE, "31+")</f>
        <v>21 - 30</v>
      </c>
      <c r="U1520" t="str" cm="1">
        <f t="array" ref="U1520">_xlfn.IFS(student_scores[[#This Row],[absence_days]]=0,"0", student_scores[[#This Row],[absence_days]]&lt;=3,"1-3", student_scores[[#This Row],[absence_days]]&lt;=6,"4-6", TRUE,"7-10")</f>
        <v>1-3</v>
      </c>
      <c r="V1520" t="str">
        <f>IF(student_scores[[#This Row],[Total_Score]] &gt;= _xlfn.PERCENTILE.INC(student_scores[Total_Score], 0.8), "Yes", "No")</f>
        <v>No</v>
      </c>
    </row>
    <row r="1521" spans="1:22" x14ac:dyDescent="0.35">
      <c r="A1521">
        <v>1520</v>
      </c>
      <c r="B1521" t="s">
        <v>1267</v>
      </c>
      <c r="C1521" t="s">
        <v>146</v>
      </c>
      <c r="D1521" t="s">
        <v>2553</v>
      </c>
      <c r="E1521" t="s">
        <v>25</v>
      </c>
      <c r="F1521" t="b">
        <v>0</v>
      </c>
      <c r="G1521">
        <v>7</v>
      </c>
      <c r="H1521" t="b">
        <v>0</v>
      </c>
      <c r="I1521">
        <v>14</v>
      </c>
      <c r="J1521" t="s">
        <v>44</v>
      </c>
      <c r="K1521">
        <v>92</v>
      </c>
      <c r="L1521">
        <v>74</v>
      </c>
      <c r="M1521">
        <v>90</v>
      </c>
      <c r="N1521">
        <v>87</v>
      </c>
      <c r="O1521">
        <v>89</v>
      </c>
      <c r="P1521">
        <v>94</v>
      </c>
      <c r="Q1521">
        <v>87</v>
      </c>
      <c r="R1521">
        <f>SUM(student_scores[[#This Row],[math_score]:[geography_score]])</f>
        <v>613</v>
      </c>
      <c r="S1521" s="3">
        <f>student_scores[[#This Row],[Total_Score]]/7</f>
        <v>87.571428571428569</v>
      </c>
      <c r="T1521" s="3" t="str" cm="1">
        <f t="array" ref="T1521">_xlfn.IFS(student_scores[[#This Row],[weekly_self_study_hours]]&lt;=5,   "0 - 5", student_scores[[#This Row],[weekly_self_study_hours]]&lt;=10,  "6 - 10", student_scores[[#This Row],[weekly_self_study_hours]]&lt;=20,  "11 - 20",student_scores[[#This Row],[weekly_self_study_hours]]&lt;=30, "21 - 30",TRUE, "31+")</f>
        <v>11 - 20</v>
      </c>
      <c r="U1521" t="str" cm="1">
        <f t="array" ref="U1521">_xlfn.IFS(student_scores[[#This Row],[absence_days]]=0,"0", student_scores[[#This Row],[absence_days]]&lt;=3,"1-3", student_scores[[#This Row],[absence_days]]&lt;=6,"4-6", TRUE,"7-10")</f>
        <v>7-10</v>
      </c>
      <c r="V1521" t="str">
        <f>IF(student_scores[[#This Row],[Total_Score]] &gt;= _xlfn.PERCENTILE.INC(student_scores[Total_Score], 0.8), "Yes", "No")</f>
        <v>Yes</v>
      </c>
    </row>
    <row r="1522" spans="1:22" x14ac:dyDescent="0.35">
      <c r="A1522">
        <v>1521</v>
      </c>
      <c r="B1522" t="s">
        <v>2554</v>
      </c>
      <c r="C1522" t="s">
        <v>295</v>
      </c>
      <c r="D1522" t="s">
        <v>2555</v>
      </c>
      <c r="E1522" t="s">
        <v>25</v>
      </c>
      <c r="F1522" t="b">
        <v>0</v>
      </c>
      <c r="G1522">
        <v>2</v>
      </c>
      <c r="H1522" t="b">
        <v>0</v>
      </c>
      <c r="I1522">
        <v>2</v>
      </c>
      <c r="J1522" t="s">
        <v>159</v>
      </c>
      <c r="K1522">
        <v>86</v>
      </c>
      <c r="L1522">
        <v>60</v>
      </c>
      <c r="M1522">
        <v>91</v>
      </c>
      <c r="N1522">
        <v>82</v>
      </c>
      <c r="O1522">
        <v>73</v>
      </c>
      <c r="P1522">
        <v>77</v>
      </c>
      <c r="Q1522">
        <v>64</v>
      </c>
      <c r="R1522">
        <f>SUM(student_scores[[#This Row],[math_score]:[geography_score]])</f>
        <v>533</v>
      </c>
      <c r="S1522" s="3">
        <f>student_scores[[#This Row],[Total_Score]]/7</f>
        <v>76.142857142857139</v>
      </c>
      <c r="T1522" s="3" t="str" cm="1">
        <f t="array" ref="T1522">_xlfn.IFS(student_scores[[#This Row],[weekly_self_study_hours]]&lt;=5,   "0 - 5", student_scores[[#This Row],[weekly_self_study_hours]]&lt;=10,  "6 - 10", student_scores[[#This Row],[weekly_self_study_hours]]&lt;=20,  "11 - 20",student_scores[[#This Row],[weekly_self_study_hours]]&lt;=30, "21 - 30",TRUE, "31+")</f>
        <v>0 - 5</v>
      </c>
      <c r="U1522" t="str" cm="1">
        <f t="array" ref="U1522">_xlfn.IFS(student_scores[[#This Row],[absence_days]]=0,"0", student_scores[[#This Row],[absence_days]]&lt;=3,"1-3", student_scores[[#This Row],[absence_days]]&lt;=6,"4-6", TRUE,"7-10")</f>
        <v>1-3</v>
      </c>
      <c r="V1522" t="str">
        <f>IF(student_scores[[#This Row],[Total_Score]] &gt;= _xlfn.PERCENTILE.INC(student_scores[Total_Score], 0.8), "Yes", "No")</f>
        <v>No</v>
      </c>
    </row>
    <row r="1523" spans="1:22" x14ac:dyDescent="0.35">
      <c r="A1523">
        <v>1522</v>
      </c>
      <c r="B1523" t="s">
        <v>473</v>
      </c>
      <c r="C1523" t="s">
        <v>739</v>
      </c>
      <c r="D1523" t="s">
        <v>2556</v>
      </c>
      <c r="E1523" t="s">
        <v>20</v>
      </c>
      <c r="F1523" t="b">
        <v>1</v>
      </c>
      <c r="G1523">
        <v>10</v>
      </c>
      <c r="H1523" t="b">
        <v>0</v>
      </c>
      <c r="I1523">
        <v>5</v>
      </c>
      <c r="J1523" t="s">
        <v>64</v>
      </c>
      <c r="K1523">
        <v>64</v>
      </c>
      <c r="L1523">
        <v>69</v>
      </c>
      <c r="M1523">
        <v>85</v>
      </c>
      <c r="N1523">
        <v>99</v>
      </c>
      <c r="O1523">
        <v>76</v>
      </c>
      <c r="P1523">
        <v>98</v>
      </c>
      <c r="Q1523">
        <v>60</v>
      </c>
      <c r="R1523">
        <f>SUM(student_scores[[#This Row],[math_score]:[geography_score]])</f>
        <v>551</v>
      </c>
      <c r="S1523" s="3">
        <f>student_scores[[#This Row],[Total_Score]]/7</f>
        <v>78.714285714285708</v>
      </c>
      <c r="T1523" s="3" t="str" cm="1">
        <f t="array" ref="T1523">_xlfn.IFS(student_scores[[#This Row],[weekly_self_study_hours]]&lt;=5,   "0 - 5", student_scores[[#This Row],[weekly_self_study_hours]]&lt;=10,  "6 - 10", student_scores[[#This Row],[weekly_self_study_hours]]&lt;=20,  "11 - 20",student_scores[[#This Row],[weekly_self_study_hours]]&lt;=30, "21 - 30",TRUE, "31+")</f>
        <v>0 - 5</v>
      </c>
      <c r="U1523" t="str" cm="1">
        <f t="array" ref="U1523">_xlfn.IFS(student_scores[[#This Row],[absence_days]]=0,"0", student_scores[[#This Row],[absence_days]]&lt;=3,"1-3", student_scores[[#This Row],[absence_days]]&lt;=6,"4-6", TRUE,"7-10")</f>
        <v>7-10</v>
      </c>
      <c r="V1523" t="str">
        <f>IF(student_scores[[#This Row],[Total_Score]] &gt;= _xlfn.PERCENTILE.INC(student_scores[Total_Score], 0.8), "Yes", "No")</f>
        <v>No</v>
      </c>
    </row>
    <row r="1524" spans="1:22" x14ac:dyDescent="0.35">
      <c r="A1524">
        <v>1523</v>
      </c>
      <c r="B1524" t="s">
        <v>369</v>
      </c>
      <c r="C1524" t="s">
        <v>653</v>
      </c>
      <c r="D1524" t="s">
        <v>2557</v>
      </c>
      <c r="E1524" t="s">
        <v>25</v>
      </c>
      <c r="F1524" t="b">
        <v>0</v>
      </c>
      <c r="G1524">
        <v>2</v>
      </c>
      <c r="H1524" t="b">
        <v>0</v>
      </c>
      <c r="I1524">
        <v>2</v>
      </c>
      <c r="J1524" t="s">
        <v>34</v>
      </c>
      <c r="K1524">
        <v>91</v>
      </c>
      <c r="L1524">
        <v>87</v>
      </c>
      <c r="M1524">
        <v>84</v>
      </c>
      <c r="N1524">
        <v>91</v>
      </c>
      <c r="O1524">
        <v>96</v>
      </c>
      <c r="P1524">
        <v>88</v>
      </c>
      <c r="Q1524">
        <v>82</v>
      </c>
      <c r="R1524">
        <f>SUM(student_scores[[#This Row],[math_score]:[geography_score]])</f>
        <v>619</v>
      </c>
      <c r="S1524" s="3">
        <f>student_scores[[#This Row],[Total_Score]]/7</f>
        <v>88.428571428571431</v>
      </c>
      <c r="T1524" s="3" t="str" cm="1">
        <f t="array" ref="T1524">_xlfn.IFS(student_scores[[#This Row],[weekly_self_study_hours]]&lt;=5,   "0 - 5", student_scores[[#This Row],[weekly_self_study_hours]]&lt;=10,  "6 - 10", student_scores[[#This Row],[weekly_self_study_hours]]&lt;=20,  "11 - 20",student_scores[[#This Row],[weekly_self_study_hours]]&lt;=30, "21 - 30",TRUE, "31+")</f>
        <v>0 - 5</v>
      </c>
      <c r="U1524" t="str" cm="1">
        <f t="array" ref="U1524">_xlfn.IFS(student_scores[[#This Row],[absence_days]]=0,"0", student_scores[[#This Row],[absence_days]]&lt;=3,"1-3", student_scores[[#This Row],[absence_days]]&lt;=6,"4-6", TRUE,"7-10")</f>
        <v>1-3</v>
      </c>
      <c r="V1524" t="str">
        <f>IF(student_scores[[#This Row],[Total_Score]] &gt;= _xlfn.PERCENTILE.INC(student_scores[Total_Score], 0.8), "Yes", "No")</f>
        <v>Yes</v>
      </c>
    </row>
    <row r="1525" spans="1:22" x14ac:dyDescent="0.35">
      <c r="A1525">
        <v>1524</v>
      </c>
      <c r="B1525" t="s">
        <v>676</v>
      </c>
      <c r="C1525" t="s">
        <v>206</v>
      </c>
      <c r="D1525" t="s">
        <v>2558</v>
      </c>
      <c r="E1525" t="s">
        <v>20</v>
      </c>
      <c r="F1525" t="b">
        <v>0</v>
      </c>
      <c r="G1525">
        <v>3</v>
      </c>
      <c r="H1525" t="b">
        <v>0</v>
      </c>
      <c r="I1525">
        <v>33</v>
      </c>
      <c r="J1525" t="s">
        <v>76</v>
      </c>
      <c r="K1525">
        <v>76</v>
      </c>
      <c r="L1525">
        <v>66</v>
      </c>
      <c r="M1525">
        <v>96</v>
      </c>
      <c r="N1525">
        <v>86</v>
      </c>
      <c r="O1525">
        <v>85</v>
      </c>
      <c r="P1525">
        <v>62</v>
      </c>
      <c r="Q1525">
        <v>68</v>
      </c>
      <c r="R1525">
        <f>SUM(student_scores[[#This Row],[math_score]:[geography_score]])</f>
        <v>539</v>
      </c>
      <c r="S1525" s="3">
        <f>student_scores[[#This Row],[Total_Score]]/7</f>
        <v>77</v>
      </c>
      <c r="T1525" s="3" t="str" cm="1">
        <f t="array" ref="T1525">_xlfn.IFS(student_scores[[#This Row],[weekly_self_study_hours]]&lt;=5,   "0 - 5", student_scores[[#This Row],[weekly_self_study_hours]]&lt;=10,  "6 - 10", student_scores[[#This Row],[weekly_self_study_hours]]&lt;=20,  "11 - 20",student_scores[[#This Row],[weekly_self_study_hours]]&lt;=30, "21 - 30",TRUE, "31+")</f>
        <v>31+</v>
      </c>
      <c r="U1525" t="str" cm="1">
        <f t="array" ref="U1525">_xlfn.IFS(student_scores[[#This Row],[absence_days]]=0,"0", student_scores[[#This Row],[absence_days]]&lt;=3,"1-3", student_scores[[#This Row],[absence_days]]&lt;=6,"4-6", TRUE,"7-10")</f>
        <v>1-3</v>
      </c>
      <c r="V1525" t="str">
        <f>IF(student_scores[[#This Row],[Total_Score]] &gt;= _xlfn.PERCENTILE.INC(student_scores[Total_Score], 0.8), "Yes", "No")</f>
        <v>No</v>
      </c>
    </row>
    <row r="1526" spans="1:22" x14ac:dyDescent="0.35">
      <c r="A1526">
        <v>1525</v>
      </c>
      <c r="B1526" t="s">
        <v>557</v>
      </c>
      <c r="C1526" t="s">
        <v>1175</v>
      </c>
      <c r="D1526" t="s">
        <v>2559</v>
      </c>
      <c r="E1526" t="s">
        <v>20</v>
      </c>
      <c r="F1526" t="b">
        <v>0</v>
      </c>
      <c r="G1526">
        <v>6</v>
      </c>
      <c r="H1526" t="b">
        <v>0</v>
      </c>
      <c r="I1526">
        <v>33</v>
      </c>
      <c r="J1526" t="s">
        <v>38</v>
      </c>
      <c r="K1526">
        <v>72</v>
      </c>
      <c r="L1526">
        <v>67</v>
      </c>
      <c r="M1526">
        <v>65</v>
      </c>
      <c r="N1526">
        <v>76</v>
      </c>
      <c r="O1526">
        <v>69</v>
      </c>
      <c r="P1526">
        <v>81</v>
      </c>
      <c r="Q1526">
        <v>70</v>
      </c>
      <c r="R1526">
        <f>SUM(student_scores[[#This Row],[math_score]:[geography_score]])</f>
        <v>500</v>
      </c>
      <c r="S1526" s="3">
        <f>student_scores[[#This Row],[Total_Score]]/7</f>
        <v>71.428571428571431</v>
      </c>
      <c r="T1526" s="3" t="str" cm="1">
        <f t="array" ref="T1526">_xlfn.IFS(student_scores[[#This Row],[weekly_self_study_hours]]&lt;=5,   "0 - 5", student_scores[[#This Row],[weekly_self_study_hours]]&lt;=10,  "6 - 10", student_scores[[#This Row],[weekly_self_study_hours]]&lt;=20,  "11 - 20",student_scores[[#This Row],[weekly_self_study_hours]]&lt;=30, "21 - 30",TRUE, "31+")</f>
        <v>31+</v>
      </c>
      <c r="U1526" t="str" cm="1">
        <f t="array" ref="U1526">_xlfn.IFS(student_scores[[#This Row],[absence_days]]=0,"0", student_scores[[#This Row],[absence_days]]&lt;=3,"1-3", student_scores[[#This Row],[absence_days]]&lt;=6,"4-6", TRUE,"7-10")</f>
        <v>4-6</v>
      </c>
      <c r="V1526" t="str">
        <f>IF(student_scores[[#This Row],[Total_Score]] &gt;= _xlfn.PERCENTILE.INC(student_scores[Total_Score], 0.8), "Yes", "No")</f>
        <v>No</v>
      </c>
    </row>
    <row r="1527" spans="1:22" x14ac:dyDescent="0.35">
      <c r="A1527">
        <v>1526</v>
      </c>
      <c r="B1527" t="s">
        <v>1034</v>
      </c>
      <c r="C1527" t="s">
        <v>639</v>
      </c>
      <c r="D1527" t="s">
        <v>2560</v>
      </c>
      <c r="E1527" t="s">
        <v>25</v>
      </c>
      <c r="F1527" t="b">
        <v>0</v>
      </c>
      <c r="G1527">
        <v>1</v>
      </c>
      <c r="H1527" t="b">
        <v>0</v>
      </c>
      <c r="I1527">
        <v>5</v>
      </c>
      <c r="J1527" t="s">
        <v>34</v>
      </c>
      <c r="K1527">
        <v>63</v>
      </c>
      <c r="L1527">
        <v>86</v>
      </c>
      <c r="M1527">
        <v>72</v>
      </c>
      <c r="N1527">
        <v>72</v>
      </c>
      <c r="O1527">
        <v>90</v>
      </c>
      <c r="P1527">
        <v>75</v>
      </c>
      <c r="Q1527">
        <v>92</v>
      </c>
      <c r="R1527">
        <f>SUM(student_scores[[#This Row],[math_score]:[geography_score]])</f>
        <v>550</v>
      </c>
      <c r="S1527" s="3">
        <f>student_scores[[#This Row],[Total_Score]]/7</f>
        <v>78.571428571428569</v>
      </c>
      <c r="T1527" s="3" t="str" cm="1">
        <f t="array" ref="T1527">_xlfn.IFS(student_scores[[#This Row],[weekly_self_study_hours]]&lt;=5,   "0 - 5", student_scores[[#This Row],[weekly_self_study_hours]]&lt;=10,  "6 - 10", student_scores[[#This Row],[weekly_self_study_hours]]&lt;=20,  "11 - 20",student_scores[[#This Row],[weekly_self_study_hours]]&lt;=30, "21 - 30",TRUE, "31+")</f>
        <v>0 - 5</v>
      </c>
      <c r="U1527" t="str" cm="1">
        <f t="array" ref="U1527">_xlfn.IFS(student_scores[[#This Row],[absence_days]]=0,"0", student_scores[[#This Row],[absence_days]]&lt;=3,"1-3", student_scores[[#This Row],[absence_days]]&lt;=6,"4-6", TRUE,"7-10")</f>
        <v>1-3</v>
      </c>
      <c r="V1527" t="str">
        <f>IF(student_scores[[#This Row],[Total_Score]] &gt;= _xlfn.PERCENTILE.INC(student_scores[Total_Score], 0.8), "Yes", "No")</f>
        <v>No</v>
      </c>
    </row>
    <row r="1528" spans="1:22" x14ac:dyDescent="0.35">
      <c r="A1528">
        <v>1527</v>
      </c>
      <c r="B1528" t="s">
        <v>106</v>
      </c>
      <c r="C1528" t="s">
        <v>2561</v>
      </c>
      <c r="D1528" t="s">
        <v>2562</v>
      </c>
      <c r="E1528" t="s">
        <v>20</v>
      </c>
      <c r="F1528" t="b">
        <v>1</v>
      </c>
      <c r="G1528">
        <v>3</v>
      </c>
      <c r="H1528" t="b">
        <v>0</v>
      </c>
      <c r="I1528">
        <v>23</v>
      </c>
      <c r="J1528" t="s">
        <v>44</v>
      </c>
      <c r="K1528">
        <v>94</v>
      </c>
      <c r="L1528">
        <v>61</v>
      </c>
      <c r="M1528">
        <v>72</v>
      </c>
      <c r="N1528">
        <v>70</v>
      </c>
      <c r="O1528">
        <v>87</v>
      </c>
      <c r="P1528">
        <v>82</v>
      </c>
      <c r="Q1528">
        <v>76</v>
      </c>
      <c r="R1528">
        <f>SUM(student_scores[[#This Row],[math_score]:[geography_score]])</f>
        <v>542</v>
      </c>
      <c r="S1528" s="3">
        <f>student_scores[[#This Row],[Total_Score]]/7</f>
        <v>77.428571428571431</v>
      </c>
      <c r="T1528" s="3" t="str" cm="1">
        <f t="array" ref="T1528">_xlfn.IFS(student_scores[[#This Row],[weekly_self_study_hours]]&lt;=5,   "0 - 5", student_scores[[#This Row],[weekly_self_study_hours]]&lt;=10,  "6 - 10", student_scores[[#This Row],[weekly_self_study_hours]]&lt;=20,  "11 - 20",student_scores[[#This Row],[weekly_self_study_hours]]&lt;=30, "21 - 30",TRUE, "31+")</f>
        <v>21 - 30</v>
      </c>
      <c r="U1528" t="str" cm="1">
        <f t="array" ref="U1528">_xlfn.IFS(student_scores[[#This Row],[absence_days]]=0,"0", student_scores[[#This Row],[absence_days]]&lt;=3,"1-3", student_scores[[#This Row],[absence_days]]&lt;=6,"4-6", TRUE,"7-10")</f>
        <v>1-3</v>
      </c>
      <c r="V1528" t="str">
        <f>IF(student_scores[[#This Row],[Total_Score]] &gt;= _xlfn.PERCENTILE.INC(student_scores[Total_Score], 0.8), "Yes", "No")</f>
        <v>No</v>
      </c>
    </row>
    <row r="1529" spans="1:22" x14ac:dyDescent="0.35">
      <c r="A1529">
        <v>1528</v>
      </c>
      <c r="B1529" t="s">
        <v>2419</v>
      </c>
      <c r="C1529" t="s">
        <v>2102</v>
      </c>
      <c r="D1529" t="s">
        <v>2563</v>
      </c>
      <c r="E1529" t="s">
        <v>25</v>
      </c>
      <c r="F1529" t="b">
        <v>0</v>
      </c>
      <c r="G1529">
        <v>10</v>
      </c>
      <c r="H1529" t="b">
        <v>0</v>
      </c>
      <c r="I1529">
        <v>2</v>
      </c>
      <c r="J1529" t="s">
        <v>64</v>
      </c>
      <c r="K1529">
        <v>70</v>
      </c>
      <c r="L1529">
        <v>75</v>
      </c>
      <c r="M1529">
        <v>59</v>
      </c>
      <c r="N1529">
        <v>91</v>
      </c>
      <c r="O1529">
        <v>53</v>
      </c>
      <c r="P1529">
        <v>97</v>
      </c>
      <c r="Q1529">
        <v>95</v>
      </c>
      <c r="R1529">
        <f>SUM(student_scores[[#This Row],[math_score]:[geography_score]])</f>
        <v>540</v>
      </c>
      <c r="S1529" s="3">
        <f>student_scores[[#This Row],[Total_Score]]/7</f>
        <v>77.142857142857139</v>
      </c>
      <c r="T1529" s="3" t="str" cm="1">
        <f t="array" ref="T1529">_xlfn.IFS(student_scores[[#This Row],[weekly_self_study_hours]]&lt;=5,   "0 - 5", student_scores[[#This Row],[weekly_self_study_hours]]&lt;=10,  "6 - 10", student_scores[[#This Row],[weekly_self_study_hours]]&lt;=20,  "11 - 20",student_scores[[#This Row],[weekly_self_study_hours]]&lt;=30, "21 - 30",TRUE, "31+")</f>
        <v>0 - 5</v>
      </c>
      <c r="U1529" t="str" cm="1">
        <f t="array" ref="U1529">_xlfn.IFS(student_scores[[#This Row],[absence_days]]=0,"0", student_scores[[#This Row],[absence_days]]&lt;=3,"1-3", student_scores[[#This Row],[absence_days]]&lt;=6,"4-6", TRUE,"7-10")</f>
        <v>7-10</v>
      </c>
      <c r="V1529" t="str">
        <f>IF(student_scores[[#This Row],[Total_Score]] &gt;= _xlfn.PERCENTILE.INC(student_scores[Total_Score], 0.8), "Yes", "No")</f>
        <v>No</v>
      </c>
    </row>
    <row r="1530" spans="1:22" x14ac:dyDescent="0.35">
      <c r="A1530">
        <v>1529</v>
      </c>
      <c r="B1530" t="s">
        <v>1034</v>
      </c>
      <c r="C1530" t="s">
        <v>295</v>
      </c>
      <c r="D1530" t="s">
        <v>2564</v>
      </c>
      <c r="E1530" t="s">
        <v>25</v>
      </c>
      <c r="F1530" t="b">
        <v>0</v>
      </c>
      <c r="G1530">
        <v>3</v>
      </c>
      <c r="H1530" t="b">
        <v>0</v>
      </c>
      <c r="I1530">
        <v>23</v>
      </c>
      <c r="J1530" t="s">
        <v>105</v>
      </c>
      <c r="K1530">
        <v>83</v>
      </c>
      <c r="L1530">
        <v>69</v>
      </c>
      <c r="M1530">
        <v>66</v>
      </c>
      <c r="N1530">
        <v>95</v>
      </c>
      <c r="O1530">
        <v>93</v>
      </c>
      <c r="P1530">
        <v>77</v>
      </c>
      <c r="Q1530">
        <v>77</v>
      </c>
      <c r="R1530">
        <f>SUM(student_scores[[#This Row],[math_score]:[geography_score]])</f>
        <v>560</v>
      </c>
      <c r="S1530" s="3">
        <f>student_scores[[#This Row],[Total_Score]]/7</f>
        <v>80</v>
      </c>
      <c r="T1530" s="3" t="str" cm="1">
        <f t="array" ref="T1530">_xlfn.IFS(student_scores[[#This Row],[weekly_self_study_hours]]&lt;=5,   "0 - 5", student_scores[[#This Row],[weekly_self_study_hours]]&lt;=10,  "6 - 10", student_scores[[#This Row],[weekly_self_study_hours]]&lt;=20,  "11 - 20",student_scores[[#This Row],[weekly_self_study_hours]]&lt;=30, "21 - 30",TRUE, "31+")</f>
        <v>21 - 30</v>
      </c>
      <c r="U1530" t="str" cm="1">
        <f t="array" ref="U1530">_xlfn.IFS(student_scores[[#This Row],[absence_days]]=0,"0", student_scores[[#This Row],[absence_days]]&lt;=3,"1-3", student_scores[[#This Row],[absence_days]]&lt;=6,"4-6", TRUE,"7-10")</f>
        <v>1-3</v>
      </c>
      <c r="V1530" t="str">
        <f>IF(student_scores[[#This Row],[Total_Score]] &gt;= _xlfn.PERCENTILE.INC(student_scores[Total_Score], 0.8), "Yes", "No")</f>
        <v>No</v>
      </c>
    </row>
    <row r="1531" spans="1:22" x14ac:dyDescent="0.35">
      <c r="A1531">
        <v>1530</v>
      </c>
      <c r="B1531" t="s">
        <v>428</v>
      </c>
      <c r="C1531" t="s">
        <v>2022</v>
      </c>
      <c r="D1531" t="s">
        <v>2565</v>
      </c>
      <c r="E1531" t="s">
        <v>25</v>
      </c>
      <c r="F1531" t="b">
        <v>0</v>
      </c>
      <c r="G1531">
        <v>6</v>
      </c>
      <c r="H1531" t="b">
        <v>0</v>
      </c>
      <c r="I1531">
        <v>3</v>
      </c>
      <c r="J1531" t="s">
        <v>64</v>
      </c>
      <c r="K1531">
        <v>50</v>
      </c>
      <c r="L1531">
        <v>61</v>
      </c>
      <c r="M1531">
        <v>50</v>
      </c>
      <c r="N1531">
        <v>96</v>
      </c>
      <c r="O1531">
        <v>70</v>
      </c>
      <c r="P1531">
        <v>58</v>
      </c>
      <c r="Q1531">
        <v>86</v>
      </c>
      <c r="R1531">
        <f>SUM(student_scores[[#This Row],[math_score]:[geography_score]])</f>
        <v>471</v>
      </c>
      <c r="S1531" s="3">
        <f>student_scores[[#This Row],[Total_Score]]/7</f>
        <v>67.285714285714292</v>
      </c>
      <c r="T1531" s="3" t="str" cm="1">
        <f t="array" ref="T1531">_xlfn.IFS(student_scores[[#This Row],[weekly_self_study_hours]]&lt;=5,   "0 - 5", student_scores[[#This Row],[weekly_self_study_hours]]&lt;=10,  "6 - 10", student_scores[[#This Row],[weekly_self_study_hours]]&lt;=20,  "11 - 20",student_scores[[#This Row],[weekly_self_study_hours]]&lt;=30, "21 - 30",TRUE, "31+")</f>
        <v>0 - 5</v>
      </c>
      <c r="U1531" t="str" cm="1">
        <f t="array" ref="U1531">_xlfn.IFS(student_scores[[#This Row],[absence_days]]=0,"0", student_scores[[#This Row],[absence_days]]&lt;=3,"1-3", student_scores[[#This Row],[absence_days]]&lt;=6,"4-6", TRUE,"7-10")</f>
        <v>4-6</v>
      </c>
      <c r="V1531" t="str">
        <f>IF(student_scores[[#This Row],[Total_Score]] &gt;= _xlfn.PERCENTILE.INC(student_scores[Total_Score], 0.8), "Yes", "No")</f>
        <v>No</v>
      </c>
    </row>
    <row r="1532" spans="1:22" x14ac:dyDescent="0.35">
      <c r="A1532">
        <v>1531</v>
      </c>
      <c r="B1532" t="s">
        <v>2566</v>
      </c>
      <c r="C1532" t="s">
        <v>281</v>
      </c>
      <c r="D1532" t="s">
        <v>2567</v>
      </c>
      <c r="E1532" t="s">
        <v>20</v>
      </c>
      <c r="F1532" t="b">
        <v>0</v>
      </c>
      <c r="G1532">
        <v>0</v>
      </c>
      <c r="H1532" t="b">
        <v>0</v>
      </c>
      <c r="I1532">
        <v>48</v>
      </c>
      <c r="J1532" t="s">
        <v>26</v>
      </c>
      <c r="K1532">
        <v>99</v>
      </c>
      <c r="L1532">
        <v>89</v>
      </c>
      <c r="M1532">
        <v>96</v>
      </c>
      <c r="N1532">
        <v>98</v>
      </c>
      <c r="O1532">
        <v>89</v>
      </c>
      <c r="P1532">
        <v>98</v>
      </c>
      <c r="Q1532">
        <v>93</v>
      </c>
      <c r="R1532">
        <f>SUM(student_scores[[#This Row],[math_score]:[geography_score]])</f>
        <v>662</v>
      </c>
      <c r="S1532" s="3">
        <f>student_scores[[#This Row],[Total_Score]]/7</f>
        <v>94.571428571428569</v>
      </c>
      <c r="T1532" s="3" t="str" cm="1">
        <f t="array" ref="T1532">_xlfn.IFS(student_scores[[#This Row],[weekly_self_study_hours]]&lt;=5,   "0 - 5", student_scores[[#This Row],[weekly_self_study_hours]]&lt;=10,  "6 - 10", student_scores[[#This Row],[weekly_self_study_hours]]&lt;=20,  "11 - 20",student_scores[[#This Row],[weekly_self_study_hours]]&lt;=30, "21 - 30",TRUE, "31+")</f>
        <v>31+</v>
      </c>
      <c r="U1532" t="str" cm="1">
        <f t="array" ref="U1532">_xlfn.IFS(student_scores[[#This Row],[absence_days]]=0,"0", student_scores[[#This Row],[absence_days]]&lt;=3,"1-3", student_scores[[#This Row],[absence_days]]&lt;=6,"4-6", TRUE,"7-10")</f>
        <v>0</v>
      </c>
      <c r="V1532" t="str">
        <f>IF(student_scores[[#This Row],[Total_Score]] &gt;= _xlfn.PERCENTILE.INC(student_scores[Total_Score], 0.8), "Yes", "No")</f>
        <v>Yes</v>
      </c>
    </row>
    <row r="1533" spans="1:22" x14ac:dyDescent="0.35">
      <c r="A1533">
        <v>1532</v>
      </c>
      <c r="B1533" t="s">
        <v>300</v>
      </c>
      <c r="C1533" t="s">
        <v>995</v>
      </c>
      <c r="D1533" t="s">
        <v>2568</v>
      </c>
      <c r="E1533" t="s">
        <v>20</v>
      </c>
      <c r="F1533" t="b">
        <v>0</v>
      </c>
      <c r="G1533">
        <v>3</v>
      </c>
      <c r="H1533" t="b">
        <v>0</v>
      </c>
      <c r="I1533">
        <v>32</v>
      </c>
      <c r="J1533" t="s">
        <v>105</v>
      </c>
      <c r="K1533">
        <v>76</v>
      </c>
      <c r="L1533">
        <v>85</v>
      </c>
      <c r="M1533">
        <v>62</v>
      </c>
      <c r="N1533">
        <v>65</v>
      </c>
      <c r="O1533">
        <v>79</v>
      </c>
      <c r="P1533">
        <v>81</v>
      </c>
      <c r="Q1533">
        <v>61</v>
      </c>
      <c r="R1533">
        <f>SUM(student_scores[[#This Row],[math_score]:[geography_score]])</f>
        <v>509</v>
      </c>
      <c r="S1533" s="3">
        <f>student_scores[[#This Row],[Total_Score]]/7</f>
        <v>72.714285714285708</v>
      </c>
      <c r="T1533" s="3" t="str" cm="1">
        <f t="array" ref="T1533">_xlfn.IFS(student_scores[[#This Row],[weekly_self_study_hours]]&lt;=5,   "0 - 5", student_scores[[#This Row],[weekly_self_study_hours]]&lt;=10,  "6 - 10", student_scores[[#This Row],[weekly_self_study_hours]]&lt;=20,  "11 - 20",student_scores[[#This Row],[weekly_self_study_hours]]&lt;=30, "21 - 30",TRUE, "31+")</f>
        <v>31+</v>
      </c>
      <c r="U1533" t="str" cm="1">
        <f t="array" ref="U1533">_xlfn.IFS(student_scores[[#This Row],[absence_days]]=0,"0", student_scores[[#This Row],[absence_days]]&lt;=3,"1-3", student_scores[[#This Row],[absence_days]]&lt;=6,"4-6", TRUE,"7-10")</f>
        <v>1-3</v>
      </c>
      <c r="V1533" t="str">
        <f>IF(student_scores[[#This Row],[Total_Score]] &gt;= _xlfn.PERCENTILE.INC(student_scores[Total_Score], 0.8), "Yes", "No")</f>
        <v>No</v>
      </c>
    </row>
    <row r="1534" spans="1:22" x14ac:dyDescent="0.35">
      <c r="A1534">
        <v>1533</v>
      </c>
      <c r="B1534" t="s">
        <v>252</v>
      </c>
      <c r="C1534" t="s">
        <v>1420</v>
      </c>
      <c r="D1534" t="s">
        <v>2569</v>
      </c>
      <c r="E1534" t="s">
        <v>20</v>
      </c>
      <c r="F1534" t="b">
        <v>1</v>
      </c>
      <c r="G1534">
        <v>4</v>
      </c>
      <c r="H1534" t="b">
        <v>1</v>
      </c>
      <c r="I1534">
        <v>3</v>
      </c>
      <c r="J1534" t="s">
        <v>64</v>
      </c>
      <c r="K1534">
        <v>71</v>
      </c>
      <c r="L1534">
        <v>66</v>
      </c>
      <c r="M1534">
        <v>52</v>
      </c>
      <c r="N1534">
        <v>99</v>
      </c>
      <c r="O1534">
        <v>87</v>
      </c>
      <c r="P1534">
        <v>89</v>
      </c>
      <c r="Q1534">
        <v>70</v>
      </c>
      <c r="R1534">
        <f>SUM(student_scores[[#This Row],[math_score]:[geography_score]])</f>
        <v>534</v>
      </c>
      <c r="S1534" s="3">
        <f>student_scores[[#This Row],[Total_Score]]/7</f>
        <v>76.285714285714292</v>
      </c>
      <c r="T1534" s="3" t="str" cm="1">
        <f t="array" ref="T1534">_xlfn.IFS(student_scores[[#This Row],[weekly_self_study_hours]]&lt;=5,   "0 - 5", student_scores[[#This Row],[weekly_self_study_hours]]&lt;=10,  "6 - 10", student_scores[[#This Row],[weekly_self_study_hours]]&lt;=20,  "11 - 20",student_scores[[#This Row],[weekly_self_study_hours]]&lt;=30, "21 - 30",TRUE, "31+")</f>
        <v>0 - 5</v>
      </c>
      <c r="U1534" t="str" cm="1">
        <f t="array" ref="U1534">_xlfn.IFS(student_scores[[#This Row],[absence_days]]=0,"0", student_scores[[#This Row],[absence_days]]&lt;=3,"1-3", student_scores[[#This Row],[absence_days]]&lt;=6,"4-6", TRUE,"7-10")</f>
        <v>4-6</v>
      </c>
      <c r="V1534" t="str">
        <f>IF(student_scores[[#This Row],[Total_Score]] &gt;= _xlfn.PERCENTILE.INC(student_scores[Total_Score], 0.8), "Yes", "No")</f>
        <v>No</v>
      </c>
    </row>
    <row r="1535" spans="1:22" x14ac:dyDescent="0.35">
      <c r="A1535">
        <v>1534</v>
      </c>
      <c r="B1535" t="s">
        <v>139</v>
      </c>
      <c r="C1535" t="s">
        <v>1146</v>
      </c>
      <c r="D1535" t="s">
        <v>2570</v>
      </c>
      <c r="E1535" t="s">
        <v>20</v>
      </c>
      <c r="F1535" t="b">
        <v>0</v>
      </c>
      <c r="G1535">
        <v>1</v>
      </c>
      <c r="H1535" t="b">
        <v>0</v>
      </c>
      <c r="I1535">
        <v>24</v>
      </c>
      <c r="J1535" t="s">
        <v>38</v>
      </c>
      <c r="K1535">
        <v>60</v>
      </c>
      <c r="L1535">
        <v>78</v>
      </c>
      <c r="M1535">
        <v>96</v>
      </c>
      <c r="N1535">
        <v>93</v>
      </c>
      <c r="O1535">
        <v>62</v>
      </c>
      <c r="P1535">
        <v>60</v>
      </c>
      <c r="Q1535">
        <v>83</v>
      </c>
      <c r="R1535">
        <f>SUM(student_scores[[#This Row],[math_score]:[geography_score]])</f>
        <v>532</v>
      </c>
      <c r="S1535" s="3">
        <f>student_scores[[#This Row],[Total_Score]]/7</f>
        <v>76</v>
      </c>
      <c r="T1535" s="3" t="str" cm="1">
        <f t="array" ref="T1535">_xlfn.IFS(student_scores[[#This Row],[weekly_self_study_hours]]&lt;=5,   "0 - 5", student_scores[[#This Row],[weekly_self_study_hours]]&lt;=10,  "6 - 10", student_scores[[#This Row],[weekly_self_study_hours]]&lt;=20,  "11 - 20",student_scores[[#This Row],[weekly_self_study_hours]]&lt;=30, "21 - 30",TRUE, "31+")</f>
        <v>21 - 30</v>
      </c>
      <c r="U1535" t="str" cm="1">
        <f t="array" ref="U1535">_xlfn.IFS(student_scores[[#This Row],[absence_days]]=0,"0", student_scores[[#This Row],[absence_days]]&lt;=3,"1-3", student_scores[[#This Row],[absence_days]]&lt;=6,"4-6", TRUE,"7-10")</f>
        <v>1-3</v>
      </c>
      <c r="V1535" t="str">
        <f>IF(student_scores[[#This Row],[Total_Score]] &gt;= _xlfn.PERCENTILE.INC(student_scores[Total_Score], 0.8), "Yes", "No")</f>
        <v>No</v>
      </c>
    </row>
    <row r="1536" spans="1:22" x14ac:dyDescent="0.35">
      <c r="A1536">
        <v>1535</v>
      </c>
      <c r="B1536" t="s">
        <v>1730</v>
      </c>
      <c r="C1536" t="s">
        <v>87</v>
      </c>
      <c r="D1536" t="s">
        <v>2571</v>
      </c>
      <c r="E1536" t="s">
        <v>25</v>
      </c>
      <c r="F1536" t="b">
        <v>0</v>
      </c>
      <c r="G1536">
        <v>4</v>
      </c>
      <c r="H1536" t="b">
        <v>0</v>
      </c>
      <c r="I1536">
        <v>21</v>
      </c>
      <c r="J1536" t="s">
        <v>44</v>
      </c>
      <c r="K1536">
        <v>87</v>
      </c>
      <c r="L1536">
        <v>74</v>
      </c>
      <c r="M1536">
        <v>81</v>
      </c>
      <c r="N1536">
        <v>65</v>
      </c>
      <c r="O1536">
        <v>74</v>
      </c>
      <c r="P1536">
        <v>91</v>
      </c>
      <c r="Q1536">
        <v>82</v>
      </c>
      <c r="R1536">
        <f>SUM(student_scores[[#This Row],[math_score]:[geography_score]])</f>
        <v>554</v>
      </c>
      <c r="S1536" s="3">
        <f>student_scores[[#This Row],[Total_Score]]/7</f>
        <v>79.142857142857139</v>
      </c>
      <c r="T1536" s="3" t="str" cm="1">
        <f t="array" ref="T1536">_xlfn.IFS(student_scores[[#This Row],[weekly_self_study_hours]]&lt;=5,   "0 - 5", student_scores[[#This Row],[weekly_self_study_hours]]&lt;=10,  "6 - 10", student_scores[[#This Row],[weekly_self_study_hours]]&lt;=20,  "11 - 20",student_scores[[#This Row],[weekly_self_study_hours]]&lt;=30, "21 - 30",TRUE, "31+")</f>
        <v>21 - 30</v>
      </c>
      <c r="U1536" t="str" cm="1">
        <f t="array" ref="U1536">_xlfn.IFS(student_scores[[#This Row],[absence_days]]=0,"0", student_scores[[#This Row],[absence_days]]&lt;=3,"1-3", student_scores[[#This Row],[absence_days]]&lt;=6,"4-6", TRUE,"7-10")</f>
        <v>4-6</v>
      </c>
      <c r="V1536" t="str">
        <f>IF(student_scores[[#This Row],[Total_Score]] &gt;= _xlfn.PERCENTILE.INC(student_scores[Total_Score], 0.8), "Yes", "No")</f>
        <v>No</v>
      </c>
    </row>
    <row r="1537" spans="1:22" x14ac:dyDescent="0.35">
      <c r="A1537">
        <v>1536</v>
      </c>
      <c r="B1537" t="s">
        <v>208</v>
      </c>
      <c r="C1537" t="s">
        <v>246</v>
      </c>
      <c r="D1537" t="s">
        <v>2572</v>
      </c>
      <c r="E1537" t="s">
        <v>20</v>
      </c>
      <c r="F1537" t="b">
        <v>0</v>
      </c>
      <c r="G1537">
        <v>10</v>
      </c>
      <c r="H1537" t="b">
        <v>0</v>
      </c>
      <c r="I1537">
        <v>0</v>
      </c>
      <c r="J1537" t="s">
        <v>64</v>
      </c>
      <c r="K1537">
        <v>93</v>
      </c>
      <c r="L1537">
        <v>84</v>
      </c>
      <c r="M1537">
        <v>65</v>
      </c>
      <c r="N1537">
        <v>56</v>
      </c>
      <c r="O1537">
        <v>67</v>
      </c>
      <c r="P1537">
        <v>92</v>
      </c>
      <c r="Q1537">
        <v>81</v>
      </c>
      <c r="R1537">
        <f>SUM(student_scores[[#This Row],[math_score]:[geography_score]])</f>
        <v>538</v>
      </c>
      <c r="S1537" s="3">
        <f>student_scores[[#This Row],[Total_Score]]/7</f>
        <v>76.857142857142861</v>
      </c>
      <c r="T1537" s="3" t="str" cm="1">
        <f t="array" ref="T1537">_xlfn.IFS(student_scores[[#This Row],[weekly_self_study_hours]]&lt;=5,   "0 - 5", student_scores[[#This Row],[weekly_self_study_hours]]&lt;=10,  "6 - 10", student_scores[[#This Row],[weekly_self_study_hours]]&lt;=20,  "11 - 20",student_scores[[#This Row],[weekly_self_study_hours]]&lt;=30, "21 - 30",TRUE, "31+")</f>
        <v>0 - 5</v>
      </c>
      <c r="U1537" t="str" cm="1">
        <f t="array" ref="U1537">_xlfn.IFS(student_scores[[#This Row],[absence_days]]=0,"0", student_scores[[#This Row],[absence_days]]&lt;=3,"1-3", student_scores[[#This Row],[absence_days]]&lt;=6,"4-6", TRUE,"7-10")</f>
        <v>7-10</v>
      </c>
      <c r="V1537" t="str">
        <f>IF(student_scores[[#This Row],[Total_Score]] &gt;= _xlfn.PERCENTILE.INC(student_scores[Total_Score], 0.8), "Yes", "No")</f>
        <v>No</v>
      </c>
    </row>
    <row r="1538" spans="1:22" x14ac:dyDescent="0.35">
      <c r="A1538">
        <v>1537</v>
      </c>
      <c r="B1538" t="s">
        <v>2573</v>
      </c>
      <c r="C1538" t="s">
        <v>42</v>
      </c>
      <c r="D1538" t="s">
        <v>2574</v>
      </c>
      <c r="E1538" t="s">
        <v>25</v>
      </c>
      <c r="F1538" t="b">
        <v>0</v>
      </c>
      <c r="G1538">
        <v>0</v>
      </c>
      <c r="H1538" t="b">
        <v>0</v>
      </c>
      <c r="I1538">
        <v>25</v>
      </c>
      <c r="J1538" t="s">
        <v>21</v>
      </c>
      <c r="K1538">
        <v>87</v>
      </c>
      <c r="L1538">
        <v>87</v>
      </c>
      <c r="M1538">
        <v>69</v>
      </c>
      <c r="N1538">
        <v>71</v>
      </c>
      <c r="O1538">
        <v>74</v>
      </c>
      <c r="P1538">
        <v>91</v>
      </c>
      <c r="Q1538">
        <v>74</v>
      </c>
      <c r="R1538">
        <f>SUM(student_scores[[#This Row],[math_score]:[geography_score]])</f>
        <v>553</v>
      </c>
      <c r="S1538" s="3">
        <f>student_scores[[#This Row],[Total_Score]]/7</f>
        <v>79</v>
      </c>
      <c r="T1538" s="3" t="str" cm="1">
        <f t="array" ref="T1538">_xlfn.IFS(student_scores[[#This Row],[weekly_self_study_hours]]&lt;=5,   "0 - 5", student_scores[[#This Row],[weekly_self_study_hours]]&lt;=10,  "6 - 10", student_scores[[#This Row],[weekly_self_study_hours]]&lt;=20,  "11 - 20",student_scores[[#This Row],[weekly_self_study_hours]]&lt;=30, "21 - 30",TRUE, "31+")</f>
        <v>21 - 30</v>
      </c>
      <c r="U1538" t="str" cm="1">
        <f t="array" ref="U1538">_xlfn.IFS(student_scores[[#This Row],[absence_days]]=0,"0", student_scores[[#This Row],[absence_days]]&lt;=3,"1-3", student_scores[[#This Row],[absence_days]]&lt;=6,"4-6", TRUE,"7-10")</f>
        <v>0</v>
      </c>
      <c r="V1538" t="str">
        <f>IF(student_scores[[#This Row],[Total_Score]] &gt;= _xlfn.PERCENTILE.INC(student_scores[Total_Score], 0.8), "Yes", "No")</f>
        <v>No</v>
      </c>
    </row>
    <row r="1539" spans="1:22" x14ac:dyDescent="0.35">
      <c r="A1539">
        <v>1538</v>
      </c>
      <c r="B1539" t="s">
        <v>2575</v>
      </c>
      <c r="C1539" t="s">
        <v>528</v>
      </c>
      <c r="D1539" t="s">
        <v>2576</v>
      </c>
      <c r="E1539" t="s">
        <v>25</v>
      </c>
      <c r="F1539" t="b">
        <v>0</v>
      </c>
      <c r="G1539">
        <v>3</v>
      </c>
      <c r="H1539" t="b">
        <v>0</v>
      </c>
      <c r="I1539">
        <v>10</v>
      </c>
      <c r="J1539" t="s">
        <v>30</v>
      </c>
      <c r="K1539">
        <v>93</v>
      </c>
      <c r="L1539">
        <v>68</v>
      </c>
      <c r="M1539">
        <v>61</v>
      </c>
      <c r="N1539">
        <v>78</v>
      </c>
      <c r="O1539">
        <v>80</v>
      </c>
      <c r="P1539">
        <v>65</v>
      </c>
      <c r="Q1539">
        <v>77</v>
      </c>
      <c r="R1539">
        <f>SUM(student_scores[[#This Row],[math_score]:[geography_score]])</f>
        <v>522</v>
      </c>
      <c r="S1539" s="3">
        <f>student_scores[[#This Row],[Total_Score]]/7</f>
        <v>74.571428571428569</v>
      </c>
      <c r="T1539" s="3" t="str" cm="1">
        <f t="array" ref="T1539">_xlfn.IFS(student_scores[[#This Row],[weekly_self_study_hours]]&lt;=5,   "0 - 5", student_scores[[#This Row],[weekly_self_study_hours]]&lt;=10,  "6 - 10", student_scores[[#This Row],[weekly_self_study_hours]]&lt;=20,  "11 - 20",student_scores[[#This Row],[weekly_self_study_hours]]&lt;=30, "21 - 30",TRUE, "31+")</f>
        <v>6 - 10</v>
      </c>
      <c r="U1539" t="str" cm="1">
        <f t="array" ref="U1539">_xlfn.IFS(student_scores[[#This Row],[absence_days]]=0,"0", student_scores[[#This Row],[absence_days]]&lt;=3,"1-3", student_scores[[#This Row],[absence_days]]&lt;=6,"4-6", TRUE,"7-10")</f>
        <v>1-3</v>
      </c>
      <c r="V1539" t="str">
        <f>IF(student_scores[[#This Row],[Total_Score]] &gt;= _xlfn.PERCENTILE.INC(student_scores[Total_Score], 0.8), "Yes", "No")</f>
        <v>No</v>
      </c>
    </row>
    <row r="1540" spans="1:22" x14ac:dyDescent="0.35">
      <c r="A1540">
        <v>1539</v>
      </c>
      <c r="B1540" t="s">
        <v>1505</v>
      </c>
      <c r="C1540" t="s">
        <v>977</v>
      </c>
      <c r="D1540" t="s">
        <v>2577</v>
      </c>
      <c r="E1540" t="s">
        <v>20</v>
      </c>
      <c r="F1540" t="b">
        <v>0</v>
      </c>
      <c r="G1540">
        <v>1</v>
      </c>
      <c r="H1540" t="b">
        <v>0</v>
      </c>
      <c r="I1540">
        <v>4</v>
      </c>
      <c r="J1540" t="s">
        <v>159</v>
      </c>
      <c r="K1540">
        <v>96</v>
      </c>
      <c r="L1540">
        <v>64</v>
      </c>
      <c r="M1540">
        <v>91</v>
      </c>
      <c r="N1540">
        <v>69</v>
      </c>
      <c r="O1540">
        <v>60</v>
      </c>
      <c r="P1540">
        <v>62</v>
      </c>
      <c r="Q1540">
        <v>62</v>
      </c>
      <c r="R1540">
        <f>SUM(student_scores[[#This Row],[math_score]:[geography_score]])</f>
        <v>504</v>
      </c>
      <c r="S1540" s="3">
        <f>student_scores[[#This Row],[Total_Score]]/7</f>
        <v>72</v>
      </c>
      <c r="T1540" s="3" t="str" cm="1">
        <f t="array" ref="T1540">_xlfn.IFS(student_scores[[#This Row],[weekly_self_study_hours]]&lt;=5,   "0 - 5", student_scores[[#This Row],[weekly_self_study_hours]]&lt;=10,  "6 - 10", student_scores[[#This Row],[weekly_self_study_hours]]&lt;=20,  "11 - 20",student_scores[[#This Row],[weekly_self_study_hours]]&lt;=30, "21 - 30",TRUE, "31+")</f>
        <v>0 - 5</v>
      </c>
      <c r="U1540" t="str" cm="1">
        <f t="array" ref="U1540">_xlfn.IFS(student_scores[[#This Row],[absence_days]]=0,"0", student_scores[[#This Row],[absence_days]]&lt;=3,"1-3", student_scores[[#This Row],[absence_days]]&lt;=6,"4-6", TRUE,"7-10")</f>
        <v>1-3</v>
      </c>
      <c r="V1540" t="str">
        <f>IF(student_scores[[#This Row],[Total_Score]] &gt;= _xlfn.PERCENTILE.INC(student_scores[Total_Score], 0.8), "Yes", "No")</f>
        <v>No</v>
      </c>
    </row>
    <row r="1541" spans="1:22" x14ac:dyDescent="0.35">
      <c r="A1541">
        <v>1540</v>
      </c>
      <c r="B1541" t="s">
        <v>173</v>
      </c>
      <c r="C1541" t="s">
        <v>1556</v>
      </c>
      <c r="D1541" t="s">
        <v>2578</v>
      </c>
      <c r="E1541" t="s">
        <v>25</v>
      </c>
      <c r="F1541" t="b">
        <v>0</v>
      </c>
      <c r="G1541">
        <v>2</v>
      </c>
      <c r="H1541" t="b">
        <v>0</v>
      </c>
      <c r="I1541">
        <v>7</v>
      </c>
      <c r="J1541" t="s">
        <v>38</v>
      </c>
      <c r="K1541">
        <v>62</v>
      </c>
      <c r="L1541">
        <v>73</v>
      </c>
      <c r="M1541">
        <v>74</v>
      </c>
      <c r="N1541">
        <v>72</v>
      </c>
      <c r="O1541">
        <v>83</v>
      </c>
      <c r="P1541">
        <v>63</v>
      </c>
      <c r="Q1541">
        <v>79</v>
      </c>
      <c r="R1541">
        <f>SUM(student_scores[[#This Row],[math_score]:[geography_score]])</f>
        <v>506</v>
      </c>
      <c r="S1541" s="3">
        <f>student_scores[[#This Row],[Total_Score]]/7</f>
        <v>72.285714285714292</v>
      </c>
      <c r="T1541" s="3" t="str" cm="1">
        <f t="array" ref="T1541">_xlfn.IFS(student_scores[[#This Row],[weekly_self_study_hours]]&lt;=5,   "0 - 5", student_scores[[#This Row],[weekly_self_study_hours]]&lt;=10,  "6 - 10", student_scores[[#This Row],[weekly_self_study_hours]]&lt;=20,  "11 - 20",student_scores[[#This Row],[weekly_self_study_hours]]&lt;=30, "21 - 30",TRUE, "31+")</f>
        <v>6 - 10</v>
      </c>
      <c r="U1541" t="str" cm="1">
        <f t="array" ref="U1541">_xlfn.IFS(student_scores[[#This Row],[absence_days]]=0,"0", student_scores[[#This Row],[absence_days]]&lt;=3,"1-3", student_scores[[#This Row],[absence_days]]&lt;=6,"4-6", TRUE,"7-10")</f>
        <v>1-3</v>
      </c>
      <c r="V1541" t="str">
        <f>IF(student_scores[[#This Row],[Total_Score]] &gt;= _xlfn.PERCENTILE.INC(student_scores[Total_Score], 0.8), "Yes", "No")</f>
        <v>No</v>
      </c>
    </row>
    <row r="1542" spans="1:22" x14ac:dyDescent="0.35">
      <c r="A1542">
        <v>1541</v>
      </c>
      <c r="B1542" t="s">
        <v>413</v>
      </c>
      <c r="C1542" t="s">
        <v>2579</v>
      </c>
      <c r="D1542" t="s">
        <v>2580</v>
      </c>
      <c r="E1542" t="s">
        <v>20</v>
      </c>
      <c r="F1542" t="b">
        <v>1</v>
      </c>
      <c r="G1542">
        <v>8</v>
      </c>
      <c r="H1542" t="b">
        <v>0</v>
      </c>
      <c r="I1542">
        <v>0</v>
      </c>
      <c r="J1542" t="s">
        <v>64</v>
      </c>
      <c r="K1542">
        <v>50</v>
      </c>
      <c r="L1542">
        <v>80</v>
      </c>
      <c r="M1542">
        <v>100</v>
      </c>
      <c r="N1542">
        <v>81</v>
      </c>
      <c r="O1542">
        <v>61</v>
      </c>
      <c r="P1542">
        <v>68</v>
      </c>
      <c r="Q1542">
        <v>72</v>
      </c>
      <c r="R1542">
        <f>SUM(student_scores[[#This Row],[math_score]:[geography_score]])</f>
        <v>512</v>
      </c>
      <c r="S1542" s="3">
        <f>student_scores[[#This Row],[Total_Score]]/7</f>
        <v>73.142857142857139</v>
      </c>
      <c r="T1542" s="3" t="str" cm="1">
        <f t="array" ref="T1542">_xlfn.IFS(student_scores[[#This Row],[weekly_self_study_hours]]&lt;=5,   "0 - 5", student_scores[[#This Row],[weekly_self_study_hours]]&lt;=10,  "6 - 10", student_scores[[#This Row],[weekly_self_study_hours]]&lt;=20,  "11 - 20",student_scores[[#This Row],[weekly_self_study_hours]]&lt;=30, "21 - 30",TRUE, "31+")</f>
        <v>0 - 5</v>
      </c>
      <c r="U1542" t="str" cm="1">
        <f t="array" ref="U1542">_xlfn.IFS(student_scores[[#This Row],[absence_days]]=0,"0", student_scores[[#This Row],[absence_days]]&lt;=3,"1-3", student_scores[[#This Row],[absence_days]]&lt;=6,"4-6", TRUE,"7-10")</f>
        <v>7-10</v>
      </c>
      <c r="V1542" t="str">
        <f>IF(student_scores[[#This Row],[Total_Score]] &gt;= _xlfn.PERCENTILE.INC(student_scores[Total_Score], 0.8), "Yes", "No")</f>
        <v>No</v>
      </c>
    </row>
    <row r="1543" spans="1:22" x14ac:dyDescent="0.35">
      <c r="A1543">
        <v>1542</v>
      </c>
      <c r="B1543" t="s">
        <v>1034</v>
      </c>
      <c r="C1543" t="s">
        <v>2581</v>
      </c>
      <c r="D1543" t="s">
        <v>2582</v>
      </c>
      <c r="E1543" t="s">
        <v>25</v>
      </c>
      <c r="F1543" t="b">
        <v>0</v>
      </c>
      <c r="G1543">
        <v>4</v>
      </c>
      <c r="H1543" t="b">
        <v>0</v>
      </c>
      <c r="I1543">
        <v>2</v>
      </c>
      <c r="J1543" t="s">
        <v>38</v>
      </c>
      <c r="K1543">
        <v>71</v>
      </c>
      <c r="L1543">
        <v>68</v>
      </c>
      <c r="M1543">
        <v>77</v>
      </c>
      <c r="N1543">
        <v>73</v>
      </c>
      <c r="O1543">
        <v>68</v>
      </c>
      <c r="P1543">
        <v>73</v>
      </c>
      <c r="Q1543">
        <v>64</v>
      </c>
      <c r="R1543">
        <f>SUM(student_scores[[#This Row],[math_score]:[geography_score]])</f>
        <v>494</v>
      </c>
      <c r="S1543" s="3">
        <f>student_scores[[#This Row],[Total_Score]]/7</f>
        <v>70.571428571428569</v>
      </c>
      <c r="T1543" s="3" t="str" cm="1">
        <f t="array" ref="T1543">_xlfn.IFS(student_scores[[#This Row],[weekly_self_study_hours]]&lt;=5,   "0 - 5", student_scores[[#This Row],[weekly_self_study_hours]]&lt;=10,  "6 - 10", student_scores[[#This Row],[weekly_self_study_hours]]&lt;=20,  "11 - 20",student_scores[[#This Row],[weekly_self_study_hours]]&lt;=30, "21 - 30",TRUE, "31+")</f>
        <v>0 - 5</v>
      </c>
      <c r="U1543" t="str" cm="1">
        <f t="array" ref="U1543">_xlfn.IFS(student_scores[[#This Row],[absence_days]]=0,"0", student_scores[[#This Row],[absence_days]]&lt;=3,"1-3", student_scores[[#This Row],[absence_days]]&lt;=6,"4-6", TRUE,"7-10")</f>
        <v>4-6</v>
      </c>
      <c r="V1543" t="str">
        <f>IF(student_scores[[#This Row],[Total_Score]] &gt;= _xlfn.PERCENTILE.INC(student_scores[Total_Score], 0.8), "Yes", "No")</f>
        <v>No</v>
      </c>
    </row>
    <row r="1544" spans="1:22" x14ac:dyDescent="0.35">
      <c r="A1544">
        <v>1543</v>
      </c>
      <c r="B1544" t="s">
        <v>1359</v>
      </c>
      <c r="C1544" t="s">
        <v>238</v>
      </c>
      <c r="D1544" t="s">
        <v>2583</v>
      </c>
      <c r="E1544" t="s">
        <v>20</v>
      </c>
      <c r="F1544" t="b">
        <v>0</v>
      </c>
      <c r="G1544">
        <v>0</v>
      </c>
      <c r="H1544" t="b">
        <v>1</v>
      </c>
      <c r="I1544">
        <v>16</v>
      </c>
      <c r="J1544" t="s">
        <v>138</v>
      </c>
      <c r="K1544">
        <v>99</v>
      </c>
      <c r="L1544">
        <v>88</v>
      </c>
      <c r="M1544">
        <v>88</v>
      </c>
      <c r="N1544">
        <v>90</v>
      </c>
      <c r="O1544">
        <v>82</v>
      </c>
      <c r="P1544">
        <v>88</v>
      </c>
      <c r="Q1544">
        <v>90</v>
      </c>
      <c r="R1544">
        <f>SUM(student_scores[[#This Row],[math_score]:[geography_score]])</f>
        <v>625</v>
      </c>
      <c r="S1544" s="3">
        <f>student_scores[[#This Row],[Total_Score]]/7</f>
        <v>89.285714285714292</v>
      </c>
      <c r="T1544" s="3" t="str" cm="1">
        <f t="array" ref="T1544">_xlfn.IFS(student_scores[[#This Row],[weekly_self_study_hours]]&lt;=5,   "0 - 5", student_scores[[#This Row],[weekly_self_study_hours]]&lt;=10,  "6 - 10", student_scores[[#This Row],[weekly_self_study_hours]]&lt;=20,  "11 - 20",student_scores[[#This Row],[weekly_self_study_hours]]&lt;=30, "21 - 30",TRUE, "31+")</f>
        <v>11 - 20</v>
      </c>
      <c r="U1544" t="str" cm="1">
        <f t="array" ref="U1544">_xlfn.IFS(student_scores[[#This Row],[absence_days]]=0,"0", student_scores[[#This Row],[absence_days]]&lt;=3,"1-3", student_scores[[#This Row],[absence_days]]&lt;=6,"4-6", TRUE,"7-10")</f>
        <v>0</v>
      </c>
      <c r="V1544" t="str">
        <f>IF(student_scores[[#This Row],[Total_Score]] &gt;= _xlfn.PERCENTILE.INC(student_scores[Total_Score], 0.8), "Yes", "No")</f>
        <v>Yes</v>
      </c>
    </row>
    <row r="1545" spans="1:22" x14ac:dyDescent="0.35">
      <c r="A1545">
        <v>1544</v>
      </c>
      <c r="B1545" t="s">
        <v>2584</v>
      </c>
      <c r="C1545" t="s">
        <v>39</v>
      </c>
      <c r="D1545" t="s">
        <v>2585</v>
      </c>
      <c r="E1545" t="s">
        <v>20</v>
      </c>
      <c r="F1545" t="b">
        <v>0</v>
      </c>
      <c r="G1545">
        <v>4</v>
      </c>
      <c r="H1545" t="b">
        <v>0</v>
      </c>
      <c r="I1545">
        <v>12</v>
      </c>
      <c r="J1545" t="s">
        <v>172</v>
      </c>
      <c r="K1545">
        <v>100</v>
      </c>
      <c r="L1545">
        <v>67</v>
      </c>
      <c r="M1545">
        <v>100</v>
      </c>
      <c r="N1545">
        <v>60</v>
      </c>
      <c r="O1545">
        <v>94</v>
      </c>
      <c r="P1545">
        <v>72</v>
      </c>
      <c r="Q1545">
        <v>70</v>
      </c>
      <c r="R1545">
        <f>SUM(student_scores[[#This Row],[math_score]:[geography_score]])</f>
        <v>563</v>
      </c>
      <c r="S1545" s="3">
        <f>student_scores[[#This Row],[Total_Score]]/7</f>
        <v>80.428571428571431</v>
      </c>
      <c r="T1545" s="3" t="str" cm="1">
        <f t="array" ref="T1545">_xlfn.IFS(student_scores[[#This Row],[weekly_self_study_hours]]&lt;=5,   "0 - 5", student_scores[[#This Row],[weekly_self_study_hours]]&lt;=10,  "6 - 10", student_scores[[#This Row],[weekly_self_study_hours]]&lt;=20,  "11 - 20",student_scores[[#This Row],[weekly_self_study_hours]]&lt;=30, "21 - 30",TRUE, "31+")</f>
        <v>11 - 20</v>
      </c>
      <c r="U1545" t="str" cm="1">
        <f t="array" ref="U1545">_xlfn.IFS(student_scores[[#This Row],[absence_days]]=0,"0", student_scores[[#This Row],[absence_days]]&lt;=3,"1-3", student_scores[[#This Row],[absence_days]]&lt;=6,"4-6", TRUE,"7-10")</f>
        <v>4-6</v>
      </c>
      <c r="V1545" t="str">
        <f>IF(student_scores[[#This Row],[Total_Score]] &gt;= _xlfn.PERCENTILE.INC(student_scores[Total_Score], 0.8), "Yes", "No")</f>
        <v>No</v>
      </c>
    </row>
    <row r="1546" spans="1:22" x14ac:dyDescent="0.35">
      <c r="A1546">
        <v>1545</v>
      </c>
      <c r="B1546" t="s">
        <v>1171</v>
      </c>
      <c r="C1546" t="s">
        <v>558</v>
      </c>
      <c r="D1546" t="s">
        <v>2586</v>
      </c>
      <c r="E1546" t="s">
        <v>20</v>
      </c>
      <c r="F1546" t="b">
        <v>1</v>
      </c>
      <c r="G1546">
        <v>9</v>
      </c>
      <c r="H1546" t="b">
        <v>0</v>
      </c>
      <c r="I1546">
        <v>4</v>
      </c>
      <c r="J1546" t="s">
        <v>64</v>
      </c>
      <c r="K1546">
        <v>77</v>
      </c>
      <c r="L1546">
        <v>59</v>
      </c>
      <c r="M1546">
        <v>60</v>
      </c>
      <c r="N1546">
        <v>98</v>
      </c>
      <c r="O1546">
        <v>74</v>
      </c>
      <c r="P1546">
        <v>76</v>
      </c>
      <c r="Q1546">
        <v>60</v>
      </c>
      <c r="R1546">
        <f>SUM(student_scores[[#This Row],[math_score]:[geography_score]])</f>
        <v>504</v>
      </c>
      <c r="S1546" s="3">
        <f>student_scores[[#This Row],[Total_Score]]/7</f>
        <v>72</v>
      </c>
      <c r="T1546" s="3" t="str" cm="1">
        <f t="array" ref="T1546">_xlfn.IFS(student_scores[[#This Row],[weekly_self_study_hours]]&lt;=5,   "0 - 5", student_scores[[#This Row],[weekly_self_study_hours]]&lt;=10,  "6 - 10", student_scores[[#This Row],[weekly_self_study_hours]]&lt;=20,  "11 - 20",student_scores[[#This Row],[weekly_self_study_hours]]&lt;=30, "21 - 30",TRUE, "31+")</f>
        <v>0 - 5</v>
      </c>
      <c r="U1546" t="str" cm="1">
        <f t="array" ref="U1546">_xlfn.IFS(student_scores[[#This Row],[absence_days]]=0,"0", student_scores[[#This Row],[absence_days]]&lt;=3,"1-3", student_scores[[#This Row],[absence_days]]&lt;=6,"4-6", TRUE,"7-10")</f>
        <v>7-10</v>
      </c>
      <c r="V1546" t="str">
        <f>IF(student_scores[[#This Row],[Total_Score]] &gt;= _xlfn.PERCENTILE.INC(student_scores[Total_Score], 0.8), "Yes", "No")</f>
        <v>No</v>
      </c>
    </row>
    <row r="1547" spans="1:22" x14ac:dyDescent="0.35">
      <c r="A1547">
        <v>1546</v>
      </c>
      <c r="B1547" t="s">
        <v>277</v>
      </c>
      <c r="C1547" t="s">
        <v>2587</v>
      </c>
      <c r="D1547" t="s">
        <v>2588</v>
      </c>
      <c r="E1547" t="s">
        <v>20</v>
      </c>
      <c r="F1547" t="b">
        <v>0</v>
      </c>
      <c r="G1547">
        <v>3</v>
      </c>
      <c r="H1547" t="b">
        <v>1</v>
      </c>
      <c r="I1547">
        <v>23</v>
      </c>
      <c r="J1547" t="s">
        <v>44</v>
      </c>
      <c r="K1547">
        <v>88</v>
      </c>
      <c r="L1547">
        <v>73</v>
      </c>
      <c r="M1547">
        <v>86</v>
      </c>
      <c r="N1547">
        <v>75</v>
      </c>
      <c r="O1547">
        <v>65</v>
      </c>
      <c r="P1547">
        <v>62</v>
      </c>
      <c r="Q1547">
        <v>83</v>
      </c>
      <c r="R1547">
        <f>SUM(student_scores[[#This Row],[math_score]:[geography_score]])</f>
        <v>532</v>
      </c>
      <c r="S1547" s="3">
        <f>student_scores[[#This Row],[Total_Score]]/7</f>
        <v>76</v>
      </c>
      <c r="T1547" s="3" t="str" cm="1">
        <f t="array" ref="T1547">_xlfn.IFS(student_scores[[#This Row],[weekly_self_study_hours]]&lt;=5,   "0 - 5", student_scores[[#This Row],[weekly_self_study_hours]]&lt;=10,  "6 - 10", student_scores[[#This Row],[weekly_self_study_hours]]&lt;=20,  "11 - 20",student_scores[[#This Row],[weekly_self_study_hours]]&lt;=30, "21 - 30",TRUE, "31+")</f>
        <v>21 - 30</v>
      </c>
      <c r="U1547" t="str" cm="1">
        <f t="array" ref="U1547">_xlfn.IFS(student_scores[[#This Row],[absence_days]]=0,"0", student_scores[[#This Row],[absence_days]]&lt;=3,"1-3", student_scores[[#This Row],[absence_days]]&lt;=6,"4-6", TRUE,"7-10")</f>
        <v>1-3</v>
      </c>
      <c r="V1547" t="str">
        <f>IF(student_scores[[#This Row],[Total_Score]] &gt;= _xlfn.PERCENTILE.INC(student_scores[Total_Score], 0.8), "Yes", "No")</f>
        <v>No</v>
      </c>
    </row>
    <row r="1548" spans="1:22" x14ac:dyDescent="0.35">
      <c r="A1548">
        <v>1547</v>
      </c>
      <c r="B1548" t="s">
        <v>2589</v>
      </c>
      <c r="C1548" t="s">
        <v>699</v>
      </c>
      <c r="D1548" t="s">
        <v>2590</v>
      </c>
      <c r="E1548" t="s">
        <v>25</v>
      </c>
      <c r="F1548" t="b">
        <v>0</v>
      </c>
      <c r="G1548">
        <v>6</v>
      </c>
      <c r="H1548" t="b">
        <v>0</v>
      </c>
      <c r="I1548">
        <v>15</v>
      </c>
      <c r="J1548" t="s">
        <v>113</v>
      </c>
      <c r="K1548">
        <v>88</v>
      </c>
      <c r="L1548">
        <v>99</v>
      </c>
      <c r="M1548">
        <v>64</v>
      </c>
      <c r="N1548">
        <v>79</v>
      </c>
      <c r="O1548">
        <v>52</v>
      </c>
      <c r="P1548">
        <v>75</v>
      </c>
      <c r="Q1548">
        <v>92</v>
      </c>
      <c r="R1548">
        <f>SUM(student_scores[[#This Row],[math_score]:[geography_score]])</f>
        <v>549</v>
      </c>
      <c r="S1548" s="3">
        <f>student_scores[[#This Row],[Total_Score]]/7</f>
        <v>78.428571428571431</v>
      </c>
      <c r="T1548" s="3" t="str" cm="1">
        <f t="array" ref="T1548">_xlfn.IFS(student_scores[[#This Row],[weekly_self_study_hours]]&lt;=5,   "0 - 5", student_scores[[#This Row],[weekly_self_study_hours]]&lt;=10,  "6 - 10", student_scores[[#This Row],[weekly_self_study_hours]]&lt;=20,  "11 - 20",student_scores[[#This Row],[weekly_self_study_hours]]&lt;=30, "21 - 30",TRUE, "31+")</f>
        <v>11 - 20</v>
      </c>
      <c r="U1548" t="str" cm="1">
        <f t="array" ref="U1548">_xlfn.IFS(student_scores[[#This Row],[absence_days]]=0,"0", student_scores[[#This Row],[absence_days]]&lt;=3,"1-3", student_scores[[#This Row],[absence_days]]&lt;=6,"4-6", TRUE,"7-10")</f>
        <v>4-6</v>
      </c>
      <c r="V1548" t="str">
        <f>IF(student_scores[[#This Row],[Total_Score]] &gt;= _xlfn.PERCENTILE.INC(student_scores[Total_Score], 0.8), "Yes", "No")</f>
        <v>No</v>
      </c>
    </row>
    <row r="1549" spans="1:22" x14ac:dyDescent="0.35">
      <c r="A1549">
        <v>1548</v>
      </c>
      <c r="B1549" t="s">
        <v>280</v>
      </c>
      <c r="C1549" t="s">
        <v>2591</v>
      </c>
      <c r="D1549" t="s">
        <v>2592</v>
      </c>
      <c r="E1549" t="s">
        <v>20</v>
      </c>
      <c r="F1549" t="b">
        <v>0</v>
      </c>
      <c r="G1549">
        <v>2</v>
      </c>
      <c r="H1549" t="b">
        <v>0</v>
      </c>
      <c r="I1549">
        <v>31</v>
      </c>
      <c r="J1549" t="s">
        <v>172</v>
      </c>
      <c r="K1549">
        <v>99</v>
      </c>
      <c r="L1549">
        <v>88</v>
      </c>
      <c r="M1549">
        <v>97</v>
      </c>
      <c r="N1549">
        <v>97</v>
      </c>
      <c r="O1549">
        <v>71</v>
      </c>
      <c r="P1549">
        <v>67</v>
      </c>
      <c r="Q1549">
        <v>79</v>
      </c>
      <c r="R1549">
        <f>SUM(student_scores[[#This Row],[math_score]:[geography_score]])</f>
        <v>598</v>
      </c>
      <c r="S1549" s="3">
        <f>student_scores[[#This Row],[Total_Score]]/7</f>
        <v>85.428571428571431</v>
      </c>
      <c r="T1549" s="3" t="str" cm="1">
        <f t="array" ref="T1549">_xlfn.IFS(student_scores[[#This Row],[weekly_self_study_hours]]&lt;=5,   "0 - 5", student_scores[[#This Row],[weekly_self_study_hours]]&lt;=10,  "6 - 10", student_scores[[#This Row],[weekly_self_study_hours]]&lt;=20,  "11 - 20",student_scores[[#This Row],[weekly_self_study_hours]]&lt;=30, "21 - 30",TRUE, "31+")</f>
        <v>31+</v>
      </c>
      <c r="U1549" t="str" cm="1">
        <f t="array" ref="U1549">_xlfn.IFS(student_scores[[#This Row],[absence_days]]=0,"0", student_scores[[#This Row],[absence_days]]&lt;=3,"1-3", student_scores[[#This Row],[absence_days]]&lt;=6,"4-6", TRUE,"7-10")</f>
        <v>1-3</v>
      </c>
      <c r="V1549" t="str">
        <f>IF(student_scores[[#This Row],[Total_Score]] &gt;= _xlfn.PERCENTILE.INC(student_scores[Total_Score], 0.8), "Yes", "No")</f>
        <v>No</v>
      </c>
    </row>
    <row r="1550" spans="1:22" x14ac:dyDescent="0.35">
      <c r="A1550">
        <v>1549</v>
      </c>
      <c r="B1550" t="s">
        <v>446</v>
      </c>
      <c r="C1550" t="s">
        <v>228</v>
      </c>
      <c r="D1550" t="s">
        <v>2593</v>
      </c>
      <c r="E1550" t="s">
        <v>20</v>
      </c>
      <c r="F1550" t="b">
        <v>1</v>
      </c>
      <c r="G1550">
        <v>8</v>
      </c>
      <c r="H1550" t="b">
        <v>0</v>
      </c>
      <c r="I1550">
        <v>3</v>
      </c>
      <c r="J1550" t="s">
        <v>64</v>
      </c>
      <c r="K1550">
        <v>50</v>
      </c>
      <c r="L1550">
        <v>88</v>
      </c>
      <c r="M1550">
        <v>58</v>
      </c>
      <c r="N1550">
        <v>78</v>
      </c>
      <c r="O1550">
        <v>83</v>
      </c>
      <c r="P1550">
        <v>97</v>
      </c>
      <c r="Q1550">
        <v>88</v>
      </c>
      <c r="R1550">
        <f>SUM(student_scores[[#This Row],[math_score]:[geography_score]])</f>
        <v>542</v>
      </c>
      <c r="S1550" s="3">
        <f>student_scores[[#This Row],[Total_Score]]/7</f>
        <v>77.428571428571431</v>
      </c>
      <c r="T1550" s="3" t="str" cm="1">
        <f t="array" ref="T1550">_xlfn.IFS(student_scores[[#This Row],[weekly_self_study_hours]]&lt;=5,   "0 - 5", student_scores[[#This Row],[weekly_self_study_hours]]&lt;=10,  "6 - 10", student_scores[[#This Row],[weekly_self_study_hours]]&lt;=20,  "11 - 20",student_scores[[#This Row],[weekly_self_study_hours]]&lt;=30, "21 - 30",TRUE, "31+")</f>
        <v>0 - 5</v>
      </c>
      <c r="U1550" t="str" cm="1">
        <f t="array" ref="U1550">_xlfn.IFS(student_scores[[#This Row],[absence_days]]=0,"0", student_scores[[#This Row],[absence_days]]&lt;=3,"1-3", student_scores[[#This Row],[absence_days]]&lt;=6,"4-6", TRUE,"7-10")</f>
        <v>7-10</v>
      </c>
      <c r="V1550" t="str">
        <f>IF(student_scores[[#This Row],[Total_Score]] &gt;= _xlfn.PERCENTILE.INC(student_scores[Total_Score], 0.8), "Yes", "No")</f>
        <v>No</v>
      </c>
    </row>
    <row r="1551" spans="1:22" x14ac:dyDescent="0.35">
      <c r="A1551">
        <v>1550</v>
      </c>
      <c r="B1551" t="s">
        <v>614</v>
      </c>
      <c r="C1551" t="s">
        <v>623</v>
      </c>
      <c r="D1551" t="s">
        <v>2594</v>
      </c>
      <c r="E1551" t="s">
        <v>25</v>
      </c>
      <c r="F1551" t="b">
        <v>0</v>
      </c>
      <c r="G1551">
        <v>4</v>
      </c>
      <c r="H1551" t="b">
        <v>0</v>
      </c>
      <c r="I1551">
        <v>2</v>
      </c>
      <c r="J1551" t="s">
        <v>38</v>
      </c>
      <c r="K1551">
        <v>69</v>
      </c>
      <c r="L1551">
        <v>93</v>
      </c>
      <c r="M1551">
        <v>62</v>
      </c>
      <c r="N1551">
        <v>99</v>
      </c>
      <c r="O1551">
        <v>98</v>
      </c>
      <c r="P1551">
        <v>98</v>
      </c>
      <c r="Q1551">
        <v>68</v>
      </c>
      <c r="R1551">
        <f>SUM(student_scores[[#This Row],[math_score]:[geography_score]])</f>
        <v>587</v>
      </c>
      <c r="S1551" s="3">
        <f>student_scores[[#This Row],[Total_Score]]/7</f>
        <v>83.857142857142861</v>
      </c>
      <c r="T1551" s="3" t="str" cm="1">
        <f t="array" ref="T1551">_xlfn.IFS(student_scores[[#This Row],[weekly_self_study_hours]]&lt;=5,   "0 - 5", student_scores[[#This Row],[weekly_self_study_hours]]&lt;=10,  "6 - 10", student_scores[[#This Row],[weekly_self_study_hours]]&lt;=20,  "11 - 20",student_scores[[#This Row],[weekly_self_study_hours]]&lt;=30, "21 - 30",TRUE, "31+")</f>
        <v>0 - 5</v>
      </c>
      <c r="U1551" t="str" cm="1">
        <f t="array" ref="U1551">_xlfn.IFS(student_scores[[#This Row],[absence_days]]=0,"0", student_scores[[#This Row],[absence_days]]&lt;=3,"1-3", student_scores[[#This Row],[absence_days]]&lt;=6,"4-6", TRUE,"7-10")</f>
        <v>4-6</v>
      </c>
      <c r="V1551" t="str">
        <f>IF(student_scores[[#This Row],[Total_Score]] &gt;= _xlfn.PERCENTILE.INC(student_scores[Total_Score], 0.8), "Yes", "No")</f>
        <v>No</v>
      </c>
    </row>
    <row r="1552" spans="1:22" x14ac:dyDescent="0.35">
      <c r="A1552">
        <v>1551</v>
      </c>
      <c r="B1552" t="s">
        <v>97</v>
      </c>
      <c r="C1552" t="s">
        <v>2595</v>
      </c>
      <c r="D1552" t="s">
        <v>2596</v>
      </c>
      <c r="E1552" t="s">
        <v>25</v>
      </c>
      <c r="F1552" t="b">
        <v>0</v>
      </c>
      <c r="G1552">
        <v>5</v>
      </c>
      <c r="H1552" t="b">
        <v>0</v>
      </c>
      <c r="I1552">
        <v>35</v>
      </c>
      <c r="J1552" t="s">
        <v>105</v>
      </c>
      <c r="K1552">
        <v>89</v>
      </c>
      <c r="L1552">
        <v>86</v>
      </c>
      <c r="M1552">
        <v>96</v>
      </c>
      <c r="N1552">
        <v>92</v>
      </c>
      <c r="O1552">
        <v>97</v>
      </c>
      <c r="P1552">
        <v>89</v>
      </c>
      <c r="Q1552">
        <v>95</v>
      </c>
      <c r="R1552">
        <f>SUM(student_scores[[#This Row],[math_score]:[geography_score]])</f>
        <v>644</v>
      </c>
      <c r="S1552" s="3">
        <f>student_scores[[#This Row],[Total_Score]]/7</f>
        <v>92</v>
      </c>
      <c r="T1552" s="3" t="str" cm="1">
        <f t="array" ref="T1552">_xlfn.IFS(student_scores[[#This Row],[weekly_self_study_hours]]&lt;=5,   "0 - 5", student_scores[[#This Row],[weekly_self_study_hours]]&lt;=10,  "6 - 10", student_scores[[#This Row],[weekly_self_study_hours]]&lt;=20,  "11 - 20",student_scores[[#This Row],[weekly_self_study_hours]]&lt;=30, "21 - 30",TRUE, "31+")</f>
        <v>31+</v>
      </c>
      <c r="U1552" t="str" cm="1">
        <f t="array" ref="U1552">_xlfn.IFS(student_scores[[#This Row],[absence_days]]=0,"0", student_scores[[#This Row],[absence_days]]&lt;=3,"1-3", student_scores[[#This Row],[absence_days]]&lt;=6,"4-6", TRUE,"7-10")</f>
        <v>4-6</v>
      </c>
      <c r="V1552" t="str">
        <f>IF(student_scores[[#This Row],[Total_Score]] &gt;= _xlfn.PERCENTILE.INC(student_scores[Total_Score], 0.8), "Yes", "No")</f>
        <v>Yes</v>
      </c>
    </row>
    <row r="1553" spans="1:22" x14ac:dyDescent="0.35">
      <c r="A1553">
        <v>1552</v>
      </c>
      <c r="B1553" t="s">
        <v>277</v>
      </c>
      <c r="C1553" t="s">
        <v>897</v>
      </c>
      <c r="D1553" t="s">
        <v>2597</v>
      </c>
      <c r="E1553" t="s">
        <v>20</v>
      </c>
      <c r="F1553" t="b">
        <v>0</v>
      </c>
      <c r="G1553">
        <v>5</v>
      </c>
      <c r="H1553" t="b">
        <v>0</v>
      </c>
      <c r="I1553">
        <v>27</v>
      </c>
      <c r="J1553" t="s">
        <v>123</v>
      </c>
      <c r="K1553">
        <v>93</v>
      </c>
      <c r="L1553">
        <v>97</v>
      </c>
      <c r="M1553">
        <v>77</v>
      </c>
      <c r="N1553">
        <v>70</v>
      </c>
      <c r="O1553">
        <v>81</v>
      </c>
      <c r="P1553">
        <v>83</v>
      </c>
      <c r="Q1553">
        <v>87</v>
      </c>
      <c r="R1553">
        <f>SUM(student_scores[[#This Row],[math_score]:[geography_score]])</f>
        <v>588</v>
      </c>
      <c r="S1553" s="3">
        <f>student_scores[[#This Row],[Total_Score]]/7</f>
        <v>84</v>
      </c>
      <c r="T1553" s="3" t="str" cm="1">
        <f t="array" ref="T1553">_xlfn.IFS(student_scores[[#This Row],[weekly_self_study_hours]]&lt;=5,   "0 - 5", student_scores[[#This Row],[weekly_self_study_hours]]&lt;=10,  "6 - 10", student_scores[[#This Row],[weekly_self_study_hours]]&lt;=20,  "11 - 20",student_scores[[#This Row],[weekly_self_study_hours]]&lt;=30, "21 - 30",TRUE, "31+")</f>
        <v>21 - 30</v>
      </c>
      <c r="U1553" t="str" cm="1">
        <f t="array" ref="U1553">_xlfn.IFS(student_scores[[#This Row],[absence_days]]=0,"0", student_scores[[#This Row],[absence_days]]&lt;=3,"1-3", student_scores[[#This Row],[absence_days]]&lt;=6,"4-6", TRUE,"7-10")</f>
        <v>4-6</v>
      </c>
      <c r="V1553" t="str">
        <f>IF(student_scores[[#This Row],[Total_Score]] &gt;= _xlfn.PERCENTILE.INC(student_scores[Total_Score], 0.8), "Yes", "No")</f>
        <v>No</v>
      </c>
    </row>
    <row r="1554" spans="1:22" x14ac:dyDescent="0.35">
      <c r="A1554">
        <v>1553</v>
      </c>
      <c r="B1554" t="s">
        <v>291</v>
      </c>
      <c r="C1554" t="s">
        <v>2431</v>
      </c>
      <c r="D1554" t="s">
        <v>2598</v>
      </c>
      <c r="E1554" t="s">
        <v>25</v>
      </c>
      <c r="F1554" t="b">
        <v>0</v>
      </c>
      <c r="G1554">
        <v>5</v>
      </c>
      <c r="H1554" t="b">
        <v>0</v>
      </c>
      <c r="I1554">
        <v>32</v>
      </c>
      <c r="J1554" t="s">
        <v>44</v>
      </c>
      <c r="K1554">
        <v>96</v>
      </c>
      <c r="L1554">
        <v>83</v>
      </c>
      <c r="M1554">
        <v>67</v>
      </c>
      <c r="N1554">
        <v>86</v>
      </c>
      <c r="O1554">
        <v>81</v>
      </c>
      <c r="P1554">
        <v>92</v>
      </c>
      <c r="Q1554">
        <v>73</v>
      </c>
      <c r="R1554">
        <f>SUM(student_scores[[#This Row],[math_score]:[geography_score]])</f>
        <v>578</v>
      </c>
      <c r="S1554" s="3">
        <f>student_scores[[#This Row],[Total_Score]]/7</f>
        <v>82.571428571428569</v>
      </c>
      <c r="T1554" s="3" t="str" cm="1">
        <f t="array" ref="T1554">_xlfn.IFS(student_scores[[#This Row],[weekly_self_study_hours]]&lt;=5,   "0 - 5", student_scores[[#This Row],[weekly_self_study_hours]]&lt;=10,  "6 - 10", student_scores[[#This Row],[weekly_self_study_hours]]&lt;=20,  "11 - 20",student_scores[[#This Row],[weekly_self_study_hours]]&lt;=30, "21 - 30",TRUE, "31+")</f>
        <v>31+</v>
      </c>
      <c r="U1554" t="str" cm="1">
        <f t="array" ref="U1554">_xlfn.IFS(student_scores[[#This Row],[absence_days]]=0,"0", student_scores[[#This Row],[absence_days]]&lt;=3,"1-3", student_scores[[#This Row],[absence_days]]&lt;=6,"4-6", TRUE,"7-10")</f>
        <v>4-6</v>
      </c>
      <c r="V1554" t="str">
        <f>IF(student_scores[[#This Row],[Total_Score]] &gt;= _xlfn.PERCENTILE.INC(student_scores[Total_Score], 0.8), "Yes", "No")</f>
        <v>No</v>
      </c>
    </row>
    <row r="1555" spans="1:22" x14ac:dyDescent="0.35">
      <c r="A1555">
        <v>1554</v>
      </c>
      <c r="B1555" t="s">
        <v>193</v>
      </c>
      <c r="C1555" t="s">
        <v>756</v>
      </c>
      <c r="D1555" t="s">
        <v>2599</v>
      </c>
      <c r="E1555" t="s">
        <v>25</v>
      </c>
      <c r="F1555" t="b">
        <v>1</v>
      </c>
      <c r="G1555">
        <v>4</v>
      </c>
      <c r="H1555" t="b">
        <v>0</v>
      </c>
      <c r="I1555">
        <v>24</v>
      </c>
      <c r="J1555" t="s">
        <v>44</v>
      </c>
      <c r="K1555">
        <v>92</v>
      </c>
      <c r="L1555">
        <v>98</v>
      </c>
      <c r="M1555">
        <v>93</v>
      </c>
      <c r="N1555">
        <v>60</v>
      </c>
      <c r="O1555">
        <v>74</v>
      </c>
      <c r="P1555">
        <v>84</v>
      </c>
      <c r="Q1555">
        <v>97</v>
      </c>
      <c r="R1555">
        <f>SUM(student_scores[[#This Row],[math_score]:[geography_score]])</f>
        <v>598</v>
      </c>
      <c r="S1555" s="3">
        <f>student_scores[[#This Row],[Total_Score]]/7</f>
        <v>85.428571428571431</v>
      </c>
      <c r="T1555" s="3" t="str" cm="1">
        <f t="array" ref="T1555">_xlfn.IFS(student_scores[[#This Row],[weekly_self_study_hours]]&lt;=5,   "0 - 5", student_scores[[#This Row],[weekly_self_study_hours]]&lt;=10,  "6 - 10", student_scores[[#This Row],[weekly_self_study_hours]]&lt;=20,  "11 - 20",student_scores[[#This Row],[weekly_self_study_hours]]&lt;=30, "21 - 30",TRUE, "31+")</f>
        <v>21 - 30</v>
      </c>
      <c r="U1555" t="str" cm="1">
        <f t="array" ref="U1555">_xlfn.IFS(student_scores[[#This Row],[absence_days]]=0,"0", student_scores[[#This Row],[absence_days]]&lt;=3,"1-3", student_scores[[#This Row],[absence_days]]&lt;=6,"4-6", TRUE,"7-10")</f>
        <v>4-6</v>
      </c>
      <c r="V1555" t="str">
        <f>IF(student_scores[[#This Row],[Total_Score]] &gt;= _xlfn.PERCENTILE.INC(student_scores[Total_Score], 0.8), "Yes", "No")</f>
        <v>No</v>
      </c>
    </row>
    <row r="1556" spans="1:22" x14ac:dyDescent="0.35">
      <c r="A1556">
        <v>1555</v>
      </c>
      <c r="B1556" t="s">
        <v>331</v>
      </c>
      <c r="C1556" t="s">
        <v>2600</v>
      </c>
      <c r="D1556" t="s">
        <v>2601</v>
      </c>
      <c r="E1556" t="s">
        <v>20</v>
      </c>
      <c r="F1556" t="b">
        <v>0</v>
      </c>
      <c r="G1556">
        <v>3</v>
      </c>
      <c r="H1556" t="b">
        <v>1</v>
      </c>
      <c r="I1556">
        <v>29</v>
      </c>
      <c r="J1556" t="s">
        <v>44</v>
      </c>
      <c r="K1556">
        <v>99</v>
      </c>
      <c r="L1556">
        <v>72</v>
      </c>
      <c r="M1556">
        <v>65</v>
      </c>
      <c r="N1556">
        <v>66</v>
      </c>
      <c r="O1556">
        <v>71</v>
      </c>
      <c r="P1556">
        <v>85</v>
      </c>
      <c r="Q1556">
        <v>83</v>
      </c>
      <c r="R1556">
        <f>SUM(student_scores[[#This Row],[math_score]:[geography_score]])</f>
        <v>541</v>
      </c>
      <c r="S1556" s="3">
        <f>student_scores[[#This Row],[Total_Score]]/7</f>
        <v>77.285714285714292</v>
      </c>
      <c r="T1556" s="3" t="str" cm="1">
        <f t="array" ref="T1556">_xlfn.IFS(student_scores[[#This Row],[weekly_self_study_hours]]&lt;=5,   "0 - 5", student_scores[[#This Row],[weekly_self_study_hours]]&lt;=10,  "6 - 10", student_scores[[#This Row],[weekly_self_study_hours]]&lt;=20,  "11 - 20",student_scores[[#This Row],[weekly_self_study_hours]]&lt;=30, "21 - 30",TRUE, "31+")</f>
        <v>21 - 30</v>
      </c>
      <c r="U1556" t="str" cm="1">
        <f t="array" ref="U1556">_xlfn.IFS(student_scores[[#This Row],[absence_days]]=0,"0", student_scores[[#This Row],[absence_days]]&lt;=3,"1-3", student_scores[[#This Row],[absence_days]]&lt;=6,"4-6", TRUE,"7-10")</f>
        <v>1-3</v>
      </c>
      <c r="V1556" t="str">
        <f>IF(student_scores[[#This Row],[Total_Score]] &gt;= _xlfn.PERCENTILE.INC(student_scores[Total_Score], 0.8), "Yes", "No")</f>
        <v>No</v>
      </c>
    </row>
    <row r="1557" spans="1:22" x14ac:dyDescent="0.35">
      <c r="A1557">
        <v>1556</v>
      </c>
      <c r="B1557" t="s">
        <v>1201</v>
      </c>
      <c r="C1557" t="s">
        <v>1424</v>
      </c>
      <c r="D1557" t="s">
        <v>2602</v>
      </c>
      <c r="E1557" t="s">
        <v>20</v>
      </c>
      <c r="F1557" t="b">
        <v>0</v>
      </c>
      <c r="G1557">
        <v>10</v>
      </c>
      <c r="H1557" t="b">
        <v>1</v>
      </c>
      <c r="I1557">
        <v>4</v>
      </c>
      <c r="J1557" t="s">
        <v>64</v>
      </c>
      <c r="K1557">
        <v>86</v>
      </c>
      <c r="L1557">
        <v>59</v>
      </c>
      <c r="M1557">
        <v>81</v>
      </c>
      <c r="N1557">
        <v>55</v>
      </c>
      <c r="O1557">
        <v>77</v>
      </c>
      <c r="P1557">
        <v>69</v>
      </c>
      <c r="Q1557">
        <v>87</v>
      </c>
      <c r="R1557">
        <f>SUM(student_scores[[#This Row],[math_score]:[geography_score]])</f>
        <v>514</v>
      </c>
      <c r="S1557" s="3">
        <f>student_scores[[#This Row],[Total_Score]]/7</f>
        <v>73.428571428571431</v>
      </c>
      <c r="T1557" s="3" t="str" cm="1">
        <f t="array" ref="T1557">_xlfn.IFS(student_scores[[#This Row],[weekly_self_study_hours]]&lt;=5,   "0 - 5", student_scores[[#This Row],[weekly_self_study_hours]]&lt;=10,  "6 - 10", student_scores[[#This Row],[weekly_self_study_hours]]&lt;=20,  "11 - 20",student_scores[[#This Row],[weekly_self_study_hours]]&lt;=30, "21 - 30",TRUE, "31+")</f>
        <v>0 - 5</v>
      </c>
      <c r="U1557" t="str" cm="1">
        <f t="array" ref="U1557">_xlfn.IFS(student_scores[[#This Row],[absence_days]]=0,"0", student_scores[[#This Row],[absence_days]]&lt;=3,"1-3", student_scores[[#This Row],[absence_days]]&lt;=6,"4-6", TRUE,"7-10")</f>
        <v>7-10</v>
      </c>
      <c r="V1557" t="str">
        <f>IF(student_scores[[#This Row],[Total_Score]] &gt;= _xlfn.PERCENTILE.INC(student_scores[Total_Score], 0.8), "Yes", "No")</f>
        <v>No</v>
      </c>
    </row>
    <row r="1558" spans="1:22" x14ac:dyDescent="0.35">
      <c r="A1558">
        <v>1557</v>
      </c>
      <c r="B1558" t="s">
        <v>596</v>
      </c>
      <c r="C1558" t="s">
        <v>2603</v>
      </c>
      <c r="D1558" t="s">
        <v>2604</v>
      </c>
      <c r="E1558" t="s">
        <v>20</v>
      </c>
      <c r="F1558" t="b">
        <v>0</v>
      </c>
      <c r="G1558">
        <v>4</v>
      </c>
      <c r="H1558" t="b">
        <v>0</v>
      </c>
      <c r="I1558">
        <v>17</v>
      </c>
      <c r="J1558" t="s">
        <v>44</v>
      </c>
      <c r="K1558">
        <v>91</v>
      </c>
      <c r="L1558">
        <v>92</v>
      </c>
      <c r="M1558">
        <v>95</v>
      </c>
      <c r="N1558">
        <v>90</v>
      </c>
      <c r="O1558">
        <v>73</v>
      </c>
      <c r="P1558">
        <v>75</v>
      </c>
      <c r="Q1558">
        <v>95</v>
      </c>
      <c r="R1558">
        <f>SUM(student_scores[[#This Row],[math_score]:[geography_score]])</f>
        <v>611</v>
      </c>
      <c r="S1558" s="3">
        <f>student_scores[[#This Row],[Total_Score]]/7</f>
        <v>87.285714285714292</v>
      </c>
      <c r="T1558" s="3" t="str" cm="1">
        <f t="array" ref="T1558">_xlfn.IFS(student_scores[[#This Row],[weekly_self_study_hours]]&lt;=5,   "0 - 5", student_scores[[#This Row],[weekly_self_study_hours]]&lt;=10,  "6 - 10", student_scores[[#This Row],[weekly_self_study_hours]]&lt;=20,  "11 - 20",student_scores[[#This Row],[weekly_self_study_hours]]&lt;=30, "21 - 30",TRUE, "31+")</f>
        <v>11 - 20</v>
      </c>
      <c r="U1558" t="str" cm="1">
        <f t="array" ref="U1558">_xlfn.IFS(student_scores[[#This Row],[absence_days]]=0,"0", student_scores[[#This Row],[absence_days]]&lt;=3,"1-3", student_scores[[#This Row],[absence_days]]&lt;=6,"4-6", TRUE,"7-10")</f>
        <v>4-6</v>
      </c>
      <c r="V1558" t="str">
        <f>IF(student_scores[[#This Row],[Total_Score]] &gt;= _xlfn.PERCENTILE.INC(student_scores[Total_Score], 0.8), "Yes", "No")</f>
        <v>Yes</v>
      </c>
    </row>
    <row r="1559" spans="1:22" x14ac:dyDescent="0.35">
      <c r="A1559">
        <v>1558</v>
      </c>
      <c r="B1559" t="s">
        <v>676</v>
      </c>
      <c r="C1559" t="s">
        <v>339</v>
      </c>
      <c r="D1559" t="s">
        <v>2605</v>
      </c>
      <c r="E1559" t="s">
        <v>20</v>
      </c>
      <c r="F1559" t="b">
        <v>1</v>
      </c>
      <c r="G1559">
        <v>3</v>
      </c>
      <c r="H1559" t="b">
        <v>0</v>
      </c>
      <c r="I1559">
        <v>18</v>
      </c>
      <c r="J1559" t="s">
        <v>105</v>
      </c>
      <c r="K1559">
        <v>95</v>
      </c>
      <c r="L1559">
        <v>91</v>
      </c>
      <c r="M1559">
        <v>74</v>
      </c>
      <c r="N1559">
        <v>61</v>
      </c>
      <c r="O1559">
        <v>94</v>
      </c>
      <c r="P1559">
        <v>86</v>
      </c>
      <c r="Q1559">
        <v>87</v>
      </c>
      <c r="R1559">
        <f>SUM(student_scores[[#This Row],[math_score]:[geography_score]])</f>
        <v>588</v>
      </c>
      <c r="S1559" s="3">
        <f>student_scores[[#This Row],[Total_Score]]/7</f>
        <v>84</v>
      </c>
      <c r="T1559" s="3" t="str" cm="1">
        <f t="array" ref="T1559">_xlfn.IFS(student_scores[[#This Row],[weekly_self_study_hours]]&lt;=5,   "0 - 5", student_scores[[#This Row],[weekly_self_study_hours]]&lt;=10,  "6 - 10", student_scores[[#This Row],[weekly_self_study_hours]]&lt;=20,  "11 - 20",student_scores[[#This Row],[weekly_self_study_hours]]&lt;=30, "21 - 30",TRUE, "31+")</f>
        <v>11 - 20</v>
      </c>
      <c r="U1559" t="str" cm="1">
        <f t="array" ref="U1559">_xlfn.IFS(student_scores[[#This Row],[absence_days]]=0,"0", student_scores[[#This Row],[absence_days]]&lt;=3,"1-3", student_scores[[#This Row],[absence_days]]&lt;=6,"4-6", TRUE,"7-10")</f>
        <v>1-3</v>
      </c>
      <c r="V1559" t="str">
        <f>IF(student_scores[[#This Row],[Total_Score]] &gt;= _xlfn.PERCENTILE.INC(student_scores[Total_Score], 0.8), "Yes", "No")</f>
        <v>No</v>
      </c>
    </row>
    <row r="1560" spans="1:22" x14ac:dyDescent="0.35">
      <c r="A1560">
        <v>1559</v>
      </c>
      <c r="B1560" t="s">
        <v>2606</v>
      </c>
      <c r="C1560" t="s">
        <v>1119</v>
      </c>
      <c r="D1560" t="s">
        <v>2607</v>
      </c>
      <c r="E1560" t="s">
        <v>20</v>
      </c>
      <c r="F1560" t="b">
        <v>0</v>
      </c>
      <c r="G1560">
        <v>5</v>
      </c>
      <c r="H1560" t="b">
        <v>0</v>
      </c>
      <c r="I1560">
        <v>15</v>
      </c>
      <c r="J1560" t="s">
        <v>30</v>
      </c>
      <c r="K1560">
        <v>61</v>
      </c>
      <c r="L1560">
        <v>94</v>
      </c>
      <c r="M1560">
        <v>87</v>
      </c>
      <c r="N1560">
        <v>74</v>
      </c>
      <c r="O1560">
        <v>92</v>
      </c>
      <c r="P1560">
        <v>79</v>
      </c>
      <c r="Q1560">
        <v>97</v>
      </c>
      <c r="R1560">
        <f>SUM(student_scores[[#This Row],[math_score]:[geography_score]])</f>
        <v>584</v>
      </c>
      <c r="S1560" s="3">
        <f>student_scores[[#This Row],[Total_Score]]/7</f>
        <v>83.428571428571431</v>
      </c>
      <c r="T1560" s="3" t="str" cm="1">
        <f t="array" ref="T1560">_xlfn.IFS(student_scores[[#This Row],[weekly_self_study_hours]]&lt;=5,   "0 - 5", student_scores[[#This Row],[weekly_self_study_hours]]&lt;=10,  "6 - 10", student_scores[[#This Row],[weekly_self_study_hours]]&lt;=20,  "11 - 20",student_scores[[#This Row],[weekly_self_study_hours]]&lt;=30, "21 - 30",TRUE, "31+")</f>
        <v>11 - 20</v>
      </c>
      <c r="U1560" t="str" cm="1">
        <f t="array" ref="U1560">_xlfn.IFS(student_scores[[#This Row],[absence_days]]=0,"0", student_scores[[#This Row],[absence_days]]&lt;=3,"1-3", student_scores[[#This Row],[absence_days]]&lt;=6,"4-6", TRUE,"7-10")</f>
        <v>4-6</v>
      </c>
      <c r="V1560" t="str">
        <f>IF(student_scores[[#This Row],[Total_Score]] &gt;= _xlfn.PERCENTILE.INC(student_scores[Total_Score], 0.8), "Yes", "No")</f>
        <v>No</v>
      </c>
    </row>
    <row r="1561" spans="1:22" x14ac:dyDescent="0.35">
      <c r="A1561">
        <v>1560</v>
      </c>
      <c r="B1561" t="s">
        <v>410</v>
      </c>
      <c r="C1561" t="s">
        <v>2608</v>
      </c>
      <c r="D1561" t="s">
        <v>2609</v>
      </c>
      <c r="E1561" t="s">
        <v>20</v>
      </c>
      <c r="F1561" t="b">
        <v>0</v>
      </c>
      <c r="G1561">
        <v>1</v>
      </c>
      <c r="H1561" t="b">
        <v>0</v>
      </c>
      <c r="I1561">
        <v>32</v>
      </c>
      <c r="J1561" t="s">
        <v>109</v>
      </c>
      <c r="K1561">
        <v>65</v>
      </c>
      <c r="L1561">
        <v>89</v>
      </c>
      <c r="M1561">
        <v>70</v>
      </c>
      <c r="N1561">
        <v>71</v>
      </c>
      <c r="O1561">
        <v>74</v>
      </c>
      <c r="P1561">
        <v>97</v>
      </c>
      <c r="Q1561">
        <v>64</v>
      </c>
      <c r="R1561">
        <f>SUM(student_scores[[#This Row],[math_score]:[geography_score]])</f>
        <v>530</v>
      </c>
      <c r="S1561" s="3">
        <f>student_scores[[#This Row],[Total_Score]]/7</f>
        <v>75.714285714285708</v>
      </c>
      <c r="T1561" s="3" t="str" cm="1">
        <f t="array" ref="T1561">_xlfn.IFS(student_scores[[#This Row],[weekly_self_study_hours]]&lt;=5,   "0 - 5", student_scores[[#This Row],[weekly_self_study_hours]]&lt;=10,  "6 - 10", student_scores[[#This Row],[weekly_self_study_hours]]&lt;=20,  "11 - 20",student_scores[[#This Row],[weekly_self_study_hours]]&lt;=30, "21 - 30",TRUE, "31+")</f>
        <v>31+</v>
      </c>
      <c r="U1561" t="str" cm="1">
        <f t="array" ref="U1561">_xlfn.IFS(student_scores[[#This Row],[absence_days]]=0,"0", student_scores[[#This Row],[absence_days]]&lt;=3,"1-3", student_scores[[#This Row],[absence_days]]&lt;=6,"4-6", TRUE,"7-10")</f>
        <v>1-3</v>
      </c>
      <c r="V1561" t="str">
        <f>IF(student_scores[[#This Row],[Total_Score]] &gt;= _xlfn.PERCENTILE.INC(student_scores[Total_Score], 0.8), "Yes", "No")</f>
        <v>No</v>
      </c>
    </row>
    <row r="1562" spans="1:22" x14ac:dyDescent="0.35">
      <c r="A1562">
        <v>1561</v>
      </c>
      <c r="B1562" t="s">
        <v>240</v>
      </c>
      <c r="C1562" t="s">
        <v>809</v>
      </c>
      <c r="D1562" t="s">
        <v>2610</v>
      </c>
      <c r="E1562" t="s">
        <v>25</v>
      </c>
      <c r="F1562" t="b">
        <v>0</v>
      </c>
      <c r="G1562">
        <v>7</v>
      </c>
      <c r="H1562" t="b">
        <v>0</v>
      </c>
      <c r="I1562">
        <v>3</v>
      </c>
      <c r="J1562" t="s">
        <v>159</v>
      </c>
      <c r="K1562">
        <v>94</v>
      </c>
      <c r="L1562">
        <v>97</v>
      </c>
      <c r="M1562">
        <v>97</v>
      </c>
      <c r="N1562">
        <v>75</v>
      </c>
      <c r="O1562">
        <v>79</v>
      </c>
      <c r="P1562">
        <v>68</v>
      </c>
      <c r="Q1562">
        <v>92</v>
      </c>
      <c r="R1562">
        <f>SUM(student_scores[[#This Row],[math_score]:[geography_score]])</f>
        <v>602</v>
      </c>
      <c r="S1562" s="3">
        <f>student_scores[[#This Row],[Total_Score]]/7</f>
        <v>86</v>
      </c>
      <c r="T1562" s="3" t="str" cm="1">
        <f t="array" ref="T1562">_xlfn.IFS(student_scores[[#This Row],[weekly_self_study_hours]]&lt;=5,   "0 - 5", student_scores[[#This Row],[weekly_self_study_hours]]&lt;=10,  "6 - 10", student_scores[[#This Row],[weekly_self_study_hours]]&lt;=20,  "11 - 20",student_scores[[#This Row],[weekly_self_study_hours]]&lt;=30, "21 - 30",TRUE, "31+")</f>
        <v>0 - 5</v>
      </c>
      <c r="U1562" t="str" cm="1">
        <f t="array" ref="U1562">_xlfn.IFS(student_scores[[#This Row],[absence_days]]=0,"0", student_scores[[#This Row],[absence_days]]&lt;=3,"1-3", student_scores[[#This Row],[absence_days]]&lt;=6,"4-6", TRUE,"7-10")</f>
        <v>7-10</v>
      </c>
      <c r="V1562" t="str">
        <f>IF(student_scores[[#This Row],[Total_Score]] &gt;= _xlfn.PERCENTILE.INC(student_scores[Total_Score], 0.8), "Yes", "No")</f>
        <v>Yes</v>
      </c>
    </row>
    <row r="1563" spans="1:22" x14ac:dyDescent="0.35">
      <c r="A1563">
        <v>1562</v>
      </c>
      <c r="B1563" t="s">
        <v>593</v>
      </c>
      <c r="C1563" t="s">
        <v>2505</v>
      </c>
      <c r="D1563" t="s">
        <v>2611</v>
      </c>
      <c r="E1563" t="s">
        <v>25</v>
      </c>
      <c r="F1563" t="b">
        <v>0</v>
      </c>
      <c r="G1563">
        <v>5</v>
      </c>
      <c r="H1563" t="b">
        <v>0</v>
      </c>
      <c r="I1563">
        <v>31</v>
      </c>
      <c r="J1563" t="s">
        <v>123</v>
      </c>
      <c r="K1563">
        <v>94</v>
      </c>
      <c r="L1563">
        <v>68</v>
      </c>
      <c r="M1563">
        <v>89</v>
      </c>
      <c r="N1563">
        <v>90</v>
      </c>
      <c r="O1563">
        <v>91</v>
      </c>
      <c r="P1563">
        <v>98</v>
      </c>
      <c r="Q1563">
        <v>72</v>
      </c>
      <c r="R1563">
        <f>SUM(student_scores[[#This Row],[math_score]:[geography_score]])</f>
        <v>602</v>
      </c>
      <c r="S1563" s="3">
        <f>student_scores[[#This Row],[Total_Score]]/7</f>
        <v>86</v>
      </c>
      <c r="T1563" s="3" t="str" cm="1">
        <f t="array" ref="T1563">_xlfn.IFS(student_scores[[#This Row],[weekly_self_study_hours]]&lt;=5,   "0 - 5", student_scores[[#This Row],[weekly_self_study_hours]]&lt;=10,  "6 - 10", student_scores[[#This Row],[weekly_self_study_hours]]&lt;=20,  "11 - 20",student_scores[[#This Row],[weekly_self_study_hours]]&lt;=30, "21 - 30",TRUE, "31+")</f>
        <v>31+</v>
      </c>
      <c r="U1563" t="str" cm="1">
        <f t="array" ref="U1563">_xlfn.IFS(student_scores[[#This Row],[absence_days]]=0,"0", student_scores[[#This Row],[absence_days]]&lt;=3,"1-3", student_scores[[#This Row],[absence_days]]&lt;=6,"4-6", TRUE,"7-10")</f>
        <v>4-6</v>
      </c>
      <c r="V1563" t="str">
        <f>IF(student_scores[[#This Row],[Total_Score]] &gt;= _xlfn.PERCENTILE.INC(student_scores[Total_Score], 0.8), "Yes", "No")</f>
        <v>Yes</v>
      </c>
    </row>
    <row r="1564" spans="1:22" x14ac:dyDescent="0.35">
      <c r="A1564">
        <v>1563</v>
      </c>
      <c r="B1564" t="s">
        <v>208</v>
      </c>
      <c r="C1564" t="s">
        <v>600</v>
      </c>
      <c r="D1564" t="s">
        <v>2612</v>
      </c>
      <c r="E1564" t="s">
        <v>20</v>
      </c>
      <c r="F1564" t="b">
        <v>0</v>
      </c>
      <c r="G1564">
        <v>5</v>
      </c>
      <c r="H1564" t="b">
        <v>1</v>
      </c>
      <c r="I1564">
        <v>3</v>
      </c>
      <c r="J1564" t="s">
        <v>64</v>
      </c>
      <c r="K1564">
        <v>56</v>
      </c>
      <c r="L1564">
        <v>67</v>
      </c>
      <c r="M1564">
        <v>87</v>
      </c>
      <c r="N1564">
        <v>97</v>
      </c>
      <c r="O1564">
        <v>88</v>
      </c>
      <c r="P1564">
        <v>57</v>
      </c>
      <c r="Q1564">
        <v>86</v>
      </c>
      <c r="R1564">
        <f>SUM(student_scores[[#This Row],[math_score]:[geography_score]])</f>
        <v>538</v>
      </c>
      <c r="S1564" s="3">
        <f>student_scores[[#This Row],[Total_Score]]/7</f>
        <v>76.857142857142861</v>
      </c>
      <c r="T1564" s="3" t="str" cm="1">
        <f t="array" ref="T1564">_xlfn.IFS(student_scores[[#This Row],[weekly_self_study_hours]]&lt;=5,   "0 - 5", student_scores[[#This Row],[weekly_self_study_hours]]&lt;=10,  "6 - 10", student_scores[[#This Row],[weekly_self_study_hours]]&lt;=20,  "11 - 20",student_scores[[#This Row],[weekly_self_study_hours]]&lt;=30, "21 - 30",TRUE, "31+")</f>
        <v>0 - 5</v>
      </c>
      <c r="U1564" t="str" cm="1">
        <f t="array" ref="U1564">_xlfn.IFS(student_scores[[#This Row],[absence_days]]=0,"0", student_scores[[#This Row],[absence_days]]&lt;=3,"1-3", student_scores[[#This Row],[absence_days]]&lt;=6,"4-6", TRUE,"7-10")</f>
        <v>4-6</v>
      </c>
      <c r="V1564" t="str">
        <f>IF(student_scores[[#This Row],[Total_Score]] &gt;= _xlfn.PERCENTILE.INC(student_scores[Total_Score], 0.8), "Yes", "No")</f>
        <v>No</v>
      </c>
    </row>
    <row r="1565" spans="1:22" x14ac:dyDescent="0.35">
      <c r="A1565">
        <v>1564</v>
      </c>
      <c r="B1565" t="s">
        <v>139</v>
      </c>
      <c r="C1565" t="s">
        <v>266</v>
      </c>
      <c r="D1565" t="s">
        <v>2613</v>
      </c>
      <c r="E1565" t="s">
        <v>20</v>
      </c>
      <c r="F1565" t="b">
        <v>0</v>
      </c>
      <c r="G1565">
        <v>7</v>
      </c>
      <c r="H1565" t="b">
        <v>0</v>
      </c>
      <c r="I1565">
        <v>25</v>
      </c>
      <c r="J1565" t="s">
        <v>44</v>
      </c>
      <c r="K1565">
        <v>89</v>
      </c>
      <c r="L1565">
        <v>63</v>
      </c>
      <c r="M1565">
        <v>88</v>
      </c>
      <c r="N1565">
        <v>73</v>
      </c>
      <c r="O1565">
        <v>78</v>
      </c>
      <c r="P1565">
        <v>84</v>
      </c>
      <c r="Q1565">
        <v>74</v>
      </c>
      <c r="R1565">
        <f>SUM(student_scores[[#This Row],[math_score]:[geography_score]])</f>
        <v>549</v>
      </c>
      <c r="S1565" s="3">
        <f>student_scores[[#This Row],[Total_Score]]/7</f>
        <v>78.428571428571431</v>
      </c>
      <c r="T1565" s="3" t="str" cm="1">
        <f t="array" ref="T1565">_xlfn.IFS(student_scores[[#This Row],[weekly_self_study_hours]]&lt;=5,   "0 - 5", student_scores[[#This Row],[weekly_self_study_hours]]&lt;=10,  "6 - 10", student_scores[[#This Row],[weekly_self_study_hours]]&lt;=20,  "11 - 20",student_scores[[#This Row],[weekly_self_study_hours]]&lt;=30, "21 - 30",TRUE, "31+")</f>
        <v>21 - 30</v>
      </c>
      <c r="U1565" t="str" cm="1">
        <f t="array" ref="U1565">_xlfn.IFS(student_scores[[#This Row],[absence_days]]=0,"0", student_scores[[#This Row],[absence_days]]&lt;=3,"1-3", student_scores[[#This Row],[absence_days]]&lt;=6,"4-6", TRUE,"7-10")</f>
        <v>7-10</v>
      </c>
      <c r="V1565" t="str">
        <f>IF(student_scores[[#This Row],[Total_Score]] &gt;= _xlfn.PERCENTILE.INC(student_scores[Total_Score], 0.8), "Yes", "No")</f>
        <v>No</v>
      </c>
    </row>
    <row r="1566" spans="1:22" x14ac:dyDescent="0.35">
      <c r="A1566">
        <v>1565</v>
      </c>
      <c r="B1566" t="s">
        <v>277</v>
      </c>
      <c r="C1566" t="s">
        <v>518</v>
      </c>
      <c r="D1566" t="s">
        <v>2614</v>
      </c>
      <c r="E1566" t="s">
        <v>20</v>
      </c>
      <c r="F1566" t="b">
        <v>1</v>
      </c>
      <c r="G1566">
        <v>1</v>
      </c>
      <c r="H1566" t="b">
        <v>1</v>
      </c>
      <c r="I1566">
        <v>0</v>
      </c>
      <c r="J1566" t="s">
        <v>224</v>
      </c>
      <c r="K1566">
        <v>65</v>
      </c>
      <c r="L1566">
        <v>70</v>
      </c>
      <c r="M1566">
        <v>100</v>
      </c>
      <c r="N1566">
        <v>66</v>
      </c>
      <c r="O1566">
        <v>71</v>
      </c>
      <c r="P1566">
        <v>61</v>
      </c>
      <c r="Q1566">
        <v>61</v>
      </c>
      <c r="R1566">
        <f>SUM(student_scores[[#This Row],[math_score]:[geography_score]])</f>
        <v>494</v>
      </c>
      <c r="S1566" s="3">
        <f>student_scores[[#This Row],[Total_Score]]/7</f>
        <v>70.571428571428569</v>
      </c>
      <c r="T1566" s="3" t="str" cm="1">
        <f t="array" ref="T1566">_xlfn.IFS(student_scores[[#This Row],[weekly_self_study_hours]]&lt;=5,   "0 - 5", student_scores[[#This Row],[weekly_self_study_hours]]&lt;=10,  "6 - 10", student_scores[[#This Row],[weekly_self_study_hours]]&lt;=20,  "11 - 20",student_scores[[#This Row],[weekly_self_study_hours]]&lt;=30, "21 - 30",TRUE, "31+")</f>
        <v>0 - 5</v>
      </c>
      <c r="U1566" t="str" cm="1">
        <f t="array" ref="U1566">_xlfn.IFS(student_scores[[#This Row],[absence_days]]=0,"0", student_scores[[#This Row],[absence_days]]&lt;=3,"1-3", student_scores[[#This Row],[absence_days]]&lt;=6,"4-6", TRUE,"7-10")</f>
        <v>1-3</v>
      </c>
      <c r="V1566" t="str">
        <f>IF(student_scores[[#This Row],[Total_Score]] &gt;= _xlfn.PERCENTILE.INC(student_scores[Total_Score], 0.8), "Yes", "No")</f>
        <v>No</v>
      </c>
    </row>
    <row r="1567" spans="1:22" x14ac:dyDescent="0.35">
      <c r="A1567">
        <v>1566</v>
      </c>
      <c r="B1567" t="s">
        <v>35</v>
      </c>
      <c r="C1567" t="s">
        <v>2615</v>
      </c>
      <c r="D1567" t="s">
        <v>2616</v>
      </c>
      <c r="E1567" t="s">
        <v>20</v>
      </c>
      <c r="F1567" t="b">
        <v>1</v>
      </c>
      <c r="G1567">
        <v>1</v>
      </c>
      <c r="H1567" t="b">
        <v>0</v>
      </c>
      <c r="I1567">
        <v>29</v>
      </c>
      <c r="J1567" t="s">
        <v>172</v>
      </c>
      <c r="K1567">
        <v>91</v>
      </c>
      <c r="L1567">
        <v>96</v>
      </c>
      <c r="M1567">
        <v>63</v>
      </c>
      <c r="N1567">
        <v>81</v>
      </c>
      <c r="O1567">
        <v>97</v>
      </c>
      <c r="P1567">
        <v>74</v>
      </c>
      <c r="Q1567">
        <v>66</v>
      </c>
      <c r="R1567">
        <f>SUM(student_scores[[#This Row],[math_score]:[geography_score]])</f>
        <v>568</v>
      </c>
      <c r="S1567" s="3">
        <f>student_scores[[#This Row],[Total_Score]]/7</f>
        <v>81.142857142857139</v>
      </c>
      <c r="T1567" s="3" t="str" cm="1">
        <f t="array" ref="T1567">_xlfn.IFS(student_scores[[#This Row],[weekly_self_study_hours]]&lt;=5,   "0 - 5", student_scores[[#This Row],[weekly_self_study_hours]]&lt;=10,  "6 - 10", student_scores[[#This Row],[weekly_self_study_hours]]&lt;=20,  "11 - 20",student_scores[[#This Row],[weekly_self_study_hours]]&lt;=30, "21 - 30",TRUE, "31+")</f>
        <v>21 - 30</v>
      </c>
      <c r="U1567" t="str" cm="1">
        <f t="array" ref="U1567">_xlfn.IFS(student_scores[[#This Row],[absence_days]]=0,"0", student_scores[[#This Row],[absence_days]]&lt;=3,"1-3", student_scores[[#This Row],[absence_days]]&lt;=6,"4-6", TRUE,"7-10")</f>
        <v>1-3</v>
      </c>
      <c r="V1567" t="str">
        <f>IF(student_scores[[#This Row],[Total_Score]] &gt;= _xlfn.PERCENTILE.INC(student_scores[Total_Score], 0.8), "Yes", "No")</f>
        <v>No</v>
      </c>
    </row>
    <row r="1568" spans="1:22" x14ac:dyDescent="0.35">
      <c r="A1568">
        <v>1567</v>
      </c>
      <c r="B1568" t="s">
        <v>2617</v>
      </c>
      <c r="C1568" t="s">
        <v>209</v>
      </c>
      <c r="D1568" t="s">
        <v>2618</v>
      </c>
      <c r="E1568" t="s">
        <v>25</v>
      </c>
      <c r="F1568" t="b">
        <v>0</v>
      </c>
      <c r="G1568">
        <v>1</v>
      </c>
      <c r="H1568" t="b">
        <v>0</v>
      </c>
      <c r="I1568">
        <v>17</v>
      </c>
      <c r="J1568" t="s">
        <v>105</v>
      </c>
      <c r="K1568">
        <v>88</v>
      </c>
      <c r="L1568">
        <v>100</v>
      </c>
      <c r="M1568">
        <v>71</v>
      </c>
      <c r="N1568">
        <v>85</v>
      </c>
      <c r="O1568">
        <v>72</v>
      </c>
      <c r="P1568">
        <v>91</v>
      </c>
      <c r="Q1568">
        <v>81</v>
      </c>
      <c r="R1568">
        <f>SUM(student_scores[[#This Row],[math_score]:[geography_score]])</f>
        <v>588</v>
      </c>
      <c r="S1568" s="3">
        <f>student_scores[[#This Row],[Total_Score]]/7</f>
        <v>84</v>
      </c>
      <c r="T1568" s="3" t="str" cm="1">
        <f t="array" ref="T1568">_xlfn.IFS(student_scores[[#This Row],[weekly_self_study_hours]]&lt;=5,   "0 - 5", student_scores[[#This Row],[weekly_self_study_hours]]&lt;=10,  "6 - 10", student_scores[[#This Row],[weekly_self_study_hours]]&lt;=20,  "11 - 20",student_scores[[#This Row],[weekly_self_study_hours]]&lt;=30, "21 - 30",TRUE, "31+")</f>
        <v>11 - 20</v>
      </c>
      <c r="U1568" t="str" cm="1">
        <f t="array" ref="U1568">_xlfn.IFS(student_scores[[#This Row],[absence_days]]=0,"0", student_scores[[#This Row],[absence_days]]&lt;=3,"1-3", student_scores[[#This Row],[absence_days]]&lt;=6,"4-6", TRUE,"7-10")</f>
        <v>1-3</v>
      </c>
      <c r="V1568" t="str">
        <f>IF(student_scores[[#This Row],[Total_Score]] &gt;= _xlfn.PERCENTILE.INC(student_scores[Total_Score], 0.8), "Yes", "No")</f>
        <v>No</v>
      </c>
    </row>
    <row r="1569" spans="1:22" x14ac:dyDescent="0.35">
      <c r="A1569">
        <v>1568</v>
      </c>
      <c r="B1569" t="s">
        <v>351</v>
      </c>
      <c r="C1569" t="s">
        <v>2619</v>
      </c>
      <c r="D1569" t="s">
        <v>2620</v>
      </c>
      <c r="E1569" t="s">
        <v>25</v>
      </c>
      <c r="F1569" t="b">
        <v>1</v>
      </c>
      <c r="G1569">
        <v>4</v>
      </c>
      <c r="H1569" t="b">
        <v>0</v>
      </c>
      <c r="I1569">
        <v>0</v>
      </c>
      <c r="J1569" t="s">
        <v>64</v>
      </c>
      <c r="K1569">
        <v>49</v>
      </c>
      <c r="L1569">
        <v>51</v>
      </c>
      <c r="M1569">
        <v>57</v>
      </c>
      <c r="N1569">
        <v>80</v>
      </c>
      <c r="O1569">
        <v>89</v>
      </c>
      <c r="P1569">
        <v>53</v>
      </c>
      <c r="Q1569">
        <v>76</v>
      </c>
      <c r="R1569">
        <f>SUM(student_scores[[#This Row],[math_score]:[geography_score]])</f>
        <v>455</v>
      </c>
      <c r="S1569" s="3">
        <f>student_scores[[#This Row],[Total_Score]]/7</f>
        <v>65</v>
      </c>
      <c r="T1569" s="3" t="str" cm="1">
        <f t="array" ref="T1569">_xlfn.IFS(student_scores[[#This Row],[weekly_self_study_hours]]&lt;=5,   "0 - 5", student_scores[[#This Row],[weekly_self_study_hours]]&lt;=10,  "6 - 10", student_scores[[#This Row],[weekly_self_study_hours]]&lt;=20,  "11 - 20",student_scores[[#This Row],[weekly_self_study_hours]]&lt;=30, "21 - 30",TRUE, "31+")</f>
        <v>0 - 5</v>
      </c>
      <c r="U1569" t="str" cm="1">
        <f t="array" ref="U1569">_xlfn.IFS(student_scores[[#This Row],[absence_days]]=0,"0", student_scores[[#This Row],[absence_days]]&lt;=3,"1-3", student_scores[[#This Row],[absence_days]]&lt;=6,"4-6", TRUE,"7-10")</f>
        <v>4-6</v>
      </c>
      <c r="V1569" t="str">
        <f>IF(student_scores[[#This Row],[Total_Score]] &gt;= _xlfn.PERCENTILE.INC(student_scores[Total_Score], 0.8), "Yes", "No")</f>
        <v>No</v>
      </c>
    </row>
    <row r="1570" spans="1:22" x14ac:dyDescent="0.35">
      <c r="A1570">
        <v>1569</v>
      </c>
      <c r="B1570" t="s">
        <v>208</v>
      </c>
      <c r="C1570" t="s">
        <v>326</v>
      </c>
      <c r="D1570" t="s">
        <v>2621</v>
      </c>
      <c r="E1570" t="s">
        <v>20</v>
      </c>
      <c r="F1570" t="b">
        <v>0</v>
      </c>
      <c r="G1570">
        <v>5</v>
      </c>
      <c r="H1570" t="b">
        <v>0</v>
      </c>
      <c r="I1570">
        <v>25</v>
      </c>
      <c r="J1570" t="s">
        <v>109</v>
      </c>
      <c r="K1570">
        <v>73</v>
      </c>
      <c r="L1570">
        <v>94</v>
      </c>
      <c r="M1570">
        <v>74</v>
      </c>
      <c r="N1570">
        <v>72</v>
      </c>
      <c r="O1570">
        <v>80</v>
      </c>
      <c r="P1570">
        <v>98</v>
      </c>
      <c r="Q1570">
        <v>100</v>
      </c>
      <c r="R1570">
        <f>SUM(student_scores[[#This Row],[math_score]:[geography_score]])</f>
        <v>591</v>
      </c>
      <c r="S1570" s="3">
        <f>student_scores[[#This Row],[Total_Score]]/7</f>
        <v>84.428571428571431</v>
      </c>
      <c r="T1570" s="3" t="str" cm="1">
        <f t="array" ref="T1570">_xlfn.IFS(student_scores[[#This Row],[weekly_self_study_hours]]&lt;=5,   "0 - 5", student_scores[[#This Row],[weekly_self_study_hours]]&lt;=10,  "6 - 10", student_scores[[#This Row],[weekly_self_study_hours]]&lt;=20,  "11 - 20",student_scores[[#This Row],[weekly_self_study_hours]]&lt;=30, "21 - 30",TRUE, "31+")</f>
        <v>21 - 30</v>
      </c>
      <c r="U1570" t="str" cm="1">
        <f t="array" ref="U1570">_xlfn.IFS(student_scores[[#This Row],[absence_days]]=0,"0", student_scores[[#This Row],[absence_days]]&lt;=3,"1-3", student_scores[[#This Row],[absence_days]]&lt;=6,"4-6", TRUE,"7-10")</f>
        <v>4-6</v>
      </c>
      <c r="V1570" t="str">
        <f>IF(student_scores[[#This Row],[Total_Score]] &gt;= _xlfn.PERCENTILE.INC(student_scores[Total_Score], 0.8), "Yes", "No")</f>
        <v>No</v>
      </c>
    </row>
    <row r="1571" spans="1:22" x14ac:dyDescent="0.35">
      <c r="A1571">
        <v>1570</v>
      </c>
      <c r="B1571" t="s">
        <v>214</v>
      </c>
      <c r="C1571" t="s">
        <v>1128</v>
      </c>
      <c r="D1571" t="s">
        <v>2622</v>
      </c>
      <c r="E1571" t="s">
        <v>20</v>
      </c>
      <c r="F1571" t="b">
        <v>0</v>
      </c>
      <c r="G1571">
        <v>2</v>
      </c>
      <c r="H1571" t="b">
        <v>0</v>
      </c>
      <c r="I1571">
        <v>23</v>
      </c>
      <c r="J1571" t="s">
        <v>44</v>
      </c>
      <c r="K1571">
        <v>94</v>
      </c>
      <c r="L1571">
        <v>94</v>
      </c>
      <c r="M1571">
        <v>74</v>
      </c>
      <c r="N1571">
        <v>66</v>
      </c>
      <c r="O1571">
        <v>73</v>
      </c>
      <c r="P1571">
        <v>92</v>
      </c>
      <c r="Q1571">
        <v>80</v>
      </c>
      <c r="R1571">
        <f>SUM(student_scores[[#This Row],[math_score]:[geography_score]])</f>
        <v>573</v>
      </c>
      <c r="S1571" s="3">
        <f>student_scores[[#This Row],[Total_Score]]/7</f>
        <v>81.857142857142861</v>
      </c>
      <c r="T1571" s="3" t="str" cm="1">
        <f t="array" ref="T1571">_xlfn.IFS(student_scores[[#This Row],[weekly_self_study_hours]]&lt;=5,   "0 - 5", student_scores[[#This Row],[weekly_self_study_hours]]&lt;=10,  "6 - 10", student_scores[[#This Row],[weekly_self_study_hours]]&lt;=20,  "11 - 20",student_scores[[#This Row],[weekly_self_study_hours]]&lt;=30, "21 - 30",TRUE, "31+")</f>
        <v>21 - 30</v>
      </c>
      <c r="U1571" t="str" cm="1">
        <f t="array" ref="U1571">_xlfn.IFS(student_scores[[#This Row],[absence_days]]=0,"0", student_scores[[#This Row],[absence_days]]&lt;=3,"1-3", student_scores[[#This Row],[absence_days]]&lt;=6,"4-6", TRUE,"7-10")</f>
        <v>1-3</v>
      </c>
      <c r="V1571" t="str">
        <f>IF(student_scores[[#This Row],[Total_Score]] &gt;= _xlfn.PERCENTILE.INC(student_scores[Total_Score], 0.8), "Yes", "No")</f>
        <v>No</v>
      </c>
    </row>
    <row r="1572" spans="1:22" x14ac:dyDescent="0.35">
      <c r="A1572">
        <v>1571</v>
      </c>
      <c r="B1572" t="s">
        <v>631</v>
      </c>
      <c r="C1572" t="s">
        <v>1457</v>
      </c>
      <c r="D1572" t="s">
        <v>2623</v>
      </c>
      <c r="E1572" t="s">
        <v>25</v>
      </c>
      <c r="F1572" t="b">
        <v>1</v>
      </c>
      <c r="G1572">
        <v>5</v>
      </c>
      <c r="H1572" t="b">
        <v>0</v>
      </c>
      <c r="I1572">
        <v>4</v>
      </c>
      <c r="J1572" t="s">
        <v>64</v>
      </c>
      <c r="K1572">
        <v>84</v>
      </c>
      <c r="L1572">
        <v>61</v>
      </c>
      <c r="M1572">
        <v>59</v>
      </c>
      <c r="N1572">
        <v>76</v>
      </c>
      <c r="O1572">
        <v>72</v>
      </c>
      <c r="P1572">
        <v>54</v>
      </c>
      <c r="Q1572">
        <v>66</v>
      </c>
      <c r="R1572">
        <f>SUM(student_scores[[#This Row],[math_score]:[geography_score]])</f>
        <v>472</v>
      </c>
      <c r="S1572" s="3">
        <f>student_scores[[#This Row],[Total_Score]]/7</f>
        <v>67.428571428571431</v>
      </c>
      <c r="T1572" s="3" t="str" cm="1">
        <f t="array" ref="T1572">_xlfn.IFS(student_scores[[#This Row],[weekly_self_study_hours]]&lt;=5,   "0 - 5", student_scores[[#This Row],[weekly_self_study_hours]]&lt;=10,  "6 - 10", student_scores[[#This Row],[weekly_self_study_hours]]&lt;=20,  "11 - 20",student_scores[[#This Row],[weekly_self_study_hours]]&lt;=30, "21 - 30",TRUE, "31+")</f>
        <v>0 - 5</v>
      </c>
      <c r="U1572" t="str" cm="1">
        <f t="array" ref="U1572">_xlfn.IFS(student_scores[[#This Row],[absence_days]]=0,"0", student_scores[[#This Row],[absence_days]]&lt;=3,"1-3", student_scores[[#This Row],[absence_days]]&lt;=6,"4-6", TRUE,"7-10")</f>
        <v>4-6</v>
      </c>
      <c r="V1572" t="str">
        <f>IF(student_scores[[#This Row],[Total_Score]] &gt;= _xlfn.PERCENTILE.INC(student_scores[Total_Score], 0.8), "Yes", "No")</f>
        <v>No</v>
      </c>
    </row>
    <row r="1573" spans="1:22" x14ac:dyDescent="0.35">
      <c r="A1573">
        <v>1572</v>
      </c>
      <c r="B1573" t="s">
        <v>17</v>
      </c>
      <c r="C1573" t="s">
        <v>118</v>
      </c>
      <c r="D1573" t="s">
        <v>2624</v>
      </c>
      <c r="E1573" t="s">
        <v>20</v>
      </c>
      <c r="F1573" t="b">
        <v>0</v>
      </c>
      <c r="G1573">
        <v>7</v>
      </c>
      <c r="H1573" t="b">
        <v>1</v>
      </c>
      <c r="I1573">
        <v>11</v>
      </c>
      <c r="J1573" t="s">
        <v>138</v>
      </c>
      <c r="K1573">
        <v>97</v>
      </c>
      <c r="L1573">
        <v>91</v>
      </c>
      <c r="M1573">
        <v>91</v>
      </c>
      <c r="N1573">
        <v>61</v>
      </c>
      <c r="O1573">
        <v>68</v>
      </c>
      <c r="P1573">
        <v>77</v>
      </c>
      <c r="Q1573">
        <v>97</v>
      </c>
      <c r="R1573">
        <f>SUM(student_scores[[#This Row],[math_score]:[geography_score]])</f>
        <v>582</v>
      </c>
      <c r="S1573" s="3">
        <f>student_scores[[#This Row],[Total_Score]]/7</f>
        <v>83.142857142857139</v>
      </c>
      <c r="T1573" s="3" t="str" cm="1">
        <f t="array" ref="T1573">_xlfn.IFS(student_scores[[#This Row],[weekly_self_study_hours]]&lt;=5,   "0 - 5", student_scores[[#This Row],[weekly_self_study_hours]]&lt;=10,  "6 - 10", student_scores[[#This Row],[weekly_self_study_hours]]&lt;=20,  "11 - 20",student_scores[[#This Row],[weekly_self_study_hours]]&lt;=30, "21 - 30",TRUE, "31+")</f>
        <v>11 - 20</v>
      </c>
      <c r="U1573" t="str" cm="1">
        <f t="array" ref="U1573">_xlfn.IFS(student_scores[[#This Row],[absence_days]]=0,"0", student_scores[[#This Row],[absence_days]]&lt;=3,"1-3", student_scores[[#This Row],[absence_days]]&lt;=6,"4-6", TRUE,"7-10")</f>
        <v>7-10</v>
      </c>
      <c r="V1573" t="str">
        <f>IF(student_scores[[#This Row],[Total_Score]] &gt;= _xlfn.PERCENTILE.INC(student_scores[Total_Score], 0.8), "Yes", "No")</f>
        <v>No</v>
      </c>
    </row>
    <row r="1574" spans="1:22" x14ac:dyDescent="0.35">
      <c r="A1574">
        <v>1573</v>
      </c>
      <c r="B1574" t="s">
        <v>1357</v>
      </c>
      <c r="C1574" t="s">
        <v>215</v>
      </c>
      <c r="D1574" t="s">
        <v>2625</v>
      </c>
      <c r="E1574" t="s">
        <v>25</v>
      </c>
      <c r="F1574" t="b">
        <v>0</v>
      </c>
      <c r="G1574">
        <v>7</v>
      </c>
      <c r="H1574" t="b">
        <v>0</v>
      </c>
      <c r="I1574">
        <v>12</v>
      </c>
      <c r="J1574" t="s">
        <v>38</v>
      </c>
      <c r="K1574">
        <v>82</v>
      </c>
      <c r="L1574">
        <v>84</v>
      </c>
      <c r="M1574">
        <v>69</v>
      </c>
      <c r="N1574">
        <v>66</v>
      </c>
      <c r="O1574">
        <v>65</v>
      </c>
      <c r="P1574">
        <v>74</v>
      </c>
      <c r="Q1574">
        <v>68</v>
      </c>
      <c r="R1574">
        <f>SUM(student_scores[[#This Row],[math_score]:[geography_score]])</f>
        <v>508</v>
      </c>
      <c r="S1574" s="3">
        <f>student_scores[[#This Row],[Total_Score]]/7</f>
        <v>72.571428571428569</v>
      </c>
      <c r="T1574" s="3" t="str" cm="1">
        <f t="array" ref="T1574">_xlfn.IFS(student_scores[[#This Row],[weekly_self_study_hours]]&lt;=5,   "0 - 5", student_scores[[#This Row],[weekly_self_study_hours]]&lt;=10,  "6 - 10", student_scores[[#This Row],[weekly_self_study_hours]]&lt;=20,  "11 - 20",student_scores[[#This Row],[weekly_self_study_hours]]&lt;=30, "21 - 30",TRUE, "31+")</f>
        <v>11 - 20</v>
      </c>
      <c r="U1574" t="str" cm="1">
        <f t="array" ref="U1574">_xlfn.IFS(student_scores[[#This Row],[absence_days]]=0,"0", student_scores[[#This Row],[absence_days]]&lt;=3,"1-3", student_scores[[#This Row],[absence_days]]&lt;=6,"4-6", TRUE,"7-10")</f>
        <v>7-10</v>
      </c>
      <c r="V1574" t="str">
        <f>IF(student_scores[[#This Row],[Total_Score]] &gt;= _xlfn.PERCENTILE.INC(student_scores[Total_Score], 0.8), "Yes", "No")</f>
        <v>No</v>
      </c>
    </row>
    <row r="1575" spans="1:22" x14ac:dyDescent="0.35">
      <c r="A1575">
        <v>1574</v>
      </c>
      <c r="B1575" t="s">
        <v>2626</v>
      </c>
      <c r="C1575" t="s">
        <v>518</v>
      </c>
      <c r="D1575" t="s">
        <v>2627</v>
      </c>
      <c r="E1575" t="s">
        <v>25</v>
      </c>
      <c r="F1575" t="b">
        <v>1</v>
      </c>
      <c r="G1575">
        <v>2</v>
      </c>
      <c r="H1575" t="b">
        <v>0</v>
      </c>
      <c r="I1575">
        <v>48</v>
      </c>
      <c r="J1575" t="s">
        <v>26</v>
      </c>
      <c r="K1575">
        <v>96</v>
      </c>
      <c r="L1575">
        <v>97</v>
      </c>
      <c r="M1575">
        <v>98</v>
      </c>
      <c r="N1575">
        <v>98</v>
      </c>
      <c r="O1575">
        <v>97</v>
      </c>
      <c r="P1575">
        <v>96</v>
      </c>
      <c r="Q1575">
        <v>89</v>
      </c>
      <c r="R1575">
        <f>SUM(student_scores[[#This Row],[math_score]:[geography_score]])</f>
        <v>671</v>
      </c>
      <c r="S1575" s="3">
        <f>student_scores[[#This Row],[Total_Score]]/7</f>
        <v>95.857142857142861</v>
      </c>
      <c r="T1575" s="3" t="str" cm="1">
        <f t="array" ref="T1575">_xlfn.IFS(student_scores[[#This Row],[weekly_self_study_hours]]&lt;=5,   "0 - 5", student_scores[[#This Row],[weekly_self_study_hours]]&lt;=10,  "6 - 10", student_scores[[#This Row],[weekly_self_study_hours]]&lt;=20,  "11 - 20",student_scores[[#This Row],[weekly_self_study_hours]]&lt;=30, "21 - 30",TRUE, "31+")</f>
        <v>31+</v>
      </c>
      <c r="U1575" t="str" cm="1">
        <f t="array" ref="U1575">_xlfn.IFS(student_scores[[#This Row],[absence_days]]=0,"0", student_scores[[#This Row],[absence_days]]&lt;=3,"1-3", student_scores[[#This Row],[absence_days]]&lt;=6,"4-6", TRUE,"7-10")</f>
        <v>1-3</v>
      </c>
      <c r="V1575" t="str">
        <f>IF(student_scores[[#This Row],[Total_Score]] &gt;= _xlfn.PERCENTILE.INC(student_scores[Total_Score], 0.8), "Yes", "No")</f>
        <v>Yes</v>
      </c>
    </row>
    <row r="1576" spans="1:22" x14ac:dyDescent="0.35">
      <c r="A1576">
        <v>1575</v>
      </c>
      <c r="B1576" t="s">
        <v>1391</v>
      </c>
      <c r="C1576" t="s">
        <v>2628</v>
      </c>
      <c r="D1576" t="s">
        <v>2629</v>
      </c>
      <c r="E1576" t="s">
        <v>20</v>
      </c>
      <c r="F1576" t="b">
        <v>0</v>
      </c>
      <c r="G1576">
        <v>4</v>
      </c>
      <c r="H1576" t="b">
        <v>1</v>
      </c>
      <c r="I1576">
        <v>0</v>
      </c>
      <c r="J1576" t="s">
        <v>64</v>
      </c>
      <c r="K1576">
        <v>44</v>
      </c>
      <c r="L1576">
        <v>98</v>
      </c>
      <c r="M1576">
        <v>53</v>
      </c>
      <c r="N1576">
        <v>68</v>
      </c>
      <c r="O1576">
        <v>94</v>
      </c>
      <c r="P1576">
        <v>91</v>
      </c>
      <c r="Q1576">
        <v>84</v>
      </c>
      <c r="R1576">
        <f>SUM(student_scores[[#This Row],[math_score]:[geography_score]])</f>
        <v>532</v>
      </c>
      <c r="S1576" s="3">
        <f>student_scores[[#This Row],[Total_Score]]/7</f>
        <v>76</v>
      </c>
      <c r="T1576" s="3" t="str" cm="1">
        <f t="array" ref="T1576">_xlfn.IFS(student_scores[[#This Row],[weekly_self_study_hours]]&lt;=5,   "0 - 5", student_scores[[#This Row],[weekly_self_study_hours]]&lt;=10,  "6 - 10", student_scores[[#This Row],[weekly_self_study_hours]]&lt;=20,  "11 - 20",student_scores[[#This Row],[weekly_self_study_hours]]&lt;=30, "21 - 30",TRUE, "31+")</f>
        <v>0 - 5</v>
      </c>
      <c r="U1576" t="str" cm="1">
        <f t="array" ref="U1576">_xlfn.IFS(student_scores[[#This Row],[absence_days]]=0,"0", student_scores[[#This Row],[absence_days]]&lt;=3,"1-3", student_scores[[#This Row],[absence_days]]&lt;=6,"4-6", TRUE,"7-10")</f>
        <v>4-6</v>
      </c>
      <c r="V1576" t="str">
        <f>IF(student_scores[[#This Row],[Total_Score]] &gt;= _xlfn.PERCENTILE.INC(student_scores[Total_Score], 0.8), "Yes", "No")</f>
        <v>No</v>
      </c>
    </row>
    <row r="1577" spans="1:22" x14ac:dyDescent="0.35">
      <c r="A1577">
        <v>1576</v>
      </c>
      <c r="B1577" t="s">
        <v>80</v>
      </c>
      <c r="C1577" t="s">
        <v>1420</v>
      </c>
      <c r="D1577" t="s">
        <v>2630</v>
      </c>
      <c r="E1577" t="s">
        <v>20</v>
      </c>
      <c r="F1577" t="b">
        <v>0</v>
      </c>
      <c r="G1577">
        <v>7</v>
      </c>
      <c r="H1577" t="b">
        <v>1</v>
      </c>
      <c r="I1577">
        <v>12</v>
      </c>
      <c r="J1577" t="s">
        <v>105</v>
      </c>
      <c r="K1577">
        <v>97</v>
      </c>
      <c r="L1577">
        <v>64</v>
      </c>
      <c r="M1577">
        <v>90</v>
      </c>
      <c r="N1577">
        <v>69</v>
      </c>
      <c r="O1577">
        <v>88</v>
      </c>
      <c r="P1577">
        <v>83</v>
      </c>
      <c r="Q1577">
        <v>77</v>
      </c>
      <c r="R1577">
        <f>SUM(student_scores[[#This Row],[math_score]:[geography_score]])</f>
        <v>568</v>
      </c>
      <c r="S1577" s="3">
        <f>student_scores[[#This Row],[Total_Score]]/7</f>
        <v>81.142857142857139</v>
      </c>
      <c r="T1577" s="3" t="str" cm="1">
        <f t="array" ref="T1577">_xlfn.IFS(student_scores[[#This Row],[weekly_self_study_hours]]&lt;=5,   "0 - 5", student_scores[[#This Row],[weekly_self_study_hours]]&lt;=10,  "6 - 10", student_scores[[#This Row],[weekly_self_study_hours]]&lt;=20,  "11 - 20",student_scores[[#This Row],[weekly_self_study_hours]]&lt;=30, "21 - 30",TRUE, "31+")</f>
        <v>11 - 20</v>
      </c>
      <c r="U1577" t="str" cm="1">
        <f t="array" ref="U1577">_xlfn.IFS(student_scores[[#This Row],[absence_days]]=0,"0", student_scores[[#This Row],[absence_days]]&lt;=3,"1-3", student_scores[[#This Row],[absence_days]]&lt;=6,"4-6", TRUE,"7-10")</f>
        <v>7-10</v>
      </c>
      <c r="V1577" t="str">
        <f>IF(student_scores[[#This Row],[Total_Score]] &gt;= _xlfn.PERCENTILE.INC(student_scores[Total_Score], 0.8), "Yes", "No")</f>
        <v>No</v>
      </c>
    </row>
    <row r="1578" spans="1:22" x14ac:dyDescent="0.35">
      <c r="A1578">
        <v>1577</v>
      </c>
      <c r="B1578" t="s">
        <v>534</v>
      </c>
      <c r="C1578" t="s">
        <v>934</v>
      </c>
      <c r="D1578" t="s">
        <v>2631</v>
      </c>
      <c r="E1578" t="s">
        <v>25</v>
      </c>
      <c r="F1578" t="b">
        <v>0</v>
      </c>
      <c r="G1578">
        <v>1</v>
      </c>
      <c r="H1578" t="b">
        <v>1</v>
      </c>
      <c r="I1578">
        <v>31</v>
      </c>
      <c r="J1578" t="s">
        <v>105</v>
      </c>
      <c r="K1578">
        <v>77</v>
      </c>
      <c r="L1578">
        <v>93</v>
      </c>
      <c r="M1578">
        <v>65</v>
      </c>
      <c r="N1578">
        <v>68</v>
      </c>
      <c r="O1578">
        <v>71</v>
      </c>
      <c r="P1578">
        <v>75</v>
      </c>
      <c r="Q1578">
        <v>76</v>
      </c>
      <c r="R1578">
        <f>SUM(student_scores[[#This Row],[math_score]:[geography_score]])</f>
        <v>525</v>
      </c>
      <c r="S1578" s="3">
        <f>student_scores[[#This Row],[Total_Score]]/7</f>
        <v>75</v>
      </c>
      <c r="T1578" s="3" t="str" cm="1">
        <f t="array" ref="T1578">_xlfn.IFS(student_scores[[#This Row],[weekly_self_study_hours]]&lt;=5,   "0 - 5", student_scores[[#This Row],[weekly_self_study_hours]]&lt;=10,  "6 - 10", student_scores[[#This Row],[weekly_self_study_hours]]&lt;=20,  "11 - 20",student_scores[[#This Row],[weekly_self_study_hours]]&lt;=30, "21 - 30",TRUE, "31+")</f>
        <v>31+</v>
      </c>
      <c r="U1578" t="str" cm="1">
        <f t="array" ref="U1578">_xlfn.IFS(student_scores[[#This Row],[absence_days]]=0,"0", student_scores[[#This Row],[absence_days]]&lt;=3,"1-3", student_scores[[#This Row],[absence_days]]&lt;=6,"4-6", TRUE,"7-10")</f>
        <v>1-3</v>
      </c>
      <c r="V1578" t="str">
        <f>IF(student_scores[[#This Row],[Total_Score]] &gt;= _xlfn.PERCENTILE.INC(student_scores[Total_Score], 0.8), "Yes", "No")</f>
        <v>No</v>
      </c>
    </row>
    <row r="1579" spans="1:22" x14ac:dyDescent="0.35">
      <c r="A1579">
        <v>1578</v>
      </c>
      <c r="B1579" t="s">
        <v>433</v>
      </c>
      <c r="C1579" t="s">
        <v>1420</v>
      </c>
      <c r="D1579" t="s">
        <v>2632</v>
      </c>
      <c r="E1579" t="s">
        <v>25</v>
      </c>
      <c r="F1579" t="b">
        <v>1</v>
      </c>
      <c r="G1579">
        <v>9</v>
      </c>
      <c r="H1579" t="b">
        <v>0</v>
      </c>
      <c r="I1579">
        <v>19</v>
      </c>
      <c r="J1579" t="s">
        <v>113</v>
      </c>
      <c r="K1579">
        <v>89</v>
      </c>
      <c r="L1579">
        <v>99</v>
      </c>
      <c r="M1579">
        <v>96</v>
      </c>
      <c r="N1579">
        <v>72</v>
      </c>
      <c r="O1579">
        <v>84</v>
      </c>
      <c r="P1579">
        <v>62</v>
      </c>
      <c r="Q1579">
        <v>98</v>
      </c>
      <c r="R1579">
        <f>SUM(student_scores[[#This Row],[math_score]:[geography_score]])</f>
        <v>600</v>
      </c>
      <c r="S1579" s="3">
        <f>student_scores[[#This Row],[Total_Score]]/7</f>
        <v>85.714285714285708</v>
      </c>
      <c r="T1579" s="3" t="str" cm="1">
        <f t="array" ref="T1579">_xlfn.IFS(student_scores[[#This Row],[weekly_self_study_hours]]&lt;=5,   "0 - 5", student_scores[[#This Row],[weekly_self_study_hours]]&lt;=10,  "6 - 10", student_scores[[#This Row],[weekly_self_study_hours]]&lt;=20,  "11 - 20",student_scores[[#This Row],[weekly_self_study_hours]]&lt;=30, "21 - 30",TRUE, "31+")</f>
        <v>11 - 20</v>
      </c>
      <c r="U1579" t="str" cm="1">
        <f t="array" ref="U1579">_xlfn.IFS(student_scores[[#This Row],[absence_days]]=0,"0", student_scores[[#This Row],[absence_days]]&lt;=3,"1-3", student_scores[[#This Row],[absence_days]]&lt;=6,"4-6", TRUE,"7-10")</f>
        <v>7-10</v>
      </c>
      <c r="V1579" t="str">
        <f>IF(student_scores[[#This Row],[Total_Score]] &gt;= _xlfn.PERCENTILE.INC(student_scores[Total_Score], 0.8), "Yes", "No")</f>
        <v>No</v>
      </c>
    </row>
    <row r="1580" spans="1:22" x14ac:dyDescent="0.35">
      <c r="A1580">
        <v>1579</v>
      </c>
      <c r="B1580" t="s">
        <v>2633</v>
      </c>
      <c r="C1580" t="s">
        <v>667</v>
      </c>
      <c r="D1580" t="s">
        <v>2634</v>
      </c>
      <c r="E1580" t="s">
        <v>25</v>
      </c>
      <c r="F1580" t="b">
        <v>0</v>
      </c>
      <c r="G1580">
        <v>0</v>
      </c>
      <c r="H1580" t="b">
        <v>0</v>
      </c>
      <c r="I1580">
        <v>17</v>
      </c>
      <c r="J1580" t="s">
        <v>44</v>
      </c>
      <c r="K1580">
        <v>86</v>
      </c>
      <c r="L1580">
        <v>92</v>
      </c>
      <c r="M1580">
        <v>65</v>
      </c>
      <c r="N1580">
        <v>81</v>
      </c>
      <c r="O1580">
        <v>73</v>
      </c>
      <c r="P1580">
        <v>84</v>
      </c>
      <c r="Q1580">
        <v>79</v>
      </c>
      <c r="R1580">
        <f>SUM(student_scores[[#This Row],[math_score]:[geography_score]])</f>
        <v>560</v>
      </c>
      <c r="S1580" s="3">
        <f>student_scores[[#This Row],[Total_Score]]/7</f>
        <v>80</v>
      </c>
      <c r="T1580" s="3" t="str" cm="1">
        <f t="array" ref="T1580">_xlfn.IFS(student_scores[[#This Row],[weekly_self_study_hours]]&lt;=5,   "0 - 5", student_scores[[#This Row],[weekly_self_study_hours]]&lt;=10,  "6 - 10", student_scores[[#This Row],[weekly_self_study_hours]]&lt;=20,  "11 - 20",student_scores[[#This Row],[weekly_self_study_hours]]&lt;=30, "21 - 30",TRUE, "31+")</f>
        <v>11 - 20</v>
      </c>
      <c r="U1580" t="str" cm="1">
        <f t="array" ref="U1580">_xlfn.IFS(student_scores[[#This Row],[absence_days]]=0,"0", student_scores[[#This Row],[absence_days]]&lt;=3,"1-3", student_scores[[#This Row],[absence_days]]&lt;=6,"4-6", TRUE,"7-10")</f>
        <v>0</v>
      </c>
      <c r="V1580" t="str">
        <f>IF(student_scores[[#This Row],[Total_Score]] &gt;= _xlfn.PERCENTILE.INC(student_scores[Total_Score], 0.8), "Yes", "No")</f>
        <v>No</v>
      </c>
    </row>
    <row r="1581" spans="1:22" x14ac:dyDescent="0.35">
      <c r="A1581">
        <v>1580</v>
      </c>
      <c r="B1581" t="s">
        <v>1589</v>
      </c>
      <c r="C1581" t="s">
        <v>768</v>
      </c>
      <c r="D1581" t="s">
        <v>2635</v>
      </c>
      <c r="E1581" t="s">
        <v>20</v>
      </c>
      <c r="F1581" t="b">
        <v>0</v>
      </c>
      <c r="G1581">
        <v>6</v>
      </c>
      <c r="H1581" t="b">
        <v>1</v>
      </c>
      <c r="I1581">
        <v>24</v>
      </c>
      <c r="J1581" t="s">
        <v>38</v>
      </c>
      <c r="K1581">
        <v>73</v>
      </c>
      <c r="L1581">
        <v>71</v>
      </c>
      <c r="M1581">
        <v>84</v>
      </c>
      <c r="N1581">
        <v>96</v>
      </c>
      <c r="O1581">
        <v>92</v>
      </c>
      <c r="P1581">
        <v>94</v>
      </c>
      <c r="Q1581">
        <v>75</v>
      </c>
      <c r="R1581">
        <f>SUM(student_scores[[#This Row],[math_score]:[geography_score]])</f>
        <v>585</v>
      </c>
      <c r="S1581" s="3">
        <f>student_scores[[#This Row],[Total_Score]]/7</f>
        <v>83.571428571428569</v>
      </c>
      <c r="T1581" s="3" t="str" cm="1">
        <f t="array" ref="T1581">_xlfn.IFS(student_scores[[#This Row],[weekly_self_study_hours]]&lt;=5,   "0 - 5", student_scores[[#This Row],[weekly_self_study_hours]]&lt;=10,  "6 - 10", student_scores[[#This Row],[weekly_self_study_hours]]&lt;=20,  "11 - 20",student_scores[[#This Row],[weekly_self_study_hours]]&lt;=30, "21 - 30",TRUE, "31+")</f>
        <v>21 - 30</v>
      </c>
      <c r="U1581" t="str" cm="1">
        <f t="array" ref="U1581">_xlfn.IFS(student_scores[[#This Row],[absence_days]]=0,"0", student_scores[[#This Row],[absence_days]]&lt;=3,"1-3", student_scores[[#This Row],[absence_days]]&lt;=6,"4-6", TRUE,"7-10")</f>
        <v>4-6</v>
      </c>
      <c r="V1581" t="str">
        <f>IF(student_scores[[#This Row],[Total_Score]] &gt;= _xlfn.PERCENTILE.INC(student_scores[Total_Score], 0.8), "Yes", "No")</f>
        <v>No</v>
      </c>
    </row>
    <row r="1582" spans="1:22" x14ac:dyDescent="0.35">
      <c r="A1582">
        <v>1581</v>
      </c>
      <c r="B1582" t="s">
        <v>68</v>
      </c>
      <c r="C1582" t="s">
        <v>181</v>
      </c>
      <c r="D1582" t="s">
        <v>2636</v>
      </c>
      <c r="E1582" t="s">
        <v>25</v>
      </c>
      <c r="F1582" t="b">
        <v>0</v>
      </c>
      <c r="G1582">
        <v>2</v>
      </c>
      <c r="H1582" t="b">
        <v>0</v>
      </c>
      <c r="I1582">
        <v>11</v>
      </c>
      <c r="J1582" t="s">
        <v>54</v>
      </c>
      <c r="K1582">
        <v>61</v>
      </c>
      <c r="L1582">
        <v>75</v>
      </c>
      <c r="M1582">
        <v>95</v>
      </c>
      <c r="N1582">
        <v>62</v>
      </c>
      <c r="O1582">
        <v>93</v>
      </c>
      <c r="P1582">
        <v>92</v>
      </c>
      <c r="Q1582">
        <v>87</v>
      </c>
      <c r="R1582">
        <f>SUM(student_scores[[#This Row],[math_score]:[geography_score]])</f>
        <v>565</v>
      </c>
      <c r="S1582" s="3">
        <f>student_scores[[#This Row],[Total_Score]]/7</f>
        <v>80.714285714285708</v>
      </c>
      <c r="T1582" s="3" t="str" cm="1">
        <f t="array" ref="T1582">_xlfn.IFS(student_scores[[#This Row],[weekly_self_study_hours]]&lt;=5,   "0 - 5", student_scores[[#This Row],[weekly_self_study_hours]]&lt;=10,  "6 - 10", student_scores[[#This Row],[weekly_self_study_hours]]&lt;=20,  "11 - 20",student_scores[[#This Row],[weekly_self_study_hours]]&lt;=30, "21 - 30",TRUE, "31+")</f>
        <v>11 - 20</v>
      </c>
      <c r="U1582" t="str" cm="1">
        <f t="array" ref="U1582">_xlfn.IFS(student_scores[[#This Row],[absence_days]]=0,"0", student_scores[[#This Row],[absence_days]]&lt;=3,"1-3", student_scores[[#This Row],[absence_days]]&lt;=6,"4-6", TRUE,"7-10")</f>
        <v>1-3</v>
      </c>
      <c r="V1582" t="str">
        <f>IF(student_scores[[#This Row],[Total_Score]] &gt;= _xlfn.PERCENTILE.INC(student_scores[Total_Score], 0.8), "Yes", "No")</f>
        <v>No</v>
      </c>
    </row>
    <row r="1583" spans="1:22" x14ac:dyDescent="0.35">
      <c r="A1583">
        <v>1582</v>
      </c>
      <c r="B1583" t="s">
        <v>280</v>
      </c>
      <c r="C1583" t="s">
        <v>1030</v>
      </c>
      <c r="D1583" t="s">
        <v>2637</v>
      </c>
      <c r="E1583" t="s">
        <v>20</v>
      </c>
      <c r="F1583" t="b">
        <v>1</v>
      </c>
      <c r="G1583">
        <v>6</v>
      </c>
      <c r="H1583" t="b">
        <v>0</v>
      </c>
      <c r="I1583">
        <v>2</v>
      </c>
      <c r="J1583" t="s">
        <v>64</v>
      </c>
      <c r="K1583">
        <v>81</v>
      </c>
      <c r="L1583">
        <v>90</v>
      </c>
      <c r="M1583">
        <v>75</v>
      </c>
      <c r="N1583">
        <v>83</v>
      </c>
      <c r="O1583">
        <v>70</v>
      </c>
      <c r="P1583">
        <v>55</v>
      </c>
      <c r="Q1583">
        <v>62</v>
      </c>
      <c r="R1583">
        <f>SUM(student_scores[[#This Row],[math_score]:[geography_score]])</f>
        <v>516</v>
      </c>
      <c r="S1583" s="3">
        <f>student_scores[[#This Row],[Total_Score]]/7</f>
        <v>73.714285714285708</v>
      </c>
      <c r="T1583" s="3" t="str" cm="1">
        <f t="array" ref="T1583">_xlfn.IFS(student_scores[[#This Row],[weekly_self_study_hours]]&lt;=5,   "0 - 5", student_scores[[#This Row],[weekly_self_study_hours]]&lt;=10,  "6 - 10", student_scores[[#This Row],[weekly_self_study_hours]]&lt;=20,  "11 - 20",student_scores[[#This Row],[weekly_self_study_hours]]&lt;=30, "21 - 30",TRUE, "31+")</f>
        <v>0 - 5</v>
      </c>
      <c r="U1583" t="str" cm="1">
        <f t="array" ref="U1583">_xlfn.IFS(student_scores[[#This Row],[absence_days]]=0,"0", student_scores[[#This Row],[absence_days]]&lt;=3,"1-3", student_scores[[#This Row],[absence_days]]&lt;=6,"4-6", TRUE,"7-10")</f>
        <v>4-6</v>
      </c>
      <c r="V1583" t="str">
        <f>IF(student_scores[[#This Row],[Total_Score]] &gt;= _xlfn.PERCENTILE.INC(student_scores[Total_Score], 0.8), "Yes", "No")</f>
        <v>No</v>
      </c>
    </row>
    <row r="1584" spans="1:22" x14ac:dyDescent="0.35">
      <c r="A1584">
        <v>1583</v>
      </c>
      <c r="B1584" t="s">
        <v>848</v>
      </c>
      <c r="C1584" t="s">
        <v>1975</v>
      </c>
      <c r="D1584" t="s">
        <v>2638</v>
      </c>
      <c r="E1584" t="s">
        <v>25</v>
      </c>
      <c r="F1584" t="b">
        <v>1</v>
      </c>
      <c r="G1584">
        <v>2</v>
      </c>
      <c r="H1584" t="b">
        <v>1</v>
      </c>
      <c r="I1584">
        <v>32</v>
      </c>
      <c r="J1584" t="s">
        <v>26</v>
      </c>
      <c r="K1584">
        <v>90</v>
      </c>
      <c r="L1584">
        <v>99</v>
      </c>
      <c r="M1584">
        <v>94</v>
      </c>
      <c r="N1584">
        <v>91</v>
      </c>
      <c r="O1584">
        <v>92</v>
      </c>
      <c r="P1584">
        <v>85</v>
      </c>
      <c r="Q1584">
        <v>64</v>
      </c>
      <c r="R1584">
        <f>SUM(student_scores[[#This Row],[math_score]:[geography_score]])</f>
        <v>615</v>
      </c>
      <c r="S1584" s="3">
        <f>student_scores[[#This Row],[Total_Score]]/7</f>
        <v>87.857142857142861</v>
      </c>
      <c r="T1584" s="3" t="str" cm="1">
        <f t="array" ref="T1584">_xlfn.IFS(student_scores[[#This Row],[weekly_self_study_hours]]&lt;=5,   "0 - 5", student_scores[[#This Row],[weekly_self_study_hours]]&lt;=10,  "6 - 10", student_scores[[#This Row],[weekly_self_study_hours]]&lt;=20,  "11 - 20",student_scores[[#This Row],[weekly_self_study_hours]]&lt;=30, "21 - 30",TRUE, "31+")</f>
        <v>31+</v>
      </c>
      <c r="U1584" t="str" cm="1">
        <f t="array" ref="U1584">_xlfn.IFS(student_scores[[#This Row],[absence_days]]=0,"0", student_scores[[#This Row],[absence_days]]&lt;=3,"1-3", student_scores[[#This Row],[absence_days]]&lt;=6,"4-6", TRUE,"7-10")</f>
        <v>1-3</v>
      </c>
      <c r="V1584" t="str">
        <f>IF(student_scores[[#This Row],[Total_Score]] &gt;= _xlfn.PERCENTILE.INC(student_scores[Total_Score], 0.8), "Yes", "No")</f>
        <v>Yes</v>
      </c>
    </row>
    <row r="1585" spans="1:22" x14ac:dyDescent="0.35">
      <c r="A1585">
        <v>1584</v>
      </c>
      <c r="B1585" t="s">
        <v>1391</v>
      </c>
      <c r="C1585" t="s">
        <v>364</v>
      </c>
      <c r="D1585" t="s">
        <v>2639</v>
      </c>
      <c r="E1585" t="s">
        <v>20</v>
      </c>
      <c r="F1585" t="b">
        <v>0</v>
      </c>
      <c r="G1585">
        <v>7</v>
      </c>
      <c r="H1585" t="b">
        <v>0</v>
      </c>
      <c r="I1585">
        <v>5</v>
      </c>
      <c r="J1585" t="s">
        <v>159</v>
      </c>
      <c r="K1585">
        <v>88</v>
      </c>
      <c r="L1585">
        <v>60</v>
      </c>
      <c r="M1585">
        <v>87</v>
      </c>
      <c r="N1585">
        <v>95</v>
      </c>
      <c r="O1585">
        <v>65</v>
      </c>
      <c r="P1585">
        <v>75</v>
      </c>
      <c r="Q1585">
        <v>76</v>
      </c>
      <c r="R1585">
        <f>SUM(student_scores[[#This Row],[math_score]:[geography_score]])</f>
        <v>546</v>
      </c>
      <c r="S1585" s="3">
        <f>student_scores[[#This Row],[Total_Score]]/7</f>
        <v>78</v>
      </c>
      <c r="T1585" s="3" t="str" cm="1">
        <f t="array" ref="T1585">_xlfn.IFS(student_scores[[#This Row],[weekly_self_study_hours]]&lt;=5,   "0 - 5", student_scores[[#This Row],[weekly_self_study_hours]]&lt;=10,  "6 - 10", student_scores[[#This Row],[weekly_self_study_hours]]&lt;=20,  "11 - 20",student_scores[[#This Row],[weekly_self_study_hours]]&lt;=30, "21 - 30",TRUE, "31+")</f>
        <v>0 - 5</v>
      </c>
      <c r="U1585" t="str" cm="1">
        <f t="array" ref="U1585">_xlfn.IFS(student_scores[[#This Row],[absence_days]]=0,"0", student_scores[[#This Row],[absence_days]]&lt;=3,"1-3", student_scores[[#This Row],[absence_days]]&lt;=6,"4-6", TRUE,"7-10")</f>
        <v>7-10</v>
      </c>
      <c r="V1585" t="str">
        <f>IF(student_scores[[#This Row],[Total_Score]] &gt;= _xlfn.PERCENTILE.INC(student_scores[Total_Score], 0.8), "Yes", "No")</f>
        <v>No</v>
      </c>
    </row>
    <row r="1586" spans="1:22" x14ac:dyDescent="0.35">
      <c r="A1586">
        <v>1585</v>
      </c>
      <c r="B1586" t="s">
        <v>2261</v>
      </c>
      <c r="C1586" t="s">
        <v>1478</v>
      </c>
      <c r="D1586" t="s">
        <v>2640</v>
      </c>
      <c r="E1586" t="s">
        <v>20</v>
      </c>
      <c r="F1586" t="b">
        <v>0</v>
      </c>
      <c r="G1586">
        <v>5</v>
      </c>
      <c r="H1586" t="b">
        <v>1</v>
      </c>
      <c r="I1586">
        <v>23</v>
      </c>
      <c r="J1586" t="s">
        <v>26</v>
      </c>
      <c r="K1586">
        <v>86</v>
      </c>
      <c r="L1586">
        <v>92</v>
      </c>
      <c r="M1586">
        <v>84</v>
      </c>
      <c r="N1586">
        <v>82</v>
      </c>
      <c r="O1586">
        <v>88</v>
      </c>
      <c r="P1586">
        <v>84</v>
      </c>
      <c r="Q1586">
        <v>65</v>
      </c>
      <c r="R1586">
        <f>SUM(student_scores[[#This Row],[math_score]:[geography_score]])</f>
        <v>581</v>
      </c>
      <c r="S1586" s="3">
        <f>student_scores[[#This Row],[Total_Score]]/7</f>
        <v>83</v>
      </c>
      <c r="T1586" s="3" t="str" cm="1">
        <f t="array" ref="T1586">_xlfn.IFS(student_scores[[#This Row],[weekly_self_study_hours]]&lt;=5,   "0 - 5", student_scores[[#This Row],[weekly_self_study_hours]]&lt;=10,  "6 - 10", student_scores[[#This Row],[weekly_self_study_hours]]&lt;=20,  "11 - 20",student_scores[[#This Row],[weekly_self_study_hours]]&lt;=30, "21 - 30",TRUE, "31+")</f>
        <v>21 - 30</v>
      </c>
      <c r="U1586" t="str" cm="1">
        <f t="array" ref="U1586">_xlfn.IFS(student_scores[[#This Row],[absence_days]]=0,"0", student_scores[[#This Row],[absence_days]]&lt;=3,"1-3", student_scores[[#This Row],[absence_days]]&lt;=6,"4-6", TRUE,"7-10")</f>
        <v>4-6</v>
      </c>
      <c r="V1586" t="str">
        <f>IF(student_scores[[#This Row],[Total_Score]] &gt;= _xlfn.PERCENTILE.INC(student_scores[Total_Score], 0.8), "Yes", "No")</f>
        <v>No</v>
      </c>
    </row>
    <row r="1587" spans="1:22" x14ac:dyDescent="0.35">
      <c r="A1587">
        <v>1586</v>
      </c>
      <c r="B1587" t="s">
        <v>417</v>
      </c>
      <c r="C1587" t="s">
        <v>2641</v>
      </c>
      <c r="D1587" t="s">
        <v>2642</v>
      </c>
      <c r="E1587" t="s">
        <v>25</v>
      </c>
      <c r="F1587" t="b">
        <v>0</v>
      </c>
      <c r="G1587">
        <v>8</v>
      </c>
      <c r="H1587" t="b">
        <v>0</v>
      </c>
      <c r="I1587">
        <v>14</v>
      </c>
      <c r="J1587" t="s">
        <v>105</v>
      </c>
      <c r="K1587">
        <v>78</v>
      </c>
      <c r="L1587">
        <v>75</v>
      </c>
      <c r="M1587">
        <v>82</v>
      </c>
      <c r="N1587">
        <v>91</v>
      </c>
      <c r="O1587">
        <v>86</v>
      </c>
      <c r="P1587">
        <v>76</v>
      </c>
      <c r="Q1587">
        <v>69</v>
      </c>
      <c r="R1587">
        <f>SUM(student_scores[[#This Row],[math_score]:[geography_score]])</f>
        <v>557</v>
      </c>
      <c r="S1587" s="3">
        <f>student_scores[[#This Row],[Total_Score]]/7</f>
        <v>79.571428571428569</v>
      </c>
      <c r="T1587" s="3" t="str" cm="1">
        <f t="array" ref="T1587">_xlfn.IFS(student_scores[[#This Row],[weekly_self_study_hours]]&lt;=5,   "0 - 5", student_scores[[#This Row],[weekly_self_study_hours]]&lt;=10,  "6 - 10", student_scores[[#This Row],[weekly_self_study_hours]]&lt;=20,  "11 - 20",student_scores[[#This Row],[weekly_self_study_hours]]&lt;=30, "21 - 30",TRUE, "31+")</f>
        <v>11 - 20</v>
      </c>
      <c r="U1587" t="str" cm="1">
        <f t="array" ref="U1587">_xlfn.IFS(student_scores[[#This Row],[absence_days]]=0,"0", student_scores[[#This Row],[absence_days]]&lt;=3,"1-3", student_scores[[#This Row],[absence_days]]&lt;=6,"4-6", TRUE,"7-10")</f>
        <v>7-10</v>
      </c>
      <c r="V1587" t="str">
        <f>IF(student_scores[[#This Row],[Total_Score]] &gt;= _xlfn.PERCENTILE.INC(student_scores[Total_Score], 0.8), "Yes", "No")</f>
        <v>No</v>
      </c>
    </row>
    <row r="1588" spans="1:22" x14ac:dyDescent="0.35">
      <c r="A1588">
        <v>1587</v>
      </c>
      <c r="B1588" t="s">
        <v>1043</v>
      </c>
      <c r="C1588" t="s">
        <v>1508</v>
      </c>
      <c r="D1588" t="s">
        <v>2643</v>
      </c>
      <c r="E1588" t="s">
        <v>20</v>
      </c>
      <c r="F1588" t="b">
        <v>1</v>
      </c>
      <c r="G1588">
        <v>6</v>
      </c>
      <c r="H1588" t="b">
        <v>0</v>
      </c>
      <c r="I1588">
        <v>1</v>
      </c>
      <c r="J1588" t="s">
        <v>64</v>
      </c>
      <c r="K1588">
        <v>73</v>
      </c>
      <c r="L1588">
        <v>90</v>
      </c>
      <c r="M1588">
        <v>70</v>
      </c>
      <c r="N1588">
        <v>80</v>
      </c>
      <c r="O1588">
        <v>64</v>
      </c>
      <c r="P1588">
        <v>53</v>
      </c>
      <c r="Q1588">
        <v>79</v>
      </c>
      <c r="R1588">
        <f>SUM(student_scores[[#This Row],[math_score]:[geography_score]])</f>
        <v>509</v>
      </c>
      <c r="S1588" s="3">
        <f>student_scores[[#This Row],[Total_Score]]/7</f>
        <v>72.714285714285708</v>
      </c>
      <c r="T1588" s="3" t="str" cm="1">
        <f t="array" ref="T1588">_xlfn.IFS(student_scores[[#This Row],[weekly_self_study_hours]]&lt;=5,   "0 - 5", student_scores[[#This Row],[weekly_self_study_hours]]&lt;=10,  "6 - 10", student_scores[[#This Row],[weekly_self_study_hours]]&lt;=20,  "11 - 20",student_scores[[#This Row],[weekly_self_study_hours]]&lt;=30, "21 - 30",TRUE, "31+")</f>
        <v>0 - 5</v>
      </c>
      <c r="U1588" t="str" cm="1">
        <f t="array" ref="U1588">_xlfn.IFS(student_scores[[#This Row],[absence_days]]=0,"0", student_scores[[#This Row],[absence_days]]&lt;=3,"1-3", student_scores[[#This Row],[absence_days]]&lt;=6,"4-6", TRUE,"7-10")</f>
        <v>4-6</v>
      </c>
      <c r="V1588" t="str">
        <f>IF(student_scores[[#This Row],[Total_Score]] &gt;= _xlfn.PERCENTILE.INC(student_scores[Total_Score], 0.8), "Yes", "No")</f>
        <v>No</v>
      </c>
    </row>
    <row r="1589" spans="1:22" x14ac:dyDescent="0.35">
      <c r="A1589">
        <v>1588</v>
      </c>
      <c r="B1589" t="s">
        <v>102</v>
      </c>
      <c r="C1589" t="s">
        <v>300</v>
      </c>
      <c r="D1589" t="s">
        <v>2644</v>
      </c>
      <c r="E1589" t="s">
        <v>20</v>
      </c>
      <c r="F1589" t="b">
        <v>0</v>
      </c>
      <c r="G1589">
        <v>4</v>
      </c>
      <c r="H1589" t="b">
        <v>0</v>
      </c>
      <c r="I1589">
        <v>32</v>
      </c>
      <c r="J1589" t="s">
        <v>76</v>
      </c>
      <c r="K1589">
        <v>98</v>
      </c>
      <c r="L1589">
        <v>82</v>
      </c>
      <c r="M1589">
        <v>91</v>
      </c>
      <c r="N1589">
        <v>93</v>
      </c>
      <c r="O1589">
        <v>85</v>
      </c>
      <c r="P1589">
        <v>75</v>
      </c>
      <c r="Q1589">
        <v>78</v>
      </c>
      <c r="R1589">
        <f>SUM(student_scores[[#This Row],[math_score]:[geography_score]])</f>
        <v>602</v>
      </c>
      <c r="S1589" s="3">
        <f>student_scores[[#This Row],[Total_Score]]/7</f>
        <v>86</v>
      </c>
      <c r="T1589" s="3" t="str" cm="1">
        <f t="array" ref="T1589">_xlfn.IFS(student_scores[[#This Row],[weekly_self_study_hours]]&lt;=5,   "0 - 5", student_scores[[#This Row],[weekly_self_study_hours]]&lt;=10,  "6 - 10", student_scores[[#This Row],[weekly_self_study_hours]]&lt;=20,  "11 - 20",student_scores[[#This Row],[weekly_self_study_hours]]&lt;=30, "21 - 30",TRUE, "31+")</f>
        <v>31+</v>
      </c>
      <c r="U1589" t="str" cm="1">
        <f t="array" ref="U1589">_xlfn.IFS(student_scores[[#This Row],[absence_days]]=0,"0", student_scores[[#This Row],[absence_days]]&lt;=3,"1-3", student_scores[[#This Row],[absence_days]]&lt;=6,"4-6", TRUE,"7-10")</f>
        <v>4-6</v>
      </c>
      <c r="V1589" t="str">
        <f>IF(student_scores[[#This Row],[Total_Score]] &gt;= _xlfn.PERCENTILE.INC(student_scores[Total_Score], 0.8), "Yes", "No")</f>
        <v>Yes</v>
      </c>
    </row>
    <row r="1590" spans="1:22" x14ac:dyDescent="0.35">
      <c r="A1590">
        <v>1589</v>
      </c>
      <c r="B1590" t="s">
        <v>1378</v>
      </c>
      <c r="C1590" t="s">
        <v>2173</v>
      </c>
      <c r="D1590" t="s">
        <v>2645</v>
      </c>
      <c r="E1590" t="s">
        <v>20</v>
      </c>
      <c r="F1590" t="b">
        <v>0</v>
      </c>
      <c r="G1590">
        <v>1</v>
      </c>
      <c r="H1590" t="b">
        <v>0</v>
      </c>
      <c r="I1590">
        <v>34</v>
      </c>
      <c r="J1590" t="s">
        <v>76</v>
      </c>
      <c r="K1590">
        <v>81</v>
      </c>
      <c r="L1590">
        <v>79</v>
      </c>
      <c r="M1590">
        <v>100</v>
      </c>
      <c r="N1590">
        <v>88</v>
      </c>
      <c r="O1590">
        <v>81</v>
      </c>
      <c r="P1590">
        <v>64</v>
      </c>
      <c r="Q1590">
        <v>95</v>
      </c>
      <c r="R1590">
        <f>SUM(student_scores[[#This Row],[math_score]:[geography_score]])</f>
        <v>588</v>
      </c>
      <c r="S1590" s="3">
        <f>student_scores[[#This Row],[Total_Score]]/7</f>
        <v>84</v>
      </c>
      <c r="T1590" s="3" t="str" cm="1">
        <f t="array" ref="T1590">_xlfn.IFS(student_scores[[#This Row],[weekly_self_study_hours]]&lt;=5,   "0 - 5", student_scores[[#This Row],[weekly_self_study_hours]]&lt;=10,  "6 - 10", student_scores[[#This Row],[weekly_self_study_hours]]&lt;=20,  "11 - 20",student_scores[[#This Row],[weekly_self_study_hours]]&lt;=30, "21 - 30",TRUE, "31+")</f>
        <v>31+</v>
      </c>
      <c r="U1590" t="str" cm="1">
        <f t="array" ref="U1590">_xlfn.IFS(student_scores[[#This Row],[absence_days]]=0,"0", student_scores[[#This Row],[absence_days]]&lt;=3,"1-3", student_scores[[#This Row],[absence_days]]&lt;=6,"4-6", TRUE,"7-10")</f>
        <v>1-3</v>
      </c>
      <c r="V1590" t="str">
        <f>IF(student_scores[[#This Row],[Total_Score]] &gt;= _xlfn.PERCENTILE.INC(student_scores[Total_Score], 0.8), "Yes", "No")</f>
        <v>No</v>
      </c>
    </row>
    <row r="1591" spans="1:22" x14ac:dyDescent="0.35">
      <c r="A1591">
        <v>1590</v>
      </c>
      <c r="B1591" t="s">
        <v>1902</v>
      </c>
      <c r="C1591" t="s">
        <v>1664</v>
      </c>
      <c r="D1591" t="s">
        <v>2646</v>
      </c>
      <c r="E1591" t="s">
        <v>25</v>
      </c>
      <c r="F1591" t="b">
        <v>0</v>
      </c>
      <c r="G1591">
        <v>2</v>
      </c>
      <c r="H1591" t="b">
        <v>1</v>
      </c>
      <c r="I1591">
        <v>13</v>
      </c>
      <c r="J1591" t="s">
        <v>38</v>
      </c>
      <c r="K1591">
        <v>73</v>
      </c>
      <c r="L1591">
        <v>87</v>
      </c>
      <c r="M1591">
        <v>72</v>
      </c>
      <c r="N1591">
        <v>98</v>
      </c>
      <c r="O1591">
        <v>82</v>
      </c>
      <c r="P1591">
        <v>89</v>
      </c>
      <c r="Q1591">
        <v>98</v>
      </c>
      <c r="R1591">
        <f>SUM(student_scores[[#This Row],[math_score]:[geography_score]])</f>
        <v>599</v>
      </c>
      <c r="S1591" s="3">
        <f>student_scores[[#This Row],[Total_Score]]/7</f>
        <v>85.571428571428569</v>
      </c>
      <c r="T1591" s="3" t="str" cm="1">
        <f t="array" ref="T1591">_xlfn.IFS(student_scores[[#This Row],[weekly_self_study_hours]]&lt;=5,   "0 - 5", student_scores[[#This Row],[weekly_self_study_hours]]&lt;=10,  "6 - 10", student_scores[[#This Row],[weekly_self_study_hours]]&lt;=20,  "11 - 20",student_scores[[#This Row],[weekly_self_study_hours]]&lt;=30, "21 - 30",TRUE, "31+")</f>
        <v>11 - 20</v>
      </c>
      <c r="U1591" t="str" cm="1">
        <f t="array" ref="U1591">_xlfn.IFS(student_scores[[#This Row],[absence_days]]=0,"0", student_scores[[#This Row],[absence_days]]&lt;=3,"1-3", student_scores[[#This Row],[absence_days]]&lt;=6,"4-6", TRUE,"7-10")</f>
        <v>1-3</v>
      </c>
      <c r="V1591" t="str">
        <f>IF(student_scores[[#This Row],[Total_Score]] &gt;= _xlfn.PERCENTILE.INC(student_scores[Total_Score], 0.8), "Yes", "No")</f>
        <v>No</v>
      </c>
    </row>
    <row r="1592" spans="1:22" x14ac:dyDescent="0.35">
      <c r="A1592">
        <v>1591</v>
      </c>
      <c r="B1592" t="s">
        <v>944</v>
      </c>
      <c r="C1592" t="s">
        <v>658</v>
      </c>
      <c r="D1592" t="s">
        <v>2647</v>
      </c>
      <c r="E1592" t="s">
        <v>20</v>
      </c>
      <c r="F1592" t="b">
        <v>0</v>
      </c>
      <c r="G1592">
        <v>1</v>
      </c>
      <c r="H1592" t="b">
        <v>0</v>
      </c>
      <c r="I1592">
        <v>24</v>
      </c>
      <c r="J1592" t="s">
        <v>21</v>
      </c>
      <c r="K1592">
        <v>84</v>
      </c>
      <c r="L1592">
        <v>95</v>
      </c>
      <c r="M1592">
        <v>87</v>
      </c>
      <c r="N1592">
        <v>100</v>
      </c>
      <c r="O1592">
        <v>96</v>
      </c>
      <c r="P1592">
        <v>92</v>
      </c>
      <c r="Q1592">
        <v>76</v>
      </c>
      <c r="R1592">
        <f>SUM(student_scores[[#This Row],[math_score]:[geography_score]])</f>
        <v>630</v>
      </c>
      <c r="S1592" s="3">
        <f>student_scores[[#This Row],[Total_Score]]/7</f>
        <v>90</v>
      </c>
      <c r="T1592" s="3" t="str" cm="1">
        <f t="array" ref="T1592">_xlfn.IFS(student_scores[[#This Row],[weekly_self_study_hours]]&lt;=5,   "0 - 5", student_scores[[#This Row],[weekly_self_study_hours]]&lt;=10,  "6 - 10", student_scores[[#This Row],[weekly_self_study_hours]]&lt;=20,  "11 - 20",student_scores[[#This Row],[weekly_self_study_hours]]&lt;=30, "21 - 30",TRUE, "31+")</f>
        <v>21 - 30</v>
      </c>
      <c r="U1592" t="str" cm="1">
        <f t="array" ref="U1592">_xlfn.IFS(student_scores[[#This Row],[absence_days]]=0,"0", student_scores[[#This Row],[absence_days]]&lt;=3,"1-3", student_scores[[#This Row],[absence_days]]&lt;=6,"4-6", TRUE,"7-10")</f>
        <v>1-3</v>
      </c>
      <c r="V1592" t="str">
        <f>IF(student_scores[[#This Row],[Total_Score]] &gt;= _xlfn.PERCENTILE.INC(student_scores[Total_Score], 0.8), "Yes", "No")</f>
        <v>Yes</v>
      </c>
    </row>
    <row r="1593" spans="1:22" x14ac:dyDescent="0.35">
      <c r="A1593">
        <v>1592</v>
      </c>
      <c r="B1593" t="s">
        <v>2648</v>
      </c>
      <c r="C1593" t="s">
        <v>2649</v>
      </c>
      <c r="D1593" t="s">
        <v>2650</v>
      </c>
      <c r="E1593" t="s">
        <v>25</v>
      </c>
      <c r="F1593" t="b">
        <v>0</v>
      </c>
      <c r="G1593">
        <v>5</v>
      </c>
      <c r="H1593" t="b">
        <v>0</v>
      </c>
      <c r="I1593">
        <v>32</v>
      </c>
      <c r="J1593" t="s">
        <v>21</v>
      </c>
      <c r="K1593">
        <v>81</v>
      </c>
      <c r="L1593">
        <v>90</v>
      </c>
      <c r="M1593">
        <v>82</v>
      </c>
      <c r="N1593">
        <v>80</v>
      </c>
      <c r="O1593">
        <v>98</v>
      </c>
      <c r="P1593">
        <v>81</v>
      </c>
      <c r="Q1593">
        <v>91</v>
      </c>
      <c r="R1593">
        <f>SUM(student_scores[[#This Row],[math_score]:[geography_score]])</f>
        <v>603</v>
      </c>
      <c r="S1593" s="3">
        <f>student_scores[[#This Row],[Total_Score]]/7</f>
        <v>86.142857142857139</v>
      </c>
      <c r="T1593" s="3" t="str" cm="1">
        <f t="array" ref="T1593">_xlfn.IFS(student_scores[[#This Row],[weekly_self_study_hours]]&lt;=5,   "0 - 5", student_scores[[#This Row],[weekly_self_study_hours]]&lt;=10,  "6 - 10", student_scores[[#This Row],[weekly_self_study_hours]]&lt;=20,  "11 - 20",student_scores[[#This Row],[weekly_self_study_hours]]&lt;=30, "21 - 30",TRUE, "31+")</f>
        <v>31+</v>
      </c>
      <c r="U1593" t="str" cm="1">
        <f t="array" ref="U1593">_xlfn.IFS(student_scores[[#This Row],[absence_days]]=0,"0", student_scores[[#This Row],[absence_days]]&lt;=3,"1-3", student_scores[[#This Row],[absence_days]]&lt;=6,"4-6", TRUE,"7-10")</f>
        <v>4-6</v>
      </c>
      <c r="V1593" t="str">
        <f>IF(student_scores[[#This Row],[Total_Score]] &gt;= _xlfn.PERCENTILE.INC(student_scores[Total_Score], 0.8), "Yes", "No")</f>
        <v>Yes</v>
      </c>
    </row>
    <row r="1594" spans="1:22" x14ac:dyDescent="0.35">
      <c r="A1594">
        <v>1593</v>
      </c>
      <c r="B1594" t="s">
        <v>302</v>
      </c>
      <c r="C1594" t="s">
        <v>566</v>
      </c>
      <c r="D1594" t="s">
        <v>2651</v>
      </c>
      <c r="E1594" t="s">
        <v>20</v>
      </c>
      <c r="F1594" t="b">
        <v>0</v>
      </c>
      <c r="G1594">
        <v>2</v>
      </c>
      <c r="H1594" t="b">
        <v>0</v>
      </c>
      <c r="I1594">
        <v>21</v>
      </c>
      <c r="J1594" t="s">
        <v>105</v>
      </c>
      <c r="K1594">
        <v>100</v>
      </c>
      <c r="L1594">
        <v>77</v>
      </c>
      <c r="M1594">
        <v>90</v>
      </c>
      <c r="N1594">
        <v>83</v>
      </c>
      <c r="O1594">
        <v>88</v>
      </c>
      <c r="P1594">
        <v>91</v>
      </c>
      <c r="Q1594">
        <v>80</v>
      </c>
      <c r="R1594">
        <f>SUM(student_scores[[#This Row],[math_score]:[geography_score]])</f>
        <v>609</v>
      </c>
      <c r="S1594" s="3">
        <f>student_scores[[#This Row],[Total_Score]]/7</f>
        <v>87</v>
      </c>
      <c r="T1594" s="3" t="str" cm="1">
        <f t="array" ref="T1594">_xlfn.IFS(student_scores[[#This Row],[weekly_self_study_hours]]&lt;=5,   "0 - 5", student_scores[[#This Row],[weekly_self_study_hours]]&lt;=10,  "6 - 10", student_scores[[#This Row],[weekly_self_study_hours]]&lt;=20,  "11 - 20",student_scores[[#This Row],[weekly_self_study_hours]]&lt;=30, "21 - 30",TRUE, "31+")</f>
        <v>21 - 30</v>
      </c>
      <c r="U1594" t="str" cm="1">
        <f t="array" ref="U1594">_xlfn.IFS(student_scores[[#This Row],[absence_days]]=0,"0", student_scores[[#This Row],[absence_days]]&lt;=3,"1-3", student_scores[[#This Row],[absence_days]]&lt;=6,"4-6", TRUE,"7-10")</f>
        <v>1-3</v>
      </c>
      <c r="V1594" t="str">
        <f>IF(student_scores[[#This Row],[Total_Score]] &gt;= _xlfn.PERCENTILE.INC(student_scores[Total_Score], 0.8), "Yes", "No")</f>
        <v>Yes</v>
      </c>
    </row>
    <row r="1595" spans="1:22" x14ac:dyDescent="0.35">
      <c r="A1595">
        <v>1594</v>
      </c>
      <c r="B1595" t="s">
        <v>337</v>
      </c>
      <c r="C1595" t="s">
        <v>1167</v>
      </c>
      <c r="D1595" t="s">
        <v>2652</v>
      </c>
      <c r="E1595" t="s">
        <v>25</v>
      </c>
      <c r="F1595" t="b">
        <v>1</v>
      </c>
      <c r="G1595">
        <v>6</v>
      </c>
      <c r="H1595" t="b">
        <v>0</v>
      </c>
      <c r="I1595">
        <v>0</v>
      </c>
      <c r="J1595" t="s">
        <v>64</v>
      </c>
      <c r="K1595">
        <v>83</v>
      </c>
      <c r="L1595">
        <v>50</v>
      </c>
      <c r="M1595">
        <v>59</v>
      </c>
      <c r="N1595">
        <v>77</v>
      </c>
      <c r="O1595">
        <v>66</v>
      </c>
      <c r="P1595">
        <v>87</v>
      </c>
      <c r="Q1595">
        <v>60</v>
      </c>
      <c r="R1595">
        <f>SUM(student_scores[[#This Row],[math_score]:[geography_score]])</f>
        <v>482</v>
      </c>
      <c r="S1595" s="3">
        <f>student_scores[[#This Row],[Total_Score]]/7</f>
        <v>68.857142857142861</v>
      </c>
      <c r="T1595" s="3" t="str" cm="1">
        <f t="array" ref="T1595">_xlfn.IFS(student_scores[[#This Row],[weekly_self_study_hours]]&lt;=5,   "0 - 5", student_scores[[#This Row],[weekly_self_study_hours]]&lt;=10,  "6 - 10", student_scores[[#This Row],[weekly_self_study_hours]]&lt;=20,  "11 - 20",student_scores[[#This Row],[weekly_self_study_hours]]&lt;=30, "21 - 30",TRUE, "31+")</f>
        <v>0 - 5</v>
      </c>
      <c r="U1595" t="str" cm="1">
        <f t="array" ref="U1595">_xlfn.IFS(student_scores[[#This Row],[absence_days]]=0,"0", student_scores[[#This Row],[absence_days]]&lt;=3,"1-3", student_scores[[#This Row],[absence_days]]&lt;=6,"4-6", TRUE,"7-10")</f>
        <v>4-6</v>
      </c>
      <c r="V1595" t="str">
        <f>IF(student_scores[[#This Row],[Total_Score]] &gt;= _xlfn.PERCENTILE.INC(student_scores[Total_Score], 0.8), "Yes", "No")</f>
        <v>No</v>
      </c>
    </row>
    <row r="1596" spans="1:22" x14ac:dyDescent="0.35">
      <c r="A1596">
        <v>1595</v>
      </c>
      <c r="B1596" t="s">
        <v>248</v>
      </c>
      <c r="C1596" t="s">
        <v>42</v>
      </c>
      <c r="D1596" t="s">
        <v>2653</v>
      </c>
      <c r="E1596" t="s">
        <v>25</v>
      </c>
      <c r="F1596" t="b">
        <v>0</v>
      </c>
      <c r="G1596">
        <v>6</v>
      </c>
      <c r="H1596" t="b">
        <v>0</v>
      </c>
      <c r="I1596">
        <v>34</v>
      </c>
      <c r="J1596" t="s">
        <v>113</v>
      </c>
      <c r="K1596">
        <v>87</v>
      </c>
      <c r="L1596">
        <v>75</v>
      </c>
      <c r="M1596">
        <v>90</v>
      </c>
      <c r="N1596">
        <v>82</v>
      </c>
      <c r="O1596">
        <v>99</v>
      </c>
      <c r="P1596">
        <v>66</v>
      </c>
      <c r="Q1596">
        <v>92</v>
      </c>
      <c r="R1596">
        <f>SUM(student_scores[[#This Row],[math_score]:[geography_score]])</f>
        <v>591</v>
      </c>
      <c r="S1596" s="3">
        <f>student_scores[[#This Row],[Total_Score]]/7</f>
        <v>84.428571428571431</v>
      </c>
      <c r="T1596" s="3" t="str" cm="1">
        <f t="array" ref="T1596">_xlfn.IFS(student_scores[[#This Row],[weekly_self_study_hours]]&lt;=5,   "0 - 5", student_scores[[#This Row],[weekly_self_study_hours]]&lt;=10,  "6 - 10", student_scores[[#This Row],[weekly_self_study_hours]]&lt;=20,  "11 - 20",student_scores[[#This Row],[weekly_self_study_hours]]&lt;=30, "21 - 30",TRUE, "31+")</f>
        <v>31+</v>
      </c>
      <c r="U1596" t="str" cm="1">
        <f t="array" ref="U1596">_xlfn.IFS(student_scores[[#This Row],[absence_days]]=0,"0", student_scores[[#This Row],[absence_days]]&lt;=3,"1-3", student_scores[[#This Row],[absence_days]]&lt;=6,"4-6", TRUE,"7-10")</f>
        <v>4-6</v>
      </c>
      <c r="V1596" t="str">
        <f>IF(student_scores[[#This Row],[Total_Score]] &gt;= _xlfn.PERCENTILE.INC(student_scores[Total_Score], 0.8), "Yes", "No")</f>
        <v>No</v>
      </c>
    </row>
    <row r="1597" spans="1:22" x14ac:dyDescent="0.35">
      <c r="A1597">
        <v>1596</v>
      </c>
      <c r="B1597" t="s">
        <v>1369</v>
      </c>
      <c r="C1597" t="s">
        <v>2654</v>
      </c>
      <c r="D1597" t="s">
        <v>2655</v>
      </c>
      <c r="E1597" t="s">
        <v>20</v>
      </c>
      <c r="F1597" t="b">
        <v>0</v>
      </c>
      <c r="G1597">
        <v>2</v>
      </c>
      <c r="H1597" t="b">
        <v>0</v>
      </c>
      <c r="I1597">
        <v>14</v>
      </c>
      <c r="J1597" t="s">
        <v>123</v>
      </c>
      <c r="K1597">
        <v>96</v>
      </c>
      <c r="L1597">
        <v>94</v>
      </c>
      <c r="M1597">
        <v>60</v>
      </c>
      <c r="N1597">
        <v>62</v>
      </c>
      <c r="O1597">
        <v>86</v>
      </c>
      <c r="P1597">
        <v>79</v>
      </c>
      <c r="Q1597">
        <v>79</v>
      </c>
      <c r="R1597">
        <f>SUM(student_scores[[#This Row],[math_score]:[geography_score]])</f>
        <v>556</v>
      </c>
      <c r="S1597" s="3">
        <f>student_scores[[#This Row],[Total_Score]]/7</f>
        <v>79.428571428571431</v>
      </c>
      <c r="T1597" s="3" t="str" cm="1">
        <f t="array" ref="T1597">_xlfn.IFS(student_scores[[#This Row],[weekly_self_study_hours]]&lt;=5,   "0 - 5", student_scores[[#This Row],[weekly_self_study_hours]]&lt;=10,  "6 - 10", student_scores[[#This Row],[weekly_self_study_hours]]&lt;=20,  "11 - 20",student_scores[[#This Row],[weekly_self_study_hours]]&lt;=30, "21 - 30",TRUE, "31+")</f>
        <v>11 - 20</v>
      </c>
      <c r="U1597" t="str" cm="1">
        <f t="array" ref="U1597">_xlfn.IFS(student_scores[[#This Row],[absence_days]]=0,"0", student_scores[[#This Row],[absence_days]]&lt;=3,"1-3", student_scores[[#This Row],[absence_days]]&lt;=6,"4-6", TRUE,"7-10")</f>
        <v>1-3</v>
      </c>
      <c r="V1597" t="str">
        <f>IF(student_scores[[#This Row],[Total_Score]] &gt;= _xlfn.PERCENTILE.INC(student_scores[Total_Score], 0.8), "Yes", "No")</f>
        <v>No</v>
      </c>
    </row>
    <row r="1598" spans="1:22" x14ac:dyDescent="0.35">
      <c r="A1598">
        <v>1597</v>
      </c>
      <c r="B1598" t="s">
        <v>160</v>
      </c>
      <c r="C1598" t="s">
        <v>2656</v>
      </c>
      <c r="D1598" t="s">
        <v>2657</v>
      </c>
      <c r="E1598" t="s">
        <v>20</v>
      </c>
      <c r="F1598" t="b">
        <v>0</v>
      </c>
      <c r="G1598">
        <v>3</v>
      </c>
      <c r="H1598" t="b">
        <v>0</v>
      </c>
      <c r="I1598">
        <v>25</v>
      </c>
      <c r="J1598" t="s">
        <v>44</v>
      </c>
      <c r="K1598">
        <v>98</v>
      </c>
      <c r="L1598">
        <v>76</v>
      </c>
      <c r="M1598">
        <v>69</v>
      </c>
      <c r="N1598">
        <v>75</v>
      </c>
      <c r="O1598">
        <v>76</v>
      </c>
      <c r="P1598">
        <v>98</v>
      </c>
      <c r="Q1598">
        <v>81</v>
      </c>
      <c r="R1598">
        <f>SUM(student_scores[[#This Row],[math_score]:[geography_score]])</f>
        <v>573</v>
      </c>
      <c r="S1598" s="3">
        <f>student_scores[[#This Row],[Total_Score]]/7</f>
        <v>81.857142857142861</v>
      </c>
      <c r="T1598" s="3" t="str" cm="1">
        <f t="array" ref="T1598">_xlfn.IFS(student_scores[[#This Row],[weekly_self_study_hours]]&lt;=5,   "0 - 5", student_scores[[#This Row],[weekly_self_study_hours]]&lt;=10,  "6 - 10", student_scores[[#This Row],[weekly_self_study_hours]]&lt;=20,  "11 - 20",student_scores[[#This Row],[weekly_self_study_hours]]&lt;=30, "21 - 30",TRUE, "31+")</f>
        <v>21 - 30</v>
      </c>
      <c r="U1598" t="str" cm="1">
        <f t="array" ref="U1598">_xlfn.IFS(student_scores[[#This Row],[absence_days]]=0,"0", student_scores[[#This Row],[absence_days]]&lt;=3,"1-3", student_scores[[#This Row],[absence_days]]&lt;=6,"4-6", TRUE,"7-10")</f>
        <v>1-3</v>
      </c>
      <c r="V1598" t="str">
        <f>IF(student_scores[[#This Row],[Total_Score]] &gt;= _xlfn.PERCENTILE.INC(student_scores[Total_Score], 0.8), "Yes", "No")</f>
        <v>No</v>
      </c>
    </row>
    <row r="1599" spans="1:22" x14ac:dyDescent="0.35">
      <c r="A1599">
        <v>1598</v>
      </c>
      <c r="B1599" t="s">
        <v>369</v>
      </c>
      <c r="C1599" t="s">
        <v>457</v>
      </c>
      <c r="D1599" t="s">
        <v>2658</v>
      </c>
      <c r="E1599" t="s">
        <v>25</v>
      </c>
      <c r="F1599" t="b">
        <v>0</v>
      </c>
      <c r="G1599">
        <v>3</v>
      </c>
      <c r="H1599" t="b">
        <v>0</v>
      </c>
      <c r="I1599">
        <v>5</v>
      </c>
      <c r="J1599" t="s">
        <v>159</v>
      </c>
      <c r="K1599">
        <v>83</v>
      </c>
      <c r="L1599">
        <v>66</v>
      </c>
      <c r="M1599">
        <v>97</v>
      </c>
      <c r="N1599">
        <v>95</v>
      </c>
      <c r="O1599">
        <v>91</v>
      </c>
      <c r="P1599">
        <v>76</v>
      </c>
      <c r="Q1599">
        <v>80</v>
      </c>
      <c r="R1599">
        <f>SUM(student_scores[[#This Row],[math_score]:[geography_score]])</f>
        <v>588</v>
      </c>
      <c r="S1599" s="3">
        <f>student_scores[[#This Row],[Total_Score]]/7</f>
        <v>84</v>
      </c>
      <c r="T1599" s="3" t="str" cm="1">
        <f t="array" ref="T1599">_xlfn.IFS(student_scores[[#This Row],[weekly_self_study_hours]]&lt;=5,   "0 - 5", student_scores[[#This Row],[weekly_self_study_hours]]&lt;=10,  "6 - 10", student_scores[[#This Row],[weekly_self_study_hours]]&lt;=20,  "11 - 20",student_scores[[#This Row],[weekly_self_study_hours]]&lt;=30, "21 - 30",TRUE, "31+")</f>
        <v>0 - 5</v>
      </c>
      <c r="U1599" t="str" cm="1">
        <f t="array" ref="U1599">_xlfn.IFS(student_scores[[#This Row],[absence_days]]=0,"0", student_scores[[#This Row],[absence_days]]&lt;=3,"1-3", student_scores[[#This Row],[absence_days]]&lt;=6,"4-6", TRUE,"7-10")</f>
        <v>1-3</v>
      </c>
      <c r="V1599" t="str">
        <f>IF(student_scores[[#This Row],[Total_Score]] &gt;= _xlfn.PERCENTILE.INC(student_scores[Total_Score], 0.8), "Yes", "No")</f>
        <v>No</v>
      </c>
    </row>
    <row r="1600" spans="1:22" x14ac:dyDescent="0.35">
      <c r="A1600">
        <v>1599</v>
      </c>
      <c r="B1600" t="s">
        <v>120</v>
      </c>
      <c r="C1600" t="s">
        <v>1463</v>
      </c>
      <c r="D1600" t="s">
        <v>2659</v>
      </c>
      <c r="E1600" t="s">
        <v>25</v>
      </c>
      <c r="F1600" t="b">
        <v>1</v>
      </c>
      <c r="G1600">
        <v>10</v>
      </c>
      <c r="H1600" t="b">
        <v>0</v>
      </c>
      <c r="I1600">
        <v>3</v>
      </c>
      <c r="J1600" t="s">
        <v>64</v>
      </c>
      <c r="K1600">
        <v>86</v>
      </c>
      <c r="L1600">
        <v>59</v>
      </c>
      <c r="M1600">
        <v>83</v>
      </c>
      <c r="N1600">
        <v>81</v>
      </c>
      <c r="O1600">
        <v>100</v>
      </c>
      <c r="P1600">
        <v>82</v>
      </c>
      <c r="Q1600">
        <v>99</v>
      </c>
      <c r="R1600">
        <f>SUM(student_scores[[#This Row],[math_score]:[geography_score]])</f>
        <v>590</v>
      </c>
      <c r="S1600" s="3">
        <f>student_scores[[#This Row],[Total_Score]]/7</f>
        <v>84.285714285714292</v>
      </c>
      <c r="T1600" s="3" t="str" cm="1">
        <f t="array" ref="T1600">_xlfn.IFS(student_scores[[#This Row],[weekly_self_study_hours]]&lt;=5,   "0 - 5", student_scores[[#This Row],[weekly_self_study_hours]]&lt;=10,  "6 - 10", student_scores[[#This Row],[weekly_self_study_hours]]&lt;=20,  "11 - 20",student_scores[[#This Row],[weekly_self_study_hours]]&lt;=30, "21 - 30",TRUE, "31+")</f>
        <v>0 - 5</v>
      </c>
      <c r="U1600" t="str" cm="1">
        <f t="array" ref="U1600">_xlfn.IFS(student_scores[[#This Row],[absence_days]]=0,"0", student_scores[[#This Row],[absence_days]]&lt;=3,"1-3", student_scores[[#This Row],[absence_days]]&lt;=6,"4-6", TRUE,"7-10")</f>
        <v>7-10</v>
      </c>
      <c r="V1600" t="str">
        <f>IF(student_scores[[#This Row],[Total_Score]] &gt;= _xlfn.PERCENTILE.INC(student_scores[Total_Score], 0.8), "Yes", "No")</f>
        <v>No</v>
      </c>
    </row>
    <row r="1601" spans="1:22" x14ac:dyDescent="0.35">
      <c r="A1601">
        <v>1600</v>
      </c>
      <c r="B1601" t="s">
        <v>1357</v>
      </c>
      <c r="C1601" t="s">
        <v>339</v>
      </c>
      <c r="D1601" t="s">
        <v>2660</v>
      </c>
      <c r="E1601" t="s">
        <v>25</v>
      </c>
      <c r="F1601" t="b">
        <v>0</v>
      </c>
      <c r="G1601">
        <v>7</v>
      </c>
      <c r="H1601" t="b">
        <v>0</v>
      </c>
      <c r="I1601">
        <v>20</v>
      </c>
      <c r="J1601" t="s">
        <v>123</v>
      </c>
      <c r="K1601">
        <v>82</v>
      </c>
      <c r="L1601">
        <v>67</v>
      </c>
      <c r="M1601">
        <v>88</v>
      </c>
      <c r="N1601">
        <v>62</v>
      </c>
      <c r="O1601">
        <v>73</v>
      </c>
      <c r="P1601">
        <v>64</v>
      </c>
      <c r="Q1601">
        <v>79</v>
      </c>
      <c r="R1601">
        <f>SUM(student_scores[[#This Row],[math_score]:[geography_score]])</f>
        <v>515</v>
      </c>
      <c r="S1601" s="3">
        <f>student_scores[[#This Row],[Total_Score]]/7</f>
        <v>73.571428571428569</v>
      </c>
      <c r="T1601" s="3" t="str" cm="1">
        <f t="array" ref="T1601">_xlfn.IFS(student_scores[[#This Row],[weekly_self_study_hours]]&lt;=5,   "0 - 5", student_scores[[#This Row],[weekly_self_study_hours]]&lt;=10,  "6 - 10", student_scores[[#This Row],[weekly_self_study_hours]]&lt;=20,  "11 - 20",student_scores[[#This Row],[weekly_self_study_hours]]&lt;=30, "21 - 30",TRUE, "31+")</f>
        <v>11 - 20</v>
      </c>
      <c r="U1601" t="str" cm="1">
        <f t="array" ref="U1601">_xlfn.IFS(student_scores[[#This Row],[absence_days]]=0,"0", student_scores[[#This Row],[absence_days]]&lt;=3,"1-3", student_scores[[#This Row],[absence_days]]&lt;=6,"4-6", TRUE,"7-10")</f>
        <v>7-10</v>
      </c>
      <c r="V1601" t="str">
        <f>IF(student_scores[[#This Row],[Total_Score]] &gt;= _xlfn.PERCENTILE.INC(student_scores[Total_Score], 0.8), "Yes", "No")</f>
        <v>No</v>
      </c>
    </row>
    <row r="1602" spans="1:22" x14ac:dyDescent="0.35">
      <c r="A1602">
        <v>1601</v>
      </c>
      <c r="B1602" t="s">
        <v>568</v>
      </c>
      <c r="C1602" t="s">
        <v>1041</v>
      </c>
      <c r="D1602" t="s">
        <v>2661</v>
      </c>
      <c r="E1602" t="s">
        <v>20</v>
      </c>
      <c r="F1602" t="b">
        <v>0</v>
      </c>
      <c r="G1602">
        <v>1</v>
      </c>
      <c r="H1602" t="b">
        <v>1</v>
      </c>
      <c r="I1602">
        <v>26</v>
      </c>
      <c r="J1602" t="s">
        <v>123</v>
      </c>
      <c r="K1602">
        <v>82</v>
      </c>
      <c r="L1602">
        <v>98</v>
      </c>
      <c r="M1602">
        <v>78</v>
      </c>
      <c r="N1602">
        <v>63</v>
      </c>
      <c r="O1602">
        <v>83</v>
      </c>
      <c r="P1602">
        <v>91</v>
      </c>
      <c r="Q1602">
        <v>94</v>
      </c>
      <c r="R1602">
        <f>SUM(student_scores[[#This Row],[math_score]:[geography_score]])</f>
        <v>589</v>
      </c>
      <c r="S1602" s="3">
        <f>student_scores[[#This Row],[Total_Score]]/7</f>
        <v>84.142857142857139</v>
      </c>
      <c r="T1602" s="3" t="str" cm="1">
        <f t="array" ref="T1602">_xlfn.IFS(student_scores[[#This Row],[weekly_self_study_hours]]&lt;=5,   "0 - 5", student_scores[[#This Row],[weekly_self_study_hours]]&lt;=10,  "6 - 10", student_scores[[#This Row],[weekly_self_study_hours]]&lt;=20,  "11 - 20",student_scores[[#This Row],[weekly_self_study_hours]]&lt;=30, "21 - 30",TRUE, "31+")</f>
        <v>21 - 30</v>
      </c>
      <c r="U1602" t="str" cm="1">
        <f t="array" ref="U1602">_xlfn.IFS(student_scores[[#This Row],[absence_days]]=0,"0", student_scores[[#This Row],[absence_days]]&lt;=3,"1-3", student_scores[[#This Row],[absence_days]]&lt;=6,"4-6", TRUE,"7-10")</f>
        <v>1-3</v>
      </c>
      <c r="V1602" t="str">
        <f>IF(student_scores[[#This Row],[Total_Score]] &gt;= _xlfn.PERCENTILE.INC(student_scores[Total_Score], 0.8), "Yes", "No")</f>
        <v>No</v>
      </c>
    </row>
    <row r="1603" spans="1:22" x14ac:dyDescent="0.35">
      <c r="A1603">
        <v>1602</v>
      </c>
      <c r="B1603" t="s">
        <v>230</v>
      </c>
      <c r="C1603" t="s">
        <v>164</v>
      </c>
      <c r="D1603" t="s">
        <v>2662</v>
      </c>
      <c r="E1603" t="s">
        <v>25</v>
      </c>
      <c r="F1603" t="b">
        <v>0</v>
      </c>
      <c r="G1603">
        <v>9</v>
      </c>
      <c r="H1603" t="b">
        <v>0</v>
      </c>
      <c r="I1603">
        <v>2</v>
      </c>
      <c r="J1603" t="s">
        <v>64</v>
      </c>
      <c r="K1603">
        <v>100</v>
      </c>
      <c r="L1603">
        <v>71</v>
      </c>
      <c r="M1603">
        <v>70</v>
      </c>
      <c r="N1603">
        <v>86</v>
      </c>
      <c r="O1603">
        <v>80</v>
      </c>
      <c r="P1603">
        <v>91</v>
      </c>
      <c r="Q1603">
        <v>62</v>
      </c>
      <c r="R1603">
        <f>SUM(student_scores[[#This Row],[math_score]:[geography_score]])</f>
        <v>560</v>
      </c>
      <c r="S1603" s="3">
        <f>student_scores[[#This Row],[Total_Score]]/7</f>
        <v>80</v>
      </c>
      <c r="T1603" s="3" t="str" cm="1">
        <f t="array" ref="T1603">_xlfn.IFS(student_scores[[#This Row],[weekly_self_study_hours]]&lt;=5,   "0 - 5", student_scores[[#This Row],[weekly_self_study_hours]]&lt;=10,  "6 - 10", student_scores[[#This Row],[weekly_self_study_hours]]&lt;=20,  "11 - 20",student_scores[[#This Row],[weekly_self_study_hours]]&lt;=30, "21 - 30",TRUE, "31+")</f>
        <v>0 - 5</v>
      </c>
      <c r="U1603" t="str" cm="1">
        <f t="array" ref="U1603">_xlfn.IFS(student_scores[[#This Row],[absence_days]]=0,"0", student_scores[[#This Row],[absence_days]]&lt;=3,"1-3", student_scores[[#This Row],[absence_days]]&lt;=6,"4-6", TRUE,"7-10")</f>
        <v>7-10</v>
      </c>
      <c r="V1603" t="str">
        <f>IF(student_scores[[#This Row],[Total_Score]] &gt;= _xlfn.PERCENTILE.INC(student_scores[Total_Score], 0.8), "Yes", "No")</f>
        <v>No</v>
      </c>
    </row>
    <row r="1604" spans="1:22" x14ac:dyDescent="0.35">
      <c r="A1604">
        <v>1603</v>
      </c>
      <c r="B1604" t="s">
        <v>456</v>
      </c>
      <c r="C1604" t="s">
        <v>429</v>
      </c>
      <c r="D1604" t="s">
        <v>2663</v>
      </c>
      <c r="E1604" t="s">
        <v>25</v>
      </c>
      <c r="F1604" t="b">
        <v>0</v>
      </c>
      <c r="G1604">
        <v>3</v>
      </c>
      <c r="H1604" t="b">
        <v>1</v>
      </c>
      <c r="I1604">
        <v>1</v>
      </c>
      <c r="J1604" t="s">
        <v>224</v>
      </c>
      <c r="K1604">
        <v>100</v>
      </c>
      <c r="L1604">
        <v>80</v>
      </c>
      <c r="M1604">
        <v>88</v>
      </c>
      <c r="N1604">
        <v>81</v>
      </c>
      <c r="O1604">
        <v>93</v>
      </c>
      <c r="P1604">
        <v>93</v>
      </c>
      <c r="Q1604">
        <v>84</v>
      </c>
      <c r="R1604">
        <f>SUM(student_scores[[#This Row],[math_score]:[geography_score]])</f>
        <v>619</v>
      </c>
      <c r="S1604" s="3">
        <f>student_scores[[#This Row],[Total_Score]]/7</f>
        <v>88.428571428571431</v>
      </c>
      <c r="T1604" s="3" t="str" cm="1">
        <f t="array" ref="T1604">_xlfn.IFS(student_scores[[#This Row],[weekly_self_study_hours]]&lt;=5,   "0 - 5", student_scores[[#This Row],[weekly_self_study_hours]]&lt;=10,  "6 - 10", student_scores[[#This Row],[weekly_self_study_hours]]&lt;=20,  "11 - 20",student_scores[[#This Row],[weekly_self_study_hours]]&lt;=30, "21 - 30",TRUE, "31+")</f>
        <v>0 - 5</v>
      </c>
      <c r="U1604" t="str" cm="1">
        <f t="array" ref="U1604">_xlfn.IFS(student_scores[[#This Row],[absence_days]]=0,"0", student_scores[[#This Row],[absence_days]]&lt;=3,"1-3", student_scores[[#This Row],[absence_days]]&lt;=6,"4-6", TRUE,"7-10")</f>
        <v>1-3</v>
      </c>
      <c r="V1604" t="str">
        <f>IF(student_scores[[#This Row],[Total_Score]] &gt;= _xlfn.PERCENTILE.INC(student_scores[Total_Score], 0.8), "Yes", "No")</f>
        <v>Yes</v>
      </c>
    </row>
    <row r="1605" spans="1:22" x14ac:dyDescent="0.35">
      <c r="A1605">
        <v>1604</v>
      </c>
      <c r="B1605" t="s">
        <v>214</v>
      </c>
      <c r="C1605" t="s">
        <v>1856</v>
      </c>
      <c r="D1605" t="s">
        <v>2664</v>
      </c>
      <c r="E1605" t="s">
        <v>20</v>
      </c>
      <c r="F1605" t="b">
        <v>0</v>
      </c>
      <c r="G1605">
        <v>10</v>
      </c>
      <c r="H1605" t="b">
        <v>0</v>
      </c>
      <c r="I1605">
        <v>1</v>
      </c>
      <c r="J1605" t="s">
        <v>64</v>
      </c>
      <c r="K1605">
        <v>83</v>
      </c>
      <c r="L1605">
        <v>93</v>
      </c>
      <c r="M1605">
        <v>75</v>
      </c>
      <c r="N1605">
        <v>55</v>
      </c>
      <c r="O1605">
        <v>82</v>
      </c>
      <c r="P1605">
        <v>51</v>
      </c>
      <c r="Q1605">
        <v>91</v>
      </c>
      <c r="R1605">
        <f>SUM(student_scores[[#This Row],[math_score]:[geography_score]])</f>
        <v>530</v>
      </c>
      <c r="S1605" s="3">
        <f>student_scores[[#This Row],[Total_Score]]/7</f>
        <v>75.714285714285708</v>
      </c>
      <c r="T1605" s="3" t="str" cm="1">
        <f t="array" ref="T1605">_xlfn.IFS(student_scores[[#This Row],[weekly_self_study_hours]]&lt;=5,   "0 - 5", student_scores[[#This Row],[weekly_self_study_hours]]&lt;=10,  "6 - 10", student_scores[[#This Row],[weekly_self_study_hours]]&lt;=20,  "11 - 20",student_scores[[#This Row],[weekly_self_study_hours]]&lt;=30, "21 - 30",TRUE, "31+")</f>
        <v>0 - 5</v>
      </c>
      <c r="U1605" t="str" cm="1">
        <f t="array" ref="U1605">_xlfn.IFS(student_scores[[#This Row],[absence_days]]=0,"0", student_scores[[#This Row],[absence_days]]&lt;=3,"1-3", student_scores[[#This Row],[absence_days]]&lt;=6,"4-6", TRUE,"7-10")</f>
        <v>7-10</v>
      </c>
      <c r="V1605" t="str">
        <f>IF(student_scores[[#This Row],[Total_Score]] &gt;= _xlfn.PERCENTILE.INC(student_scores[Total_Score], 0.8), "Yes", "No")</f>
        <v>No</v>
      </c>
    </row>
    <row r="1606" spans="1:22" x14ac:dyDescent="0.35">
      <c r="A1606">
        <v>1605</v>
      </c>
      <c r="B1606" t="s">
        <v>1088</v>
      </c>
      <c r="C1606" t="s">
        <v>355</v>
      </c>
      <c r="D1606" t="s">
        <v>2665</v>
      </c>
      <c r="E1606" t="s">
        <v>25</v>
      </c>
      <c r="F1606" t="b">
        <v>0</v>
      </c>
      <c r="G1606">
        <v>10</v>
      </c>
      <c r="H1606" t="b">
        <v>0</v>
      </c>
      <c r="I1606">
        <v>25</v>
      </c>
      <c r="J1606" t="s">
        <v>105</v>
      </c>
      <c r="K1606">
        <v>93</v>
      </c>
      <c r="L1606">
        <v>92</v>
      </c>
      <c r="M1606">
        <v>71</v>
      </c>
      <c r="N1606">
        <v>89</v>
      </c>
      <c r="O1606">
        <v>91</v>
      </c>
      <c r="P1606">
        <v>76</v>
      </c>
      <c r="Q1606">
        <v>61</v>
      </c>
      <c r="R1606">
        <f>SUM(student_scores[[#This Row],[math_score]:[geography_score]])</f>
        <v>573</v>
      </c>
      <c r="S1606" s="3">
        <f>student_scores[[#This Row],[Total_Score]]/7</f>
        <v>81.857142857142861</v>
      </c>
      <c r="T1606" s="3" t="str" cm="1">
        <f t="array" ref="T1606">_xlfn.IFS(student_scores[[#This Row],[weekly_self_study_hours]]&lt;=5,   "0 - 5", student_scores[[#This Row],[weekly_self_study_hours]]&lt;=10,  "6 - 10", student_scores[[#This Row],[weekly_self_study_hours]]&lt;=20,  "11 - 20",student_scores[[#This Row],[weekly_self_study_hours]]&lt;=30, "21 - 30",TRUE, "31+")</f>
        <v>21 - 30</v>
      </c>
      <c r="U1606" t="str" cm="1">
        <f t="array" ref="U1606">_xlfn.IFS(student_scores[[#This Row],[absence_days]]=0,"0", student_scores[[#This Row],[absence_days]]&lt;=3,"1-3", student_scores[[#This Row],[absence_days]]&lt;=6,"4-6", TRUE,"7-10")</f>
        <v>7-10</v>
      </c>
      <c r="V1606" t="str">
        <f>IF(student_scores[[#This Row],[Total_Score]] &gt;= _xlfn.PERCENTILE.INC(student_scores[Total_Score], 0.8), "Yes", "No")</f>
        <v>No</v>
      </c>
    </row>
    <row r="1607" spans="1:22" x14ac:dyDescent="0.35">
      <c r="A1607">
        <v>1606</v>
      </c>
      <c r="B1607" t="s">
        <v>1057</v>
      </c>
      <c r="C1607" t="s">
        <v>377</v>
      </c>
      <c r="D1607" t="s">
        <v>2666</v>
      </c>
      <c r="E1607" t="s">
        <v>25</v>
      </c>
      <c r="F1607" t="b">
        <v>0</v>
      </c>
      <c r="G1607">
        <v>5</v>
      </c>
      <c r="H1607" t="b">
        <v>0</v>
      </c>
      <c r="I1607">
        <v>35</v>
      </c>
      <c r="J1607" t="s">
        <v>21</v>
      </c>
      <c r="K1607">
        <v>86</v>
      </c>
      <c r="L1607">
        <v>86</v>
      </c>
      <c r="M1607">
        <v>100</v>
      </c>
      <c r="N1607">
        <v>86</v>
      </c>
      <c r="O1607">
        <v>94</v>
      </c>
      <c r="P1607">
        <v>87</v>
      </c>
      <c r="Q1607">
        <v>85</v>
      </c>
      <c r="R1607">
        <f>SUM(student_scores[[#This Row],[math_score]:[geography_score]])</f>
        <v>624</v>
      </c>
      <c r="S1607" s="3">
        <f>student_scores[[#This Row],[Total_Score]]/7</f>
        <v>89.142857142857139</v>
      </c>
      <c r="T1607" s="3" t="str" cm="1">
        <f t="array" ref="T1607">_xlfn.IFS(student_scores[[#This Row],[weekly_self_study_hours]]&lt;=5,   "0 - 5", student_scores[[#This Row],[weekly_self_study_hours]]&lt;=10,  "6 - 10", student_scores[[#This Row],[weekly_self_study_hours]]&lt;=20,  "11 - 20",student_scores[[#This Row],[weekly_self_study_hours]]&lt;=30, "21 - 30",TRUE, "31+")</f>
        <v>31+</v>
      </c>
      <c r="U1607" t="str" cm="1">
        <f t="array" ref="U1607">_xlfn.IFS(student_scores[[#This Row],[absence_days]]=0,"0", student_scores[[#This Row],[absence_days]]&lt;=3,"1-3", student_scores[[#This Row],[absence_days]]&lt;=6,"4-6", TRUE,"7-10")</f>
        <v>4-6</v>
      </c>
      <c r="V1607" t="str">
        <f>IF(student_scores[[#This Row],[Total_Score]] &gt;= _xlfn.PERCENTILE.INC(student_scores[Total_Score], 0.8), "Yes", "No")</f>
        <v>Yes</v>
      </c>
    </row>
    <row r="1608" spans="1:22" x14ac:dyDescent="0.35">
      <c r="A1608">
        <v>1607</v>
      </c>
      <c r="B1608" t="s">
        <v>2007</v>
      </c>
      <c r="C1608" t="s">
        <v>1232</v>
      </c>
      <c r="D1608" t="s">
        <v>2667</v>
      </c>
      <c r="E1608" t="s">
        <v>25</v>
      </c>
      <c r="F1608" t="b">
        <v>1</v>
      </c>
      <c r="G1608">
        <v>3</v>
      </c>
      <c r="H1608" t="b">
        <v>0</v>
      </c>
      <c r="I1608">
        <v>2</v>
      </c>
      <c r="J1608" t="s">
        <v>64</v>
      </c>
      <c r="K1608">
        <v>50</v>
      </c>
      <c r="L1608">
        <v>78</v>
      </c>
      <c r="M1608">
        <v>67</v>
      </c>
      <c r="N1608">
        <v>95</v>
      </c>
      <c r="O1608">
        <v>82</v>
      </c>
      <c r="P1608">
        <v>97</v>
      </c>
      <c r="Q1608">
        <v>80</v>
      </c>
      <c r="R1608">
        <f>SUM(student_scores[[#This Row],[math_score]:[geography_score]])</f>
        <v>549</v>
      </c>
      <c r="S1608" s="3">
        <f>student_scores[[#This Row],[Total_Score]]/7</f>
        <v>78.428571428571431</v>
      </c>
      <c r="T1608" s="3" t="str" cm="1">
        <f t="array" ref="T1608">_xlfn.IFS(student_scores[[#This Row],[weekly_self_study_hours]]&lt;=5,   "0 - 5", student_scores[[#This Row],[weekly_self_study_hours]]&lt;=10,  "6 - 10", student_scores[[#This Row],[weekly_self_study_hours]]&lt;=20,  "11 - 20",student_scores[[#This Row],[weekly_self_study_hours]]&lt;=30, "21 - 30",TRUE, "31+")</f>
        <v>0 - 5</v>
      </c>
      <c r="U1608" t="str" cm="1">
        <f t="array" ref="U1608">_xlfn.IFS(student_scores[[#This Row],[absence_days]]=0,"0", student_scores[[#This Row],[absence_days]]&lt;=3,"1-3", student_scores[[#This Row],[absence_days]]&lt;=6,"4-6", TRUE,"7-10")</f>
        <v>1-3</v>
      </c>
      <c r="V1608" t="str">
        <f>IF(student_scores[[#This Row],[Total_Score]] &gt;= _xlfn.PERCENTILE.INC(student_scores[Total_Score], 0.8), "Yes", "No")</f>
        <v>No</v>
      </c>
    </row>
    <row r="1609" spans="1:22" x14ac:dyDescent="0.35">
      <c r="A1609">
        <v>1608</v>
      </c>
      <c r="B1609" t="s">
        <v>193</v>
      </c>
      <c r="C1609" t="s">
        <v>2668</v>
      </c>
      <c r="D1609" t="s">
        <v>2669</v>
      </c>
      <c r="E1609" t="s">
        <v>25</v>
      </c>
      <c r="F1609" t="b">
        <v>0</v>
      </c>
      <c r="G1609">
        <v>7</v>
      </c>
      <c r="H1609" t="b">
        <v>0</v>
      </c>
      <c r="I1609">
        <v>5</v>
      </c>
      <c r="J1609" t="s">
        <v>64</v>
      </c>
      <c r="K1609">
        <v>78</v>
      </c>
      <c r="L1609">
        <v>68</v>
      </c>
      <c r="M1609">
        <v>56</v>
      </c>
      <c r="N1609">
        <v>50</v>
      </c>
      <c r="O1609">
        <v>76</v>
      </c>
      <c r="P1609">
        <v>67</v>
      </c>
      <c r="Q1609">
        <v>97</v>
      </c>
      <c r="R1609">
        <f>SUM(student_scores[[#This Row],[math_score]:[geography_score]])</f>
        <v>492</v>
      </c>
      <c r="S1609" s="3">
        <f>student_scores[[#This Row],[Total_Score]]/7</f>
        <v>70.285714285714292</v>
      </c>
      <c r="T1609" s="3" t="str" cm="1">
        <f t="array" ref="T1609">_xlfn.IFS(student_scores[[#This Row],[weekly_self_study_hours]]&lt;=5,   "0 - 5", student_scores[[#This Row],[weekly_self_study_hours]]&lt;=10,  "6 - 10", student_scores[[#This Row],[weekly_self_study_hours]]&lt;=20,  "11 - 20",student_scores[[#This Row],[weekly_self_study_hours]]&lt;=30, "21 - 30",TRUE, "31+")</f>
        <v>0 - 5</v>
      </c>
      <c r="U1609" t="str" cm="1">
        <f t="array" ref="U1609">_xlfn.IFS(student_scores[[#This Row],[absence_days]]=0,"0", student_scores[[#This Row],[absence_days]]&lt;=3,"1-3", student_scores[[#This Row],[absence_days]]&lt;=6,"4-6", TRUE,"7-10")</f>
        <v>7-10</v>
      </c>
      <c r="V1609" t="str">
        <f>IF(student_scores[[#This Row],[Total_Score]] &gt;= _xlfn.PERCENTILE.INC(student_scores[Total_Score], 0.8), "Yes", "No")</f>
        <v>No</v>
      </c>
    </row>
    <row r="1610" spans="1:22" x14ac:dyDescent="0.35">
      <c r="A1610">
        <v>1609</v>
      </c>
      <c r="B1610" t="s">
        <v>27</v>
      </c>
      <c r="C1610" t="s">
        <v>42</v>
      </c>
      <c r="D1610" t="s">
        <v>2670</v>
      </c>
      <c r="E1610" t="s">
        <v>25</v>
      </c>
      <c r="F1610" t="b">
        <v>0</v>
      </c>
      <c r="G1610">
        <v>3</v>
      </c>
      <c r="H1610" t="b">
        <v>0</v>
      </c>
      <c r="I1610">
        <v>24</v>
      </c>
      <c r="J1610" t="s">
        <v>44</v>
      </c>
      <c r="K1610">
        <v>91</v>
      </c>
      <c r="L1610">
        <v>69</v>
      </c>
      <c r="M1610">
        <v>82</v>
      </c>
      <c r="N1610">
        <v>87</v>
      </c>
      <c r="O1610">
        <v>100</v>
      </c>
      <c r="P1610">
        <v>93</v>
      </c>
      <c r="Q1610">
        <v>100</v>
      </c>
      <c r="R1610">
        <f>SUM(student_scores[[#This Row],[math_score]:[geography_score]])</f>
        <v>622</v>
      </c>
      <c r="S1610" s="3">
        <f>student_scores[[#This Row],[Total_Score]]/7</f>
        <v>88.857142857142861</v>
      </c>
      <c r="T1610" s="3" t="str" cm="1">
        <f t="array" ref="T1610">_xlfn.IFS(student_scores[[#This Row],[weekly_self_study_hours]]&lt;=5,   "0 - 5", student_scores[[#This Row],[weekly_self_study_hours]]&lt;=10,  "6 - 10", student_scores[[#This Row],[weekly_self_study_hours]]&lt;=20,  "11 - 20",student_scores[[#This Row],[weekly_self_study_hours]]&lt;=30, "21 - 30",TRUE, "31+")</f>
        <v>21 - 30</v>
      </c>
      <c r="U1610" t="str" cm="1">
        <f t="array" ref="U1610">_xlfn.IFS(student_scores[[#This Row],[absence_days]]=0,"0", student_scores[[#This Row],[absence_days]]&lt;=3,"1-3", student_scores[[#This Row],[absence_days]]&lt;=6,"4-6", TRUE,"7-10")</f>
        <v>1-3</v>
      </c>
      <c r="V1610" t="str">
        <f>IF(student_scores[[#This Row],[Total_Score]] &gt;= _xlfn.PERCENTILE.INC(student_scores[Total_Score], 0.8), "Yes", "No")</f>
        <v>Yes</v>
      </c>
    </row>
    <row r="1611" spans="1:22" x14ac:dyDescent="0.35">
      <c r="A1611">
        <v>1610</v>
      </c>
      <c r="B1611" t="s">
        <v>248</v>
      </c>
      <c r="C1611" t="s">
        <v>932</v>
      </c>
      <c r="D1611" t="s">
        <v>2671</v>
      </c>
      <c r="E1611" t="s">
        <v>25</v>
      </c>
      <c r="F1611" t="b">
        <v>0</v>
      </c>
      <c r="G1611">
        <v>0</v>
      </c>
      <c r="H1611" t="b">
        <v>0</v>
      </c>
      <c r="I1611">
        <v>5</v>
      </c>
      <c r="J1611" t="s">
        <v>34</v>
      </c>
      <c r="K1611">
        <v>73</v>
      </c>
      <c r="L1611">
        <v>100</v>
      </c>
      <c r="M1611">
        <v>78</v>
      </c>
      <c r="N1611">
        <v>77</v>
      </c>
      <c r="O1611">
        <v>71</v>
      </c>
      <c r="P1611">
        <v>61</v>
      </c>
      <c r="Q1611">
        <v>66</v>
      </c>
      <c r="R1611">
        <f>SUM(student_scores[[#This Row],[math_score]:[geography_score]])</f>
        <v>526</v>
      </c>
      <c r="S1611" s="3">
        <f>student_scores[[#This Row],[Total_Score]]/7</f>
        <v>75.142857142857139</v>
      </c>
      <c r="T1611" s="3" t="str" cm="1">
        <f t="array" ref="T1611">_xlfn.IFS(student_scores[[#This Row],[weekly_self_study_hours]]&lt;=5,   "0 - 5", student_scores[[#This Row],[weekly_self_study_hours]]&lt;=10,  "6 - 10", student_scores[[#This Row],[weekly_self_study_hours]]&lt;=20,  "11 - 20",student_scores[[#This Row],[weekly_self_study_hours]]&lt;=30, "21 - 30",TRUE, "31+")</f>
        <v>0 - 5</v>
      </c>
      <c r="U1611" t="str" cm="1">
        <f t="array" ref="U1611">_xlfn.IFS(student_scores[[#This Row],[absence_days]]=0,"0", student_scores[[#This Row],[absence_days]]&lt;=3,"1-3", student_scores[[#This Row],[absence_days]]&lt;=6,"4-6", TRUE,"7-10")</f>
        <v>0</v>
      </c>
      <c r="V1611" t="str">
        <f>IF(student_scores[[#This Row],[Total_Score]] &gt;= _xlfn.PERCENTILE.INC(student_scores[Total_Score], 0.8), "Yes", "No")</f>
        <v>No</v>
      </c>
    </row>
    <row r="1612" spans="1:22" x14ac:dyDescent="0.35">
      <c r="A1612">
        <v>1611</v>
      </c>
      <c r="B1612" t="s">
        <v>614</v>
      </c>
      <c r="C1612" t="s">
        <v>515</v>
      </c>
      <c r="D1612" t="s">
        <v>2672</v>
      </c>
      <c r="E1612" t="s">
        <v>25</v>
      </c>
      <c r="F1612" t="b">
        <v>0</v>
      </c>
      <c r="G1612">
        <v>6</v>
      </c>
      <c r="H1612" t="b">
        <v>0</v>
      </c>
      <c r="I1612">
        <v>3</v>
      </c>
      <c r="J1612" t="s">
        <v>159</v>
      </c>
      <c r="K1612">
        <v>99</v>
      </c>
      <c r="L1612">
        <v>66</v>
      </c>
      <c r="M1612">
        <v>81</v>
      </c>
      <c r="N1612">
        <v>69</v>
      </c>
      <c r="O1612">
        <v>82</v>
      </c>
      <c r="P1612">
        <v>73</v>
      </c>
      <c r="Q1612">
        <v>72</v>
      </c>
      <c r="R1612">
        <f>SUM(student_scores[[#This Row],[math_score]:[geography_score]])</f>
        <v>542</v>
      </c>
      <c r="S1612" s="3">
        <f>student_scores[[#This Row],[Total_Score]]/7</f>
        <v>77.428571428571431</v>
      </c>
      <c r="T1612" s="3" t="str" cm="1">
        <f t="array" ref="T1612">_xlfn.IFS(student_scores[[#This Row],[weekly_self_study_hours]]&lt;=5,   "0 - 5", student_scores[[#This Row],[weekly_self_study_hours]]&lt;=10,  "6 - 10", student_scores[[#This Row],[weekly_self_study_hours]]&lt;=20,  "11 - 20",student_scores[[#This Row],[weekly_self_study_hours]]&lt;=30, "21 - 30",TRUE, "31+")</f>
        <v>0 - 5</v>
      </c>
      <c r="U1612" t="str" cm="1">
        <f t="array" ref="U1612">_xlfn.IFS(student_scores[[#This Row],[absence_days]]=0,"0", student_scores[[#This Row],[absence_days]]&lt;=3,"1-3", student_scores[[#This Row],[absence_days]]&lt;=6,"4-6", TRUE,"7-10")</f>
        <v>4-6</v>
      </c>
      <c r="V1612" t="str">
        <f>IF(student_scores[[#This Row],[Total_Score]] &gt;= _xlfn.PERCENTILE.INC(student_scores[Total_Score], 0.8), "Yes", "No")</f>
        <v>No</v>
      </c>
    </row>
    <row r="1613" spans="1:22" x14ac:dyDescent="0.35">
      <c r="A1613">
        <v>1612</v>
      </c>
      <c r="B1613" t="s">
        <v>331</v>
      </c>
      <c r="C1613" t="s">
        <v>164</v>
      </c>
      <c r="D1613" t="s">
        <v>2673</v>
      </c>
      <c r="E1613" t="s">
        <v>20</v>
      </c>
      <c r="F1613" t="b">
        <v>0</v>
      </c>
      <c r="G1613">
        <v>6</v>
      </c>
      <c r="H1613" t="b">
        <v>0</v>
      </c>
      <c r="I1613">
        <v>5</v>
      </c>
      <c r="J1613" t="s">
        <v>159</v>
      </c>
      <c r="K1613">
        <v>88</v>
      </c>
      <c r="L1613">
        <v>82</v>
      </c>
      <c r="M1613">
        <v>99</v>
      </c>
      <c r="N1613">
        <v>65</v>
      </c>
      <c r="O1613">
        <v>83</v>
      </c>
      <c r="P1613">
        <v>65</v>
      </c>
      <c r="Q1613">
        <v>98</v>
      </c>
      <c r="R1613">
        <f>SUM(student_scores[[#This Row],[math_score]:[geography_score]])</f>
        <v>580</v>
      </c>
      <c r="S1613" s="3">
        <f>student_scores[[#This Row],[Total_Score]]/7</f>
        <v>82.857142857142861</v>
      </c>
      <c r="T1613" s="3" t="str" cm="1">
        <f t="array" ref="T1613">_xlfn.IFS(student_scores[[#This Row],[weekly_self_study_hours]]&lt;=5,   "0 - 5", student_scores[[#This Row],[weekly_self_study_hours]]&lt;=10,  "6 - 10", student_scores[[#This Row],[weekly_self_study_hours]]&lt;=20,  "11 - 20",student_scores[[#This Row],[weekly_self_study_hours]]&lt;=30, "21 - 30",TRUE, "31+")</f>
        <v>0 - 5</v>
      </c>
      <c r="U1613" t="str" cm="1">
        <f t="array" ref="U1613">_xlfn.IFS(student_scores[[#This Row],[absence_days]]=0,"0", student_scores[[#This Row],[absence_days]]&lt;=3,"1-3", student_scores[[#This Row],[absence_days]]&lt;=6,"4-6", TRUE,"7-10")</f>
        <v>4-6</v>
      </c>
      <c r="V1613" t="str">
        <f>IF(student_scores[[#This Row],[Total_Score]] &gt;= _xlfn.PERCENTILE.INC(student_scores[Total_Score], 0.8), "Yes", "No")</f>
        <v>No</v>
      </c>
    </row>
    <row r="1614" spans="1:22" x14ac:dyDescent="0.35">
      <c r="A1614">
        <v>1613</v>
      </c>
      <c r="B1614" t="s">
        <v>68</v>
      </c>
      <c r="C1614" t="s">
        <v>658</v>
      </c>
      <c r="D1614" t="s">
        <v>2674</v>
      </c>
      <c r="E1614" t="s">
        <v>25</v>
      </c>
      <c r="F1614" t="b">
        <v>0</v>
      </c>
      <c r="G1614">
        <v>1</v>
      </c>
      <c r="H1614" t="b">
        <v>0</v>
      </c>
      <c r="I1614">
        <v>33</v>
      </c>
      <c r="J1614" t="s">
        <v>21</v>
      </c>
      <c r="K1614">
        <v>100</v>
      </c>
      <c r="L1614">
        <v>82</v>
      </c>
      <c r="M1614">
        <v>85</v>
      </c>
      <c r="N1614">
        <v>68</v>
      </c>
      <c r="O1614">
        <v>97</v>
      </c>
      <c r="P1614">
        <v>81</v>
      </c>
      <c r="Q1614">
        <v>100</v>
      </c>
      <c r="R1614">
        <f>SUM(student_scores[[#This Row],[math_score]:[geography_score]])</f>
        <v>613</v>
      </c>
      <c r="S1614" s="3">
        <f>student_scores[[#This Row],[Total_Score]]/7</f>
        <v>87.571428571428569</v>
      </c>
      <c r="T1614" s="3" t="str" cm="1">
        <f t="array" ref="T1614">_xlfn.IFS(student_scores[[#This Row],[weekly_self_study_hours]]&lt;=5,   "0 - 5", student_scores[[#This Row],[weekly_self_study_hours]]&lt;=10,  "6 - 10", student_scores[[#This Row],[weekly_self_study_hours]]&lt;=20,  "11 - 20",student_scores[[#This Row],[weekly_self_study_hours]]&lt;=30, "21 - 30",TRUE, "31+")</f>
        <v>31+</v>
      </c>
      <c r="U1614" t="str" cm="1">
        <f t="array" ref="U1614">_xlfn.IFS(student_scores[[#This Row],[absence_days]]=0,"0", student_scores[[#This Row],[absence_days]]&lt;=3,"1-3", student_scores[[#This Row],[absence_days]]&lt;=6,"4-6", TRUE,"7-10")</f>
        <v>1-3</v>
      </c>
      <c r="V1614" t="str">
        <f>IF(student_scores[[#This Row],[Total_Score]] &gt;= _xlfn.PERCENTILE.INC(student_scores[Total_Score], 0.8), "Yes", "No")</f>
        <v>Yes</v>
      </c>
    </row>
    <row r="1615" spans="1:22" x14ac:dyDescent="0.35">
      <c r="A1615">
        <v>1614</v>
      </c>
      <c r="B1615" t="s">
        <v>462</v>
      </c>
      <c r="C1615" t="s">
        <v>851</v>
      </c>
      <c r="D1615" t="s">
        <v>2675</v>
      </c>
      <c r="E1615" t="s">
        <v>20</v>
      </c>
      <c r="F1615" t="b">
        <v>0</v>
      </c>
      <c r="G1615">
        <v>2</v>
      </c>
      <c r="H1615" t="b">
        <v>0</v>
      </c>
      <c r="I1615">
        <v>15</v>
      </c>
      <c r="J1615" t="s">
        <v>38</v>
      </c>
      <c r="K1615">
        <v>100</v>
      </c>
      <c r="L1615">
        <v>62</v>
      </c>
      <c r="M1615">
        <v>84</v>
      </c>
      <c r="N1615">
        <v>66</v>
      </c>
      <c r="O1615">
        <v>88</v>
      </c>
      <c r="P1615">
        <v>90</v>
      </c>
      <c r="Q1615">
        <v>71</v>
      </c>
      <c r="R1615">
        <f>SUM(student_scores[[#This Row],[math_score]:[geography_score]])</f>
        <v>561</v>
      </c>
      <c r="S1615" s="3">
        <f>student_scores[[#This Row],[Total_Score]]/7</f>
        <v>80.142857142857139</v>
      </c>
      <c r="T1615" s="3" t="str" cm="1">
        <f t="array" ref="T1615">_xlfn.IFS(student_scores[[#This Row],[weekly_self_study_hours]]&lt;=5,   "0 - 5", student_scores[[#This Row],[weekly_self_study_hours]]&lt;=10,  "6 - 10", student_scores[[#This Row],[weekly_self_study_hours]]&lt;=20,  "11 - 20",student_scores[[#This Row],[weekly_self_study_hours]]&lt;=30, "21 - 30",TRUE, "31+")</f>
        <v>11 - 20</v>
      </c>
      <c r="U1615" t="str" cm="1">
        <f t="array" ref="U1615">_xlfn.IFS(student_scores[[#This Row],[absence_days]]=0,"0", student_scores[[#This Row],[absence_days]]&lt;=3,"1-3", student_scores[[#This Row],[absence_days]]&lt;=6,"4-6", TRUE,"7-10")</f>
        <v>1-3</v>
      </c>
      <c r="V1615" t="str">
        <f>IF(student_scores[[#This Row],[Total_Score]] &gt;= _xlfn.PERCENTILE.INC(student_scores[Total_Score], 0.8), "Yes", "No")</f>
        <v>No</v>
      </c>
    </row>
    <row r="1616" spans="1:22" x14ac:dyDescent="0.35">
      <c r="A1616">
        <v>1615</v>
      </c>
      <c r="B1616" t="s">
        <v>120</v>
      </c>
      <c r="C1616" t="s">
        <v>118</v>
      </c>
      <c r="D1616" t="s">
        <v>2676</v>
      </c>
      <c r="E1616" t="s">
        <v>25</v>
      </c>
      <c r="F1616" t="b">
        <v>1</v>
      </c>
      <c r="G1616">
        <v>5</v>
      </c>
      <c r="H1616" t="b">
        <v>0</v>
      </c>
      <c r="I1616">
        <v>32</v>
      </c>
      <c r="J1616" t="s">
        <v>105</v>
      </c>
      <c r="K1616">
        <v>99</v>
      </c>
      <c r="L1616">
        <v>61</v>
      </c>
      <c r="M1616">
        <v>76</v>
      </c>
      <c r="N1616">
        <v>95</v>
      </c>
      <c r="O1616">
        <v>79</v>
      </c>
      <c r="P1616">
        <v>78</v>
      </c>
      <c r="Q1616">
        <v>66</v>
      </c>
      <c r="R1616">
        <f>SUM(student_scores[[#This Row],[math_score]:[geography_score]])</f>
        <v>554</v>
      </c>
      <c r="S1616" s="3">
        <f>student_scores[[#This Row],[Total_Score]]/7</f>
        <v>79.142857142857139</v>
      </c>
      <c r="T1616" s="3" t="str" cm="1">
        <f t="array" ref="T1616">_xlfn.IFS(student_scores[[#This Row],[weekly_self_study_hours]]&lt;=5,   "0 - 5", student_scores[[#This Row],[weekly_self_study_hours]]&lt;=10,  "6 - 10", student_scores[[#This Row],[weekly_self_study_hours]]&lt;=20,  "11 - 20",student_scores[[#This Row],[weekly_self_study_hours]]&lt;=30, "21 - 30",TRUE, "31+")</f>
        <v>31+</v>
      </c>
      <c r="U1616" t="str" cm="1">
        <f t="array" ref="U1616">_xlfn.IFS(student_scores[[#This Row],[absence_days]]=0,"0", student_scores[[#This Row],[absence_days]]&lt;=3,"1-3", student_scores[[#This Row],[absence_days]]&lt;=6,"4-6", TRUE,"7-10")</f>
        <v>4-6</v>
      </c>
      <c r="V1616" t="str">
        <f>IF(student_scores[[#This Row],[Total_Score]] &gt;= _xlfn.PERCENTILE.INC(student_scores[Total_Score], 0.8), "Yes", "No")</f>
        <v>No</v>
      </c>
    </row>
    <row r="1617" spans="1:22" x14ac:dyDescent="0.35">
      <c r="A1617">
        <v>1616</v>
      </c>
      <c r="B1617" t="s">
        <v>1627</v>
      </c>
      <c r="C1617" t="s">
        <v>118</v>
      </c>
      <c r="D1617" t="s">
        <v>2677</v>
      </c>
      <c r="E1617" t="s">
        <v>20</v>
      </c>
      <c r="F1617" t="b">
        <v>0</v>
      </c>
      <c r="G1617">
        <v>0</v>
      </c>
      <c r="H1617" t="b">
        <v>1</v>
      </c>
      <c r="I1617">
        <v>14</v>
      </c>
      <c r="J1617" t="s">
        <v>105</v>
      </c>
      <c r="K1617">
        <v>81</v>
      </c>
      <c r="L1617">
        <v>99</v>
      </c>
      <c r="M1617">
        <v>85</v>
      </c>
      <c r="N1617">
        <v>72</v>
      </c>
      <c r="O1617">
        <v>67</v>
      </c>
      <c r="P1617">
        <v>78</v>
      </c>
      <c r="Q1617">
        <v>69</v>
      </c>
      <c r="R1617">
        <f>SUM(student_scores[[#This Row],[math_score]:[geography_score]])</f>
        <v>551</v>
      </c>
      <c r="S1617" s="3">
        <f>student_scores[[#This Row],[Total_Score]]/7</f>
        <v>78.714285714285708</v>
      </c>
      <c r="T1617" s="3" t="str" cm="1">
        <f t="array" ref="T1617">_xlfn.IFS(student_scores[[#This Row],[weekly_self_study_hours]]&lt;=5,   "0 - 5", student_scores[[#This Row],[weekly_self_study_hours]]&lt;=10,  "6 - 10", student_scores[[#This Row],[weekly_self_study_hours]]&lt;=20,  "11 - 20",student_scores[[#This Row],[weekly_self_study_hours]]&lt;=30, "21 - 30",TRUE, "31+")</f>
        <v>11 - 20</v>
      </c>
      <c r="U1617" t="str" cm="1">
        <f t="array" ref="U1617">_xlfn.IFS(student_scores[[#This Row],[absence_days]]=0,"0", student_scores[[#This Row],[absence_days]]&lt;=3,"1-3", student_scores[[#This Row],[absence_days]]&lt;=6,"4-6", TRUE,"7-10")</f>
        <v>0</v>
      </c>
      <c r="V1617" t="str">
        <f>IF(student_scores[[#This Row],[Total_Score]] &gt;= _xlfn.PERCENTILE.INC(student_scores[Total_Score], 0.8), "Yes", "No")</f>
        <v>No</v>
      </c>
    </row>
    <row r="1618" spans="1:22" x14ac:dyDescent="0.35">
      <c r="A1618">
        <v>1617</v>
      </c>
      <c r="B1618" t="s">
        <v>1171</v>
      </c>
      <c r="C1618" t="s">
        <v>1522</v>
      </c>
      <c r="D1618" t="s">
        <v>2678</v>
      </c>
      <c r="E1618" t="s">
        <v>20</v>
      </c>
      <c r="F1618" t="b">
        <v>0</v>
      </c>
      <c r="G1618">
        <v>3</v>
      </c>
      <c r="H1618" t="b">
        <v>0</v>
      </c>
      <c r="I1618">
        <v>47</v>
      </c>
      <c r="J1618" t="s">
        <v>26</v>
      </c>
      <c r="K1618">
        <v>90</v>
      </c>
      <c r="L1618">
        <v>86</v>
      </c>
      <c r="M1618">
        <v>98</v>
      </c>
      <c r="N1618">
        <v>97</v>
      </c>
      <c r="O1618">
        <v>99</v>
      </c>
      <c r="P1618">
        <v>96</v>
      </c>
      <c r="Q1618">
        <v>85</v>
      </c>
      <c r="R1618">
        <f>SUM(student_scores[[#This Row],[math_score]:[geography_score]])</f>
        <v>651</v>
      </c>
      <c r="S1618" s="3">
        <f>student_scores[[#This Row],[Total_Score]]/7</f>
        <v>93</v>
      </c>
      <c r="T1618" s="3" t="str" cm="1">
        <f t="array" ref="T1618">_xlfn.IFS(student_scores[[#This Row],[weekly_self_study_hours]]&lt;=5,   "0 - 5", student_scores[[#This Row],[weekly_self_study_hours]]&lt;=10,  "6 - 10", student_scores[[#This Row],[weekly_self_study_hours]]&lt;=20,  "11 - 20",student_scores[[#This Row],[weekly_self_study_hours]]&lt;=30, "21 - 30",TRUE, "31+")</f>
        <v>31+</v>
      </c>
      <c r="U1618" t="str" cm="1">
        <f t="array" ref="U1618">_xlfn.IFS(student_scores[[#This Row],[absence_days]]=0,"0", student_scores[[#This Row],[absence_days]]&lt;=3,"1-3", student_scores[[#This Row],[absence_days]]&lt;=6,"4-6", TRUE,"7-10")</f>
        <v>1-3</v>
      </c>
      <c r="V1618" t="str">
        <f>IF(student_scores[[#This Row],[Total_Score]] &gt;= _xlfn.PERCENTILE.INC(student_scores[Total_Score], 0.8), "Yes", "No")</f>
        <v>Yes</v>
      </c>
    </row>
    <row r="1619" spans="1:22" x14ac:dyDescent="0.35">
      <c r="A1619">
        <v>1618</v>
      </c>
      <c r="B1619" t="s">
        <v>2419</v>
      </c>
      <c r="C1619" t="s">
        <v>2679</v>
      </c>
      <c r="D1619" t="s">
        <v>2680</v>
      </c>
      <c r="E1619" t="s">
        <v>25</v>
      </c>
      <c r="F1619" t="b">
        <v>0</v>
      </c>
      <c r="G1619">
        <v>4</v>
      </c>
      <c r="H1619" t="b">
        <v>0</v>
      </c>
      <c r="I1619">
        <v>6</v>
      </c>
      <c r="J1619" t="s">
        <v>38</v>
      </c>
      <c r="K1619">
        <v>67</v>
      </c>
      <c r="L1619">
        <v>88</v>
      </c>
      <c r="M1619">
        <v>89</v>
      </c>
      <c r="N1619">
        <v>90</v>
      </c>
      <c r="O1619">
        <v>78</v>
      </c>
      <c r="P1619">
        <v>84</v>
      </c>
      <c r="Q1619">
        <v>73</v>
      </c>
      <c r="R1619">
        <f>SUM(student_scores[[#This Row],[math_score]:[geography_score]])</f>
        <v>569</v>
      </c>
      <c r="S1619" s="3">
        <f>student_scores[[#This Row],[Total_Score]]/7</f>
        <v>81.285714285714292</v>
      </c>
      <c r="T1619" s="3" t="str" cm="1">
        <f t="array" ref="T1619">_xlfn.IFS(student_scores[[#This Row],[weekly_self_study_hours]]&lt;=5,   "0 - 5", student_scores[[#This Row],[weekly_self_study_hours]]&lt;=10,  "6 - 10", student_scores[[#This Row],[weekly_self_study_hours]]&lt;=20,  "11 - 20",student_scores[[#This Row],[weekly_self_study_hours]]&lt;=30, "21 - 30",TRUE, "31+")</f>
        <v>6 - 10</v>
      </c>
      <c r="U1619" t="str" cm="1">
        <f t="array" ref="U1619">_xlfn.IFS(student_scores[[#This Row],[absence_days]]=0,"0", student_scores[[#This Row],[absence_days]]&lt;=3,"1-3", student_scores[[#This Row],[absence_days]]&lt;=6,"4-6", TRUE,"7-10")</f>
        <v>4-6</v>
      </c>
      <c r="V1619" t="str">
        <f>IF(student_scores[[#This Row],[Total_Score]] &gt;= _xlfn.PERCENTILE.INC(student_scores[Total_Score], 0.8), "Yes", "No")</f>
        <v>No</v>
      </c>
    </row>
    <row r="1620" spans="1:22" x14ac:dyDescent="0.35">
      <c r="A1620">
        <v>1619</v>
      </c>
      <c r="B1620" t="s">
        <v>1171</v>
      </c>
      <c r="C1620" t="s">
        <v>270</v>
      </c>
      <c r="D1620" t="s">
        <v>2681</v>
      </c>
      <c r="E1620" t="s">
        <v>20</v>
      </c>
      <c r="F1620" t="b">
        <v>0</v>
      </c>
      <c r="G1620">
        <v>5</v>
      </c>
      <c r="H1620" t="b">
        <v>1</v>
      </c>
      <c r="I1620">
        <v>3</v>
      </c>
      <c r="J1620" t="s">
        <v>224</v>
      </c>
      <c r="K1620">
        <v>68</v>
      </c>
      <c r="L1620">
        <v>91</v>
      </c>
      <c r="M1620">
        <v>78</v>
      </c>
      <c r="N1620">
        <v>63</v>
      </c>
      <c r="O1620">
        <v>90</v>
      </c>
      <c r="P1620">
        <v>95</v>
      </c>
      <c r="Q1620">
        <v>80</v>
      </c>
      <c r="R1620">
        <f>SUM(student_scores[[#This Row],[math_score]:[geography_score]])</f>
        <v>565</v>
      </c>
      <c r="S1620" s="3">
        <f>student_scores[[#This Row],[Total_Score]]/7</f>
        <v>80.714285714285708</v>
      </c>
      <c r="T1620" s="3" t="str" cm="1">
        <f t="array" ref="T1620">_xlfn.IFS(student_scores[[#This Row],[weekly_self_study_hours]]&lt;=5,   "0 - 5", student_scores[[#This Row],[weekly_self_study_hours]]&lt;=10,  "6 - 10", student_scores[[#This Row],[weekly_self_study_hours]]&lt;=20,  "11 - 20",student_scores[[#This Row],[weekly_self_study_hours]]&lt;=30, "21 - 30",TRUE, "31+")</f>
        <v>0 - 5</v>
      </c>
      <c r="U1620" t="str" cm="1">
        <f t="array" ref="U1620">_xlfn.IFS(student_scores[[#This Row],[absence_days]]=0,"0", student_scores[[#This Row],[absence_days]]&lt;=3,"1-3", student_scores[[#This Row],[absence_days]]&lt;=6,"4-6", TRUE,"7-10")</f>
        <v>4-6</v>
      </c>
      <c r="V1620" t="str">
        <f>IF(student_scores[[#This Row],[Total_Score]] &gt;= _xlfn.PERCENTILE.INC(student_scores[Total_Score], 0.8), "Yes", "No")</f>
        <v>No</v>
      </c>
    </row>
    <row r="1621" spans="1:22" x14ac:dyDescent="0.35">
      <c r="A1621">
        <v>1620</v>
      </c>
      <c r="B1621" t="s">
        <v>463</v>
      </c>
      <c r="C1621" t="s">
        <v>2682</v>
      </c>
      <c r="D1621" t="s">
        <v>2683</v>
      </c>
      <c r="E1621" t="s">
        <v>20</v>
      </c>
      <c r="F1621" t="b">
        <v>0</v>
      </c>
      <c r="G1621">
        <v>1</v>
      </c>
      <c r="H1621" t="b">
        <v>1</v>
      </c>
      <c r="I1621">
        <v>42</v>
      </c>
      <c r="J1621" t="s">
        <v>26</v>
      </c>
      <c r="K1621">
        <v>93</v>
      </c>
      <c r="L1621">
        <v>90</v>
      </c>
      <c r="M1621">
        <v>93</v>
      </c>
      <c r="N1621">
        <v>89</v>
      </c>
      <c r="O1621">
        <v>92</v>
      </c>
      <c r="P1621">
        <v>93</v>
      </c>
      <c r="Q1621">
        <v>100</v>
      </c>
      <c r="R1621">
        <f>SUM(student_scores[[#This Row],[math_score]:[geography_score]])</f>
        <v>650</v>
      </c>
      <c r="S1621" s="3">
        <f>student_scores[[#This Row],[Total_Score]]/7</f>
        <v>92.857142857142861</v>
      </c>
      <c r="T1621" s="3" t="str" cm="1">
        <f t="array" ref="T1621">_xlfn.IFS(student_scores[[#This Row],[weekly_self_study_hours]]&lt;=5,   "0 - 5", student_scores[[#This Row],[weekly_self_study_hours]]&lt;=10,  "6 - 10", student_scores[[#This Row],[weekly_self_study_hours]]&lt;=20,  "11 - 20",student_scores[[#This Row],[weekly_self_study_hours]]&lt;=30, "21 - 30",TRUE, "31+")</f>
        <v>31+</v>
      </c>
      <c r="U1621" t="str" cm="1">
        <f t="array" ref="U1621">_xlfn.IFS(student_scores[[#This Row],[absence_days]]=0,"0", student_scores[[#This Row],[absence_days]]&lt;=3,"1-3", student_scores[[#This Row],[absence_days]]&lt;=6,"4-6", TRUE,"7-10")</f>
        <v>1-3</v>
      </c>
      <c r="V1621" t="str">
        <f>IF(student_scores[[#This Row],[Total_Score]] &gt;= _xlfn.PERCENTILE.INC(student_scores[Total_Score], 0.8), "Yes", "No")</f>
        <v>Yes</v>
      </c>
    </row>
    <row r="1622" spans="1:22" x14ac:dyDescent="0.35">
      <c r="A1622">
        <v>1621</v>
      </c>
      <c r="B1622" t="s">
        <v>1112</v>
      </c>
      <c r="C1622" t="s">
        <v>103</v>
      </c>
      <c r="D1622" t="s">
        <v>2684</v>
      </c>
      <c r="E1622" t="s">
        <v>20</v>
      </c>
      <c r="F1622" t="b">
        <v>0</v>
      </c>
      <c r="G1622">
        <v>1</v>
      </c>
      <c r="H1622" t="b">
        <v>0</v>
      </c>
      <c r="I1622">
        <v>22</v>
      </c>
      <c r="J1622" t="s">
        <v>138</v>
      </c>
      <c r="K1622">
        <v>94</v>
      </c>
      <c r="L1622">
        <v>95</v>
      </c>
      <c r="M1622">
        <v>80</v>
      </c>
      <c r="N1622">
        <v>60</v>
      </c>
      <c r="O1622">
        <v>89</v>
      </c>
      <c r="P1622">
        <v>93</v>
      </c>
      <c r="Q1622">
        <v>88</v>
      </c>
      <c r="R1622">
        <f>SUM(student_scores[[#This Row],[math_score]:[geography_score]])</f>
        <v>599</v>
      </c>
      <c r="S1622" s="3">
        <f>student_scores[[#This Row],[Total_Score]]/7</f>
        <v>85.571428571428569</v>
      </c>
      <c r="T1622" s="3" t="str" cm="1">
        <f t="array" ref="T1622">_xlfn.IFS(student_scores[[#This Row],[weekly_self_study_hours]]&lt;=5,   "0 - 5", student_scores[[#This Row],[weekly_self_study_hours]]&lt;=10,  "6 - 10", student_scores[[#This Row],[weekly_self_study_hours]]&lt;=20,  "11 - 20",student_scores[[#This Row],[weekly_self_study_hours]]&lt;=30, "21 - 30",TRUE, "31+")</f>
        <v>21 - 30</v>
      </c>
      <c r="U1622" t="str" cm="1">
        <f t="array" ref="U1622">_xlfn.IFS(student_scores[[#This Row],[absence_days]]=0,"0", student_scores[[#This Row],[absence_days]]&lt;=3,"1-3", student_scores[[#This Row],[absence_days]]&lt;=6,"4-6", TRUE,"7-10")</f>
        <v>1-3</v>
      </c>
      <c r="V1622" t="str">
        <f>IF(student_scores[[#This Row],[Total_Score]] &gt;= _xlfn.PERCENTILE.INC(student_scores[Total_Score], 0.8), "Yes", "No")</f>
        <v>No</v>
      </c>
    </row>
    <row r="1623" spans="1:22" x14ac:dyDescent="0.35">
      <c r="A1623">
        <v>1622</v>
      </c>
      <c r="B1623" t="s">
        <v>294</v>
      </c>
      <c r="C1623" t="s">
        <v>231</v>
      </c>
      <c r="D1623" t="s">
        <v>2685</v>
      </c>
      <c r="E1623" t="s">
        <v>25</v>
      </c>
      <c r="F1623" t="b">
        <v>0</v>
      </c>
      <c r="G1623">
        <v>7</v>
      </c>
      <c r="H1623" t="b">
        <v>0</v>
      </c>
      <c r="I1623">
        <v>1</v>
      </c>
      <c r="J1623" t="s">
        <v>64</v>
      </c>
      <c r="K1623">
        <v>88</v>
      </c>
      <c r="L1623">
        <v>96</v>
      </c>
      <c r="M1623">
        <v>74</v>
      </c>
      <c r="N1623">
        <v>90</v>
      </c>
      <c r="O1623">
        <v>82</v>
      </c>
      <c r="P1623">
        <v>70</v>
      </c>
      <c r="Q1623">
        <v>83</v>
      </c>
      <c r="R1623">
        <f>SUM(student_scores[[#This Row],[math_score]:[geography_score]])</f>
        <v>583</v>
      </c>
      <c r="S1623" s="3">
        <f>student_scores[[#This Row],[Total_Score]]/7</f>
        <v>83.285714285714292</v>
      </c>
      <c r="T1623" s="3" t="str" cm="1">
        <f t="array" ref="T1623">_xlfn.IFS(student_scores[[#This Row],[weekly_self_study_hours]]&lt;=5,   "0 - 5", student_scores[[#This Row],[weekly_self_study_hours]]&lt;=10,  "6 - 10", student_scores[[#This Row],[weekly_self_study_hours]]&lt;=20,  "11 - 20",student_scores[[#This Row],[weekly_self_study_hours]]&lt;=30, "21 - 30",TRUE, "31+")</f>
        <v>0 - 5</v>
      </c>
      <c r="U1623" t="str" cm="1">
        <f t="array" ref="U1623">_xlfn.IFS(student_scores[[#This Row],[absence_days]]=0,"0", student_scores[[#This Row],[absence_days]]&lt;=3,"1-3", student_scores[[#This Row],[absence_days]]&lt;=6,"4-6", TRUE,"7-10")</f>
        <v>7-10</v>
      </c>
      <c r="V1623" t="str">
        <f>IF(student_scores[[#This Row],[Total_Score]] &gt;= _xlfn.PERCENTILE.INC(student_scores[Total_Score], 0.8), "Yes", "No")</f>
        <v>No</v>
      </c>
    </row>
    <row r="1624" spans="1:22" x14ac:dyDescent="0.35">
      <c r="A1624">
        <v>1623</v>
      </c>
      <c r="B1624" t="s">
        <v>2633</v>
      </c>
      <c r="C1624" t="s">
        <v>897</v>
      </c>
      <c r="D1624" t="s">
        <v>2686</v>
      </c>
      <c r="E1624" t="s">
        <v>25</v>
      </c>
      <c r="F1624" t="b">
        <v>0</v>
      </c>
      <c r="G1624">
        <v>1</v>
      </c>
      <c r="H1624" t="b">
        <v>1</v>
      </c>
      <c r="I1624">
        <v>21</v>
      </c>
      <c r="J1624" t="s">
        <v>105</v>
      </c>
      <c r="K1624">
        <v>75</v>
      </c>
      <c r="L1624">
        <v>93</v>
      </c>
      <c r="M1624">
        <v>66</v>
      </c>
      <c r="N1624">
        <v>63</v>
      </c>
      <c r="O1624">
        <v>68</v>
      </c>
      <c r="P1624">
        <v>91</v>
      </c>
      <c r="Q1624">
        <v>99</v>
      </c>
      <c r="R1624">
        <f>SUM(student_scores[[#This Row],[math_score]:[geography_score]])</f>
        <v>555</v>
      </c>
      <c r="S1624" s="3">
        <f>student_scores[[#This Row],[Total_Score]]/7</f>
        <v>79.285714285714292</v>
      </c>
      <c r="T1624" s="3" t="str" cm="1">
        <f t="array" ref="T1624">_xlfn.IFS(student_scores[[#This Row],[weekly_self_study_hours]]&lt;=5,   "0 - 5", student_scores[[#This Row],[weekly_self_study_hours]]&lt;=10,  "6 - 10", student_scores[[#This Row],[weekly_self_study_hours]]&lt;=20,  "11 - 20",student_scores[[#This Row],[weekly_self_study_hours]]&lt;=30, "21 - 30",TRUE, "31+")</f>
        <v>21 - 30</v>
      </c>
      <c r="U1624" t="str" cm="1">
        <f t="array" ref="U1624">_xlfn.IFS(student_scores[[#This Row],[absence_days]]=0,"0", student_scores[[#This Row],[absence_days]]&lt;=3,"1-3", student_scores[[#This Row],[absence_days]]&lt;=6,"4-6", TRUE,"7-10")</f>
        <v>1-3</v>
      </c>
      <c r="V1624" t="str">
        <f>IF(student_scores[[#This Row],[Total_Score]] &gt;= _xlfn.PERCENTILE.INC(student_scores[Total_Score], 0.8), "Yes", "No")</f>
        <v>No</v>
      </c>
    </row>
    <row r="1625" spans="1:22" x14ac:dyDescent="0.35">
      <c r="A1625">
        <v>1624</v>
      </c>
      <c r="B1625" t="s">
        <v>145</v>
      </c>
      <c r="C1625" t="s">
        <v>1723</v>
      </c>
      <c r="D1625" t="s">
        <v>2687</v>
      </c>
      <c r="E1625" t="s">
        <v>20</v>
      </c>
      <c r="F1625" t="b">
        <v>0</v>
      </c>
      <c r="G1625">
        <v>4</v>
      </c>
      <c r="H1625" t="b">
        <v>0</v>
      </c>
      <c r="I1625">
        <v>50</v>
      </c>
      <c r="J1625" t="s">
        <v>26</v>
      </c>
      <c r="K1625">
        <v>99</v>
      </c>
      <c r="L1625">
        <v>89</v>
      </c>
      <c r="M1625">
        <v>87</v>
      </c>
      <c r="N1625">
        <v>90</v>
      </c>
      <c r="O1625">
        <v>87</v>
      </c>
      <c r="P1625">
        <v>90</v>
      </c>
      <c r="Q1625">
        <v>95</v>
      </c>
      <c r="R1625">
        <f>SUM(student_scores[[#This Row],[math_score]:[geography_score]])</f>
        <v>637</v>
      </c>
      <c r="S1625" s="3">
        <f>student_scores[[#This Row],[Total_Score]]/7</f>
        <v>91</v>
      </c>
      <c r="T1625" s="3" t="str" cm="1">
        <f t="array" ref="T1625">_xlfn.IFS(student_scores[[#This Row],[weekly_self_study_hours]]&lt;=5,   "0 - 5", student_scores[[#This Row],[weekly_self_study_hours]]&lt;=10,  "6 - 10", student_scores[[#This Row],[weekly_self_study_hours]]&lt;=20,  "11 - 20",student_scores[[#This Row],[weekly_self_study_hours]]&lt;=30, "21 - 30",TRUE, "31+")</f>
        <v>31+</v>
      </c>
      <c r="U1625" t="str" cm="1">
        <f t="array" ref="U1625">_xlfn.IFS(student_scores[[#This Row],[absence_days]]=0,"0", student_scores[[#This Row],[absence_days]]&lt;=3,"1-3", student_scores[[#This Row],[absence_days]]&lt;=6,"4-6", TRUE,"7-10")</f>
        <v>4-6</v>
      </c>
      <c r="V1625" t="str">
        <f>IF(student_scores[[#This Row],[Total_Score]] &gt;= _xlfn.PERCENTILE.INC(student_scores[Total_Score], 0.8), "Yes", "No")</f>
        <v>Yes</v>
      </c>
    </row>
    <row r="1626" spans="1:22" x14ac:dyDescent="0.35">
      <c r="A1626">
        <v>1625</v>
      </c>
      <c r="B1626" t="s">
        <v>145</v>
      </c>
      <c r="C1626" t="s">
        <v>1970</v>
      </c>
      <c r="D1626" t="s">
        <v>2688</v>
      </c>
      <c r="E1626" t="s">
        <v>20</v>
      </c>
      <c r="F1626" t="b">
        <v>1</v>
      </c>
      <c r="G1626">
        <v>7</v>
      </c>
      <c r="H1626" t="b">
        <v>0</v>
      </c>
      <c r="I1626">
        <v>29</v>
      </c>
      <c r="J1626" t="s">
        <v>113</v>
      </c>
      <c r="K1626">
        <v>93</v>
      </c>
      <c r="L1626">
        <v>64</v>
      </c>
      <c r="M1626">
        <v>86</v>
      </c>
      <c r="N1626">
        <v>82</v>
      </c>
      <c r="O1626">
        <v>35</v>
      </c>
      <c r="P1626">
        <v>73</v>
      </c>
      <c r="Q1626">
        <v>84</v>
      </c>
      <c r="R1626">
        <f>SUM(student_scores[[#This Row],[math_score]:[geography_score]])</f>
        <v>517</v>
      </c>
      <c r="S1626" s="3">
        <f>student_scores[[#This Row],[Total_Score]]/7</f>
        <v>73.857142857142861</v>
      </c>
      <c r="T1626" s="3" t="str" cm="1">
        <f t="array" ref="T1626">_xlfn.IFS(student_scores[[#This Row],[weekly_self_study_hours]]&lt;=5,   "0 - 5", student_scores[[#This Row],[weekly_self_study_hours]]&lt;=10,  "6 - 10", student_scores[[#This Row],[weekly_self_study_hours]]&lt;=20,  "11 - 20",student_scores[[#This Row],[weekly_self_study_hours]]&lt;=30, "21 - 30",TRUE, "31+")</f>
        <v>21 - 30</v>
      </c>
      <c r="U1626" t="str" cm="1">
        <f t="array" ref="U1626">_xlfn.IFS(student_scores[[#This Row],[absence_days]]=0,"0", student_scores[[#This Row],[absence_days]]&lt;=3,"1-3", student_scores[[#This Row],[absence_days]]&lt;=6,"4-6", TRUE,"7-10")</f>
        <v>7-10</v>
      </c>
      <c r="V1626" t="str">
        <f>IF(student_scores[[#This Row],[Total_Score]] &gt;= _xlfn.PERCENTILE.INC(student_scores[Total_Score], 0.8), "Yes", "No")</f>
        <v>No</v>
      </c>
    </row>
    <row r="1627" spans="1:22" x14ac:dyDescent="0.35">
      <c r="A1627">
        <v>1626</v>
      </c>
      <c r="B1627" t="s">
        <v>524</v>
      </c>
      <c r="C1627" t="s">
        <v>2689</v>
      </c>
      <c r="D1627" t="s">
        <v>2690</v>
      </c>
      <c r="E1627" t="s">
        <v>25</v>
      </c>
      <c r="F1627" t="b">
        <v>0</v>
      </c>
      <c r="G1627">
        <v>4</v>
      </c>
      <c r="H1627" t="b">
        <v>0</v>
      </c>
      <c r="I1627">
        <v>31</v>
      </c>
      <c r="J1627" t="s">
        <v>21</v>
      </c>
      <c r="K1627">
        <v>73</v>
      </c>
      <c r="L1627">
        <v>95</v>
      </c>
      <c r="M1627">
        <v>78</v>
      </c>
      <c r="N1627">
        <v>79</v>
      </c>
      <c r="O1627">
        <v>84</v>
      </c>
      <c r="P1627">
        <v>89</v>
      </c>
      <c r="Q1627">
        <v>96</v>
      </c>
      <c r="R1627">
        <f>SUM(student_scores[[#This Row],[math_score]:[geography_score]])</f>
        <v>594</v>
      </c>
      <c r="S1627" s="3">
        <f>student_scores[[#This Row],[Total_Score]]/7</f>
        <v>84.857142857142861</v>
      </c>
      <c r="T1627" s="3" t="str" cm="1">
        <f t="array" ref="T1627">_xlfn.IFS(student_scores[[#This Row],[weekly_self_study_hours]]&lt;=5,   "0 - 5", student_scores[[#This Row],[weekly_self_study_hours]]&lt;=10,  "6 - 10", student_scores[[#This Row],[weekly_self_study_hours]]&lt;=20,  "11 - 20",student_scores[[#This Row],[weekly_self_study_hours]]&lt;=30, "21 - 30",TRUE, "31+")</f>
        <v>31+</v>
      </c>
      <c r="U1627" t="str" cm="1">
        <f t="array" ref="U1627">_xlfn.IFS(student_scores[[#This Row],[absence_days]]=0,"0", student_scores[[#This Row],[absence_days]]&lt;=3,"1-3", student_scores[[#This Row],[absence_days]]&lt;=6,"4-6", TRUE,"7-10")</f>
        <v>4-6</v>
      </c>
      <c r="V1627" t="str">
        <f>IF(student_scores[[#This Row],[Total_Score]] &gt;= _xlfn.PERCENTILE.INC(student_scores[Total_Score], 0.8), "Yes", "No")</f>
        <v>No</v>
      </c>
    </row>
    <row r="1628" spans="1:22" x14ac:dyDescent="0.35">
      <c r="A1628">
        <v>1627</v>
      </c>
      <c r="B1628" t="s">
        <v>1151</v>
      </c>
      <c r="C1628" t="s">
        <v>1579</v>
      </c>
      <c r="D1628" t="s">
        <v>2691</v>
      </c>
      <c r="E1628" t="s">
        <v>25</v>
      </c>
      <c r="F1628" t="b">
        <v>0</v>
      </c>
      <c r="G1628">
        <v>6</v>
      </c>
      <c r="H1628" t="b">
        <v>0</v>
      </c>
      <c r="I1628">
        <v>5</v>
      </c>
      <c r="J1628" t="s">
        <v>224</v>
      </c>
      <c r="K1628">
        <v>64</v>
      </c>
      <c r="L1628">
        <v>61</v>
      </c>
      <c r="M1628">
        <v>76</v>
      </c>
      <c r="N1628">
        <v>100</v>
      </c>
      <c r="O1628">
        <v>93</v>
      </c>
      <c r="P1628">
        <v>61</v>
      </c>
      <c r="Q1628">
        <v>65</v>
      </c>
      <c r="R1628">
        <f>SUM(student_scores[[#This Row],[math_score]:[geography_score]])</f>
        <v>520</v>
      </c>
      <c r="S1628" s="3">
        <f>student_scores[[#This Row],[Total_Score]]/7</f>
        <v>74.285714285714292</v>
      </c>
      <c r="T1628" s="3" t="str" cm="1">
        <f t="array" ref="T1628">_xlfn.IFS(student_scores[[#This Row],[weekly_self_study_hours]]&lt;=5,   "0 - 5", student_scores[[#This Row],[weekly_self_study_hours]]&lt;=10,  "6 - 10", student_scores[[#This Row],[weekly_self_study_hours]]&lt;=20,  "11 - 20",student_scores[[#This Row],[weekly_self_study_hours]]&lt;=30, "21 - 30",TRUE, "31+")</f>
        <v>0 - 5</v>
      </c>
      <c r="U1628" t="str" cm="1">
        <f t="array" ref="U1628">_xlfn.IFS(student_scores[[#This Row],[absence_days]]=0,"0", student_scores[[#This Row],[absence_days]]&lt;=3,"1-3", student_scores[[#This Row],[absence_days]]&lt;=6,"4-6", TRUE,"7-10")</f>
        <v>4-6</v>
      </c>
      <c r="V1628" t="str">
        <f>IF(student_scores[[#This Row],[Total_Score]] &gt;= _xlfn.PERCENTILE.INC(student_scores[Total_Score], 0.8), "Yes", "No")</f>
        <v>No</v>
      </c>
    </row>
    <row r="1629" spans="1:22" x14ac:dyDescent="0.35">
      <c r="A1629">
        <v>1628</v>
      </c>
      <c r="B1629" t="s">
        <v>840</v>
      </c>
      <c r="C1629" t="s">
        <v>2692</v>
      </c>
      <c r="D1629" t="s">
        <v>2693</v>
      </c>
      <c r="E1629" t="s">
        <v>20</v>
      </c>
      <c r="F1629" t="b">
        <v>0</v>
      </c>
      <c r="G1629">
        <v>1</v>
      </c>
      <c r="H1629" t="b">
        <v>1</v>
      </c>
      <c r="I1629">
        <v>25</v>
      </c>
      <c r="J1629" t="s">
        <v>21</v>
      </c>
      <c r="K1629">
        <v>76</v>
      </c>
      <c r="L1629">
        <v>87</v>
      </c>
      <c r="M1629">
        <v>98</v>
      </c>
      <c r="N1629">
        <v>88</v>
      </c>
      <c r="O1629">
        <v>94</v>
      </c>
      <c r="P1629">
        <v>86</v>
      </c>
      <c r="Q1629">
        <v>64</v>
      </c>
      <c r="R1629">
        <f>SUM(student_scores[[#This Row],[math_score]:[geography_score]])</f>
        <v>593</v>
      </c>
      <c r="S1629" s="3">
        <f>student_scores[[#This Row],[Total_Score]]/7</f>
        <v>84.714285714285708</v>
      </c>
      <c r="T1629" s="3" t="str" cm="1">
        <f t="array" ref="T1629">_xlfn.IFS(student_scores[[#This Row],[weekly_self_study_hours]]&lt;=5,   "0 - 5", student_scores[[#This Row],[weekly_self_study_hours]]&lt;=10,  "6 - 10", student_scores[[#This Row],[weekly_self_study_hours]]&lt;=20,  "11 - 20",student_scores[[#This Row],[weekly_self_study_hours]]&lt;=30, "21 - 30",TRUE, "31+")</f>
        <v>21 - 30</v>
      </c>
      <c r="U1629" t="str" cm="1">
        <f t="array" ref="U1629">_xlfn.IFS(student_scores[[#This Row],[absence_days]]=0,"0", student_scores[[#This Row],[absence_days]]&lt;=3,"1-3", student_scores[[#This Row],[absence_days]]&lt;=6,"4-6", TRUE,"7-10")</f>
        <v>1-3</v>
      </c>
      <c r="V1629" t="str">
        <f>IF(student_scores[[#This Row],[Total_Score]] &gt;= _xlfn.PERCENTILE.INC(student_scores[Total_Score], 0.8), "Yes", "No")</f>
        <v>No</v>
      </c>
    </row>
    <row r="1630" spans="1:22" x14ac:dyDescent="0.35">
      <c r="A1630">
        <v>1629</v>
      </c>
      <c r="B1630" t="s">
        <v>1447</v>
      </c>
      <c r="C1630" t="s">
        <v>796</v>
      </c>
      <c r="D1630" t="s">
        <v>2694</v>
      </c>
      <c r="E1630" t="s">
        <v>25</v>
      </c>
      <c r="F1630" t="b">
        <v>0</v>
      </c>
      <c r="G1630">
        <v>2</v>
      </c>
      <c r="H1630" t="b">
        <v>0</v>
      </c>
      <c r="I1630">
        <v>22</v>
      </c>
      <c r="J1630" t="s">
        <v>172</v>
      </c>
      <c r="K1630">
        <v>91</v>
      </c>
      <c r="L1630">
        <v>93</v>
      </c>
      <c r="M1630">
        <v>82</v>
      </c>
      <c r="N1630">
        <v>81</v>
      </c>
      <c r="O1630">
        <v>95</v>
      </c>
      <c r="P1630">
        <v>91</v>
      </c>
      <c r="Q1630">
        <v>70</v>
      </c>
      <c r="R1630">
        <f>SUM(student_scores[[#This Row],[math_score]:[geography_score]])</f>
        <v>603</v>
      </c>
      <c r="S1630" s="3">
        <f>student_scores[[#This Row],[Total_Score]]/7</f>
        <v>86.142857142857139</v>
      </c>
      <c r="T1630" s="3" t="str" cm="1">
        <f t="array" ref="T1630">_xlfn.IFS(student_scores[[#This Row],[weekly_self_study_hours]]&lt;=5,   "0 - 5", student_scores[[#This Row],[weekly_self_study_hours]]&lt;=10,  "6 - 10", student_scores[[#This Row],[weekly_self_study_hours]]&lt;=20,  "11 - 20",student_scores[[#This Row],[weekly_self_study_hours]]&lt;=30, "21 - 30",TRUE, "31+")</f>
        <v>21 - 30</v>
      </c>
      <c r="U1630" t="str" cm="1">
        <f t="array" ref="U1630">_xlfn.IFS(student_scores[[#This Row],[absence_days]]=0,"0", student_scores[[#This Row],[absence_days]]&lt;=3,"1-3", student_scores[[#This Row],[absence_days]]&lt;=6,"4-6", TRUE,"7-10")</f>
        <v>1-3</v>
      </c>
      <c r="V1630" t="str">
        <f>IF(student_scores[[#This Row],[Total_Score]] &gt;= _xlfn.PERCENTILE.INC(student_scores[Total_Score], 0.8), "Yes", "No")</f>
        <v>Yes</v>
      </c>
    </row>
    <row r="1631" spans="1:22" x14ac:dyDescent="0.35">
      <c r="A1631">
        <v>1630</v>
      </c>
      <c r="B1631" t="s">
        <v>388</v>
      </c>
      <c r="C1631" t="s">
        <v>66</v>
      </c>
      <c r="D1631" t="s">
        <v>2695</v>
      </c>
      <c r="E1631" t="s">
        <v>25</v>
      </c>
      <c r="F1631" t="b">
        <v>0</v>
      </c>
      <c r="G1631">
        <v>8</v>
      </c>
      <c r="H1631" t="b">
        <v>1</v>
      </c>
      <c r="I1631">
        <v>1</v>
      </c>
      <c r="J1631" t="s">
        <v>64</v>
      </c>
      <c r="K1631">
        <v>70</v>
      </c>
      <c r="L1631">
        <v>98</v>
      </c>
      <c r="M1631">
        <v>51</v>
      </c>
      <c r="N1631">
        <v>51</v>
      </c>
      <c r="O1631">
        <v>96</v>
      </c>
      <c r="P1631">
        <v>96</v>
      </c>
      <c r="Q1631">
        <v>70</v>
      </c>
      <c r="R1631">
        <f>SUM(student_scores[[#This Row],[math_score]:[geography_score]])</f>
        <v>532</v>
      </c>
      <c r="S1631" s="3">
        <f>student_scores[[#This Row],[Total_Score]]/7</f>
        <v>76</v>
      </c>
      <c r="T1631" s="3" t="str" cm="1">
        <f t="array" ref="T1631">_xlfn.IFS(student_scores[[#This Row],[weekly_self_study_hours]]&lt;=5,   "0 - 5", student_scores[[#This Row],[weekly_self_study_hours]]&lt;=10,  "6 - 10", student_scores[[#This Row],[weekly_self_study_hours]]&lt;=20,  "11 - 20",student_scores[[#This Row],[weekly_self_study_hours]]&lt;=30, "21 - 30",TRUE, "31+")</f>
        <v>0 - 5</v>
      </c>
      <c r="U1631" t="str" cm="1">
        <f t="array" ref="U1631">_xlfn.IFS(student_scores[[#This Row],[absence_days]]=0,"0", student_scores[[#This Row],[absence_days]]&lt;=3,"1-3", student_scores[[#This Row],[absence_days]]&lt;=6,"4-6", TRUE,"7-10")</f>
        <v>7-10</v>
      </c>
      <c r="V1631" t="str">
        <f>IF(student_scores[[#This Row],[Total_Score]] &gt;= _xlfn.PERCENTILE.INC(student_scores[Total_Score], 0.8), "Yes", "No")</f>
        <v>No</v>
      </c>
    </row>
    <row r="1632" spans="1:22" x14ac:dyDescent="0.35">
      <c r="A1632">
        <v>1631</v>
      </c>
      <c r="B1632" t="s">
        <v>154</v>
      </c>
      <c r="C1632" t="s">
        <v>1931</v>
      </c>
      <c r="D1632" t="s">
        <v>2696</v>
      </c>
      <c r="E1632" t="s">
        <v>25</v>
      </c>
      <c r="F1632" t="b">
        <v>0</v>
      </c>
      <c r="G1632">
        <v>5</v>
      </c>
      <c r="H1632" t="b">
        <v>0</v>
      </c>
      <c r="I1632">
        <v>26</v>
      </c>
      <c r="J1632" t="s">
        <v>26</v>
      </c>
      <c r="K1632">
        <v>90</v>
      </c>
      <c r="L1632">
        <v>92</v>
      </c>
      <c r="M1632">
        <v>95</v>
      </c>
      <c r="N1632">
        <v>85</v>
      </c>
      <c r="O1632">
        <v>93</v>
      </c>
      <c r="P1632">
        <v>69</v>
      </c>
      <c r="Q1632">
        <v>65</v>
      </c>
      <c r="R1632">
        <f>SUM(student_scores[[#This Row],[math_score]:[geography_score]])</f>
        <v>589</v>
      </c>
      <c r="S1632" s="3">
        <f>student_scores[[#This Row],[Total_Score]]/7</f>
        <v>84.142857142857139</v>
      </c>
      <c r="T1632" s="3" t="str" cm="1">
        <f t="array" ref="T1632">_xlfn.IFS(student_scores[[#This Row],[weekly_self_study_hours]]&lt;=5,   "0 - 5", student_scores[[#This Row],[weekly_self_study_hours]]&lt;=10,  "6 - 10", student_scores[[#This Row],[weekly_self_study_hours]]&lt;=20,  "11 - 20",student_scores[[#This Row],[weekly_self_study_hours]]&lt;=30, "21 - 30",TRUE, "31+")</f>
        <v>21 - 30</v>
      </c>
      <c r="U1632" t="str" cm="1">
        <f t="array" ref="U1632">_xlfn.IFS(student_scores[[#This Row],[absence_days]]=0,"0", student_scores[[#This Row],[absence_days]]&lt;=3,"1-3", student_scores[[#This Row],[absence_days]]&lt;=6,"4-6", TRUE,"7-10")</f>
        <v>4-6</v>
      </c>
      <c r="V1632" t="str">
        <f>IF(student_scores[[#This Row],[Total_Score]] &gt;= _xlfn.PERCENTILE.INC(student_scores[Total_Score], 0.8), "Yes", "No")</f>
        <v>No</v>
      </c>
    </row>
    <row r="1633" spans="1:22" x14ac:dyDescent="0.35">
      <c r="A1633">
        <v>1632</v>
      </c>
      <c r="B1633" t="s">
        <v>1167</v>
      </c>
      <c r="C1633" t="s">
        <v>281</v>
      </c>
      <c r="D1633" t="s">
        <v>2697</v>
      </c>
      <c r="E1633" t="s">
        <v>20</v>
      </c>
      <c r="F1633" t="b">
        <v>0</v>
      </c>
      <c r="G1633">
        <v>9</v>
      </c>
      <c r="H1633" t="b">
        <v>0</v>
      </c>
      <c r="I1633">
        <v>3</v>
      </c>
      <c r="J1633" t="s">
        <v>64</v>
      </c>
      <c r="K1633">
        <v>93</v>
      </c>
      <c r="L1633">
        <v>83</v>
      </c>
      <c r="M1633">
        <v>61</v>
      </c>
      <c r="N1633">
        <v>95</v>
      </c>
      <c r="O1633">
        <v>70</v>
      </c>
      <c r="P1633">
        <v>93</v>
      </c>
      <c r="Q1633">
        <v>65</v>
      </c>
      <c r="R1633">
        <f>SUM(student_scores[[#This Row],[math_score]:[geography_score]])</f>
        <v>560</v>
      </c>
      <c r="S1633" s="3">
        <f>student_scores[[#This Row],[Total_Score]]/7</f>
        <v>80</v>
      </c>
      <c r="T1633" s="3" t="str" cm="1">
        <f t="array" ref="T1633">_xlfn.IFS(student_scores[[#This Row],[weekly_self_study_hours]]&lt;=5,   "0 - 5", student_scores[[#This Row],[weekly_self_study_hours]]&lt;=10,  "6 - 10", student_scores[[#This Row],[weekly_self_study_hours]]&lt;=20,  "11 - 20",student_scores[[#This Row],[weekly_self_study_hours]]&lt;=30, "21 - 30",TRUE, "31+")</f>
        <v>0 - 5</v>
      </c>
      <c r="U1633" t="str" cm="1">
        <f t="array" ref="U1633">_xlfn.IFS(student_scores[[#This Row],[absence_days]]=0,"0", student_scores[[#This Row],[absence_days]]&lt;=3,"1-3", student_scores[[#This Row],[absence_days]]&lt;=6,"4-6", TRUE,"7-10")</f>
        <v>7-10</v>
      </c>
      <c r="V1633" t="str">
        <f>IF(student_scores[[#This Row],[Total_Score]] &gt;= _xlfn.PERCENTILE.INC(student_scores[Total_Score], 0.8), "Yes", "No")</f>
        <v>No</v>
      </c>
    </row>
    <row r="1634" spans="1:22" x14ac:dyDescent="0.35">
      <c r="A1634">
        <v>1633</v>
      </c>
      <c r="B1634" t="s">
        <v>300</v>
      </c>
      <c r="C1634" t="s">
        <v>42</v>
      </c>
      <c r="D1634" t="s">
        <v>2698</v>
      </c>
      <c r="E1634" t="s">
        <v>20</v>
      </c>
      <c r="F1634" t="b">
        <v>1</v>
      </c>
      <c r="G1634">
        <v>7</v>
      </c>
      <c r="H1634" t="b">
        <v>0</v>
      </c>
      <c r="I1634">
        <v>12</v>
      </c>
      <c r="J1634" t="s">
        <v>38</v>
      </c>
      <c r="K1634">
        <v>61</v>
      </c>
      <c r="L1634">
        <v>99</v>
      </c>
      <c r="M1634">
        <v>66</v>
      </c>
      <c r="N1634">
        <v>99</v>
      </c>
      <c r="O1634">
        <v>100</v>
      </c>
      <c r="P1634">
        <v>70</v>
      </c>
      <c r="Q1634">
        <v>60</v>
      </c>
      <c r="R1634">
        <f>SUM(student_scores[[#This Row],[math_score]:[geography_score]])</f>
        <v>555</v>
      </c>
      <c r="S1634" s="3">
        <f>student_scores[[#This Row],[Total_Score]]/7</f>
        <v>79.285714285714292</v>
      </c>
      <c r="T1634" s="3" t="str" cm="1">
        <f t="array" ref="T1634">_xlfn.IFS(student_scores[[#This Row],[weekly_self_study_hours]]&lt;=5,   "0 - 5", student_scores[[#This Row],[weekly_self_study_hours]]&lt;=10,  "6 - 10", student_scores[[#This Row],[weekly_self_study_hours]]&lt;=20,  "11 - 20",student_scores[[#This Row],[weekly_self_study_hours]]&lt;=30, "21 - 30",TRUE, "31+")</f>
        <v>11 - 20</v>
      </c>
      <c r="U1634" t="str" cm="1">
        <f t="array" ref="U1634">_xlfn.IFS(student_scores[[#This Row],[absence_days]]=0,"0", student_scores[[#This Row],[absence_days]]&lt;=3,"1-3", student_scores[[#This Row],[absence_days]]&lt;=6,"4-6", TRUE,"7-10")</f>
        <v>7-10</v>
      </c>
      <c r="V1634" t="str">
        <f>IF(student_scores[[#This Row],[Total_Score]] &gt;= _xlfn.PERCENTILE.INC(student_scores[Total_Score], 0.8), "Yes", "No")</f>
        <v>No</v>
      </c>
    </row>
    <row r="1635" spans="1:22" x14ac:dyDescent="0.35">
      <c r="A1635">
        <v>1634</v>
      </c>
      <c r="B1635" t="s">
        <v>80</v>
      </c>
      <c r="C1635" t="s">
        <v>589</v>
      </c>
      <c r="D1635" t="s">
        <v>2699</v>
      </c>
      <c r="E1635" t="s">
        <v>20</v>
      </c>
      <c r="F1635" t="b">
        <v>0</v>
      </c>
      <c r="G1635">
        <v>1</v>
      </c>
      <c r="H1635" t="b">
        <v>0</v>
      </c>
      <c r="I1635">
        <v>1</v>
      </c>
      <c r="J1635" t="s">
        <v>64</v>
      </c>
      <c r="K1635">
        <v>51</v>
      </c>
      <c r="L1635">
        <v>69</v>
      </c>
      <c r="M1635">
        <v>85</v>
      </c>
      <c r="N1635">
        <v>61</v>
      </c>
      <c r="O1635">
        <v>59</v>
      </c>
      <c r="P1635">
        <v>81</v>
      </c>
      <c r="Q1635">
        <v>63</v>
      </c>
      <c r="R1635">
        <f>SUM(student_scores[[#This Row],[math_score]:[geography_score]])</f>
        <v>469</v>
      </c>
      <c r="S1635" s="3">
        <f>student_scores[[#This Row],[Total_Score]]/7</f>
        <v>67</v>
      </c>
      <c r="T1635" s="3" t="str" cm="1">
        <f t="array" ref="T1635">_xlfn.IFS(student_scores[[#This Row],[weekly_self_study_hours]]&lt;=5,   "0 - 5", student_scores[[#This Row],[weekly_self_study_hours]]&lt;=10,  "6 - 10", student_scores[[#This Row],[weekly_self_study_hours]]&lt;=20,  "11 - 20",student_scores[[#This Row],[weekly_self_study_hours]]&lt;=30, "21 - 30",TRUE, "31+")</f>
        <v>0 - 5</v>
      </c>
      <c r="U1635" t="str" cm="1">
        <f t="array" ref="U1635">_xlfn.IFS(student_scores[[#This Row],[absence_days]]=0,"0", student_scores[[#This Row],[absence_days]]&lt;=3,"1-3", student_scores[[#This Row],[absence_days]]&lt;=6,"4-6", TRUE,"7-10")</f>
        <v>1-3</v>
      </c>
      <c r="V1635" t="str">
        <f>IF(student_scores[[#This Row],[Total_Score]] &gt;= _xlfn.PERCENTILE.INC(student_scores[Total_Score], 0.8), "Yes", "No")</f>
        <v>No</v>
      </c>
    </row>
    <row r="1636" spans="1:22" x14ac:dyDescent="0.35">
      <c r="A1636">
        <v>1635</v>
      </c>
      <c r="B1636" t="s">
        <v>710</v>
      </c>
      <c r="C1636" t="s">
        <v>1007</v>
      </c>
      <c r="D1636" t="s">
        <v>2700</v>
      </c>
      <c r="E1636" t="s">
        <v>25</v>
      </c>
      <c r="F1636" t="b">
        <v>0</v>
      </c>
      <c r="G1636">
        <v>4</v>
      </c>
      <c r="H1636" t="b">
        <v>1</v>
      </c>
      <c r="I1636">
        <v>18</v>
      </c>
      <c r="J1636" t="s">
        <v>38</v>
      </c>
      <c r="K1636">
        <v>91</v>
      </c>
      <c r="L1636">
        <v>72</v>
      </c>
      <c r="M1636">
        <v>69</v>
      </c>
      <c r="N1636">
        <v>88</v>
      </c>
      <c r="O1636">
        <v>92</v>
      </c>
      <c r="P1636">
        <v>61</v>
      </c>
      <c r="Q1636">
        <v>76</v>
      </c>
      <c r="R1636">
        <f>SUM(student_scores[[#This Row],[math_score]:[geography_score]])</f>
        <v>549</v>
      </c>
      <c r="S1636" s="3">
        <f>student_scores[[#This Row],[Total_Score]]/7</f>
        <v>78.428571428571431</v>
      </c>
      <c r="T1636" s="3" t="str" cm="1">
        <f t="array" ref="T1636">_xlfn.IFS(student_scores[[#This Row],[weekly_self_study_hours]]&lt;=5,   "0 - 5", student_scores[[#This Row],[weekly_self_study_hours]]&lt;=10,  "6 - 10", student_scores[[#This Row],[weekly_self_study_hours]]&lt;=20,  "11 - 20",student_scores[[#This Row],[weekly_self_study_hours]]&lt;=30, "21 - 30",TRUE, "31+")</f>
        <v>11 - 20</v>
      </c>
      <c r="U1636" t="str" cm="1">
        <f t="array" ref="U1636">_xlfn.IFS(student_scores[[#This Row],[absence_days]]=0,"0", student_scores[[#This Row],[absence_days]]&lt;=3,"1-3", student_scores[[#This Row],[absence_days]]&lt;=6,"4-6", TRUE,"7-10")</f>
        <v>4-6</v>
      </c>
      <c r="V1636" t="str">
        <f>IF(student_scores[[#This Row],[Total_Score]] &gt;= _xlfn.PERCENTILE.INC(student_scores[Total_Score], 0.8), "Yes", "No")</f>
        <v>No</v>
      </c>
    </row>
    <row r="1637" spans="1:22" x14ac:dyDescent="0.35">
      <c r="A1637">
        <v>1636</v>
      </c>
      <c r="B1637" t="s">
        <v>35</v>
      </c>
      <c r="C1637" t="s">
        <v>457</v>
      </c>
      <c r="D1637" t="s">
        <v>2701</v>
      </c>
      <c r="E1637" t="s">
        <v>20</v>
      </c>
      <c r="F1637" t="b">
        <v>0</v>
      </c>
      <c r="G1637">
        <v>3</v>
      </c>
      <c r="H1637" t="b">
        <v>0</v>
      </c>
      <c r="I1637">
        <v>27</v>
      </c>
      <c r="J1637" t="s">
        <v>113</v>
      </c>
      <c r="K1637">
        <v>96</v>
      </c>
      <c r="L1637">
        <v>64</v>
      </c>
      <c r="M1637">
        <v>76</v>
      </c>
      <c r="N1637">
        <v>97</v>
      </c>
      <c r="O1637">
        <v>81</v>
      </c>
      <c r="P1637">
        <v>87</v>
      </c>
      <c r="Q1637">
        <v>99</v>
      </c>
      <c r="R1637">
        <f>SUM(student_scores[[#This Row],[math_score]:[geography_score]])</f>
        <v>600</v>
      </c>
      <c r="S1637" s="3">
        <f>student_scores[[#This Row],[Total_Score]]/7</f>
        <v>85.714285714285708</v>
      </c>
      <c r="T1637" s="3" t="str" cm="1">
        <f t="array" ref="T1637">_xlfn.IFS(student_scores[[#This Row],[weekly_self_study_hours]]&lt;=5,   "0 - 5", student_scores[[#This Row],[weekly_self_study_hours]]&lt;=10,  "6 - 10", student_scores[[#This Row],[weekly_self_study_hours]]&lt;=20,  "11 - 20",student_scores[[#This Row],[weekly_self_study_hours]]&lt;=30, "21 - 30",TRUE, "31+")</f>
        <v>21 - 30</v>
      </c>
      <c r="U1637" t="str" cm="1">
        <f t="array" ref="U1637">_xlfn.IFS(student_scores[[#This Row],[absence_days]]=0,"0", student_scores[[#This Row],[absence_days]]&lt;=3,"1-3", student_scores[[#This Row],[absence_days]]&lt;=6,"4-6", TRUE,"7-10")</f>
        <v>1-3</v>
      </c>
      <c r="V1637" t="str">
        <f>IF(student_scores[[#This Row],[Total_Score]] &gt;= _xlfn.PERCENTILE.INC(student_scores[Total_Score], 0.8), "Yes", "No")</f>
        <v>No</v>
      </c>
    </row>
    <row r="1638" spans="1:22" x14ac:dyDescent="0.35">
      <c r="A1638">
        <v>1637</v>
      </c>
      <c r="B1638" t="s">
        <v>746</v>
      </c>
      <c r="C1638" t="s">
        <v>2682</v>
      </c>
      <c r="D1638" t="s">
        <v>2702</v>
      </c>
      <c r="E1638" t="s">
        <v>25</v>
      </c>
      <c r="F1638" t="b">
        <v>0</v>
      </c>
      <c r="G1638">
        <v>5</v>
      </c>
      <c r="H1638" t="b">
        <v>0</v>
      </c>
      <c r="I1638">
        <v>24</v>
      </c>
      <c r="J1638" t="s">
        <v>44</v>
      </c>
      <c r="K1638">
        <v>93</v>
      </c>
      <c r="L1638">
        <v>75</v>
      </c>
      <c r="M1638">
        <v>84</v>
      </c>
      <c r="N1638">
        <v>66</v>
      </c>
      <c r="O1638">
        <v>74</v>
      </c>
      <c r="P1638">
        <v>99</v>
      </c>
      <c r="Q1638">
        <v>66</v>
      </c>
      <c r="R1638">
        <f>SUM(student_scores[[#This Row],[math_score]:[geography_score]])</f>
        <v>557</v>
      </c>
      <c r="S1638" s="3">
        <f>student_scores[[#This Row],[Total_Score]]/7</f>
        <v>79.571428571428569</v>
      </c>
      <c r="T1638" s="3" t="str" cm="1">
        <f t="array" ref="T1638">_xlfn.IFS(student_scores[[#This Row],[weekly_self_study_hours]]&lt;=5,   "0 - 5", student_scores[[#This Row],[weekly_self_study_hours]]&lt;=10,  "6 - 10", student_scores[[#This Row],[weekly_self_study_hours]]&lt;=20,  "11 - 20",student_scores[[#This Row],[weekly_self_study_hours]]&lt;=30, "21 - 30",TRUE, "31+")</f>
        <v>21 - 30</v>
      </c>
      <c r="U1638" t="str" cm="1">
        <f t="array" ref="U1638">_xlfn.IFS(student_scores[[#This Row],[absence_days]]=0,"0", student_scores[[#This Row],[absence_days]]&lt;=3,"1-3", student_scores[[#This Row],[absence_days]]&lt;=6,"4-6", TRUE,"7-10")</f>
        <v>4-6</v>
      </c>
      <c r="V1638" t="str">
        <f>IF(student_scores[[#This Row],[Total_Score]] &gt;= _xlfn.PERCENTILE.INC(student_scores[Total_Score], 0.8), "Yes", "No")</f>
        <v>No</v>
      </c>
    </row>
    <row r="1639" spans="1:22" x14ac:dyDescent="0.35">
      <c r="A1639">
        <v>1638</v>
      </c>
      <c r="B1639" t="s">
        <v>190</v>
      </c>
      <c r="C1639" t="s">
        <v>178</v>
      </c>
      <c r="D1639" t="s">
        <v>2703</v>
      </c>
      <c r="E1639" t="s">
        <v>25</v>
      </c>
      <c r="F1639" t="b">
        <v>0</v>
      </c>
      <c r="G1639">
        <v>1</v>
      </c>
      <c r="H1639" t="b">
        <v>1</v>
      </c>
      <c r="I1639">
        <v>19</v>
      </c>
      <c r="J1639" t="s">
        <v>38</v>
      </c>
      <c r="K1639">
        <v>70</v>
      </c>
      <c r="L1639">
        <v>96</v>
      </c>
      <c r="M1639">
        <v>60</v>
      </c>
      <c r="N1639">
        <v>87</v>
      </c>
      <c r="O1639">
        <v>92</v>
      </c>
      <c r="P1639">
        <v>63</v>
      </c>
      <c r="Q1639">
        <v>95</v>
      </c>
      <c r="R1639">
        <f>SUM(student_scores[[#This Row],[math_score]:[geography_score]])</f>
        <v>563</v>
      </c>
      <c r="S1639" s="3">
        <f>student_scores[[#This Row],[Total_Score]]/7</f>
        <v>80.428571428571431</v>
      </c>
      <c r="T1639" s="3" t="str" cm="1">
        <f t="array" ref="T1639">_xlfn.IFS(student_scores[[#This Row],[weekly_self_study_hours]]&lt;=5,   "0 - 5", student_scores[[#This Row],[weekly_self_study_hours]]&lt;=10,  "6 - 10", student_scores[[#This Row],[weekly_self_study_hours]]&lt;=20,  "11 - 20",student_scores[[#This Row],[weekly_self_study_hours]]&lt;=30, "21 - 30",TRUE, "31+")</f>
        <v>11 - 20</v>
      </c>
      <c r="U1639" t="str" cm="1">
        <f t="array" ref="U1639">_xlfn.IFS(student_scores[[#This Row],[absence_days]]=0,"0", student_scores[[#This Row],[absence_days]]&lt;=3,"1-3", student_scores[[#This Row],[absence_days]]&lt;=6,"4-6", TRUE,"7-10")</f>
        <v>1-3</v>
      </c>
      <c r="V1639" t="str">
        <f>IF(student_scores[[#This Row],[Total_Score]] &gt;= _xlfn.PERCENTILE.INC(student_scores[Total_Score], 0.8), "Yes", "No")</f>
        <v>No</v>
      </c>
    </row>
    <row r="1640" spans="1:22" x14ac:dyDescent="0.35">
      <c r="A1640">
        <v>1639</v>
      </c>
      <c r="B1640" t="s">
        <v>266</v>
      </c>
      <c r="C1640" t="s">
        <v>2704</v>
      </c>
      <c r="D1640" t="s">
        <v>2705</v>
      </c>
      <c r="E1640" t="s">
        <v>20</v>
      </c>
      <c r="F1640" t="b">
        <v>0</v>
      </c>
      <c r="G1640">
        <v>2</v>
      </c>
      <c r="H1640" t="b">
        <v>0</v>
      </c>
      <c r="I1640">
        <v>47</v>
      </c>
      <c r="J1640" t="s">
        <v>26</v>
      </c>
      <c r="K1640">
        <v>90</v>
      </c>
      <c r="L1640">
        <v>90</v>
      </c>
      <c r="M1640">
        <v>93</v>
      </c>
      <c r="N1640">
        <v>87</v>
      </c>
      <c r="O1640">
        <v>93</v>
      </c>
      <c r="P1640">
        <v>99</v>
      </c>
      <c r="Q1640">
        <v>100</v>
      </c>
      <c r="R1640">
        <f>SUM(student_scores[[#This Row],[math_score]:[geography_score]])</f>
        <v>652</v>
      </c>
      <c r="S1640" s="3">
        <f>student_scores[[#This Row],[Total_Score]]/7</f>
        <v>93.142857142857139</v>
      </c>
      <c r="T1640" s="3" t="str" cm="1">
        <f t="array" ref="T1640">_xlfn.IFS(student_scores[[#This Row],[weekly_self_study_hours]]&lt;=5,   "0 - 5", student_scores[[#This Row],[weekly_self_study_hours]]&lt;=10,  "6 - 10", student_scores[[#This Row],[weekly_self_study_hours]]&lt;=20,  "11 - 20",student_scores[[#This Row],[weekly_self_study_hours]]&lt;=30, "21 - 30",TRUE, "31+")</f>
        <v>31+</v>
      </c>
      <c r="U1640" t="str" cm="1">
        <f t="array" ref="U1640">_xlfn.IFS(student_scores[[#This Row],[absence_days]]=0,"0", student_scores[[#This Row],[absence_days]]&lt;=3,"1-3", student_scores[[#This Row],[absence_days]]&lt;=6,"4-6", TRUE,"7-10")</f>
        <v>1-3</v>
      </c>
      <c r="V1640" t="str">
        <f>IF(student_scores[[#This Row],[Total_Score]] &gt;= _xlfn.PERCENTILE.INC(student_scores[Total_Score], 0.8), "Yes", "No")</f>
        <v>Yes</v>
      </c>
    </row>
    <row r="1641" spans="1:22" x14ac:dyDescent="0.35">
      <c r="A1641">
        <v>1640</v>
      </c>
      <c r="B1641" t="s">
        <v>160</v>
      </c>
      <c r="C1641" t="s">
        <v>2214</v>
      </c>
      <c r="D1641" t="s">
        <v>2706</v>
      </c>
      <c r="E1641" t="s">
        <v>20</v>
      </c>
      <c r="F1641" t="b">
        <v>0</v>
      </c>
      <c r="G1641">
        <v>1</v>
      </c>
      <c r="H1641" t="b">
        <v>0</v>
      </c>
      <c r="I1641">
        <v>11</v>
      </c>
      <c r="J1641" t="s">
        <v>38</v>
      </c>
      <c r="K1641">
        <v>69</v>
      </c>
      <c r="L1641">
        <v>78</v>
      </c>
      <c r="M1641">
        <v>80</v>
      </c>
      <c r="N1641">
        <v>60</v>
      </c>
      <c r="O1641">
        <v>76</v>
      </c>
      <c r="P1641">
        <v>86</v>
      </c>
      <c r="Q1641">
        <v>96</v>
      </c>
      <c r="R1641">
        <f>SUM(student_scores[[#This Row],[math_score]:[geography_score]])</f>
        <v>545</v>
      </c>
      <c r="S1641" s="3">
        <f>student_scores[[#This Row],[Total_Score]]/7</f>
        <v>77.857142857142861</v>
      </c>
      <c r="T1641" s="3" t="str" cm="1">
        <f t="array" ref="T1641">_xlfn.IFS(student_scores[[#This Row],[weekly_self_study_hours]]&lt;=5,   "0 - 5", student_scores[[#This Row],[weekly_self_study_hours]]&lt;=10,  "6 - 10", student_scores[[#This Row],[weekly_self_study_hours]]&lt;=20,  "11 - 20",student_scores[[#This Row],[weekly_self_study_hours]]&lt;=30, "21 - 30",TRUE, "31+")</f>
        <v>11 - 20</v>
      </c>
      <c r="U1641" t="str" cm="1">
        <f t="array" ref="U1641">_xlfn.IFS(student_scores[[#This Row],[absence_days]]=0,"0", student_scores[[#This Row],[absence_days]]&lt;=3,"1-3", student_scores[[#This Row],[absence_days]]&lt;=6,"4-6", TRUE,"7-10")</f>
        <v>1-3</v>
      </c>
      <c r="V1641" t="str">
        <f>IF(student_scores[[#This Row],[Total_Score]] &gt;= _xlfn.PERCENTILE.INC(student_scores[Total_Score], 0.8), "Yes", "No")</f>
        <v>No</v>
      </c>
    </row>
    <row r="1642" spans="1:22" x14ac:dyDescent="0.35">
      <c r="A1642">
        <v>1641</v>
      </c>
      <c r="B1642" t="s">
        <v>1034</v>
      </c>
      <c r="C1642" t="s">
        <v>977</v>
      </c>
      <c r="D1642" t="s">
        <v>2707</v>
      </c>
      <c r="E1642" t="s">
        <v>25</v>
      </c>
      <c r="F1642" t="b">
        <v>0</v>
      </c>
      <c r="G1642">
        <v>2</v>
      </c>
      <c r="H1642" t="b">
        <v>0</v>
      </c>
      <c r="I1642">
        <v>29</v>
      </c>
      <c r="J1642" t="s">
        <v>44</v>
      </c>
      <c r="K1642">
        <v>89</v>
      </c>
      <c r="L1642">
        <v>90</v>
      </c>
      <c r="M1642">
        <v>72</v>
      </c>
      <c r="N1642">
        <v>98</v>
      </c>
      <c r="O1642">
        <v>96</v>
      </c>
      <c r="P1642">
        <v>84</v>
      </c>
      <c r="Q1642">
        <v>87</v>
      </c>
      <c r="R1642">
        <f>SUM(student_scores[[#This Row],[math_score]:[geography_score]])</f>
        <v>616</v>
      </c>
      <c r="S1642" s="3">
        <f>student_scores[[#This Row],[Total_Score]]/7</f>
        <v>88</v>
      </c>
      <c r="T1642" s="3" t="str" cm="1">
        <f t="array" ref="T1642">_xlfn.IFS(student_scores[[#This Row],[weekly_self_study_hours]]&lt;=5,   "0 - 5", student_scores[[#This Row],[weekly_self_study_hours]]&lt;=10,  "6 - 10", student_scores[[#This Row],[weekly_self_study_hours]]&lt;=20,  "11 - 20",student_scores[[#This Row],[weekly_self_study_hours]]&lt;=30, "21 - 30",TRUE, "31+")</f>
        <v>21 - 30</v>
      </c>
      <c r="U1642" t="str" cm="1">
        <f t="array" ref="U1642">_xlfn.IFS(student_scores[[#This Row],[absence_days]]=0,"0", student_scores[[#This Row],[absence_days]]&lt;=3,"1-3", student_scores[[#This Row],[absence_days]]&lt;=6,"4-6", TRUE,"7-10")</f>
        <v>1-3</v>
      </c>
      <c r="V1642" t="str">
        <f>IF(student_scores[[#This Row],[Total_Score]] &gt;= _xlfn.PERCENTILE.INC(student_scores[Total_Score], 0.8), "Yes", "No")</f>
        <v>Yes</v>
      </c>
    </row>
    <row r="1643" spans="1:22" x14ac:dyDescent="0.35">
      <c r="A1643">
        <v>1642</v>
      </c>
      <c r="B1643" t="s">
        <v>1135</v>
      </c>
      <c r="C1643" t="s">
        <v>87</v>
      </c>
      <c r="D1643" t="s">
        <v>2708</v>
      </c>
      <c r="E1643" t="s">
        <v>20</v>
      </c>
      <c r="F1643" t="b">
        <v>0</v>
      </c>
      <c r="G1643">
        <v>2</v>
      </c>
      <c r="H1643" t="b">
        <v>1</v>
      </c>
      <c r="I1643">
        <v>14</v>
      </c>
      <c r="J1643" t="s">
        <v>44</v>
      </c>
      <c r="K1643">
        <v>86</v>
      </c>
      <c r="L1643">
        <v>99</v>
      </c>
      <c r="M1643">
        <v>90</v>
      </c>
      <c r="N1643">
        <v>61</v>
      </c>
      <c r="O1643">
        <v>66</v>
      </c>
      <c r="P1643">
        <v>96</v>
      </c>
      <c r="Q1643">
        <v>87</v>
      </c>
      <c r="R1643">
        <f>SUM(student_scores[[#This Row],[math_score]:[geography_score]])</f>
        <v>585</v>
      </c>
      <c r="S1643" s="3">
        <f>student_scores[[#This Row],[Total_Score]]/7</f>
        <v>83.571428571428569</v>
      </c>
      <c r="T1643" s="3" t="str" cm="1">
        <f t="array" ref="T1643">_xlfn.IFS(student_scores[[#This Row],[weekly_self_study_hours]]&lt;=5,   "0 - 5", student_scores[[#This Row],[weekly_self_study_hours]]&lt;=10,  "6 - 10", student_scores[[#This Row],[weekly_self_study_hours]]&lt;=20,  "11 - 20",student_scores[[#This Row],[weekly_self_study_hours]]&lt;=30, "21 - 30",TRUE, "31+")</f>
        <v>11 - 20</v>
      </c>
      <c r="U1643" t="str" cm="1">
        <f t="array" ref="U1643">_xlfn.IFS(student_scores[[#This Row],[absence_days]]=0,"0", student_scores[[#This Row],[absence_days]]&lt;=3,"1-3", student_scores[[#This Row],[absence_days]]&lt;=6,"4-6", TRUE,"7-10")</f>
        <v>1-3</v>
      </c>
      <c r="V1643" t="str">
        <f>IF(student_scores[[#This Row],[Total_Score]] &gt;= _xlfn.PERCENTILE.INC(student_scores[Total_Score], 0.8), "Yes", "No")</f>
        <v>No</v>
      </c>
    </row>
    <row r="1644" spans="1:22" x14ac:dyDescent="0.35">
      <c r="A1644">
        <v>1643</v>
      </c>
      <c r="B1644" t="s">
        <v>468</v>
      </c>
      <c r="C1644" t="s">
        <v>501</v>
      </c>
      <c r="D1644" t="s">
        <v>2709</v>
      </c>
      <c r="E1644" t="s">
        <v>25</v>
      </c>
      <c r="F1644" t="b">
        <v>0</v>
      </c>
      <c r="G1644">
        <v>5</v>
      </c>
      <c r="H1644" t="b">
        <v>0</v>
      </c>
      <c r="I1644">
        <v>4</v>
      </c>
      <c r="J1644" t="s">
        <v>34</v>
      </c>
      <c r="K1644">
        <v>80</v>
      </c>
      <c r="L1644">
        <v>61</v>
      </c>
      <c r="M1644">
        <v>89</v>
      </c>
      <c r="N1644">
        <v>98</v>
      </c>
      <c r="O1644">
        <v>73</v>
      </c>
      <c r="P1644">
        <v>90</v>
      </c>
      <c r="Q1644">
        <v>88</v>
      </c>
      <c r="R1644">
        <f>SUM(student_scores[[#This Row],[math_score]:[geography_score]])</f>
        <v>579</v>
      </c>
      <c r="S1644" s="3">
        <f>student_scores[[#This Row],[Total_Score]]/7</f>
        <v>82.714285714285708</v>
      </c>
      <c r="T1644" s="3" t="str" cm="1">
        <f t="array" ref="T1644">_xlfn.IFS(student_scores[[#This Row],[weekly_self_study_hours]]&lt;=5,   "0 - 5", student_scores[[#This Row],[weekly_self_study_hours]]&lt;=10,  "6 - 10", student_scores[[#This Row],[weekly_self_study_hours]]&lt;=20,  "11 - 20",student_scores[[#This Row],[weekly_self_study_hours]]&lt;=30, "21 - 30",TRUE, "31+")</f>
        <v>0 - 5</v>
      </c>
      <c r="U1644" t="str" cm="1">
        <f t="array" ref="U1644">_xlfn.IFS(student_scores[[#This Row],[absence_days]]=0,"0", student_scores[[#This Row],[absence_days]]&lt;=3,"1-3", student_scores[[#This Row],[absence_days]]&lt;=6,"4-6", TRUE,"7-10")</f>
        <v>4-6</v>
      </c>
      <c r="V1644" t="str">
        <f>IF(student_scores[[#This Row],[Total_Score]] &gt;= _xlfn.PERCENTILE.INC(student_scores[Total_Score], 0.8), "Yes", "No")</f>
        <v>No</v>
      </c>
    </row>
    <row r="1645" spans="1:22" x14ac:dyDescent="0.35">
      <c r="A1645">
        <v>1644</v>
      </c>
      <c r="B1645" t="s">
        <v>130</v>
      </c>
      <c r="C1645" t="s">
        <v>2710</v>
      </c>
      <c r="D1645" t="s">
        <v>2711</v>
      </c>
      <c r="E1645" t="s">
        <v>25</v>
      </c>
      <c r="F1645" t="b">
        <v>0</v>
      </c>
      <c r="G1645">
        <v>4</v>
      </c>
      <c r="H1645" t="b">
        <v>0</v>
      </c>
      <c r="I1645">
        <v>15</v>
      </c>
      <c r="J1645" t="s">
        <v>44</v>
      </c>
      <c r="K1645">
        <v>93</v>
      </c>
      <c r="L1645">
        <v>77</v>
      </c>
      <c r="M1645">
        <v>85</v>
      </c>
      <c r="N1645">
        <v>95</v>
      </c>
      <c r="O1645">
        <v>60</v>
      </c>
      <c r="P1645">
        <v>99</v>
      </c>
      <c r="Q1645">
        <v>67</v>
      </c>
      <c r="R1645">
        <f>SUM(student_scores[[#This Row],[math_score]:[geography_score]])</f>
        <v>576</v>
      </c>
      <c r="S1645" s="3">
        <f>student_scores[[#This Row],[Total_Score]]/7</f>
        <v>82.285714285714292</v>
      </c>
      <c r="T1645" s="3" t="str" cm="1">
        <f t="array" ref="T1645">_xlfn.IFS(student_scores[[#This Row],[weekly_self_study_hours]]&lt;=5,   "0 - 5", student_scores[[#This Row],[weekly_self_study_hours]]&lt;=10,  "6 - 10", student_scores[[#This Row],[weekly_self_study_hours]]&lt;=20,  "11 - 20",student_scores[[#This Row],[weekly_self_study_hours]]&lt;=30, "21 - 30",TRUE, "31+")</f>
        <v>11 - 20</v>
      </c>
      <c r="U1645" t="str" cm="1">
        <f t="array" ref="U1645">_xlfn.IFS(student_scores[[#This Row],[absence_days]]=0,"0", student_scores[[#This Row],[absence_days]]&lt;=3,"1-3", student_scores[[#This Row],[absence_days]]&lt;=6,"4-6", TRUE,"7-10")</f>
        <v>4-6</v>
      </c>
      <c r="V1645" t="str">
        <f>IF(student_scores[[#This Row],[Total_Score]] &gt;= _xlfn.PERCENTILE.INC(student_scores[Total_Score], 0.8), "Yes", "No")</f>
        <v>No</v>
      </c>
    </row>
    <row r="1646" spans="1:22" x14ac:dyDescent="0.35">
      <c r="A1646">
        <v>1645</v>
      </c>
      <c r="B1646" t="s">
        <v>899</v>
      </c>
      <c r="C1646" t="s">
        <v>49</v>
      </c>
      <c r="D1646" t="s">
        <v>2712</v>
      </c>
      <c r="E1646" t="s">
        <v>25</v>
      </c>
      <c r="F1646" t="b">
        <v>0</v>
      </c>
      <c r="G1646">
        <v>5</v>
      </c>
      <c r="H1646" t="b">
        <v>0</v>
      </c>
      <c r="I1646">
        <v>32</v>
      </c>
      <c r="J1646" t="s">
        <v>44</v>
      </c>
      <c r="K1646">
        <v>87</v>
      </c>
      <c r="L1646">
        <v>91</v>
      </c>
      <c r="M1646">
        <v>86</v>
      </c>
      <c r="N1646">
        <v>96</v>
      </c>
      <c r="O1646">
        <v>65</v>
      </c>
      <c r="P1646">
        <v>77</v>
      </c>
      <c r="Q1646">
        <v>83</v>
      </c>
      <c r="R1646">
        <f>SUM(student_scores[[#This Row],[math_score]:[geography_score]])</f>
        <v>585</v>
      </c>
      <c r="S1646" s="3">
        <f>student_scores[[#This Row],[Total_Score]]/7</f>
        <v>83.571428571428569</v>
      </c>
      <c r="T1646" s="3" t="str" cm="1">
        <f t="array" ref="T1646">_xlfn.IFS(student_scores[[#This Row],[weekly_self_study_hours]]&lt;=5,   "0 - 5", student_scores[[#This Row],[weekly_self_study_hours]]&lt;=10,  "6 - 10", student_scores[[#This Row],[weekly_self_study_hours]]&lt;=20,  "11 - 20",student_scores[[#This Row],[weekly_self_study_hours]]&lt;=30, "21 - 30",TRUE, "31+")</f>
        <v>31+</v>
      </c>
      <c r="U1646" t="str" cm="1">
        <f t="array" ref="U1646">_xlfn.IFS(student_scores[[#This Row],[absence_days]]=0,"0", student_scores[[#This Row],[absence_days]]&lt;=3,"1-3", student_scores[[#This Row],[absence_days]]&lt;=6,"4-6", TRUE,"7-10")</f>
        <v>4-6</v>
      </c>
      <c r="V1646" t="str">
        <f>IF(student_scores[[#This Row],[Total_Score]] &gt;= _xlfn.PERCENTILE.INC(student_scores[Total_Score], 0.8), "Yes", "No")</f>
        <v>No</v>
      </c>
    </row>
    <row r="1647" spans="1:22" x14ac:dyDescent="0.35">
      <c r="A1647">
        <v>1646</v>
      </c>
      <c r="B1647" t="s">
        <v>312</v>
      </c>
      <c r="C1647" t="s">
        <v>625</v>
      </c>
      <c r="D1647" t="s">
        <v>2713</v>
      </c>
      <c r="E1647" t="s">
        <v>20</v>
      </c>
      <c r="F1647" t="b">
        <v>0</v>
      </c>
      <c r="G1647">
        <v>7</v>
      </c>
      <c r="H1647" t="b">
        <v>0</v>
      </c>
      <c r="I1647">
        <v>33</v>
      </c>
      <c r="J1647" t="s">
        <v>172</v>
      </c>
      <c r="K1647">
        <v>86</v>
      </c>
      <c r="L1647">
        <v>88</v>
      </c>
      <c r="M1647">
        <v>96</v>
      </c>
      <c r="N1647">
        <v>86</v>
      </c>
      <c r="O1647">
        <v>87</v>
      </c>
      <c r="P1647">
        <v>99</v>
      </c>
      <c r="Q1647">
        <v>80</v>
      </c>
      <c r="R1647">
        <f>SUM(student_scores[[#This Row],[math_score]:[geography_score]])</f>
        <v>622</v>
      </c>
      <c r="S1647" s="3">
        <f>student_scores[[#This Row],[Total_Score]]/7</f>
        <v>88.857142857142861</v>
      </c>
      <c r="T1647" s="3" t="str" cm="1">
        <f t="array" ref="T1647">_xlfn.IFS(student_scores[[#This Row],[weekly_self_study_hours]]&lt;=5,   "0 - 5", student_scores[[#This Row],[weekly_self_study_hours]]&lt;=10,  "6 - 10", student_scores[[#This Row],[weekly_self_study_hours]]&lt;=20,  "11 - 20",student_scores[[#This Row],[weekly_self_study_hours]]&lt;=30, "21 - 30",TRUE, "31+")</f>
        <v>31+</v>
      </c>
      <c r="U1647" t="str" cm="1">
        <f t="array" ref="U1647">_xlfn.IFS(student_scores[[#This Row],[absence_days]]=0,"0", student_scores[[#This Row],[absence_days]]&lt;=3,"1-3", student_scores[[#This Row],[absence_days]]&lt;=6,"4-6", TRUE,"7-10")</f>
        <v>7-10</v>
      </c>
      <c r="V1647" t="str">
        <f>IF(student_scores[[#This Row],[Total_Score]] &gt;= _xlfn.PERCENTILE.INC(student_scores[Total_Score], 0.8), "Yes", "No")</f>
        <v>Yes</v>
      </c>
    </row>
    <row r="1648" spans="1:22" x14ac:dyDescent="0.35">
      <c r="A1648">
        <v>1647</v>
      </c>
      <c r="B1648" t="s">
        <v>291</v>
      </c>
      <c r="C1648" t="s">
        <v>103</v>
      </c>
      <c r="D1648" t="s">
        <v>2714</v>
      </c>
      <c r="E1648" t="s">
        <v>25</v>
      </c>
      <c r="F1648" t="b">
        <v>0</v>
      </c>
      <c r="G1648">
        <v>4</v>
      </c>
      <c r="H1648" t="b">
        <v>1</v>
      </c>
      <c r="I1648">
        <v>29</v>
      </c>
      <c r="J1648" t="s">
        <v>44</v>
      </c>
      <c r="K1648">
        <v>87</v>
      </c>
      <c r="L1648">
        <v>80</v>
      </c>
      <c r="M1648">
        <v>97</v>
      </c>
      <c r="N1648">
        <v>98</v>
      </c>
      <c r="O1648">
        <v>91</v>
      </c>
      <c r="P1648">
        <v>64</v>
      </c>
      <c r="Q1648">
        <v>97</v>
      </c>
      <c r="R1648">
        <f>SUM(student_scores[[#This Row],[math_score]:[geography_score]])</f>
        <v>614</v>
      </c>
      <c r="S1648" s="3">
        <f>student_scores[[#This Row],[Total_Score]]/7</f>
        <v>87.714285714285708</v>
      </c>
      <c r="T1648" s="3" t="str" cm="1">
        <f t="array" ref="T1648">_xlfn.IFS(student_scores[[#This Row],[weekly_self_study_hours]]&lt;=5,   "0 - 5", student_scores[[#This Row],[weekly_self_study_hours]]&lt;=10,  "6 - 10", student_scores[[#This Row],[weekly_self_study_hours]]&lt;=20,  "11 - 20",student_scores[[#This Row],[weekly_self_study_hours]]&lt;=30, "21 - 30",TRUE, "31+")</f>
        <v>21 - 30</v>
      </c>
      <c r="U1648" t="str" cm="1">
        <f t="array" ref="U1648">_xlfn.IFS(student_scores[[#This Row],[absence_days]]=0,"0", student_scores[[#This Row],[absence_days]]&lt;=3,"1-3", student_scores[[#This Row],[absence_days]]&lt;=6,"4-6", TRUE,"7-10")</f>
        <v>4-6</v>
      </c>
      <c r="V1648" t="str">
        <f>IF(student_scores[[#This Row],[Total_Score]] &gt;= _xlfn.PERCENTILE.INC(student_scores[Total_Score], 0.8), "Yes", "No")</f>
        <v>Yes</v>
      </c>
    </row>
    <row r="1649" spans="1:22" x14ac:dyDescent="0.35">
      <c r="A1649">
        <v>1648</v>
      </c>
      <c r="B1649" t="s">
        <v>35</v>
      </c>
      <c r="C1649" t="s">
        <v>2422</v>
      </c>
      <c r="D1649" t="s">
        <v>2715</v>
      </c>
      <c r="E1649" t="s">
        <v>20</v>
      </c>
      <c r="F1649" t="b">
        <v>0</v>
      </c>
      <c r="G1649">
        <v>2</v>
      </c>
      <c r="H1649" t="b">
        <v>0</v>
      </c>
      <c r="I1649">
        <v>31</v>
      </c>
      <c r="J1649" t="s">
        <v>21</v>
      </c>
      <c r="K1649">
        <v>96</v>
      </c>
      <c r="L1649">
        <v>83</v>
      </c>
      <c r="M1649">
        <v>97</v>
      </c>
      <c r="N1649">
        <v>100</v>
      </c>
      <c r="O1649">
        <v>85</v>
      </c>
      <c r="P1649">
        <v>92</v>
      </c>
      <c r="Q1649">
        <v>69</v>
      </c>
      <c r="R1649">
        <f>SUM(student_scores[[#This Row],[math_score]:[geography_score]])</f>
        <v>622</v>
      </c>
      <c r="S1649" s="3">
        <f>student_scores[[#This Row],[Total_Score]]/7</f>
        <v>88.857142857142861</v>
      </c>
      <c r="T1649" s="3" t="str" cm="1">
        <f t="array" ref="T1649">_xlfn.IFS(student_scores[[#This Row],[weekly_self_study_hours]]&lt;=5,   "0 - 5", student_scores[[#This Row],[weekly_self_study_hours]]&lt;=10,  "6 - 10", student_scores[[#This Row],[weekly_self_study_hours]]&lt;=20,  "11 - 20",student_scores[[#This Row],[weekly_self_study_hours]]&lt;=30, "21 - 30",TRUE, "31+")</f>
        <v>31+</v>
      </c>
      <c r="U1649" t="str" cm="1">
        <f t="array" ref="U1649">_xlfn.IFS(student_scores[[#This Row],[absence_days]]=0,"0", student_scores[[#This Row],[absence_days]]&lt;=3,"1-3", student_scores[[#This Row],[absence_days]]&lt;=6,"4-6", TRUE,"7-10")</f>
        <v>1-3</v>
      </c>
      <c r="V1649" t="str">
        <f>IF(student_scores[[#This Row],[Total_Score]] &gt;= _xlfn.PERCENTILE.INC(student_scores[Total_Score], 0.8), "Yes", "No")</f>
        <v>Yes</v>
      </c>
    </row>
    <row r="1650" spans="1:22" x14ac:dyDescent="0.35">
      <c r="A1650">
        <v>1649</v>
      </c>
      <c r="B1650" t="s">
        <v>2716</v>
      </c>
      <c r="C1650" t="s">
        <v>1353</v>
      </c>
      <c r="D1650" t="s">
        <v>2717</v>
      </c>
      <c r="E1650" t="s">
        <v>25</v>
      </c>
      <c r="F1650" t="b">
        <v>0</v>
      </c>
      <c r="G1650">
        <v>5</v>
      </c>
      <c r="H1650" t="b">
        <v>0</v>
      </c>
      <c r="I1650">
        <v>29</v>
      </c>
      <c r="J1650" t="s">
        <v>21</v>
      </c>
      <c r="K1650">
        <v>90</v>
      </c>
      <c r="L1650">
        <v>89</v>
      </c>
      <c r="M1650">
        <v>70</v>
      </c>
      <c r="N1650">
        <v>90</v>
      </c>
      <c r="O1650">
        <v>83</v>
      </c>
      <c r="P1650">
        <v>82</v>
      </c>
      <c r="Q1650">
        <v>87</v>
      </c>
      <c r="R1650">
        <f>SUM(student_scores[[#This Row],[math_score]:[geography_score]])</f>
        <v>591</v>
      </c>
      <c r="S1650" s="3">
        <f>student_scores[[#This Row],[Total_Score]]/7</f>
        <v>84.428571428571431</v>
      </c>
      <c r="T1650" s="3" t="str" cm="1">
        <f t="array" ref="T1650">_xlfn.IFS(student_scores[[#This Row],[weekly_self_study_hours]]&lt;=5,   "0 - 5", student_scores[[#This Row],[weekly_self_study_hours]]&lt;=10,  "6 - 10", student_scores[[#This Row],[weekly_self_study_hours]]&lt;=20,  "11 - 20",student_scores[[#This Row],[weekly_self_study_hours]]&lt;=30, "21 - 30",TRUE, "31+")</f>
        <v>21 - 30</v>
      </c>
      <c r="U1650" t="str" cm="1">
        <f t="array" ref="U1650">_xlfn.IFS(student_scores[[#This Row],[absence_days]]=0,"0", student_scores[[#This Row],[absence_days]]&lt;=3,"1-3", student_scores[[#This Row],[absence_days]]&lt;=6,"4-6", TRUE,"7-10")</f>
        <v>4-6</v>
      </c>
      <c r="V1650" t="str">
        <f>IF(student_scores[[#This Row],[Total_Score]] &gt;= _xlfn.PERCENTILE.INC(student_scores[Total_Score], 0.8), "Yes", "No")</f>
        <v>No</v>
      </c>
    </row>
    <row r="1651" spans="1:22" x14ac:dyDescent="0.35">
      <c r="A1651">
        <v>1650</v>
      </c>
      <c r="B1651" t="s">
        <v>130</v>
      </c>
      <c r="C1651" t="s">
        <v>2718</v>
      </c>
      <c r="D1651" t="s">
        <v>2719</v>
      </c>
      <c r="E1651" t="s">
        <v>25</v>
      </c>
      <c r="F1651" t="b">
        <v>1</v>
      </c>
      <c r="G1651">
        <v>5</v>
      </c>
      <c r="H1651" t="b">
        <v>0</v>
      </c>
      <c r="I1651">
        <v>0</v>
      </c>
      <c r="J1651" t="s">
        <v>64</v>
      </c>
      <c r="K1651">
        <v>89</v>
      </c>
      <c r="L1651">
        <v>65</v>
      </c>
      <c r="M1651">
        <v>65</v>
      </c>
      <c r="N1651">
        <v>91</v>
      </c>
      <c r="O1651">
        <v>76</v>
      </c>
      <c r="P1651">
        <v>91</v>
      </c>
      <c r="Q1651">
        <v>92</v>
      </c>
      <c r="R1651">
        <f>SUM(student_scores[[#This Row],[math_score]:[geography_score]])</f>
        <v>569</v>
      </c>
      <c r="S1651" s="3">
        <f>student_scores[[#This Row],[Total_Score]]/7</f>
        <v>81.285714285714292</v>
      </c>
      <c r="T1651" s="3" t="str" cm="1">
        <f t="array" ref="T1651">_xlfn.IFS(student_scores[[#This Row],[weekly_self_study_hours]]&lt;=5,   "0 - 5", student_scores[[#This Row],[weekly_self_study_hours]]&lt;=10,  "6 - 10", student_scores[[#This Row],[weekly_self_study_hours]]&lt;=20,  "11 - 20",student_scores[[#This Row],[weekly_self_study_hours]]&lt;=30, "21 - 30",TRUE, "31+")</f>
        <v>0 - 5</v>
      </c>
      <c r="U1651" t="str" cm="1">
        <f t="array" ref="U1651">_xlfn.IFS(student_scores[[#This Row],[absence_days]]=0,"0", student_scores[[#This Row],[absence_days]]&lt;=3,"1-3", student_scores[[#This Row],[absence_days]]&lt;=6,"4-6", TRUE,"7-10")</f>
        <v>4-6</v>
      </c>
      <c r="V1651" t="str">
        <f>IF(student_scores[[#This Row],[Total_Score]] &gt;= _xlfn.PERCENTILE.INC(student_scores[Total_Score], 0.8), "Yes", "No")</f>
        <v>No</v>
      </c>
    </row>
    <row r="1652" spans="1:22" x14ac:dyDescent="0.35">
      <c r="A1652">
        <v>1651</v>
      </c>
      <c r="B1652" t="s">
        <v>1034</v>
      </c>
      <c r="C1652" t="s">
        <v>118</v>
      </c>
      <c r="D1652" t="s">
        <v>2720</v>
      </c>
      <c r="E1652" t="s">
        <v>25</v>
      </c>
      <c r="F1652" t="b">
        <v>1</v>
      </c>
      <c r="G1652">
        <v>6</v>
      </c>
      <c r="H1652" t="b">
        <v>0</v>
      </c>
      <c r="I1652">
        <v>1</v>
      </c>
      <c r="J1652" t="s">
        <v>64</v>
      </c>
      <c r="K1652">
        <v>98</v>
      </c>
      <c r="L1652">
        <v>62</v>
      </c>
      <c r="M1652">
        <v>75</v>
      </c>
      <c r="N1652">
        <v>72</v>
      </c>
      <c r="O1652">
        <v>81</v>
      </c>
      <c r="P1652">
        <v>73</v>
      </c>
      <c r="Q1652">
        <v>93</v>
      </c>
      <c r="R1652">
        <f>SUM(student_scores[[#This Row],[math_score]:[geography_score]])</f>
        <v>554</v>
      </c>
      <c r="S1652" s="3">
        <f>student_scores[[#This Row],[Total_Score]]/7</f>
        <v>79.142857142857139</v>
      </c>
      <c r="T1652" s="3" t="str" cm="1">
        <f t="array" ref="T1652">_xlfn.IFS(student_scores[[#This Row],[weekly_self_study_hours]]&lt;=5,   "0 - 5", student_scores[[#This Row],[weekly_self_study_hours]]&lt;=10,  "6 - 10", student_scores[[#This Row],[weekly_self_study_hours]]&lt;=20,  "11 - 20",student_scores[[#This Row],[weekly_self_study_hours]]&lt;=30, "21 - 30",TRUE, "31+")</f>
        <v>0 - 5</v>
      </c>
      <c r="U1652" t="str" cm="1">
        <f t="array" ref="U1652">_xlfn.IFS(student_scores[[#This Row],[absence_days]]=0,"0", student_scores[[#This Row],[absence_days]]&lt;=3,"1-3", student_scores[[#This Row],[absence_days]]&lt;=6,"4-6", TRUE,"7-10")</f>
        <v>4-6</v>
      </c>
      <c r="V1652" t="str">
        <f>IF(student_scores[[#This Row],[Total_Score]] &gt;= _xlfn.PERCENTILE.INC(student_scores[Total_Score], 0.8), "Yes", "No")</f>
        <v>No</v>
      </c>
    </row>
    <row r="1653" spans="1:22" x14ac:dyDescent="0.35">
      <c r="A1653">
        <v>1652</v>
      </c>
      <c r="B1653" t="s">
        <v>456</v>
      </c>
      <c r="C1653" t="s">
        <v>56</v>
      </c>
      <c r="D1653" t="s">
        <v>2721</v>
      </c>
      <c r="E1653" t="s">
        <v>25</v>
      </c>
      <c r="F1653" t="b">
        <v>0</v>
      </c>
      <c r="G1653">
        <v>3</v>
      </c>
      <c r="H1653" t="b">
        <v>0</v>
      </c>
      <c r="I1653">
        <v>42</v>
      </c>
      <c r="J1653" t="s">
        <v>26</v>
      </c>
      <c r="K1653">
        <v>99</v>
      </c>
      <c r="L1653">
        <v>100</v>
      </c>
      <c r="M1653">
        <v>87</v>
      </c>
      <c r="N1653">
        <v>96</v>
      </c>
      <c r="O1653">
        <v>93</v>
      </c>
      <c r="P1653">
        <v>92</v>
      </c>
      <c r="Q1653">
        <v>88</v>
      </c>
      <c r="R1653">
        <f>SUM(student_scores[[#This Row],[math_score]:[geography_score]])</f>
        <v>655</v>
      </c>
      <c r="S1653" s="3">
        <f>student_scores[[#This Row],[Total_Score]]/7</f>
        <v>93.571428571428569</v>
      </c>
      <c r="T1653" s="3" t="str" cm="1">
        <f t="array" ref="T1653">_xlfn.IFS(student_scores[[#This Row],[weekly_self_study_hours]]&lt;=5,   "0 - 5", student_scores[[#This Row],[weekly_self_study_hours]]&lt;=10,  "6 - 10", student_scores[[#This Row],[weekly_self_study_hours]]&lt;=20,  "11 - 20",student_scores[[#This Row],[weekly_self_study_hours]]&lt;=30, "21 - 30",TRUE, "31+")</f>
        <v>31+</v>
      </c>
      <c r="U1653" t="str" cm="1">
        <f t="array" ref="U1653">_xlfn.IFS(student_scores[[#This Row],[absence_days]]=0,"0", student_scores[[#This Row],[absence_days]]&lt;=3,"1-3", student_scores[[#This Row],[absence_days]]&lt;=6,"4-6", TRUE,"7-10")</f>
        <v>1-3</v>
      </c>
      <c r="V1653" t="str">
        <f>IF(student_scores[[#This Row],[Total_Score]] &gt;= _xlfn.PERCENTILE.INC(student_scores[Total_Score], 0.8), "Yes", "No")</f>
        <v>Yes</v>
      </c>
    </row>
    <row r="1654" spans="1:22" x14ac:dyDescent="0.35">
      <c r="A1654">
        <v>1653</v>
      </c>
      <c r="B1654" t="s">
        <v>2722</v>
      </c>
      <c r="C1654" t="s">
        <v>100</v>
      </c>
      <c r="D1654" t="s">
        <v>2723</v>
      </c>
      <c r="E1654" t="s">
        <v>25</v>
      </c>
      <c r="F1654" t="b">
        <v>1</v>
      </c>
      <c r="G1654">
        <v>9</v>
      </c>
      <c r="H1654" t="b">
        <v>1</v>
      </c>
      <c r="I1654">
        <v>2</v>
      </c>
      <c r="J1654" t="s">
        <v>64</v>
      </c>
      <c r="K1654">
        <v>99</v>
      </c>
      <c r="L1654">
        <v>65</v>
      </c>
      <c r="M1654">
        <v>100</v>
      </c>
      <c r="N1654">
        <v>93</v>
      </c>
      <c r="O1654">
        <v>91</v>
      </c>
      <c r="P1654">
        <v>60</v>
      </c>
      <c r="Q1654">
        <v>83</v>
      </c>
      <c r="R1654">
        <f>SUM(student_scores[[#This Row],[math_score]:[geography_score]])</f>
        <v>591</v>
      </c>
      <c r="S1654" s="3">
        <f>student_scores[[#This Row],[Total_Score]]/7</f>
        <v>84.428571428571431</v>
      </c>
      <c r="T1654" s="3" t="str" cm="1">
        <f t="array" ref="T1654">_xlfn.IFS(student_scores[[#This Row],[weekly_self_study_hours]]&lt;=5,   "0 - 5", student_scores[[#This Row],[weekly_self_study_hours]]&lt;=10,  "6 - 10", student_scores[[#This Row],[weekly_self_study_hours]]&lt;=20,  "11 - 20",student_scores[[#This Row],[weekly_self_study_hours]]&lt;=30, "21 - 30",TRUE, "31+")</f>
        <v>0 - 5</v>
      </c>
      <c r="U1654" t="str" cm="1">
        <f t="array" ref="U1654">_xlfn.IFS(student_scores[[#This Row],[absence_days]]=0,"0", student_scores[[#This Row],[absence_days]]&lt;=3,"1-3", student_scores[[#This Row],[absence_days]]&lt;=6,"4-6", TRUE,"7-10")</f>
        <v>7-10</v>
      </c>
      <c r="V1654" t="str">
        <f>IF(student_scores[[#This Row],[Total_Score]] &gt;= _xlfn.PERCENTILE.INC(student_scores[Total_Score], 0.8), "Yes", "No")</f>
        <v>No</v>
      </c>
    </row>
    <row r="1655" spans="1:22" x14ac:dyDescent="0.35">
      <c r="A1655">
        <v>1654</v>
      </c>
      <c r="B1655" t="s">
        <v>1024</v>
      </c>
      <c r="C1655" t="s">
        <v>1669</v>
      </c>
      <c r="D1655" t="s">
        <v>2724</v>
      </c>
      <c r="E1655" t="s">
        <v>20</v>
      </c>
      <c r="F1655" t="b">
        <v>0</v>
      </c>
      <c r="G1655">
        <v>3</v>
      </c>
      <c r="H1655" t="b">
        <v>0</v>
      </c>
      <c r="I1655">
        <v>1</v>
      </c>
      <c r="J1655" t="s">
        <v>224</v>
      </c>
      <c r="K1655">
        <v>55</v>
      </c>
      <c r="L1655">
        <v>81</v>
      </c>
      <c r="M1655">
        <v>72</v>
      </c>
      <c r="N1655">
        <v>100</v>
      </c>
      <c r="O1655">
        <v>87</v>
      </c>
      <c r="P1655">
        <v>85</v>
      </c>
      <c r="Q1655">
        <v>94</v>
      </c>
      <c r="R1655">
        <f>SUM(student_scores[[#This Row],[math_score]:[geography_score]])</f>
        <v>574</v>
      </c>
      <c r="S1655" s="3">
        <f>student_scores[[#This Row],[Total_Score]]/7</f>
        <v>82</v>
      </c>
      <c r="T1655" s="3" t="str" cm="1">
        <f t="array" ref="T1655">_xlfn.IFS(student_scores[[#This Row],[weekly_self_study_hours]]&lt;=5,   "0 - 5", student_scores[[#This Row],[weekly_self_study_hours]]&lt;=10,  "6 - 10", student_scores[[#This Row],[weekly_self_study_hours]]&lt;=20,  "11 - 20",student_scores[[#This Row],[weekly_self_study_hours]]&lt;=30, "21 - 30",TRUE, "31+")</f>
        <v>0 - 5</v>
      </c>
      <c r="U1655" t="str" cm="1">
        <f t="array" ref="U1655">_xlfn.IFS(student_scores[[#This Row],[absence_days]]=0,"0", student_scores[[#This Row],[absence_days]]&lt;=3,"1-3", student_scores[[#This Row],[absence_days]]&lt;=6,"4-6", TRUE,"7-10")</f>
        <v>1-3</v>
      </c>
      <c r="V1655" t="str">
        <f>IF(student_scores[[#This Row],[Total_Score]] &gt;= _xlfn.PERCENTILE.INC(student_scores[Total_Score], 0.8), "Yes", "No")</f>
        <v>No</v>
      </c>
    </row>
    <row r="1656" spans="1:22" x14ac:dyDescent="0.35">
      <c r="A1656">
        <v>1655</v>
      </c>
      <c r="B1656" t="s">
        <v>676</v>
      </c>
      <c r="C1656" t="s">
        <v>558</v>
      </c>
      <c r="D1656" t="s">
        <v>2725</v>
      </c>
      <c r="E1656" t="s">
        <v>20</v>
      </c>
      <c r="F1656" t="b">
        <v>0</v>
      </c>
      <c r="G1656">
        <v>1</v>
      </c>
      <c r="H1656" t="b">
        <v>0</v>
      </c>
      <c r="I1656">
        <v>11</v>
      </c>
      <c r="J1656" t="s">
        <v>30</v>
      </c>
      <c r="K1656">
        <v>86</v>
      </c>
      <c r="L1656">
        <v>87</v>
      </c>
      <c r="M1656">
        <v>64</v>
      </c>
      <c r="N1656">
        <v>74</v>
      </c>
      <c r="O1656">
        <v>60</v>
      </c>
      <c r="P1656">
        <v>89</v>
      </c>
      <c r="Q1656">
        <v>84</v>
      </c>
      <c r="R1656">
        <f>SUM(student_scores[[#This Row],[math_score]:[geography_score]])</f>
        <v>544</v>
      </c>
      <c r="S1656" s="3">
        <f>student_scores[[#This Row],[Total_Score]]/7</f>
        <v>77.714285714285708</v>
      </c>
      <c r="T1656" s="3" t="str" cm="1">
        <f t="array" ref="T1656">_xlfn.IFS(student_scores[[#This Row],[weekly_self_study_hours]]&lt;=5,   "0 - 5", student_scores[[#This Row],[weekly_self_study_hours]]&lt;=10,  "6 - 10", student_scores[[#This Row],[weekly_self_study_hours]]&lt;=20,  "11 - 20",student_scores[[#This Row],[weekly_self_study_hours]]&lt;=30, "21 - 30",TRUE, "31+")</f>
        <v>11 - 20</v>
      </c>
      <c r="U1656" t="str" cm="1">
        <f t="array" ref="U1656">_xlfn.IFS(student_scores[[#This Row],[absence_days]]=0,"0", student_scores[[#This Row],[absence_days]]&lt;=3,"1-3", student_scores[[#This Row],[absence_days]]&lt;=6,"4-6", TRUE,"7-10")</f>
        <v>1-3</v>
      </c>
      <c r="V1656" t="str">
        <f>IF(student_scores[[#This Row],[Total_Score]] &gt;= _xlfn.PERCENTILE.INC(student_scores[Total_Score], 0.8), "Yes", "No")</f>
        <v>No</v>
      </c>
    </row>
    <row r="1657" spans="1:22" x14ac:dyDescent="0.35">
      <c r="A1657">
        <v>1656</v>
      </c>
      <c r="B1657" t="s">
        <v>148</v>
      </c>
      <c r="C1657" t="s">
        <v>2726</v>
      </c>
      <c r="D1657" t="s">
        <v>2727</v>
      </c>
      <c r="E1657" t="s">
        <v>25</v>
      </c>
      <c r="F1657" t="b">
        <v>1</v>
      </c>
      <c r="G1657">
        <v>4</v>
      </c>
      <c r="H1657" t="b">
        <v>0</v>
      </c>
      <c r="I1657">
        <v>18</v>
      </c>
      <c r="J1657" t="s">
        <v>44</v>
      </c>
      <c r="K1657">
        <v>89</v>
      </c>
      <c r="L1657">
        <v>65</v>
      </c>
      <c r="M1657">
        <v>60</v>
      </c>
      <c r="N1657">
        <v>70</v>
      </c>
      <c r="O1657">
        <v>86</v>
      </c>
      <c r="P1657">
        <v>62</v>
      </c>
      <c r="Q1657">
        <v>74</v>
      </c>
      <c r="R1657">
        <f>SUM(student_scores[[#This Row],[math_score]:[geography_score]])</f>
        <v>506</v>
      </c>
      <c r="S1657" s="3">
        <f>student_scores[[#This Row],[Total_Score]]/7</f>
        <v>72.285714285714292</v>
      </c>
      <c r="T1657" s="3" t="str" cm="1">
        <f t="array" ref="T1657">_xlfn.IFS(student_scores[[#This Row],[weekly_self_study_hours]]&lt;=5,   "0 - 5", student_scores[[#This Row],[weekly_self_study_hours]]&lt;=10,  "6 - 10", student_scores[[#This Row],[weekly_self_study_hours]]&lt;=20,  "11 - 20",student_scores[[#This Row],[weekly_self_study_hours]]&lt;=30, "21 - 30",TRUE, "31+")</f>
        <v>11 - 20</v>
      </c>
      <c r="U1657" t="str" cm="1">
        <f t="array" ref="U1657">_xlfn.IFS(student_scores[[#This Row],[absence_days]]=0,"0", student_scores[[#This Row],[absence_days]]&lt;=3,"1-3", student_scores[[#This Row],[absence_days]]&lt;=6,"4-6", TRUE,"7-10")</f>
        <v>4-6</v>
      </c>
      <c r="V1657" t="str">
        <f>IF(student_scores[[#This Row],[Total_Score]] &gt;= _xlfn.PERCENTILE.INC(student_scores[Total_Score], 0.8), "Yes", "No")</f>
        <v>No</v>
      </c>
    </row>
    <row r="1658" spans="1:22" x14ac:dyDescent="0.35">
      <c r="A1658">
        <v>1657</v>
      </c>
      <c r="B1658" t="s">
        <v>1001</v>
      </c>
      <c r="C1658" t="s">
        <v>553</v>
      </c>
      <c r="D1658" t="s">
        <v>2728</v>
      </c>
      <c r="E1658" t="s">
        <v>25</v>
      </c>
      <c r="F1658" t="b">
        <v>0</v>
      </c>
      <c r="G1658">
        <v>2</v>
      </c>
      <c r="H1658" t="b">
        <v>1</v>
      </c>
      <c r="I1658">
        <v>35</v>
      </c>
      <c r="J1658" t="s">
        <v>44</v>
      </c>
      <c r="K1658">
        <v>94</v>
      </c>
      <c r="L1658">
        <v>97</v>
      </c>
      <c r="M1658">
        <v>90</v>
      </c>
      <c r="N1658">
        <v>93</v>
      </c>
      <c r="O1658">
        <v>85</v>
      </c>
      <c r="P1658">
        <v>95</v>
      </c>
      <c r="Q1658">
        <v>92</v>
      </c>
      <c r="R1658">
        <f>SUM(student_scores[[#This Row],[math_score]:[geography_score]])</f>
        <v>646</v>
      </c>
      <c r="S1658" s="3">
        <f>student_scores[[#This Row],[Total_Score]]/7</f>
        <v>92.285714285714292</v>
      </c>
      <c r="T1658" s="3" t="str" cm="1">
        <f t="array" ref="T1658">_xlfn.IFS(student_scores[[#This Row],[weekly_self_study_hours]]&lt;=5,   "0 - 5", student_scores[[#This Row],[weekly_self_study_hours]]&lt;=10,  "6 - 10", student_scores[[#This Row],[weekly_self_study_hours]]&lt;=20,  "11 - 20",student_scores[[#This Row],[weekly_self_study_hours]]&lt;=30, "21 - 30",TRUE, "31+")</f>
        <v>31+</v>
      </c>
      <c r="U1658" t="str" cm="1">
        <f t="array" ref="U1658">_xlfn.IFS(student_scores[[#This Row],[absence_days]]=0,"0", student_scores[[#This Row],[absence_days]]&lt;=3,"1-3", student_scores[[#This Row],[absence_days]]&lt;=6,"4-6", TRUE,"7-10")</f>
        <v>1-3</v>
      </c>
      <c r="V1658" t="str">
        <f>IF(student_scores[[#This Row],[Total_Score]] &gt;= _xlfn.PERCENTILE.INC(student_scores[Total_Score], 0.8), "Yes", "No")</f>
        <v>Yes</v>
      </c>
    </row>
    <row r="1659" spans="1:22" x14ac:dyDescent="0.35">
      <c r="A1659">
        <v>1658</v>
      </c>
      <c r="B1659" t="s">
        <v>277</v>
      </c>
      <c r="C1659" t="s">
        <v>2729</v>
      </c>
      <c r="D1659" t="s">
        <v>2730</v>
      </c>
      <c r="E1659" t="s">
        <v>20</v>
      </c>
      <c r="F1659" t="b">
        <v>0</v>
      </c>
      <c r="G1659">
        <v>1</v>
      </c>
      <c r="H1659" t="b">
        <v>0</v>
      </c>
      <c r="I1659">
        <v>1</v>
      </c>
      <c r="J1659" t="s">
        <v>159</v>
      </c>
      <c r="K1659">
        <v>85</v>
      </c>
      <c r="L1659">
        <v>61</v>
      </c>
      <c r="M1659">
        <v>100</v>
      </c>
      <c r="N1659">
        <v>75</v>
      </c>
      <c r="O1659">
        <v>70</v>
      </c>
      <c r="P1659">
        <v>89</v>
      </c>
      <c r="Q1659">
        <v>80</v>
      </c>
      <c r="R1659">
        <f>SUM(student_scores[[#This Row],[math_score]:[geography_score]])</f>
        <v>560</v>
      </c>
      <c r="S1659" s="3">
        <f>student_scores[[#This Row],[Total_Score]]/7</f>
        <v>80</v>
      </c>
      <c r="T1659" s="3" t="str" cm="1">
        <f t="array" ref="T1659">_xlfn.IFS(student_scores[[#This Row],[weekly_self_study_hours]]&lt;=5,   "0 - 5", student_scores[[#This Row],[weekly_self_study_hours]]&lt;=10,  "6 - 10", student_scores[[#This Row],[weekly_self_study_hours]]&lt;=20,  "11 - 20",student_scores[[#This Row],[weekly_self_study_hours]]&lt;=30, "21 - 30",TRUE, "31+")</f>
        <v>0 - 5</v>
      </c>
      <c r="U1659" t="str" cm="1">
        <f t="array" ref="U1659">_xlfn.IFS(student_scores[[#This Row],[absence_days]]=0,"0", student_scores[[#This Row],[absence_days]]&lt;=3,"1-3", student_scores[[#This Row],[absence_days]]&lt;=6,"4-6", TRUE,"7-10")</f>
        <v>1-3</v>
      </c>
      <c r="V1659" t="str">
        <f>IF(student_scores[[#This Row],[Total_Score]] &gt;= _xlfn.PERCENTILE.INC(student_scores[Total_Score], 0.8), "Yes", "No")</f>
        <v>No</v>
      </c>
    </row>
    <row r="1660" spans="1:22" x14ac:dyDescent="0.35">
      <c r="A1660">
        <v>1659</v>
      </c>
      <c r="B1660" t="s">
        <v>214</v>
      </c>
      <c r="C1660" t="s">
        <v>1272</v>
      </c>
      <c r="D1660" t="s">
        <v>2731</v>
      </c>
      <c r="E1660" t="s">
        <v>20</v>
      </c>
      <c r="F1660" t="b">
        <v>1</v>
      </c>
      <c r="G1660">
        <v>0</v>
      </c>
      <c r="H1660" t="b">
        <v>0</v>
      </c>
      <c r="I1660">
        <v>12</v>
      </c>
      <c r="J1660" t="s">
        <v>38</v>
      </c>
      <c r="K1660">
        <v>78</v>
      </c>
      <c r="L1660">
        <v>70</v>
      </c>
      <c r="M1660">
        <v>90</v>
      </c>
      <c r="N1660">
        <v>68</v>
      </c>
      <c r="O1660">
        <v>90</v>
      </c>
      <c r="P1660">
        <v>87</v>
      </c>
      <c r="Q1660">
        <v>77</v>
      </c>
      <c r="R1660">
        <f>SUM(student_scores[[#This Row],[math_score]:[geography_score]])</f>
        <v>560</v>
      </c>
      <c r="S1660" s="3">
        <f>student_scores[[#This Row],[Total_Score]]/7</f>
        <v>80</v>
      </c>
      <c r="T1660" s="3" t="str" cm="1">
        <f t="array" ref="T1660">_xlfn.IFS(student_scores[[#This Row],[weekly_self_study_hours]]&lt;=5,   "0 - 5", student_scores[[#This Row],[weekly_self_study_hours]]&lt;=10,  "6 - 10", student_scores[[#This Row],[weekly_self_study_hours]]&lt;=20,  "11 - 20",student_scores[[#This Row],[weekly_self_study_hours]]&lt;=30, "21 - 30",TRUE, "31+")</f>
        <v>11 - 20</v>
      </c>
      <c r="U1660" t="str" cm="1">
        <f t="array" ref="U1660">_xlfn.IFS(student_scores[[#This Row],[absence_days]]=0,"0", student_scores[[#This Row],[absence_days]]&lt;=3,"1-3", student_scores[[#This Row],[absence_days]]&lt;=6,"4-6", TRUE,"7-10")</f>
        <v>0</v>
      </c>
      <c r="V1660" t="str">
        <f>IF(student_scores[[#This Row],[Total_Score]] &gt;= _xlfn.PERCENTILE.INC(student_scores[Total_Score], 0.8), "Yes", "No")</f>
        <v>No</v>
      </c>
    </row>
    <row r="1661" spans="1:22" x14ac:dyDescent="0.35">
      <c r="A1661">
        <v>1660</v>
      </c>
      <c r="B1661" t="s">
        <v>2732</v>
      </c>
      <c r="C1661" t="s">
        <v>421</v>
      </c>
      <c r="D1661" t="s">
        <v>2733</v>
      </c>
      <c r="E1661" t="s">
        <v>25</v>
      </c>
      <c r="F1661" t="b">
        <v>0</v>
      </c>
      <c r="G1661">
        <v>2</v>
      </c>
      <c r="H1661" t="b">
        <v>0</v>
      </c>
      <c r="I1661">
        <v>21</v>
      </c>
      <c r="J1661" t="s">
        <v>105</v>
      </c>
      <c r="K1661">
        <v>75</v>
      </c>
      <c r="L1661">
        <v>67</v>
      </c>
      <c r="M1661">
        <v>64</v>
      </c>
      <c r="N1661">
        <v>80</v>
      </c>
      <c r="O1661">
        <v>79</v>
      </c>
      <c r="P1661">
        <v>77</v>
      </c>
      <c r="Q1661">
        <v>80</v>
      </c>
      <c r="R1661">
        <f>SUM(student_scores[[#This Row],[math_score]:[geography_score]])</f>
        <v>522</v>
      </c>
      <c r="S1661" s="3">
        <f>student_scores[[#This Row],[Total_Score]]/7</f>
        <v>74.571428571428569</v>
      </c>
      <c r="T1661" s="3" t="str" cm="1">
        <f t="array" ref="T1661">_xlfn.IFS(student_scores[[#This Row],[weekly_self_study_hours]]&lt;=5,   "0 - 5", student_scores[[#This Row],[weekly_self_study_hours]]&lt;=10,  "6 - 10", student_scores[[#This Row],[weekly_self_study_hours]]&lt;=20,  "11 - 20",student_scores[[#This Row],[weekly_self_study_hours]]&lt;=30, "21 - 30",TRUE, "31+")</f>
        <v>21 - 30</v>
      </c>
      <c r="U1661" t="str" cm="1">
        <f t="array" ref="U1661">_xlfn.IFS(student_scores[[#This Row],[absence_days]]=0,"0", student_scores[[#This Row],[absence_days]]&lt;=3,"1-3", student_scores[[#This Row],[absence_days]]&lt;=6,"4-6", TRUE,"7-10")</f>
        <v>1-3</v>
      </c>
      <c r="V1661" t="str">
        <f>IF(student_scores[[#This Row],[Total_Score]] &gt;= _xlfn.PERCENTILE.INC(student_scores[Total_Score], 0.8), "Yes", "No")</f>
        <v>No</v>
      </c>
    </row>
    <row r="1662" spans="1:22" x14ac:dyDescent="0.35">
      <c r="A1662">
        <v>1661</v>
      </c>
      <c r="B1662" t="s">
        <v>163</v>
      </c>
      <c r="C1662" t="s">
        <v>1073</v>
      </c>
      <c r="D1662" t="s">
        <v>2734</v>
      </c>
      <c r="E1662" t="s">
        <v>20</v>
      </c>
      <c r="F1662" t="b">
        <v>0</v>
      </c>
      <c r="G1662">
        <v>2</v>
      </c>
      <c r="H1662" t="b">
        <v>1</v>
      </c>
      <c r="I1662">
        <v>18</v>
      </c>
      <c r="J1662" t="s">
        <v>138</v>
      </c>
      <c r="K1662">
        <v>82</v>
      </c>
      <c r="L1662">
        <v>61</v>
      </c>
      <c r="M1662">
        <v>89</v>
      </c>
      <c r="N1662">
        <v>88</v>
      </c>
      <c r="O1662">
        <v>74</v>
      </c>
      <c r="P1662">
        <v>78</v>
      </c>
      <c r="Q1662">
        <v>72</v>
      </c>
      <c r="R1662">
        <f>SUM(student_scores[[#This Row],[math_score]:[geography_score]])</f>
        <v>544</v>
      </c>
      <c r="S1662" s="3">
        <f>student_scores[[#This Row],[Total_Score]]/7</f>
        <v>77.714285714285708</v>
      </c>
      <c r="T1662" s="3" t="str" cm="1">
        <f t="array" ref="T1662">_xlfn.IFS(student_scores[[#This Row],[weekly_self_study_hours]]&lt;=5,   "0 - 5", student_scores[[#This Row],[weekly_self_study_hours]]&lt;=10,  "6 - 10", student_scores[[#This Row],[weekly_self_study_hours]]&lt;=20,  "11 - 20",student_scores[[#This Row],[weekly_self_study_hours]]&lt;=30, "21 - 30",TRUE, "31+")</f>
        <v>11 - 20</v>
      </c>
      <c r="U1662" t="str" cm="1">
        <f t="array" ref="U1662">_xlfn.IFS(student_scores[[#This Row],[absence_days]]=0,"0", student_scores[[#This Row],[absence_days]]&lt;=3,"1-3", student_scores[[#This Row],[absence_days]]&lt;=6,"4-6", TRUE,"7-10")</f>
        <v>1-3</v>
      </c>
      <c r="V1662" t="str">
        <f>IF(student_scores[[#This Row],[Total_Score]] &gt;= _xlfn.PERCENTILE.INC(student_scores[Total_Score], 0.8), "Yes", "No")</f>
        <v>No</v>
      </c>
    </row>
    <row r="1663" spans="1:22" x14ac:dyDescent="0.35">
      <c r="A1663">
        <v>1662</v>
      </c>
      <c r="B1663" t="s">
        <v>300</v>
      </c>
      <c r="C1663" t="s">
        <v>796</v>
      </c>
      <c r="D1663" t="s">
        <v>2735</v>
      </c>
      <c r="E1663" t="s">
        <v>20</v>
      </c>
      <c r="F1663" t="b">
        <v>1</v>
      </c>
      <c r="G1663">
        <v>6</v>
      </c>
      <c r="H1663" t="b">
        <v>0</v>
      </c>
      <c r="I1663">
        <v>5</v>
      </c>
      <c r="J1663" t="s">
        <v>64</v>
      </c>
      <c r="K1663">
        <v>41</v>
      </c>
      <c r="L1663">
        <v>53</v>
      </c>
      <c r="M1663">
        <v>64</v>
      </c>
      <c r="N1663">
        <v>62</v>
      </c>
      <c r="O1663">
        <v>79</v>
      </c>
      <c r="P1663">
        <v>50</v>
      </c>
      <c r="Q1663">
        <v>65</v>
      </c>
      <c r="R1663">
        <f>SUM(student_scores[[#This Row],[math_score]:[geography_score]])</f>
        <v>414</v>
      </c>
      <c r="S1663" s="3">
        <f>student_scores[[#This Row],[Total_Score]]/7</f>
        <v>59.142857142857146</v>
      </c>
      <c r="T1663" s="3" t="str" cm="1">
        <f t="array" ref="T1663">_xlfn.IFS(student_scores[[#This Row],[weekly_self_study_hours]]&lt;=5,   "0 - 5", student_scores[[#This Row],[weekly_self_study_hours]]&lt;=10,  "6 - 10", student_scores[[#This Row],[weekly_self_study_hours]]&lt;=20,  "11 - 20",student_scores[[#This Row],[weekly_self_study_hours]]&lt;=30, "21 - 30",TRUE, "31+")</f>
        <v>0 - 5</v>
      </c>
      <c r="U1663" t="str" cm="1">
        <f t="array" ref="U1663">_xlfn.IFS(student_scores[[#This Row],[absence_days]]=0,"0", student_scores[[#This Row],[absence_days]]&lt;=3,"1-3", student_scores[[#This Row],[absence_days]]&lt;=6,"4-6", TRUE,"7-10")</f>
        <v>4-6</v>
      </c>
      <c r="V1663" t="str">
        <f>IF(student_scores[[#This Row],[Total_Score]] &gt;= _xlfn.PERCENTILE.INC(student_scores[Total_Score], 0.8), "Yes", "No")</f>
        <v>No</v>
      </c>
    </row>
    <row r="1664" spans="1:22" x14ac:dyDescent="0.35">
      <c r="A1664">
        <v>1663</v>
      </c>
      <c r="B1664" t="s">
        <v>166</v>
      </c>
      <c r="C1664" t="s">
        <v>295</v>
      </c>
      <c r="D1664" t="s">
        <v>2736</v>
      </c>
      <c r="E1664" t="s">
        <v>25</v>
      </c>
      <c r="F1664" t="b">
        <v>0</v>
      </c>
      <c r="G1664">
        <v>5</v>
      </c>
      <c r="H1664" t="b">
        <v>0</v>
      </c>
      <c r="I1664">
        <v>2</v>
      </c>
      <c r="J1664" t="s">
        <v>64</v>
      </c>
      <c r="K1664">
        <v>44</v>
      </c>
      <c r="L1664">
        <v>79</v>
      </c>
      <c r="M1664">
        <v>83</v>
      </c>
      <c r="N1664">
        <v>50</v>
      </c>
      <c r="O1664">
        <v>52</v>
      </c>
      <c r="P1664">
        <v>79</v>
      </c>
      <c r="Q1664">
        <v>96</v>
      </c>
      <c r="R1664">
        <f>SUM(student_scores[[#This Row],[math_score]:[geography_score]])</f>
        <v>483</v>
      </c>
      <c r="S1664" s="3">
        <f>student_scores[[#This Row],[Total_Score]]/7</f>
        <v>69</v>
      </c>
      <c r="T1664" s="3" t="str" cm="1">
        <f t="array" ref="T1664">_xlfn.IFS(student_scores[[#This Row],[weekly_self_study_hours]]&lt;=5,   "0 - 5", student_scores[[#This Row],[weekly_self_study_hours]]&lt;=10,  "6 - 10", student_scores[[#This Row],[weekly_self_study_hours]]&lt;=20,  "11 - 20",student_scores[[#This Row],[weekly_self_study_hours]]&lt;=30, "21 - 30",TRUE, "31+")</f>
        <v>0 - 5</v>
      </c>
      <c r="U1664" t="str" cm="1">
        <f t="array" ref="U1664">_xlfn.IFS(student_scores[[#This Row],[absence_days]]=0,"0", student_scores[[#This Row],[absence_days]]&lt;=3,"1-3", student_scores[[#This Row],[absence_days]]&lt;=6,"4-6", TRUE,"7-10")</f>
        <v>4-6</v>
      </c>
      <c r="V1664" t="str">
        <f>IF(student_scores[[#This Row],[Total_Score]] &gt;= _xlfn.PERCENTILE.INC(student_scores[Total_Score], 0.8), "Yes", "No")</f>
        <v>No</v>
      </c>
    </row>
    <row r="1665" spans="1:22" x14ac:dyDescent="0.35">
      <c r="A1665">
        <v>1664</v>
      </c>
      <c r="B1665" t="s">
        <v>413</v>
      </c>
      <c r="C1665" t="s">
        <v>2737</v>
      </c>
      <c r="D1665" t="s">
        <v>2738</v>
      </c>
      <c r="E1665" t="s">
        <v>20</v>
      </c>
      <c r="F1665" t="b">
        <v>0</v>
      </c>
      <c r="G1665">
        <v>5</v>
      </c>
      <c r="H1665" t="b">
        <v>1</v>
      </c>
      <c r="I1665">
        <v>27</v>
      </c>
      <c r="J1665" t="s">
        <v>21</v>
      </c>
      <c r="K1665">
        <v>81</v>
      </c>
      <c r="L1665">
        <v>94</v>
      </c>
      <c r="M1665">
        <v>61</v>
      </c>
      <c r="N1665">
        <v>86</v>
      </c>
      <c r="O1665">
        <v>72</v>
      </c>
      <c r="P1665">
        <v>97</v>
      </c>
      <c r="Q1665">
        <v>82</v>
      </c>
      <c r="R1665">
        <f>SUM(student_scores[[#This Row],[math_score]:[geography_score]])</f>
        <v>573</v>
      </c>
      <c r="S1665" s="3">
        <f>student_scores[[#This Row],[Total_Score]]/7</f>
        <v>81.857142857142861</v>
      </c>
      <c r="T1665" s="3" t="str" cm="1">
        <f t="array" ref="T1665">_xlfn.IFS(student_scores[[#This Row],[weekly_self_study_hours]]&lt;=5,   "0 - 5", student_scores[[#This Row],[weekly_self_study_hours]]&lt;=10,  "6 - 10", student_scores[[#This Row],[weekly_self_study_hours]]&lt;=20,  "11 - 20",student_scores[[#This Row],[weekly_self_study_hours]]&lt;=30, "21 - 30",TRUE, "31+")</f>
        <v>21 - 30</v>
      </c>
      <c r="U1665" t="str" cm="1">
        <f t="array" ref="U1665">_xlfn.IFS(student_scores[[#This Row],[absence_days]]=0,"0", student_scores[[#This Row],[absence_days]]&lt;=3,"1-3", student_scores[[#This Row],[absence_days]]&lt;=6,"4-6", TRUE,"7-10")</f>
        <v>4-6</v>
      </c>
      <c r="V1665" t="str">
        <f>IF(student_scores[[#This Row],[Total_Score]] &gt;= _xlfn.PERCENTILE.INC(student_scores[Total_Score], 0.8), "Yes", "No")</f>
        <v>No</v>
      </c>
    </row>
    <row r="1666" spans="1:22" x14ac:dyDescent="0.35">
      <c r="A1666">
        <v>1665</v>
      </c>
      <c r="B1666" t="s">
        <v>1086</v>
      </c>
      <c r="C1666" t="s">
        <v>231</v>
      </c>
      <c r="D1666" t="s">
        <v>2739</v>
      </c>
      <c r="E1666" t="s">
        <v>25</v>
      </c>
      <c r="F1666" t="b">
        <v>1</v>
      </c>
      <c r="G1666">
        <v>6</v>
      </c>
      <c r="H1666" t="b">
        <v>0</v>
      </c>
      <c r="I1666">
        <v>18</v>
      </c>
      <c r="J1666" t="s">
        <v>105</v>
      </c>
      <c r="K1666">
        <v>77</v>
      </c>
      <c r="L1666">
        <v>90</v>
      </c>
      <c r="M1666">
        <v>74</v>
      </c>
      <c r="N1666">
        <v>65</v>
      </c>
      <c r="O1666">
        <v>100</v>
      </c>
      <c r="P1666">
        <v>76</v>
      </c>
      <c r="Q1666">
        <v>80</v>
      </c>
      <c r="R1666">
        <f>SUM(student_scores[[#This Row],[math_score]:[geography_score]])</f>
        <v>562</v>
      </c>
      <c r="S1666" s="3">
        <f>student_scores[[#This Row],[Total_Score]]/7</f>
        <v>80.285714285714292</v>
      </c>
      <c r="T1666" s="3" t="str" cm="1">
        <f t="array" ref="T1666">_xlfn.IFS(student_scores[[#This Row],[weekly_self_study_hours]]&lt;=5,   "0 - 5", student_scores[[#This Row],[weekly_self_study_hours]]&lt;=10,  "6 - 10", student_scores[[#This Row],[weekly_self_study_hours]]&lt;=20,  "11 - 20",student_scores[[#This Row],[weekly_self_study_hours]]&lt;=30, "21 - 30",TRUE, "31+")</f>
        <v>11 - 20</v>
      </c>
      <c r="U1666" t="str" cm="1">
        <f t="array" ref="U1666">_xlfn.IFS(student_scores[[#This Row],[absence_days]]=0,"0", student_scores[[#This Row],[absence_days]]&lt;=3,"1-3", student_scores[[#This Row],[absence_days]]&lt;=6,"4-6", TRUE,"7-10")</f>
        <v>4-6</v>
      </c>
      <c r="V1666" t="str">
        <f>IF(student_scores[[#This Row],[Total_Score]] &gt;= _xlfn.PERCENTILE.INC(student_scores[Total_Score], 0.8), "Yes", "No")</f>
        <v>No</v>
      </c>
    </row>
    <row r="1667" spans="1:22" x14ac:dyDescent="0.35">
      <c r="A1667">
        <v>1666</v>
      </c>
      <c r="B1667" t="s">
        <v>1007</v>
      </c>
      <c r="C1667" t="s">
        <v>2156</v>
      </c>
      <c r="D1667" t="s">
        <v>2740</v>
      </c>
      <c r="E1667" t="s">
        <v>20</v>
      </c>
      <c r="F1667" t="b">
        <v>0</v>
      </c>
      <c r="G1667">
        <v>2</v>
      </c>
      <c r="H1667" t="b">
        <v>0</v>
      </c>
      <c r="I1667">
        <v>28</v>
      </c>
      <c r="J1667" t="s">
        <v>44</v>
      </c>
      <c r="K1667">
        <v>97</v>
      </c>
      <c r="L1667">
        <v>97</v>
      </c>
      <c r="M1667">
        <v>70</v>
      </c>
      <c r="N1667">
        <v>94</v>
      </c>
      <c r="O1667">
        <v>66</v>
      </c>
      <c r="P1667">
        <v>83</v>
      </c>
      <c r="Q1667">
        <v>66</v>
      </c>
      <c r="R1667">
        <f>SUM(student_scores[[#This Row],[math_score]:[geography_score]])</f>
        <v>573</v>
      </c>
      <c r="S1667" s="3">
        <f>student_scores[[#This Row],[Total_Score]]/7</f>
        <v>81.857142857142861</v>
      </c>
      <c r="T1667" s="3" t="str" cm="1">
        <f t="array" ref="T1667">_xlfn.IFS(student_scores[[#This Row],[weekly_self_study_hours]]&lt;=5,   "0 - 5", student_scores[[#This Row],[weekly_self_study_hours]]&lt;=10,  "6 - 10", student_scores[[#This Row],[weekly_self_study_hours]]&lt;=20,  "11 - 20",student_scores[[#This Row],[weekly_self_study_hours]]&lt;=30, "21 - 30",TRUE, "31+")</f>
        <v>21 - 30</v>
      </c>
      <c r="U1667" t="str" cm="1">
        <f t="array" ref="U1667">_xlfn.IFS(student_scores[[#This Row],[absence_days]]=0,"0", student_scores[[#This Row],[absence_days]]&lt;=3,"1-3", student_scores[[#This Row],[absence_days]]&lt;=6,"4-6", TRUE,"7-10")</f>
        <v>1-3</v>
      </c>
      <c r="V1667" t="str">
        <f>IF(student_scores[[#This Row],[Total_Score]] &gt;= _xlfn.PERCENTILE.INC(student_scores[Total_Score], 0.8), "Yes", "No")</f>
        <v>No</v>
      </c>
    </row>
    <row r="1668" spans="1:22" x14ac:dyDescent="0.35">
      <c r="A1668">
        <v>1667</v>
      </c>
      <c r="B1668" t="s">
        <v>799</v>
      </c>
      <c r="C1668" t="s">
        <v>1218</v>
      </c>
      <c r="D1668" t="s">
        <v>2741</v>
      </c>
      <c r="E1668" t="s">
        <v>20</v>
      </c>
      <c r="F1668" t="b">
        <v>0</v>
      </c>
      <c r="G1668">
        <v>5</v>
      </c>
      <c r="H1668" t="b">
        <v>0</v>
      </c>
      <c r="I1668">
        <v>1</v>
      </c>
      <c r="J1668" t="s">
        <v>64</v>
      </c>
      <c r="K1668">
        <v>66</v>
      </c>
      <c r="L1668">
        <v>83</v>
      </c>
      <c r="M1668">
        <v>79</v>
      </c>
      <c r="N1668">
        <v>65</v>
      </c>
      <c r="O1668">
        <v>57</v>
      </c>
      <c r="P1668">
        <v>61</v>
      </c>
      <c r="Q1668">
        <v>86</v>
      </c>
      <c r="R1668">
        <f>SUM(student_scores[[#This Row],[math_score]:[geography_score]])</f>
        <v>497</v>
      </c>
      <c r="S1668" s="3">
        <f>student_scores[[#This Row],[Total_Score]]/7</f>
        <v>71</v>
      </c>
      <c r="T1668" s="3" t="str" cm="1">
        <f t="array" ref="T1668">_xlfn.IFS(student_scores[[#This Row],[weekly_self_study_hours]]&lt;=5,   "0 - 5", student_scores[[#This Row],[weekly_self_study_hours]]&lt;=10,  "6 - 10", student_scores[[#This Row],[weekly_self_study_hours]]&lt;=20,  "11 - 20",student_scores[[#This Row],[weekly_self_study_hours]]&lt;=30, "21 - 30",TRUE, "31+")</f>
        <v>0 - 5</v>
      </c>
      <c r="U1668" t="str" cm="1">
        <f t="array" ref="U1668">_xlfn.IFS(student_scores[[#This Row],[absence_days]]=0,"0", student_scores[[#This Row],[absence_days]]&lt;=3,"1-3", student_scores[[#This Row],[absence_days]]&lt;=6,"4-6", TRUE,"7-10")</f>
        <v>4-6</v>
      </c>
      <c r="V1668" t="str">
        <f>IF(student_scores[[#This Row],[Total_Score]] &gt;= _xlfn.PERCENTILE.INC(student_scores[Total_Score], 0.8), "Yes", "No")</f>
        <v>No</v>
      </c>
    </row>
    <row r="1669" spans="1:22" x14ac:dyDescent="0.35">
      <c r="A1669">
        <v>1668</v>
      </c>
      <c r="B1669" t="s">
        <v>446</v>
      </c>
      <c r="C1669" t="s">
        <v>2742</v>
      </c>
      <c r="D1669" t="s">
        <v>2743</v>
      </c>
      <c r="E1669" t="s">
        <v>20</v>
      </c>
      <c r="F1669" t="b">
        <v>0</v>
      </c>
      <c r="G1669">
        <v>7</v>
      </c>
      <c r="H1669" t="b">
        <v>0</v>
      </c>
      <c r="I1669">
        <v>42</v>
      </c>
      <c r="J1669" t="s">
        <v>26</v>
      </c>
      <c r="K1669">
        <v>91</v>
      </c>
      <c r="L1669">
        <v>96</v>
      </c>
      <c r="M1669">
        <v>96</v>
      </c>
      <c r="N1669">
        <v>90</v>
      </c>
      <c r="O1669">
        <v>97</v>
      </c>
      <c r="P1669">
        <v>85</v>
      </c>
      <c r="Q1669">
        <v>98</v>
      </c>
      <c r="R1669">
        <f>SUM(student_scores[[#This Row],[math_score]:[geography_score]])</f>
        <v>653</v>
      </c>
      <c r="S1669" s="3">
        <f>student_scores[[#This Row],[Total_Score]]/7</f>
        <v>93.285714285714292</v>
      </c>
      <c r="T1669" s="3" t="str" cm="1">
        <f t="array" ref="T1669">_xlfn.IFS(student_scores[[#This Row],[weekly_self_study_hours]]&lt;=5,   "0 - 5", student_scores[[#This Row],[weekly_self_study_hours]]&lt;=10,  "6 - 10", student_scores[[#This Row],[weekly_self_study_hours]]&lt;=20,  "11 - 20",student_scores[[#This Row],[weekly_self_study_hours]]&lt;=30, "21 - 30",TRUE, "31+")</f>
        <v>31+</v>
      </c>
      <c r="U1669" t="str" cm="1">
        <f t="array" ref="U1669">_xlfn.IFS(student_scores[[#This Row],[absence_days]]=0,"0", student_scores[[#This Row],[absence_days]]&lt;=3,"1-3", student_scores[[#This Row],[absence_days]]&lt;=6,"4-6", TRUE,"7-10")</f>
        <v>7-10</v>
      </c>
      <c r="V1669" t="str">
        <f>IF(student_scores[[#This Row],[Total_Score]] &gt;= _xlfn.PERCENTILE.INC(student_scores[Total_Score], 0.8), "Yes", "No")</f>
        <v>Yes</v>
      </c>
    </row>
    <row r="1670" spans="1:22" x14ac:dyDescent="0.35">
      <c r="A1670">
        <v>1669</v>
      </c>
      <c r="B1670" t="s">
        <v>315</v>
      </c>
      <c r="C1670" t="s">
        <v>569</v>
      </c>
      <c r="D1670" t="s">
        <v>2744</v>
      </c>
      <c r="E1670" t="s">
        <v>25</v>
      </c>
      <c r="F1670" t="b">
        <v>0</v>
      </c>
      <c r="G1670">
        <v>8</v>
      </c>
      <c r="H1670" t="b">
        <v>0</v>
      </c>
      <c r="I1670">
        <v>21</v>
      </c>
      <c r="J1670" t="s">
        <v>113</v>
      </c>
      <c r="K1670">
        <v>76</v>
      </c>
      <c r="L1670">
        <v>84</v>
      </c>
      <c r="M1670">
        <v>95</v>
      </c>
      <c r="N1670">
        <v>66</v>
      </c>
      <c r="O1670">
        <v>84</v>
      </c>
      <c r="P1670">
        <v>74</v>
      </c>
      <c r="Q1670">
        <v>64</v>
      </c>
      <c r="R1670">
        <f>SUM(student_scores[[#This Row],[math_score]:[geography_score]])</f>
        <v>543</v>
      </c>
      <c r="S1670" s="3">
        <f>student_scores[[#This Row],[Total_Score]]/7</f>
        <v>77.571428571428569</v>
      </c>
      <c r="T1670" s="3" t="str" cm="1">
        <f t="array" ref="T1670">_xlfn.IFS(student_scores[[#This Row],[weekly_self_study_hours]]&lt;=5,   "0 - 5", student_scores[[#This Row],[weekly_self_study_hours]]&lt;=10,  "6 - 10", student_scores[[#This Row],[weekly_self_study_hours]]&lt;=20,  "11 - 20",student_scores[[#This Row],[weekly_self_study_hours]]&lt;=30, "21 - 30",TRUE, "31+")</f>
        <v>21 - 30</v>
      </c>
      <c r="U1670" t="str" cm="1">
        <f t="array" ref="U1670">_xlfn.IFS(student_scores[[#This Row],[absence_days]]=0,"0", student_scores[[#This Row],[absence_days]]&lt;=3,"1-3", student_scores[[#This Row],[absence_days]]&lt;=6,"4-6", TRUE,"7-10")</f>
        <v>7-10</v>
      </c>
      <c r="V1670" t="str">
        <f>IF(student_scores[[#This Row],[Total_Score]] &gt;= _xlfn.PERCENTILE.INC(student_scores[Total_Score], 0.8), "Yes", "No")</f>
        <v>No</v>
      </c>
    </row>
    <row r="1671" spans="1:22" x14ac:dyDescent="0.35">
      <c r="A1671">
        <v>1670</v>
      </c>
      <c r="B1671" t="s">
        <v>160</v>
      </c>
      <c r="C1671" t="s">
        <v>281</v>
      </c>
      <c r="D1671" t="s">
        <v>2745</v>
      </c>
      <c r="E1671" t="s">
        <v>20</v>
      </c>
      <c r="F1671" t="b">
        <v>0</v>
      </c>
      <c r="G1671">
        <v>4</v>
      </c>
      <c r="H1671" t="b">
        <v>0</v>
      </c>
      <c r="I1671">
        <v>31</v>
      </c>
      <c r="J1671" t="s">
        <v>44</v>
      </c>
      <c r="K1671">
        <v>97</v>
      </c>
      <c r="L1671">
        <v>93</v>
      </c>
      <c r="M1671">
        <v>60</v>
      </c>
      <c r="N1671">
        <v>90</v>
      </c>
      <c r="O1671">
        <v>85</v>
      </c>
      <c r="P1671">
        <v>72</v>
      </c>
      <c r="Q1671">
        <v>83</v>
      </c>
      <c r="R1671">
        <f>SUM(student_scores[[#This Row],[math_score]:[geography_score]])</f>
        <v>580</v>
      </c>
      <c r="S1671" s="3">
        <f>student_scores[[#This Row],[Total_Score]]/7</f>
        <v>82.857142857142861</v>
      </c>
      <c r="T1671" s="3" t="str" cm="1">
        <f t="array" ref="T1671">_xlfn.IFS(student_scores[[#This Row],[weekly_self_study_hours]]&lt;=5,   "0 - 5", student_scores[[#This Row],[weekly_self_study_hours]]&lt;=10,  "6 - 10", student_scores[[#This Row],[weekly_self_study_hours]]&lt;=20,  "11 - 20",student_scores[[#This Row],[weekly_self_study_hours]]&lt;=30, "21 - 30",TRUE, "31+")</f>
        <v>31+</v>
      </c>
      <c r="U1671" t="str" cm="1">
        <f t="array" ref="U1671">_xlfn.IFS(student_scores[[#This Row],[absence_days]]=0,"0", student_scores[[#This Row],[absence_days]]&lt;=3,"1-3", student_scores[[#This Row],[absence_days]]&lt;=6,"4-6", TRUE,"7-10")</f>
        <v>4-6</v>
      </c>
      <c r="V1671" t="str">
        <f>IF(student_scores[[#This Row],[Total_Score]] &gt;= _xlfn.PERCENTILE.INC(student_scores[Total_Score], 0.8), "Yes", "No")</f>
        <v>No</v>
      </c>
    </row>
    <row r="1672" spans="1:22" x14ac:dyDescent="0.35">
      <c r="A1672">
        <v>1671</v>
      </c>
      <c r="B1672" t="s">
        <v>2746</v>
      </c>
      <c r="C1672" t="s">
        <v>704</v>
      </c>
      <c r="D1672" t="s">
        <v>2747</v>
      </c>
      <c r="E1672" t="s">
        <v>25</v>
      </c>
      <c r="F1672" t="b">
        <v>0</v>
      </c>
      <c r="G1672">
        <v>8</v>
      </c>
      <c r="H1672" t="b">
        <v>0</v>
      </c>
      <c r="I1672">
        <v>34</v>
      </c>
      <c r="J1672" t="s">
        <v>21</v>
      </c>
      <c r="K1672">
        <v>83</v>
      </c>
      <c r="L1672">
        <v>94</v>
      </c>
      <c r="M1672">
        <v>93</v>
      </c>
      <c r="N1672">
        <v>62</v>
      </c>
      <c r="O1672">
        <v>92</v>
      </c>
      <c r="P1672">
        <v>98</v>
      </c>
      <c r="Q1672">
        <v>94</v>
      </c>
      <c r="R1672">
        <f>SUM(student_scores[[#This Row],[math_score]:[geography_score]])</f>
        <v>616</v>
      </c>
      <c r="S1672" s="3">
        <f>student_scores[[#This Row],[Total_Score]]/7</f>
        <v>88</v>
      </c>
      <c r="T1672" s="3" t="str" cm="1">
        <f t="array" ref="T1672">_xlfn.IFS(student_scores[[#This Row],[weekly_self_study_hours]]&lt;=5,   "0 - 5", student_scores[[#This Row],[weekly_self_study_hours]]&lt;=10,  "6 - 10", student_scores[[#This Row],[weekly_self_study_hours]]&lt;=20,  "11 - 20",student_scores[[#This Row],[weekly_self_study_hours]]&lt;=30, "21 - 30",TRUE, "31+")</f>
        <v>31+</v>
      </c>
      <c r="U1672" t="str" cm="1">
        <f t="array" ref="U1672">_xlfn.IFS(student_scores[[#This Row],[absence_days]]=0,"0", student_scores[[#This Row],[absence_days]]&lt;=3,"1-3", student_scores[[#This Row],[absence_days]]&lt;=6,"4-6", TRUE,"7-10")</f>
        <v>7-10</v>
      </c>
      <c r="V1672" t="str">
        <f>IF(student_scores[[#This Row],[Total_Score]] &gt;= _xlfn.PERCENTILE.INC(student_scores[Total_Score], 0.8), "Yes", "No")</f>
        <v>Yes</v>
      </c>
    </row>
    <row r="1673" spans="1:22" x14ac:dyDescent="0.35">
      <c r="A1673">
        <v>1672</v>
      </c>
      <c r="B1673" t="s">
        <v>1589</v>
      </c>
      <c r="C1673" t="s">
        <v>1044</v>
      </c>
      <c r="D1673" t="s">
        <v>2748</v>
      </c>
      <c r="E1673" t="s">
        <v>20</v>
      </c>
      <c r="F1673" t="b">
        <v>0</v>
      </c>
      <c r="G1673">
        <v>1</v>
      </c>
      <c r="H1673" t="b">
        <v>1</v>
      </c>
      <c r="I1673">
        <v>5</v>
      </c>
      <c r="J1673" t="s">
        <v>224</v>
      </c>
      <c r="K1673">
        <v>98</v>
      </c>
      <c r="L1673">
        <v>83</v>
      </c>
      <c r="M1673">
        <v>93</v>
      </c>
      <c r="N1673">
        <v>73</v>
      </c>
      <c r="O1673">
        <v>100</v>
      </c>
      <c r="P1673">
        <v>82</v>
      </c>
      <c r="Q1673">
        <v>81</v>
      </c>
      <c r="R1673">
        <f>SUM(student_scores[[#This Row],[math_score]:[geography_score]])</f>
        <v>610</v>
      </c>
      <c r="S1673" s="3">
        <f>student_scores[[#This Row],[Total_Score]]/7</f>
        <v>87.142857142857139</v>
      </c>
      <c r="T1673" s="3" t="str" cm="1">
        <f t="array" ref="T1673">_xlfn.IFS(student_scores[[#This Row],[weekly_self_study_hours]]&lt;=5,   "0 - 5", student_scores[[#This Row],[weekly_self_study_hours]]&lt;=10,  "6 - 10", student_scores[[#This Row],[weekly_self_study_hours]]&lt;=20,  "11 - 20",student_scores[[#This Row],[weekly_self_study_hours]]&lt;=30, "21 - 30",TRUE, "31+")</f>
        <v>0 - 5</v>
      </c>
      <c r="U1673" t="str" cm="1">
        <f t="array" ref="U1673">_xlfn.IFS(student_scores[[#This Row],[absence_days]]=0,"0", student_scores[[#This Row],[absence_days]]&lt;=3,"1-3", student_scores[[#This Row],[absence_days]]&lt;=6,"4-6", TRUE,"7-10")</f>
        <v>1-3</v>
      </c>
      <c r="V1673" t="str">
        <f>IF(student_scores[[#This Row],[Total_Score]] &gt;= _xlfn.PERCENTILE.INC(student_scores[Total_Score], 0.8), "Yes", "No")</f>
        <v>Yes</v>
      </c>
    </row>
    <row r="1674" spans="1:22" x14ac:dyDescent="0.35">
      <c r="A1674">
        <v>1673</v>
      </c>
      <c r="B1674" t="s">
        <v>413</v>
      </c>
      <c r="C1674" t="s">
        <v>429</v>
      </c>
      <c r="D1674" t="s">
        <v>2749</v>
      </c>
      <c r="E1674" t="s">
        <v>20</v>
      </c>
      <c r="F1674" t="b">
        <v>0</v>
      </c>
      <c r="G1674">
        <v>3</v>
      </c>
      <c r="H1674" t="b">
        <v>0</v>
      </c>
      <c r="I1674">
        <v>46</v>
      </c>
      <c r="J1674" t="s">
        <v>26</v>
      </c>
      <c r="K1674">
        <v>91</v>
      </c>
      <c r="L1674">
        <v>88</v>
      </c>
      <c r="M1674">
        <v>88</v>
      </c>
      <c r="N1674">
        <v>91</v>
      </c>
      <c r="O1674">
        <v>85</v>
      </c>
      <c r="P1674">
        <v>95</v>
      </c>
      <c r="Q1674">
        <v>88</v>
      </c>
      <c r="R1674">
        <f>SUM(student_scores[[#This Row],[math_score]:[geography_score]])</f>
        <v>626</v>
      </c>
      <c r="S1674" s="3">
        <f>student_scores[[#This Row],[Total_Score]]/7</f>
        <v>89.428571428571431</v>
      </c>
      <c r="T1674" s="3" t="str" cm="1">
        <f t="array" ref="T1674">_xlfn.IFS(student_scores[[#This Row],[weekly_self_study_hours]]&lt;=5,   "0 - 5", student_scores[[#This Row],[weekly_self_study_hours]]&lt;=10,  "6 - 10", student_scores[[#This Row],[weekly_self_study_hours]]&lt;=20,  "11 - 20",student_scores[[#This Row],[weekly_self_study_hours]]&lt;=30, "21 - 30",TRUE, "31+")</f>
        <v>31+</v>
      </c>
      <c r="U1674" t="str" cm="1">
        <f t="array" ref="U1674">_xlfn.IFS(student_scores[[#This Row],[absence_days]]=0,"0", student_scores[[#This Row],[absence_days]]&lt;=3,"1-3", student_scores[[#This Row],[absence_days]]&lt;=6,"4-6", TRUE,"7-10")</f>
        <v>1-3</v>
      </c>
      <c r="V1674" t="str">
        <f>IF(student_scores[[#This Row],[Total_Score]] &gt;= _xlfn.PERCENTILE.INC(student_scores[Total_Score], 0.8), "Yes", "No")</f>
        <v>Yes</v>
      </c>
    </row>
    <row r="1675" spans="1:22" x14ac:dyDescent="0.35">
      <c r="A1675">
        <v>1674</v>
      </c>
      <c r="B1675" t="s">
        <v>190</v>
      </c>
      <c r="C1675" t="s">
        <v>2750</v>
      </c>
      <c r="D1675" t="s">
        <v>2751</v>
      </c>
      <c r="E1675" t="s">
        <v>25</v>
      </c>
      <c r="F1675" t="b">
        <v>0</v>
      </c>
      <c r="G1675">
        <v>3</v>
      </c>
      <c r="H1675" t="b">
        <v>0</v>
      </c>
      <c r="I1675">
        <v>9</v>
      </c>
      <c r="J1675" t="s">
        <v>30</v>
      </c>
      <c r="K1675">
        <v>82</v>
      </c>
      <c r="L1675">
        <v>84</v>
      </c>
      <c r="M1675">
        <v>93</v>
      </c>
      <c r="N1675">
        <v>89</v>
      </c>
      <c r="O1675">
        <v>88</v>
      </c>
      <c r="P1675">
        <v>76</v>
      </c>
      <c r="Q1675">
        <v>98</v>
      </c>
      <c r="R1675">
        <f>SUM(student_scores[[#This Row],[math_score]:[geography_score]])</f>
        <v>610</v>
      </c>
      <c r="S1675" s="3">
        <f>student_scores[[#This Row],[Total_Score]]/7</f>
        <v>87.142857142857139</v>
      </c>
      <c r="T1675" s="3" t="str" cm="1">
        <f t="array" ref="T1675">_xlfn.IFS(student_scores[[#This Row],[weekly_self_study_hours]]&lt;=5,   "0 - 5", student_scores[[#This Row],[weekly_self_study_hours]]&lt;=10,  "6 - 10", student_scores[[#This Row],[weekly_self_study_hours]]&lt;=20,  "11 - 20",student_scores[[#This Row],[weekly_self_study_hours]]&lt;=30, "21 - 30",TRUE, "31+")</f>
        <v>6 - 10</v>
      </c>
      <c r="U1675" t="str" cm="1">
        <f t="array" ref="U1675">_xlfn.IFS(student_scores[[#This Row],[absence_days]]=0,"0", student_scores[[#This Row],[absence_days]]&lt;=3,"1-3", student_scores[[#This Row],[absence_days]]&lt;=6,"4-6", TRUE,"7-10")</f>
        <v>1-3</v>
      </c>
      <c r="V1675" t="str">
        <f>IF(student_scores[[#This Row],[Total_Score]] &gt;= _xlfn.PERCENTILE.INC(student_scores[Total_Score], 0.8), "Yes", "No")</f>
        <v>Yes</v>
      </c>
    </row>
    <row r="1676" spans="1:22" x14ac:dyDescent="0.35">
      <c r="A1676">
        <v>1675</v>
      </c>
      <c r="B1676" t="s">
        <v>145</v>
      </c>
      <c r="C1676" t="s">
        <v>586</v>
      </c>
      <c r="D1676" t="s">
        <v>2752</v>
      </c>
      <c r="E1676" t="s">
        <v>20</v>
      </c>
      <c r="F1676" t="b">
        <v>0</v>
      </c>
      <c r="G1676">
        <v>5</v>
      </c>
      <c r="H1676" t="b">
        <v>0</v>
      </c>
      <c r="I1676">
        <v>26</v>
      </c>
      <c r="J1676" t="s">
        <v>21</v>
      </c>
      <c r="K1676">
        <v>77</v>
      </c>
      <c r="L1676">
        <v>86</v>
      </c>
      <c r="M1676">
        <v>62</v>
      </c>
      <c r="N1676">
        <v>85</v>
      </c>
      <c r="O1676">
        <v>72</v>
      </c>
      <c r="P1676">
        <v>98</v>
      </c>
      <c r="Q1676">
        <v>90</v>
      </c>
      <c r="R1676">
        <f>SUM(student_scores[[#This Row],[math_score]:[geography_score]])</f>
        <v>570</v>
      </c>
      <c r="S1676" s="3">
        <f>student_scores[[#This Row],[Total_Score]]/7</f>
        <v>81.428571428571431</v>
      </c>
      <c r="T1676" s="3" t="str" cm="1">
        <f t="array" ref="T1676">_xlfn.IFS(student_scores[[#This Row],[weekly_self_study_hours]]&lt;=5,   "0 - 5", student_scores[[#This Row],[weekly_self_study_hours]]&lt;=10,  "6 - 10", student_scores[[#This Row],[weekly_self_study_hours]]&lt;=20,  "11 - 20",student_scores[[#This Row],[weekly_self_study_hours]]&lt;=30, "21 - 30",TRUE, "31+")</f>
        <v>21 - 30</v>
      </c>
      <c r="U1676" t="str" cm="1">
        <f t="array" ref="U1676">_xlfn.IFS(student_scores[[#This Row],[absence_days]]=0,"0", student_scores[[#This Row],[absence_days]]&lt;=3,"1-3", student_scores[[#This Row],[absence_days]]&lt;=6,"4-6", TRUE,"7-10")</f>
        <v>4-6</v>
      </c>
      <c r="V1676" t="str">
        <f>IF(student_scores[[#This Row],[Total_Score]] &gt;= _xlfn.PERCENTILE.INC(student_scores[Total_Score], 0.8), "Yes", "No")</f>
        <v>No</v>
      </c>
    </row>
    <row r="1677" spans="1:22" x14ac:dyDescent="0.35">
      <c r="A1677">
        <v>1676</v>
      </c>
      <c r="B1677" t="s">
        <v>31</v>
      </c>
      <c r="C1677" t="s">
        <v>1498</v>
      </c>
      <c r="D1677" t="s">
        <v>2753</v>
      </c>
      <c r="E1677" t="s">
        <v>25</v>
      </c>
      <c r="F1677" t="b">
        <v>0</v>
      </c>
      <c r="G1677">
        <v>3</v>
      </c>
      <c r="H1677" t="b">
        <v>0</v>
      </c>
      <c r="I1677">
        <v>31</v>
      </c>
      <c r="J1677" t="s">
        <v>44</v>
      </c>
      <c r="K1677">
        <v>95</v>
      </c>
      <c r="L1677">
        <v>98</v>
      </c>
      <c r="M1677">
        <v>76</v>
      </c>
      <c r="N1677">
        <v>61</v>
      </c>
      <c r="O1677">
        <v>87</v>
      </c>
      <c r="P1677">
        <v>72</v>
      </c>
      <c r="Q1677">
        <v>100</v>
      </c>
      <c r="R1677">
        <f>SUM(student_scores[[#This Row],[math_score]:[geography_score]])</f>
        <v>589</v>
      </c>
      <c r="S1677" s="3">
        <f>student_scores[[#This Row],[Total_Score]]/7</f>
        <v>84.142857142857139</v>
      </c>
      <c r="T1677" s="3" t="str" cm="1">
        <f t="array" ref="T1677">_xlfn.IFS(student_scores[[#This Row],[weekly_self_study_hours]]&lt;=5,   "0 - 5", student_scores[[#This Row],[weekly_self_study_hours]]&lt;=10,  "6 - 10", student_scores[[#This Row],[weekly_self_study_hours]]&lt;=20,  "11 - 20",student_scores[[#This Row],[weekly_self_study_hours]]&lt;=30, "21 - 30",TRUE, "31+")</f>
        <v>31+</v>
      </c>
      <c r="U1677" t="str" cm="1">
        <f t="array" ref="U1677">_xlfn.IFS(student_scores[[#This Row],[absence_days]]=0,"0", student_scores[[#This Row],[absence_days]]&lt;=3,"1-3", student_scores[[#This Row],[absence_days]]&lt;=6,"4-6", TRUE,"7-10")</f>
        <v>1-3</v>
      </c>
      <c r="V1677" t="str">
        <f>IF(student_scores[[#This Row],[Total_Score]] &gt;= _xlfn.PERCENTILE.INC(student_scores[Total_Score], 0.8), "Yes", "No")</f>
        <v>No</v>
      </c>
    </row>
    <row r="1678" spans="1:22" x14ac:dyDescent="0.35">
      <c r="A1678">
        <v>1677</v>
      </c>
      <c r="B1678" t="s">
        <v>102</v>
      </c>
      <c r="C1678" t="s">
        <v>684</v>
      </c>
      <c r="D1678" t="s">
        <v>2754</v>
      </c>
      <c r="E1678" t="s">
        <v>20</v>
      </c>
      <c r="F1678" t="b">
        <v>0</v>
      </c>
      <c r="G1678">
        <v>4</v>
      </c>
      <c r="H1678" t="b">
        <v>0</v>
      </c>
      <c r="I1678">
        <v>27</v>
      </c>
      <c r="J1678" t="s">
        <v>109</v>
      </c>
      <c r="K1678">
        <v>80</v>
      </c>
      <c r="L1678">
        <v>76</v>
      </c>
      <c r="M1678">
        <v>71</v>
      </c>
      <c r="N1678">
        <v>62</v>
      </c>
      <c r="O1678">
        <v>92</v>
      </c>
      <c r="P1678">
        <v>99</v>
      </c>
      <c r="Q1678">
        <v>77</v>
      </c>
      <c r="R1678">
        <f>SUM(student_scores[[#This Row],[math_score]:[geography_score]])</f>
        <v>557</v>
      </c>
      <c r="S1678" s="3">
        <f>student_scores[[#This Row],[Total_Score]]/7</f>
        <v>79.571428571428569</v>
      </c>
      <c r="T1678" s="3" t="str" cm="1">
        <f t="array" ref="T1678">_xlfn.IFS(student_scores[[#This Row],[weekly_self_study_hours]]&lt;=5,   "0 - 5", student_scores[[#This Row],[weekly_self_study_hours]]&lt;=10,  "6 - 10", student_scores[[#This Row],[weekly_self_study_hours]]&lt;=20,  "11 - 20",student_scores[[#This Row],[weekly_self_study_hours]]&lt;=30, "21 - 30",TRUE, "31+")</f>
        <v>21 - 30</v>
      </c>
      <c r="U1678" t="str" cm="1">
        <f t="array" ref="U1678">_xlfn.IFS(student_scores[[#This Row],[absence_days]]=0,"0", student_scores[[#This Row],[absence_days]]&lt;=3,"1-3", student_scores[[#This Row],[absence_days]]&lt;=6,"4-6", TRUE,"7-10")</f>
        <v>4-6</v>
      </c>
      <c r="V1678" t="str">
        <f>IF(student_scores[[#This Row],[Total_Score]] &gt;= _xlfn.PERCENTILE.INC(student_scores[Total_Score], 0.8), "Yes", "No")</f>
        <v>No</v>
      </c>
    </row>
    <row r="1679" spans="1:22" x14ac:dyDescent="0.35">
      <c r="A1679">
        <v>1678</v>
      </c>
      <c r="B1679" t="s">
        <v>160</v>
      </c>
      <c r="C1679" t="s">
        <v>684</v>
      </c>
      <c r="D1679" t="s">
        <v>2755</v>
      </c>
      <c r="E1679" t="s">
        <v>20</v>
      </c>
      <c r="F1679" t="b">
        <v>1</v>
      </c>
      <c r="G1679">
        <v>7</v>
      </c>
      <c r="H1679" t="b">
        <v>0</v>
      </c>
      <c r="I1679">
        <v>28</v>
      </c>
      <c r="J1679" t="s">
        <v>44</v>
      </c>
      <c r="K1679">
        <v>89</v>
      </c>
      <c r="L1679">
        <v>79</v>
      </c>
      <c r="M1679">
        <v>97</v>
      </c>
      <c r="N1679">
        <v>61</v>
      </c>
      <c r="O1679">
        <v>64</v>
      </c>
      <c r="P1679">
        <v>79</v>
      </c>
      <c r="Q1679">
        <v>72</v>
      </c>
      <c r="R1679">
        <f>SUM(student_scores[[#This Row],[math_score]:[geography_score]])</f>
        <v>541</v>
      </c>
      <c r="S1679" s="3">
        <f>student_scores[[#This Row],[Total_Score]]/7</f>
        <v>77.285714285714292</v>
      </c>
      <c r="T1679" s="3" t="str" cm="1">
        <f t="array" ref="T1679">_xlfn.IFS(student_scores[[#This Row],[weekly_self_study_hours]]&lt;=5,   "0 - 5", student_scores[[#This Row],[weekly_self_study_hours]]&lt;=10,  "6 - 10", student_scores[[#This Row],[weekly_self_study_hours]]&lt;=20,  "11 - 20",student_scores[[#This Row],[weekly_self_study_hours]]&lt;=30, "21 - 30",TRUE, "31+")</f>
        <v>21 - 30</v>
      </c>
      <c r="U1679" t="str" cm="1">
        <f t="array" ref="U1679">_xlfn.IFS(student_scores[[#This Row],[absence_days]]=0,"0", student_scores[[#This Row],[absence_days]]&lt;=3,"1-3", student_scores[[#This Row],[absence_days]]&lt;=6,"4-6", TRUE,"7-10")</f>
        <v>7-10</v>
      </c>
      <c r="V1679" t="str">
        <f>IF(student_scores[[#This Row],[Total_Score]] &gt;= _xlfn.PERCENTILE.INC(student_scores[Total_Score], 0.8), "Yes", "No")</f>
        <v>No</v>
      </c>
    </row>
    <row r="1680" spans="1:22" x14ac:dyDescent="0.35">
      <c r="A1680">
        <v>1679</v>
      </c>
      <c r="B1680" t="s">
        <v>61</v>
      </c>
      <c r="C1680" t="s">
        <v>1223</v>
      </c>
      <c r="D1680" t="s">
        <v>2756</v>
      </c>
      <c r="E1680" t="s">
        <v>25</v>
      </c>
      <c r="F1680" t="b">
        <v>0</v>
      </c>
      <c r="G1680">
        <v>3</v>
      </c>
      <c r="H1680" t="b">
        <v>1</v>
      </c>
      <c r="I1680">
        <v>5</v>
      </c>
      <c r="J1680" t="s">
        <v>30</v>
      </c>
      <c r="K1680">
        <v>69</v>
      </c>
      <c r="L1680">
        <v>87</v>
      </c>
      <c r="M1680">
        <v>91</v>
      </c>
      <c r="N1680">
        <v>82</v>
      </c>
      <c r="O1680">
        <v>86</v>
      </c>
      <c r="P1680">
        <v>77</v>
      </c>
      <c r="Q1680">
        <v>80</v>
      </c>
      <c r="R1680">
        <f>SUM(student_scores[[#This Row],[math_score]:[geography_score]])</f>
        <v>572</v>
      </c>
      <c r="S1680" s="3">
        <f>student_scores[[#This Row],[Total_Score]]/7</f>
        <v>81.714285714285708</v>
      </c>
      <c r="T1680" s="3" t="str" cm="1">
        <f t="array" ref="T1680">_xlfn.IFS(student_scores[[#This Row],[weekly_self_study_hours]]&lt;=5,   "0 - 5", student_scores[[#This Row],[weekly_self_study_hours]]&lt;=10,  "6 - 10", student_scores[[#This Row],[weekly_self_study_hours]]&lt;=20,  "11 - 20",student_scores[[#This Row],[weekly_self_study_hours]]&lt;=30, "21 - 30",TRUE, "31+")</f>
        <v>0 - 5</v>
      </c>
      <c r="U1680" t="str" cm="1">
        <f t="array" ref="U1680">_xlfn.IFS(student_scores[[#This Row],[absence_days]]=0,"0", student_scores[[#This Row],[absence_days]]&lt;=3,"1-3", student_scores[[#This Row],[absence_days]]&lt;=6,"4-6", TRUE,"7-10")</f>
        <v>1-3</v>
      </c>
      <c r="V1680" t="str">
        <f>IF(student_scores[[#This Row],[Total_Score]] &gt;= _xlfn.PERCENTILE.INC(student_scores[Total_Score], 0.8), "Yes", "No")</f>
        <v>No</v>
      </c>
    </row>
    <row r="1681" spans="1:22" x14ac:dyDescent="0.35">
      <c r="A1681">
        <v>1680</v>
      </c>
      <c r="B1681" t="s">
        <v>1605</v>
      </c>
      <c r="C1681" t="s">
        <v>1296</v>
      </c>
      <c r="D1681" t="s">
        <v>2757</v>
      </c>
      <c r="E1681" t="s">
        <v>25</v>
      </c>
      <c r="F1681" t="b">
        <v>0</v>
      </c>
      <c r="G1681">
        <v>2</v>
      </c>
      <c r="H1681" t="b">
        <v>0</v>
      </c>
      <c r="I1681">
        <v>4</v>
      </c>
      <c r="J1681" t="s">
        <v>64</v>
      </c>
      <c r="K1681">
        <v>76</v>
      </c>
      <c r="L1681">
        <v>72</v>
      </c>
      <c r="M1681">
        <v>58</v>
      </c>
      <c r="N1681">
        <v>66</v>
      </c>
      <c r="O1681">
        <v>66</v>
      </c>
      <c r="P1681">
        <v>62</v>
      </c>
      <c r="Q1681">
        <v>60</v>
      </c>
      <c r="R1681">
        <f>SUM(student_scores[[#This Row],[math_score]:[geography_score]])</f>
        <v>460</v>
      </c>
      <c r="S1681" s="3">
        <f>student_scores[[#This Row],[Total_Score]]/7</f>
        <v>65.714285714285708</v>
      </c>
      <c r="T1681" s="3" t="str" cm="1">
        <f t="array" ref="T1681">_xlfn.IFS(student_scores[[#This Row],[weekly_self_study_hours]]&lt;=5,   "0 - 5", student_scores[[#This Row],[weekly_self_study_hours]]&lt;=10,  "6 - 10", student_scores[[#This Row],[weekly_self_study_hours]]&lt;=20,  "11 - 20",student_scores[[#This Row],[weekly_self_study_hours]]&lt;=30, "21 - 30",TRUE, "31+")</f>
        <v>0 - 5</v>
      </c>
      <c r="U1681" t="str" cm="1">
        <f t="array" ref="U1681">_xlfn.IFS(student_scores[[#This Row],[absence_days]]=0,"0", student_scores[[#This Row],[absence_days]]&lt;=3,"1-3", student_scores[[#This Row],[absence_days]]&lt;=6,"4-6", TRUE,"7-10")</f>
        <v>1-3</v>
      </c>
      <c r="V1681" t="str">
        <f>IF(student_scores[[#This Row],[Total_Score]] &gt;= _xlfn.PERCENTILE.INC(student_scores[Total_Score], 0.8), "Yes", "No")</f>
        <v>No</v>
      </c>
    </row>
    <row r="1682" spans="1:22" x14ac:dyDescent="0.35">
      <c r="A1682">
        <v>1681</v>
      </c>
      <c r="B1682" t="s">
        <v>796</v>
      </c>
      <c r="C1682" t="s">
        <v>735</v>
      </c>
      <c r="D1682" t="s">
        <v>2758</v>
      </c>
      <c r="E1682" t="s">
        <v>20</v>
      </c>
      <c r="F1682" t="b">
        <v>0</v>
      </c>
      <c r="G1682">
        <v>1</v>
      </c>
      <c r="H1682" t="b">
        <v>0</v>
      </c>
      <c r="I1682">
        <v>33</v>
      </c>
      <c r="J1682" t="s">
        <v>26</v>
      </c>
      <c r="K1682">
        <v>85</v>
      </c>
      <c r="L1682">
        <v>97</v>
      </c>
      <c r="M1682">
        <v>95</v>
      </c>
      <c r="N1682">
        <v>97</v>
      </c>
      <c r="O1682">
        <v>98</v>
      </c>
      <c r="P1682">
        <v>84</v>
      </c>
      <c r="Q1682">
        <v>94</v>
      </c>
      <c r="R1682">
        <f>SUM(student_scores[[#This Row],[math_score]:[geography_score]])</f>
        <v>650</v>
      </c>
      <c r="S1682" s="3">
        <f>student_scores[[#This Row],[Total_Score]]/7</f>
        <v>92.857142857142861</v>
      </c>
      <c r="T1682" s="3" t="str" cm="1">
        <f t="array" ref="T1682">_xlfn.IFS(student_scores[[#This Row],[weekly_self_study_hours]]&lt;=5,   "0 - 5", student_scores[[#This Row],[weekly_self_study_hours]]&lt;=10,  "6 - 10", student_scores[[#This Row],[weekly_self_study_hours]]&lt;=20,  "11 - 20",student_scores[[#This Row],[weekly_self_study_hours]]&lt;=30, "21 - 30",TRUE, "31+")</f>
        <v>31+</v>
      </c>
      <c r="U1682" t="str" cm="1">
        <f t="array" ref="U1682">_xlfn.IFS(student_scores[[#This Row],[absence_days]]=0,"0", student_scores[[#This Row],[absence_days]]&lt;=3,"1-3", student_scores[[#This Row],[absence_days]]&lt;=6,"4-6", TRUE,"7-10")</f>
        <v>1-3</v>
      </c>
      <c r="V1682" t="str">
        <f>IF(student_scores[[#This Row],[Total_Score]] &gt;= _xlfn.PERCENTILE.INC(student_scores[Total_Score], 0.8), "Yes", "No")</f>
        <v>Yes</v>
      </c>
    </row>
    <row r="1683" spans="1:22" x14ac:dyDescent="0.35">
      <c r="A1683">
        <v>1682</v>
      </c>
      <c r="B1683" t="s">
        <v>89</v>
      </c>
      <c r="C1683" t="s">
        <v>2759</v>
      </c>
      <c r="D1683" t="s">
        <v>2760</v>
      </c>
      <c r="E1683" t="s">
        <v>20</v>
      </c>
      <c r="F1683" t="b">
        <v>0</v>
      </c>
      <c r="G1683">
        <v>3</v>
      </c>
      <c r="H1683" t="b">
        <v>0</v>
      </c>
      <c r="I1683">
        <v>16</v>
      </c>
      <c r="J1683" t="s">
        <v>105</v>
      </c>
      <c r="K1683">
        <v>79</v>
      </c>
      <c r="L1683">
        <v>100</v>
      </c>
      <c r="M1683">
        <v>72</v>
      </c>
      <c r="N1683">
        <v>89</v>
      </c>
      <c r="O1683">
        <v>68</v>
      </c>
      <c r="P1683">
        <v>99</v>
      </c>
      <c r="Q1683">
        <v>76</v>
      </c>
      <c r="R1683">
        <f>SUM(student_scores[[#This Row],[math_score]:[geography_score]])</f>
        <v>583</v>
      </c>
      <c r="S1683" s="3">
        <f>student_scores[[#This Row],[Total_Score]]/7</f>
        <v>83.285714285714292</v>
      </c>
      <c r="T1683" s="3" t="str" cm="1">
        <f t="array" ref="T1683">_xlfn.IFS(student_scores[[#This Row],[weekly_self_study_hours]]&lt;=5,   "0 - 5", student_scores[[#This Row],[weekly_self_study_hours]]&lt;=10,  "6 - 10", student_scores[[#This Row],[weekly_self_study_hours]]&lt;=20,  "11 - 20",student_scores[[#This Row],[weekly_self_study_hours]]&lt;=30, "21 - 30",TRUE, "31+")</f>
        <v>11 - 20</v>
      </c>
      <c r="U1683" t="str" cm="1">
        <f t="array" ref="U1683">_xlfn.IFS(student_scores[[#This Row],[absence_days]]=0,"0", student_scores[[#This Row],[absence_days]]&lt;=3,"1-3", student_scores[[#This Row],[absence_days]]&lt;=6,"4-6", TRUE,"7-10")</f>
        <v>1-3</v>
      </c>
      <c r="V1683" t="str">
        <f>IF(student_scores[[#This Row],[Total_Score]] &gt;= _xlfn.PERCENTILE.INC(student_scores[Total_Score], 0.8), "Yes", "No")</f>
        <v>No</v>
      </c>
    </row>
    <row r="1684" spans="1:22" x14ac:dyDescent="0.35">
      <c r="A1684">
        <v>1683</v>
      </c>
      <c r="B1684" t="s">
        <v>428</v>
      </c>
      <c r="C1684" t="s">
        <v>2761</v>
      </c>
      <c r="D1684" t="s">
        <v>2762</v>
      </c>
      <c r="E1684" t="s">
        <v>25</v>
      </c>
      <c r="F1684" t="b">
        <v>0</v>
      </c>
      <c r="G1684">
        <v>1</v>
      </c>
      <c r="H1684" t="b">
        <v>0</v>
      </c>
      <c r="I1684">
        <v>15</v>
      </c>
      <c r="J1684" t="s">
        <v>54</v>
      </c>
      <c r="K1684">
        <v>85</v>
      </c>
      <c r="L1684">
        <v>76</v>
      </c>
      <c r="M1684">
        <v>63</v>
      </c>
      <c r="N1684">
        <v>62</v>
      </c>
      <c r="O1684">
        <v>74</v>
      </c>
      <c r="P1684">
        <v>82</v>
      </c>
      <c r="Q1684">
        <v>96</v>
      </c>
      <c r="R1684">
        <f>SUM(student_scores[[#This Row],[math_score]:[geography_score]])</f>
        <v>538</v>
      </c>
      <c r="S1684" s="3">
        <f>student_scores[[#This Row],[Total_Score]]/7</f>
        <v>76.857142857142861</v>
      </c>
      <c r="T1684" s="3" t="str" cm="1">
        <f t="array" ref="T1684">_xlfn.IFS(student_scores[[#This Row],[weekly_self_study_hours]]&lt;=5,   "0 - 5", student_scores[[#This Row],[weekly_self_study_hours]]&lt;=10,  "6 - 10", student_scores[[#This Row],[weekly_self_study_hours]]&lt;=20,  "11 - 20",student_scores[[#This Row],[weekly_self_study_hours]]&lt;=30, "21 - 30",TRUE, "31+")</f>
        <v>11 - 20</v>
      </c>
      <c r="U1684" t="str" cm="1">
        <f t="array" ref="U1684">_xlfn.IFS(student_scores[[#This Row],[absence_days]]=0,"0", student_scores[[#This Row],[absence_days]]&lt;=3,"1-3", student_scores[[#This Row],[absence_days]]&lt;=6,"4-6", TRUE,"7-10")</f>
        <v>1-3</v>
      </c>
      <c r="V1684" t="str">
        <f>IF(student_scores[[#This Row],[Total_Score]] &gt;= _xlfn.PERCENTILE.INC(student_scores[Total_Score], 0.8), "Yes", "No")</f>
        <v>No</v>
      </c>
    </row>
    <row r="1685" spans="1:22" x14ac:dyDescent="0.35">
      <c r="A1685">
        <v>1684</v>
      </c>
      <c r="B1685" t="s">
        <v>1663</v>
      </c>
      <c r="C1685" t="s">
        <v>1561</v>
      </c>
      <c r="D1685" t="s">
        <v>2763</v>
      </c>
      <c r="E1685" t="s">
        <v>20</v>
      </c>
      <c r="F1685" t="b">
        <v>0</v>
      </c>
      <c r="G1685">
        <v>7</v>
      </c>
      <c r="H1685" t="b">
        <v>0</v>
      </c>
      <c r="I1685">
        <v>10</v>
      </c>
      <c r="J1685" t="s">
        <v>30</v>
      </c>
      <c r="K1685">
        <v>78</v>
      </c>
      <c r="L1685">
        <v>69</v>
      </c>
      <c r="M1685">
        <v>87</v>
      </c>
      <c r="N1685">
        <v>93</v>
      </c>
      <c r="O1685">
        <v>83</v>
      </c>
      <c r="P1685">
        <v>94</v>
      </c>
      <c r="Q1685">
        <v>75</v>
      </c>
      <c r="R1685">
        <f>SUM(student_scores[[#This Row],[math_score]:[geography_score]])</f>
        <v>579</v>
      </c>
      <c r="S1685" s="3">
        <f>student_scores[[#This Row],[Total_Score]]/7</f>
        <v>82.714285714285708</v>
      </c>
      <c r="T1685" s="3" t="str" cm="1">
        <f t="array" ref="T1685">_xlfn.IFS(student_scores[[#This Row],[weekly_self_study_hours]]&lt;=5,   "0 - 5", student_scores[[#This Row],[weekly_self_study_hours]]&lt;=10,  "6 - 10", student_scores[[#This Row],[weekly_self_study_hours]]&lt;=20,  "11 - 20",student_scores[[#This Row],[weekly_self_study_hours]]&lt;=30, "21 - 30",TRUE, "31+")</f>
        <v>6 - 10</v>
      </c>
      <c r="U1685" t="str" cm="1">
        <f t="array" ref="U1685">_xlfn.IFS(student_scores[[#This Row],[absence_days]]=0,"0", student_scores[[#This Row],[absence_days]]&lt;=3,"1-3", student_scores[[#This Row],[absence_days]]&lt;=6,"4-6", TRUE,"7-10")</f>
        <v>7-10</v>
      </c>
      <c r="V1685" t="str">
        <f>IF(student_scores[[#This Row],[Total_Score]] &gt;= _xlfn.PERCENTILE.INC(student_scores[Total_Score], 0.8), "Yes", "No")</f>
        <v>No</v>
      </c>
    </row>
    <row r="1686" spans="1:22" x14ac:dyDescent="0.35">
      <c r="A1686">
        <v>1685</v>
      </c>
      <c r="B1686" t="s">
        <v>861</v>
      </c>
      <c r="C1686" t="s">
        <v>1223</v>
      </c>
      <c r="D1686" t="s">
        <v>2764</v>
      </c>
      <c r="E1686" t="s">
        <v>25</v>
      </c>
      <c r="F1686" t="b">
        <v>0</v>
      </c>
      <c r="G1686">
        <v>0</v>
      </c>
      <c r="H1686" t="b">
        <v>1</v>
      </c>
      <c r="I1686">
        <v>18</v>
      </c>
      <c r="J1686" t="s">
        <v>38</v>
      </c>
      <c r="K1686">
        <v>62</v>
      </c>
      <c r="L1686">
        <v>91</v>
      </c>
      <c r="M1686">
        <v>86</v>
      </c>
      <c r="N1686">
        <v>88</v>
      </c>
      <c r="O1686">
        <v>80</v>
      </c>
      <c r="P1686">
        <v>62</v>
      </c>
      <c r="Q1686">
        <v>75</v>
      </c>
      <c r="R1686">
        <f>SUM(student_scores[[#This Row],[math_score]:[geography_score]])</f>
        <v>544</v>
      </c>
      <c r="S1686" s="3">
        <f>student_scores[[#This Row],[Total_Score]]/7</f>
        <v>77.714285714285708</v>
      </c>
      <c r="T1686" s="3" t="str" cm="1">
        <f t="array" ref="T1686">_xlfn.IFS(student_scores[[#This Row],[weekly_self_study_hours]]&lt;=5,   "0 - 5", student_scores[[#This Row],[weekly_self_study_hours]]&lt;=10,  "6 - 10", student_scores[[#This Row],[weekly_self_study_hours]]&lt;=20,  "11 - 20",student_scores[[#This Row],[weekly_self_study_hours]]&lt;=30, "21 - 30",TRUE, "31+")</f>
        <v>11 - 20</v>
      </c>
      <c r="U1686" t="str" cm="1">
        <f t="array" ref="U1686">_xlfn.IFS(student_scores[[#This Row],[absence_days]]=0,"0", student_scores[[#This Row],[absence_days]]&lt;=3,"1-3", student_scores[[#This Row],[absence_days]]&lt;=6,"4-6", TRUE,"7-10")</f>
        <v>0</v>
      </c>
      <c r="V1686" t="str">
        <f>IF(student_scores[[#This Row],[Total_Score]] &gt;= _xlfn.PERCENTILE.INC(student_scores[Total_Score], 0.8), "Yes", "No")</f>
        <v>No</v>
      </c>
    </row>
    <row r="1687" spans="1:22" x14ac:dyDescent="0.35">
      <c r="A1687">
        <v>1686</v>
      </c>
      <c r="B1687" t="s">
        <v>280</v>
      </c>
      <c r="C1687" t="s">
        <v>2500</v>
      </c>
      <c r="D1687" t="s">
        <v>2765</v>
      </c>
      <c r="E1687" t="s">
        <v>20</v>
      </c>
      <c r="F1687" t="b">
        <v>0</v>
      </c>
      <c r="G1687">
        <v>1</v>
      </c>
      <c r="H1687" t="b">
        <v>0</v>
      </c>
      <c r="I1687">
        <v>12</v>
      </c>
      <c r="J1687" t="s">
        <v>172</v>
      </c>
      <c r="K1687">
        <v>93</v>
      </c>
      <c r="L1687">
        <v>86</v>
      </c>
      <c r="M1687">
        <v>61</v>
      </c>
      <c r="N1687">
        <v>71</v>
      </c>
      <c r="O1687">
        <v>98</v>
      </c>
      <c r="P1687">
        <v>79</v>
      </c>
      <c r="Q1687">
        <v>87</v>
      </c>
      <c r="R1687">
        <f>SUM(student_scores[[#This Row],[math_score]:[geography_score]])</f>
        <v>575</v>
      </c>
      <c r="S1687" s="3">
        <f>student_scores[[#This Row],[Total_Score]]/7</f>
        <v>82.142857142857139</v>
      </c>
      <c r="T1687" s="3" t="str" cm="1">
        <f t="array" ref="T1687">_xlfn.IFS(student_scores[[#This Row],[weekly_self_study_hours]]&lt;=5,   "0 - 5", student_scores[[#This Row],[weekly_self_study_hours]]&lt;=10,  "6 - 10", student_scores[[#This Row],[weekly_self_study_hours]]&lt;=20,  "11 - 20",student_scores[[#This Row],[weekly_self_study_hours]]&lt;=30, "21 - 30",TRUE, "31+")</f>
        <v>11 - 20</v>
      </c>
      <c r="U1687" t="str" cm="1">
        <f t="array" ref="U1687">_xlfn.IFS(student_scores[[#This Row],[absence_days]]=0,"0", student_scores[[#This Row],[absence_days]]&lt;=3,"1-3", student_scores[[#This Row],[absence_days]]&lt;=6,"4-6", TRUE,"7-10")</f>
        <v>1-3</v>
      </c>
      <c r="V1687" t="str">
        <f>IF(student_scores[[#This Row],[Total_Score]] &gt;= _xlfn.PERCENTILE.INC(student_scores[Total_Score], 0.8), "Yes", "No")</f>
        <v>No</v>
      </c>
    </row>
    <row r="1688" spans="1:22" x14ac:dyDescent="0.35">
      <c r="A1688">
        <v>1687</v>
      </c>
      <c r="B1688" t="s">
        <v>555</v>
      </c>
      <c r="C1688" t="s">
        <v>569</v>
      </c>
      <c r="D1688" t="s">
        <v>2766</v>
      </c>
      <c r="E1688" t="s">
        <v>25</v>
      </c>
      <c r="F1688" t="b">
        <v>0</v>
      </c>
      <c r="G1688">
        <v>3</v>
      </c>
      <c r="H1688" t="b">
        <v>0</v>
      </c>
      <c r="I1688">
        <v>25</v>
      </c>
      <c r="J1688" t="s">
        <v>105</v>
      </c>
      <c r="K1688">
        <v>94</v>
      </c>
      <c r="L1688">
        <v>76</v>
      </c>
      <c r="M1688">
        <v>100</v>
      </c>
      <c r="N1688">
        <v>60</v>
      </c>
      <c r="O1688">
        <v>80</v>
      </c>
      <c r="P1688">
        <v>94</v>
      </c>
      <c r="Q1688">
        <v>61</v>
      </c>
      <c r="R1688">
        <f>SUM(student_scores[[#This Row],[math_score]:[geography_score]])</f>
        <v>565</v>
      </c>
      <c r="S1688" s="3">
        <f>student_scores[[#This Row],[Total_Score]]/7</f>
        <v>80.714285714285708</v>
      </c>
      <c r="T1688" s="3" t="str" cm="1">
        <f t="array" ref="T1688">_xlfn.IFS(student_scores[[#This Row],[weekly_self_study_hours]]&lt;=5,   "0 - 5", student_scores[[#This Row],[weekly_self_study_hours]]&lt;=10,  "6 - 10", student_scores[[#This Row],[weekly_self_study_hours]]&lt;=20,  "11 - 20",student_scores[[#This Row],[weekly_self_study_hours]]&lt;=30, "21 - 30",TRUE, "31+")</f>
        <v>21 - 30</v>
      </c>
      <c r="U1688" t="str" cm="1">
        <f t="array" ref="U1688">_xlfn.IFS(student_scores[[#This Row],[absence_days]]=0,"0", student_scores[[#This Row],[absence_days]]&lt;=3,"1-3", student_scores[[#This Row],[absence_days]]&lt;=6,"4-6", TRUE,"7-10")</f>
        <v>1-3</v>
      </c>
      <c r="V1688" t="str">
        <f>IF(student_scores[[#This Row],[Total_Score]] &gt;= _xlfn.PERCENTILE.INC(student_scores[Total_Score], 0.8), "Yes", "No")</f>
        <v>No</v>
      </c>
    </row>
    <row r="1689" spans="1:22" x14ac:dyDescent="0.35">
      <c r="A1689">
        <v>1688</v>
      </c>
      <c r="B1689" t="s">
        <v>173</v>
      </c>
      <c r="C1689" t="s">
        <v>2214</v>
      </c>
      <c r="D1689" t="s">
        <v>2767</v>
      </c>
      <c r="E1689" t="s">
        <v>25</v>
      </c>
      <c r="F1689" t="b">
        <v>0</v>
      </c>
      <c r="G1689">
        <v>3</v>
      </c>
      <c r="H1689" t="b">
        <v>0</v>
      </c>
      <c r="I1689">
        <v>23</v>
      </c>
      <c r="J1689" t="s">
        <v>105</v>
      </c>
      <c r="K1689">
        <v>95</v>
      </c>
      <c r="L1689">
        <v>83</v>
      </c>
      <c r="M1689">
        <v>94</v>
      </c>
      <c r="N1689">
        <v>83</v>
      </c>
      <c r="O1689">
        <v>75</v>
      </c>
      <c r="P1689">
        <v>99</v>
      </c>
      <c r="Q1689">
        <v>75</v>
      </c>
      <c r="R1689">
        <f>SUM(student_scores[[#This Row],[math_score]:[geography_score]])</f>
        <v>604</v>
      </c>
      <c r="S1689" s="3">
        <f>student_scores[[#This Row],[Total_Score]]/7</f>
        <v>86.285714285714292</v>
      </c>
      <c r="T1689" s="3" t="str" cm="1">
        <f t="array" ref="T1689">_xlfn.IFS(student_scores[[#This Row],[weekly_self_study_hours]]&lt;=5,   "0 - 5", student_scores[[#This Row],[weekly_self_study_hours]]&lt;=10,  "6 - 10", student_scores[[#This Row],[weekly_self_study_hours]]&lt;=20,  "11 - 20",student_scores[[#This Row],[weekly_self_study_hours]]&lt;=30, "21 - 30",TRUE, "31+")</f>
        <v>21 - 30</v>
      </c>
      <c r="U1689" t="str" cm="1">
        <f t="array" ref="U1689">_xlfn.IFS(student_scores[[#This Row],[absence_days]]=0,"0", student_scores[[#This Row],[absence_days]]&lt;=3,"1-3", student_scores[[#This Row],[absence_days]]&lt;=6,"4-6", TRUE,"7-10")</f>
        <v>1-3</v>
      </c>
      <c r="V1689" t="str">
        <f>IF(student_scores[[#This Row],[Total_Score]] &gt;= _xlfn.PERCENTILE.INC(student_scores[Total_Score], 0.8), "Yes", "No")</f>
        <v>Yes</v>
      </c>
    </row>
    <row r="1690" spans="1:22" x14ac:dyDescent="0.35">
      <c r="A1690">
        <v>1689</v>
      </c>
      <c r="B1690" t="s">
        <v>2768</v>
      </c>
      <c r="C1690" t="s">
        <v>191</v>
      </c>
      <c r="D1690" t="s">
        <v>2769</v>
      </c>
      <c r="E1690" t="s">
        <v>25</v>
      </c>
      <c r="F1690" t="b">
        <v>0</v>
      </c>
      <c r="G1690">
        <v>6</v>
      </c>
      <c r="H1690" t="b">
        <v>0</v>
      </c>
      <c r="I1690">
        <v>8</v>
      </c>
      <c r="J1690" t="s">
        <v>224</v>
      </c>
      <c r="K1690">
        <v>81</v>
      </c>
      <c r="L1690">
        <v>67</v>
      </c>
      <c r="M1690">
        <v>93</v>
      </c>
      <c r="N1690">
        <v>65</v>
      </c>
      <c r="O1690">
        <v>87</v>
      </c>
      <c r="P1690">
        <v>84</v>
      </c>
      <c r="Q1690">
        <v>79</v>
      </c>
      <c r="R1690">
        <f>SUM(student_scores[[#This Row],[math_score]:[geography_score]])</f>
        <v>556</v>
      </c>
      <c r="S1690" s="3">
        <f>student_scores[[#This Row],[Total_Score]]/7</f>
        <v>79.428571428571431</v>
      </c>
      <c r="T1690" s="3" t="str" cm="1">
        <f t="array" ref="T1690">_xlfn.IFS(student_scores[[#This Row],[weekly_self_study_hours]]&lt;=5,   "0 - 5", student_scores[[#This Row],[weekly_self_study_hours]]&lt;=10,  "6 - 10", student_scores[[#This Row],[weekly_self_study_hours]]&lt;=20,  "11 - 20",student_scores[[#This Row],[weekly_self_study_hours]]&lt;=30, "21 - 30",TRUE, "31+")</f>
        <v>6 - 10</v>
      </c>
      <c r="U1690" t="str" cm="1">
        <f t="array" ref="U1690">_xlfn.IFS(student_scores[[#This Row],[absence_days]]=0,"0", student_scores[[#This Row],[absence_days]]&lt;=3,"1-3", student_scores[[#This Row],[absence_days]]&lt;=6,"4-6", TRUE,"7-10")</f>
        <v>4-6</v>
      </c>
      <c r="V1690" t="str">
        <f>IF(student_scores[[#This Row],[Total_Score]] &gt;= _xlfn.PERCENTILE.INC(student_scores[Total_Score], 0.8), "Yes", "No")</f>
        <v>No</v>
      </c>
    </row>
    <row r="1691" spans="1:22" x14ac:dyDescent="0.35">
      <c r="A1691">
        <v>1690</v>
      </c>
      <c r="B1691" t="s">
        <v>277</v>
      </c>
      <c r="C1691" t="s">
        <v>2044</v>
      </c>
      <c r="D1691" t="s">
        <v>2770</v>
      </c>
      <c r="E1691" t="s">
        <v>20</v>
      </c>
      <c r="F1691" t="b">
        <v>0</v>
      </c>
      <c r="G1691">
        <v>4</v>
      </c>
      <c r="H1691" t="b">
        <v>0</v>
      </c>
      <c r="I1691">
        <v>32</v>
      </c>
      <c r="J1691" t="s">
        <v>113</v>
      </c>
      <c r="K1691">
        <v>87</v>
      </c>
      <c r="L1691">
        <v>100</v>
      </c>
      <c r="M1691">
        <v>60</v>
      </c>
      <c r="N1691">
        <v>99</v>
      </c>
      <c r="O1691">
        <v>45</v>
      </c>
      <c r="P1691">
        <v>73</v>
      </c>
      <c r="Q1691">
        <v>86</v>
      </c>
      <c r="R1691">
        <f>SUM(student_scores[[#This Row],[math_score]:[geography_score]])</f>
        <v>550</v>
      </c>
      <c r="S1691" s="3">
        <f>student_scores[[#This Row],[Total_Score]]/7</f>
        <v>78.571428571428569</v>
      </c>
      <c r="T1691" s="3" t="str" cm="1">
        <f t="array" ref="T1691">_xlfn.IFS(student_scores[[#This Row],[weekly_self_study_hours]]&lt;=5,   "0 - 5", student_scores[[#This Row],[weekly_self_study_hours]]&lt;=10,  "6 - 10", student_scores[[#This Row],[weekly_self_study_hours]]&lt;=20,  "11 - 20",student_scores[[#This Row],[weekly_self_study_hours]]&lt;=30, "21 - 30",TRUE, "31+")</f>
        <v>31+</v>
      </c>
      <c r="U1691" t="str" cm="1">
        <f t="array" ref="U1691">_xlfn.IFS(student_scores[[#This Row],[absence_days]]=0,"0", student_scores[[#This Row],[absence_days]]&lt;=3,"1-3", student_scores[[#This Row],[absence_days]]&lt;=6,"4-6", TRUE,"7-10")</f>
        <v>4-6</v>
      </c>
      <c r="V1691" t="str">
        <f>IF(student_scores[[#This Row],[Total_Score]] &gt;= _xlfn.PERCENTILE.INC(student_scores[Total_Score], 0.8), "Yes", "No")</f>
        <v>No</v>
      </c>
    </row>
    <row r="1692" spans="1:22" x14ac:dyDescent="0.35">
      <c r="A1692">
        <v>1691</v>
      </c>
      <c r="B1692" t="s">
        <v>417</v>
      </c>
      <c r="C1692" t="s">
        <v>2771</v>
      </c>
      <c r="D1692" t="s">
        <v>2772</v>
      </c>
      <c r="E1692" t="s">
        <v>25</v>
      </c>
      <c r="F1692" t="b">
        <v>1</v>
      </c>
      <c r="G1692">
        <v>10</v>
      </c>
      <c r="H1692" t="b">
        <v>0</v>
      </c>
      <c r="I1692">
        <v>0</v>
      </c>
      <c r="J1692" t="s">
        <v>64</v>
      </c>
      <c r="K1692">
        <v>55</v>
      </c>
      <c r="L1692">
        <v>86</v>
      </c>
      <c r="M1692">
        <v>54</v>
      </c>
      <c r="N1692">
        <v>78</v>
      </c>
      <c r="O1692">
        <v>55</v>
      </c>
      <c r="P1692">
        <v>60</v>
      </c>
      <c r="Q1692">
        <v>88</v>
      </c>
      <c r="R1692">
        <f>SUM(student_scores[[#This Row],[math_score]:[geography_score]])</f>
        <v>476</v>
      </c>
      <c r="S1692" s="3">
        <f>student_scores[[#This Row],[Total_Score]]/7</f>
        <v>68</v>
      </c>
      <c r="T1692" s="3" t="str" cm="1">
        <f t="array" ref="T1692">_xlfn.IFS(student_scores[[#This Row],[weekly_self_study_hours]]&lt;=5,   "0 - 5", student_scores[[#This Row],[weekly_self_study_hours]]&lt;=10,  "6 - 10", student_scores[[#This Row],[weekly_self_study_hours]]&lt;=20,  "11 - 20",student_scores[[#This Row],[weekly_self_study_hours]]&lt;=30, "21 - 30",TRUE, "31+")</f>
        <v>0 - 5</v>
      </c>
      <c r="U1692" t="str" cm="1">
        <f t="array" ref="U1692">_xlfn.IFS(student_scores[[#This Row],[absence_days]]=0,"0", student_scores[[#This Row],[absence_days]]&lt;=3,"1-3", student_scores[[#This Row],[absence_days]]&lt;=6,"4-6", TRUE,"7-10")</f>
        <v>7-10</v>
      </c>
      <c r="V1692" t="str">
        <f>IF(student_scores[[#This Row],[Total_Score]] &gt;= _xlfn.PERCENTILE.INC(student_scores[Total_Score], 0.8), "Yes", "No")</f>
        <v>No</v>
      </c>
    </row>
    <row r="1693" spans="1:22" x14ac:dyDescent="0.35">
      <c r="A1693">
        <v>1692</v>
      </c>
      <c r="B1693" t="s">
        <v>826</v>
      </c>
      <c r="C1693" t="s">
        <v>146</v>
      </c>
      <c r="D1693" t="s">
        <v>2773</v>
      </c>
      <c r="E1693" t="s">
        <v>20</v>
      </c>
      <c r="F1693" t="b">
        <v>0</v>
      </c>
      <c r="G1693">
        <v>8</v>
      </c>
      <c r="H1693" t="b">
        <v>0</v>
      </c>
      <c r="I1693">
        <v>0</v>
      </c>
      <c r="J1693" t="s">
        <v>64</v>
      </c>
      <c r="K1693">
        <v>77</v>
      </c>
      <c r="L1693">
        <v>71</v>
      </c>
      <c r="M1693">
        <v>68</v>
      </c>
      <c r="N1693">
        <v>53</v>
      </c>
      <c r="O1693">
        <v>70</v>
      </c>
      <c r="P1693">
        <v>72</v>
      </c>
      <c r="Q1693">
        <v>69</v>
      </c>
      <c r="R1693">
        <f>SUM(student_scores[[#This Row],[math_score]:[geography_score]])</f>
        <v>480</v>
      </c>
      <c r="S1693" s="3">
        <f>student_scores[[#This Row],[Total_Score]]/7</f>
        <v>68.571428571428569</v>
      </c>
      <c r="T1693" s="3" t="str" cm="1">
        <f t="array" ref="T1693">_xlfn.IFS(student_scores[[#This Row],[weekly_self_study_hours]]&lt;=5,   "0 - 5", student_scores[[#This Row],[weekly_self_study_hours]]&lt;=10,  "6 - 10", student_scores[[#This Row],[weekly_self_study_hours]]&lt;=20,  "11 - 20",student_scores[[#This Row],[weekly_self_study_hours]]&lt;=30, "21 - 30",TRUE, "31+")</f>
        <v>0 - 5</v>
      </c>
      <c r="U1693" t="str" cm="1">
        <f t="array" ref="U1693">_xlfn.IFS(student_scores[[#This Row],[absence_days]]=0,"0", student_scores[[#This Row],[absence_days]]&lt;=3,"1-3", student_scores[[#This Row],[absence_days]]&lt;=6,"4-6", TRUE,"7-10")</f>
        <v>7-10</v>
      </c>
      <c r="V1693" t="str">
        <f>IF(student_scores[[#This Row],[Total_Score]] &gt;= _xlfn.PERCENTILE.INC(student_scores[Total_Score], 0.8), "Yes", "No")</f>
        <v>No</v>
      </c>
    </row>
    <row r="1694" spans="1:22" x14ac:dyDescent="0.35">
      <c r="A1694">
        <v>1693</v>
      </c>
      <c r="B1694" t="s">
        <v>269</v>
      </c>
      <c r="C1694" t="s">
        <v>332</v>
      </c>
      <c r="D1694" t="s">
        <v>2774</v>
      </c>
      <c r="E1694" t="s">
        <v>20</v>
      </c>
      <c r="F1694" t="b">
        <v>0</v>
      </c>
      <c r="G1694">
        <v>1</v>
      </c>
      <c r="H1694" t="b">
        <v>0</v>
      </c>
      <c r="I1694">
        <v>6</v>
      </c>
      <c r="J1694" t="s">
        <v>172</v>
      </c>
      <c r="K1694">
        <v>82</v>
      </c>
      <c r="L1694">
        <v>79</v>
      </c>
      <c r="M1694">
        <v>60</v>
      </c>
      <c r="N1694">
        <v>80</v>
      </c>
      <c r="O1694">
        <v>65</v>
      </c>
      <c r="P1694">
        <v>64</v>
      </c>
      <c r="Q1694">
        <v>71</v>
      </c>
      <c r="R1694">
        <f>SUM(student_scores[[#This Row],[math_score]:[geography_score]])</f>
        <v>501</v>
      </c>
      <c r="S1694" s="3">
        <f>student_scores[[#This Row],[Total_Score]]/7</f>
        <v>71.571428571428569</v>
      </c>
      <c r="T1694" s="3" t="str" cm="1">
        <f t="array" ref="T1694">_xlfn.IFS(student_scores[[#This Row],[weekly_self_study_hours]]&lt;=5,   "0 - 5", student_scores[[#This Row],[weekly_self_study_hours]]&lt;=10,  "6 - 10", student_scores[[#This Row],[weekly_self_study_hours]]&lt;=20,  "11 - 20",student_scores[[#This Row],[weekly_self_study_hours]]&lt;=30, "21 - 30",TRUE, "31+")</f>
        <v>6 - 10</v>
      </c>
      <c r="U1694" t="str" cm="1">
        <f t="array" ref="U1694">_xlfn.IFS(student_scores[[#This Row],[absence_days]]=0,"0", student_scores[[#This Row],[absence_days]]&lt;=3,"1-3", student_scores[[#This Row],[absence_days]]&lt;=6,"4-6", TRUE,"7-10")</f>
        <v>1-3</v>
      </c>
      <c r="V1694" t="str">
        <f>IF(student_scores[[#This Row],[Total_Score]] &gt;= _xlfn.PERCENTILE.INC(student_scores[Total_Score], 0.8), "Yes", "No")</f>
        <v>No</v>
      </c>
    </row>
    <row r="1695" spans="1:22" x14ac:dyDescent="0.35">
      <c r="A1695">
        <v>1694</v>
      </c>
      <c r="B1695" t="s">
        <v>1486</v>
      </c>
      <c r="C1695" t="s">
        <v>103</v>
      </c>
      <c r="D1695" t="s">
        <v>2775</v>
      </c>
      <c r="E1695" t="s">
        <v>20</v>
      </c>
      <c r="F1695" t="b">
        <v>0</v>
      </c>
      <c r="G1695">
        <v>6</v>
      </c>
      <c r="H1695" t="b">
        <v>0</v>
      </c>
      <c r="I1695">
        <v>5</v>
      </c>
      <c r="J1695" t="s">
        <v>34</v>
      </c>
      <c r="K1695">
        <v>81</v>
      </c>
      <c r="L1695">
        <v>97</v>
      </c>
      <c r="M1695">
        <v>88</v>
      </c>
      <c r="N1695">
        <v>81</v>
      </c>
      <c r="O1695">
        <v>63</v>
      </c>
      <c r="P1695">
        <v>88</v>
      </c>
      <c r="Q1695">
        <v>67</v>
      </c>
      <c r="R1695">
        <f>SUM(student_scores[[#This Row],[math_score]:[geography_score]])</f>
        <v>565</v>
      </c>
      <c r="S1695" s="3">
        <f>student_scores[[#This Row],[Total_Score]]/7</f>
        <v>80.714285714285708</v>
      </c>
      <c r="T1695" s="3" t="str" cm="1">
        <f t="array" ref="T1695">_xlfn.IFS(student_scores[[#This Row],[weekly_self_study_hours]]&lt;=5,   "0 - 5", student_scores[[#This Row],[weekly_self_study_hours]]&lt;=10,  "6 - 10", student_scores[[#This Row],[weekly_self_study_hours]]&lt;=20,  "11 - 20",student_scores[[#This Row],[weekly_self_study_hours]]&lt;=30, "21 - 30",TRUE, "31+")</f>
        <v>0 - 5</v>
      </c>
      <c r="U1695" t="str" cm="1">
        <f t="array" ref="U1695">_xlfn.IFS(student_scores[[#This Row],[absence_days]]=0,"0", student_scores[[#This Row],[absence_days]]&lt;=3,"1-3", student_scores[[#This Row],[absence_days]]&lt;=6,"4-6", TRUE,"7-10")</f>
        <v>4-6</v>
      </c>
      <c r="V1695" t="str">
        <f>IF(student_scores[[#This Row],[Total_Score]] &gt;= _xlfn.PERCENTILE.INC(student_scores[Total_Score], 0.8), "Yes", "No")</f>
        <v>No</v>
      </c>
    </row>
    <row r="1696" spans="1:22" x14ac:dyDescent="0.35">
      <c r="A1696">
        <v>1695</v>
      </c>
      <c r="B1696" t="s">
        <v>2132</v>
      </c>
      <c r="C1696" t="s">
        <v>2776</v>
      </c>
      <c r="D1696" t="s">
        <v>2777</v>
      </c>
      <c r="E1696" t="s">
        <v>20</v>
      </c>
      <c r="F1696" t="b">
        <v>0</v>
      </c>
      <c r="G1696">
        <v>0</v>
      </c>
      <c r="H1696" t="b">
        <v>0</v>
      </c>
      <c r="I1696">
        <v>16</v>
      </c>
      <c r="J1696" t="s">
        <v>44</v>
      </c>
      <c r="K1696">
        <v>99</v>
      </c>
      <c r="L1696">
        <v>70</v>
      </c>
      <c r="M1696">
        <v>86</v>
      </c>
      <c r="N1696">
        <v>61</v>
      </c>
      <c r="O1696">
        <v>70</v>
      </c>
      <c r="P1696">
        <v>90</v>
      </c>
      <c r="Q1696">
        <v>66</v>
      </c>
      <c r="R1696">
        <f>SUM(student_scores[[#This Row],[math_score]:[geography_score]])</f>
        <v>542</v>
      </c>
      <c r="S1696" s="3">
        <f>student_scores[[#This Row],[Total_Score]]/7</f>
        <v>77.428571428571431</v>
      </c>
      <c r="T1696" s="3" t="str" cm="1">
        <f t="array" ref="T1696">_xlfn.IFS(student_scores[[#This Row],[weekly_self_study_hours]]&lt;=5,   "0 - 5", student_scores[[#This Row],[weekly_self_study_hours]]&lt;=10,  "6 - 10", student_scores[[#This Row],[weekly_self_study_hours]]&lt;=20,  "11 - 20",student_scores[[#This Row],[weekly_self_study_hours]]&lt;=30, "21 - 30",TRUE, "31+")</f>
        <v>11 - 20</v>
      </c>
      <c r="U1696" t="str" cm="1">
        <f t="array" ref="U1696">_xlfn.IFS(student_scores[[#This Row],[absence_days]]=0,"0", student_scores[[#This Row],[absence_days]]&lt;=3,"1-3", student_scores[[#This Row],[absence_days]]&lt;=6,"4-6", TRUE,"7-10")</f>
        <v>0</v>
      </c>
      <c r="V1696" t="str">
        <f>IF(student_scores[[#This Row],[Total_Score]] &gt;= _xlfn.PERCENTILE.INC(student_scores[Total_Score], 0.8), "Yes", "No")</f>
        <v>No</v>
      </c>
    </row>
    <row r="1697" spans="1:22" x14ac:dyDescent="0.35">
      <c r="A1697">
        <v>1696</v>
      </c>
      <c r="B1697" t="s">
        <v>618</v>
      </c>
      <c r="C1697" t="s">
        <v>48</v>
      </c>
      <c r="D1697" t="s">
        <v>2778</v>
      </c>
      <c r="E1697" t="s">
        <v>20</v>
      </c>
      <c r="F1697" t="b">
        <v>0</v>
      </c>
      <c r="G1697">
        <v>5</v>
      </c>
      <c r="H1697" t="b">
        <v>1</v>
      </c>
      <c r="I1697">
        <v>4</v>
      </c>
      <c r="J1697" t="s">
        <v>224</v>
      </c>
      <c r="K1697">
        <v>87</v>
      </c>
      <c r="L1697">
        <v>77</v>
      </c>
      <c r="M1697">
        <v>64</v>
      </c>
      <c r="N1697">
        <v>84</v>
      </c>
      <c r="O1697">
        <v>84</v>
      </c>
      <c r="P1697">
        <v>94</v>
      </c>
      <c r="Q1697">
        <v>80</v>
      </c>
      <c r="R1697">
        <f>SUM(student_scores[[#This Row],[math_score]:[geography_score]])</f>
        <v>570</v>
      </c>
      <c r="S1697" s="3">
        <f>student_scores[[#This Row],[Total_Score]]/7</f>
        <v>81.428571428571431</v>
      </c>
      <c r="T1697" s="3" t="str" cm="1">
        <f t="array" ref="T1697">_xlfn.IFS(student_scores[[#This Row],[weekly_self_study_hours]]&lt;=5,   "0 - 5", student_scores[[#This Row],[weekly_self_study_hours]]&lt;=10,  "6 - 10", student_scores[[#This Row],[weekly_self_study_hours]]&lt;=20,  "11 - 20",student_scores[[#This Row],[weekly_self_study_hours]]&lt;=30, "21 - 30",TRUE, "31+")</f>
        <v>0 - 5</v>
      </c>
      <c r="U1697" t="str" cm="1">
        <f t="array" ref="U1697">_xlfn.IFS(student_scores[[#This Row],[absence_days]]=0,"0", student_scores[[#This Row],[absence_days]]&lt;=3,"1-3", student_scores[[#This Row],[absence_days]]&lt;=6,"4-6", TRUE,"7-10")</f>
        <v>4-6</v>
      </c>
      <c r="V1697" t="str">
        <f>IF(student_scores[[#This Row],[Total_Score]] &gt;= _xlfn.PERCENTILE.INC(student_scores[Total_Score], 0.8), "Yes", "No")</f>
        <v>No</v>
      </c>
    </row>
    <row r="1698" spans="1:22" x14ac:dyDescent="0.35">
      <c r="A1698">
        <v>1697</v>
      </c>
      <c r="B1698" t="s">
        <v>190</v>
      </c>
      <c r="C1698" t="s">
        <v>209</v>
      </c>
      <c r="D1698" t="s">
        <v>2779</v>
      </c>
      <c r="E1698" t="s">
        <v>25</v>
      </c>
      <c r="F1698" t="b">
        <v>1</v>
      </c>
      <c r="G1698">
        <v>8</v>
      </c>
      <c r="H1698" t="b">
        <v>0</v>
      </c>
      <c r="I1698">
        <v>2</v>
      </c>
      <c r="J1698" t="s">
        <v>64</v>
      </c>
      <c r="K1698">
        <v>94</v>
      </c>
      <c r="L1698">
        <v>62</v>
      </c>
      <c r="M1698">
        <v>100</v>
      </c>
      <c r="N1698">
        <v>87</v>
      </c>
      <c r="O1698">
        <v>91</v>
      </c>
      <c r="P1698">
        <v>89</v>
      </c>
      <c r="Q1698">
        <v>93</v>
      </c>
      <c r="R1698">
        <f>SUM(student_scores[[#This Row],[math_score]:[geography_score]])</f>
        <v>616</v>
      </c>
      <c r="S1698" s="3">
        <f>student_scores[[#This Row],[Total_Score]]/7</f>
        <v>88</v>
      </c>
      <c r="T1698" s="3" t="str" cm="1">
        <f t="array" ref="T1698">_xlfn.IFS(student_scores[[#This Row],[weekly_self_study_hours]]&lt;=5,   "0 - 5", student_scores[[#This Row],[weekly_self_study_hours]]&lt;=10,  "6 - 10", student_scores[[#This Row],[weekly_self_study_hours]]&lt;=20,  "11 - 20",student_scores[[#This Row],[weekly_self_study_hours]]&lt;=30, "21 - 30",TRUE, "31+")</f>
        <v>0 - 5</v>
      </c>
      <c r="U1698" t="str" cm="1">
        <f t="array" ref="U1698">_xlfn.IFS(student_scores[[#This Row],[absence_days]]=0,"0", student_scores[[#This Row],[absence_days]]&lt;=3,"1-3", student_scores[[#This Row],[absence_days]]&lt;=6,"4-6", TRUE,"7-10")</f>
        <v>7-10</v>
      </c>
      <c r="V1698" t="str">
        <f>IF(student_scores[[#This Row],[Total_Score]] &gt;= _xlfn.PERCENTILE.INC(student_scores[Total_Score], 0.8), "Yes", "No")</f>
        <v>Yes</v>
      </c>
    </row>
    <row r="1699" spans="1:22" x14ac:dyDescent="0.35">
      <c r="A1699">
        <v>1698</v>
      </c>
      <c r="B1699" t="s">
        <v>410</v>
      </c>
      <c r="C1699" t="s">
        <v>591</v>
      </c>
      <c r="D1699" t="s">
        <v>2780</v>
      </c>
      <c r="E1699" t="s">
        <v>20</v>
      </c>
      <c r="F1699" t="b">
        <v>0</v>
      </c>
      <c r="G1699">
        <v>2</v>
      </c>
      <c r="H1699" t="b">
        <v>0</v>
      </c>
      <c r="I1699">
        <v>35</v>
      </c>
      <c r="J1699" t="s">
        <v>38</v>
      </c>
      <c r="K1699">
        <v>98</v>
      </c>
      <c r="L1699">
        <v>92</v>
      </c>
      <c r="M1699">
        <v>91</v>
      </c>
      <c r="N1699">
        <v>89</v>
      </c>
      <c r="O1699">
        <v>95</v>
      </c>
      <c r="P1699">
        <v>92</v>
      </c>
      <c r="Q1699">
        <v>90</v>
      </c>
      <c r="R1699">
        <f>SUM(student_scores[[#This Row],[math_score]:[geography_score]])</f>
        <v>647</v>
      </c>
      <c r="S1699" s="3">
        <f>student_scores[[#This Row],[Total_Score]]/7</f>
        <v>92.428571428571431</v>
      </c>
      <c r="T1699" s="3" t="str" cm="1">
        <f t="array" ref="T1699">_xlfn.IFS(student_scores[[#This Row],[weekly_self_study_hours]]&lt;=5,   "0 - 5", student_scores[[#This Row],[weekly_self_study_hours]]&lt;=10,  "6 - 10", student_scores[[#This Row],[weekly_self_study_hours]]&lt;=20,  "11 - 20",student_scores[[#This Row],[weekly_self_study_hours]]&lt;=30, "21 - 30",TRUE, "31+")</f>
        <v>31+</v>
      </c>
      <c r="U1699" t="str" cm="1">
        <f t="array" ref="U1699">_xlfn.IFS(student_scores[[#This Row],[absence_days]]=0,"0", student_scores[[#This Row],[absence_days]]&lt;=3,"1-3", student_scores[[#This Row],[absence_days]]&lt;=6,"4-6", TRUE,"7-10")</f>
        <v>1-3</v>
      </c>
      <c r="V1699" t="str">
        <f>IF(student_scores[[#This Row],[Total_Score]] &gt;= _xlfn.PERCENTILE.INC(student_scores[Total_Score], 0.8), "Yes", "No")</f>
        <v>Yes</v>
      </c>
    </row>
    <row r="1700" spans="1:22" x14ac:dyDescent="0.35">
      <c r="A1700">
        <v>1699</v>
      </c>
      <c r="B1700" t="s">
        <v>68</v>
      </c>
      <c r="C1700" t="s">
        <v>2718</v>
      </c>
      <c r="D1700" t="s">
        <v>2781</v>
      </c>
      <c r="E1700" t="s">
        <v>25</v>
      </c>
      <c r="F1700" t="b">
        <v>0</v>
      </c>
      <c r="G1700">
        <v>2</v>
      </c>
      <c r="H1700" t="b">
        <v>1</v>
      </c>
      <c r="I1700">
        <v>34</v>
      </c>
      <c r="J1700" t="s">
        <v>21</v>
      </c>
      <c r="K1700">
        <v>97</v>
      </c>
      <c r="L1700">
        <v>89</v>
      </c>
      <c r="M1700">
        <v>76</v>
      </c>
      <c r="N1700">
        <v>61</v>
      </c>
      <c r="O1700">
        <v>91</v>
      </c>
      <c r="P1700">
        <v>91</v>
      </c>
      <c r="Q1700">
        <v>70</v>
      </c>
      <c r="R1700">
        <f>SUM(student_scores[[#This Row],[math_score]:[geography_score]])</f>
        <v>575</v>
      </c>
      <c r="S1700" s="3">
        <f>student_scores[[#This Row],[Total_Score]]/7</f>
        <v>82.142857142857139</v>
      </c>
      <c r="T1700" s="3" t="str" cm="1">
        <f t="array" ref="T1700">_xlfn.IFS(student_scores[[#This Row],[weekly_self_study_hours]]&lt;=5,   "0 - 5", student_scores[[#This Row],[weekly_self_study_hours]]&lt;=10,  "6 - 10", student_scores[[#This Row],[weekly_self_study_hours]]&lt;=20,  "11 - 20",student_scores[[#This Row],[weekly_self_study_hours]]&lt;=30, "21 - 30",TRUE, "31+")</f>
        <v>31+</v>
      </c>
      <c r="U1700" t="str" cm="1">
        <f t="array" ref="U1700">_xlfn.IFS(student_scores[[#This Row],[absence_days]]=0,"0", student_scores[[#This Row],[absence_days]]&lt;=3,"1-3", student_scores[[#This Row],[absence_days]]&lt;=6,"4-6", TRUE,"7-10")</f>
        <v>1-3</v>
      </c>
      <c r="V1700" t="str">
        <f>IF(student_scores[[#This Row],[Total_Score]] &gt;= _xlfn.PERCENTILE.INC(student_scores[Total_Score], 0.8), "Yes", "No")</f>
        <v>No</v>
      </c>
    </row>
    <row r="1701" spans="1:22" x14ac:dyDescent="0.35">
      <c r="A1701">
        <v>1700</v>
      </c>
      <c r="B1701" t="s">
        <v>845</v>
      </c>
      <c r="C1701" t="s">
        <v>1463</v>
      </c>
      <c r="D1701" t="s">
        <v>2782</v>
      </c>
      <c r="E1701" t="s">
        <v>25</v>
      </c>
      <c r="F1701" t="b">
        <v>0</v>
      </c>
      <c r="G1701">
        <v>1</v>
      </c>
      <c r="H1701" t="b">
        <v>0</v>
      </c>
      <c r="I1701">
        <v>7</v>
      </c>
      <c r="J1701" t="s">
        <v>123</v>
      </c>
      <c r="K1701">
        <v>83</v>
      </c>
      <c r="L1701">
        <v>81</v>
      </c>
      <c r="M1701">
        <v>70</v>
      </c>
      <c r="N1701">
        <v>90</v>
      </c>
      <c r="O1701">
        <v>73</v>
      </c>
      <c r="P1701">
        <v>89</v>
      </c>
      <c r="Q1701">
        <v>87</v>
      </c>
      <c r="R1701">
        <f>SUM(student_scores[[#This Row],[math_score]:[geography_score]])</f>
        <v>573</v>
      </c>
      <c r="S1701" s="3">
        <f>student_scores[[#This Row],[Total_Score]]/7</f>
        <v>81.857142857142861</v>
      </c>
      <c r="T1701" s="3" t="str" cm="1">
        <f t="array" ref="T1701">_xlfn.IFS(student_scores[[#This Row],[weekly_self_study_hours]]&lt;=5,   "0 - 5", student_scores[[#This Row],[weekly_self_study_hours]]&lt;=10,  "6 - 10", student_scores[[#This Row],[weekly_self_study_hours]]&lt;=20,  "11 - 20",student_scores[[#This Row],[weekly_self_study_hours]]&lt;=30, "21 - 30",TRUE, "31+")</f>
        <v>6 - 10</v>
      </c>
      <c r="U1701" t="str" cm="1">
        <f t="array" ref="U1701">_xlfn.IFS(student_scores[[#This Row],[absence_days]]=0,"0", student_scores[[#This Row],[absence_days]]&lt;=3,"1-3", student_scores[[#This Row],[absence_days]]&lt;=6,"4-6", TRUE,"7-10")</f>
        <v>1-3</v>
      </c>
      <c r="V1701" t="str">
        <f>IF(student_scores[[#This Row],[Total_Score]] &gt;= _xlfn.PERCENTILE.INC(student_scores[Total_Score], 0.8), "Yes", "No")</f>
        <v>No</v>
      </c>
    </row>
    <row r="1702" spans="1:22" x14ac:dyDescent="0.35">
      <c r="A1702">
        <v>1701</v>
      </c>
      <c r="B1702" t="s">
        <v>818</v>
      </c>
      <c r="C1702" t="s">
        <v>352</v>
      </c>
      <c r="D1702" t="s">
        <v>2783</v>
      </c>
      <c r="E1702" t="s">
        <v>20</v>
      </c>
      <c r="F1702" t="b">
        <v>0</v>
      </c>
      <c r="G1702">
        <v>0</v>
      </c>
      <c r="H1702" t="b">
        <v>0</v>
      </c>
      <c r="I1702">
        <v>14</v>
      </c>
      <c r="J1702" t="s">
        <v>138</v>
      </c>
      <c r="K1702">
        <v>92</v>
      </c>
      <c r="L1702">
        <v>92</v>
      </c>
      <c r="M1702">
        <v>92</v>
      </c>
      <c r="N1702">
        <v>66</v>
      </c>
      <c r="O1702">
        <v>90</v>
      </c>
      <c r="P1702">
        <v>68</v>
      </c>
      <c r="Q1702">
        <v>66</v>
      </c>
      <c r="R1702">
        <f>SUM(student_scores[[#This Row],[math_score]:[geography_score]])</f>
        <v>566</v>
      </c>
      <c r="S1702" s="3">
        <f>student_scores[[#This Row],[Total_Score]]/7</f>
        <v>80.857142857142861</v>
      </c>
      <c r="T1702" s="3" t="str" cm="1">
        <f t="array" ref="T1702">_xlfn.IFS(student_scores[[#This Row],[weekly_self_study_hours]]&lt;=5,   "0 - 5", student_scores[[#This Row],[weekly_self_study_hours]]&lt;=10,  "6 - 10", student_scores[[#This Row],[weekly_self_study_hours]]&lt;=20,  "11 - 20",student_scores[[#This Row],[weekly_self_study_hours]]&lt;=30, "21 - 30",TRUE, "31+")</f>
        <v>11 - 20</v>
      </c>
      <c r="U1702" t="str" cm="1">
        <f t="array" ref="U1702">_xlfn.IFS(student_scores[[#This Row],[absence_days]]=0,"0", student_scores[[#This Row],[absence_days]]&lt;=3,"1-3", student_scores[[#This Row],[absence_days]]&lt;=6,"4-6", TRUE,"7-10")</f>
        <v>0</v>
      </c>
      <c r="V1702" t="str">
        <f>IF(student_scores[[#This Row],[Total_Score]] &gt;= _xlfn.PERCENTILE.INC(student_scores[Total_Score], 0.8), "Yes", "No")</f>
        <v>No</v>
      </c>
    </row>
    <row r="1703" spans="1:22" x14ac:dyDescent="0.35">
      <c r="A1703">
        <v>1702</v>
      </c>
      <c r="B1703" t="s">
        <v>666</v>
      </c>
      <c r="C1703" t="s">
        <v>2784</v>
      </c>
      <c r="D1703" t="s">
        <v>2785</v>
      </c>
      <c r="E1703" t="s">
        <v>25</v>
      </c>
      <c r="F1703" t="b">
        <v>0</v>
      </c>
      <c r="G1703">
        <v>1</v>
      </c>
      <c r="H1703" t="b">
        <v>0</v>
      </c>
      <c r="I1703">
        <v>24</v>
      </c>
      <c r="J1703" t="s">
        <v>26</v>
      </c>
      <c r="K1703">
        <v>100</v>
      </c>
      <c r="L1703">
        <v>74</v>
      </c>
      <c r="M1703">
        <v>80</v>
      </c>
      <c r="N1703">
        <v>84</v>
      </c>
      <c r="O1703">
        <v>85</v>
      </c>
      <c r="P1703">
        <v>82</v>
      </c>
      <c r="Q1703">
        <v>74</v>
      </c>
      <c r="R1703">
        <f>SUM(student_scores[[#This Row],[math_score]:[geography_score]])</f>
        <v>579</v>
      </c>
      <c r="S1703" s="3">
        <f>student_scores[[#This Row],[Total_Score]]/7</f>
        <v>82.714285714285708</v>
      </c>
      <c r="T1703" s="3" t="str" cm="1">
        <f t="array" ref="T1703">_xlfn.IFS(student_scores[[#This Row],[weekly_self_study_hours]]&lt;=5,   "0 - 5", student_scores[[#This Row],[weekly_self_study_hours]]&lt;=10,  "6 - 10", student_scores[[#This Row],[weekly_self_study_hours]]&lt;=20,  "11 - 20",student_scores[[#This Row],[weekly_self_study_hours]]&lt;=30, "21 - 30",TRUE, "31+")</f>
        <v>21 - 30</v>
      </c>
      <c r="U1703" t="str" cm="1">
        <f t="array" ref="U1703">_xlfn.IFS(student_scores[[#This Row],[absence_days]]=0,"0", student_scores[[#This Row],[absence_days]]&lt;=3,"1-3", student_scores[[#This Row],[absence_days]]&lt;=6,"4-6", TRUE,"7-10")</f>
        <v>1-3</v>
      </c>
      <c r="V1703" t="str">
        <f>IF(student_scores[[#This Row],[Total_Score]] &gt;= _xlfn.PERCENTILE.INC(student_scores[Total_Score], 0.8), "Yes", "No")</f>
        <v>No</v>
      </c>
    </row>
    <row r="1704" spans="1:22" x14ac:dyDescent="0.35">
      <c r="A1704">
        <v>1703</v>
      </c>
      <c r="B1704" t="s">
        <v>593</v>
      </c>
      <c r="C1704" t="s">
        <v>200</v>
      </c>
      <c r="D1704" t="s">
        <v>2786</v>
      </c>
      <c r="E1704" t="s">
        <v>25</v>
      </c>
      <c r="F1704" t="b">
        <v>0</v>
      </c>
      <c r="G1704">
        <v>4</v>
      </c>
      <c r="H1704" t="b">
        <v>0</v>
      </c>
      <c r="I1704">
        <v>25</v>
      </c>
      <c r="J1704" t="s">
        <v>44</v>
      </c>
      <c r="K1704">
        <v>86</v>
      </c>
      <c r="L1704">
        <v>69</v>
      </c>
      <c r="M1704">
        <v>79</v>
      </c>
      <c r="N1704">
        <v>85</v>
      </c>
      <c r="O1704">
        <v>63</v>
      </c>
      <c r="P1704">
        <v>82</v>
      </c>
      <c r="Q1704">
        <v>77</v>
      </c>
      <c r="R1704">
        <f>SUM(student_scores[[#This Row],[math_score]:[geography_score]])</f>
        <v>541</v>
      </c>
      <c r="S1704" s="3">
        <f>student_scores[[#This Row],[Total_Score]]/7</f>
        <v>77.285714285714292</v>
      </c>
      <c r="T1704" s="3" t="str" cm="1">
        <f t="array" ref="T1704">_xlfn.IFS(student_scores[[#This Row],[weekly_self_study_hours]]&lt;=5,   "0 - 5", student_scores[[#This Row],[weekly_self_study_hours]]&lt;=10,  "6 - 10", student_scores[[#This Row],[weekly_self_study_hours]]&lt;=20,  "11 - 20",student_scores[[#This Row],[weekly_self_study_hours]]&lt;=30, "21 - 30",TRUE, "31+")</f>
        <v>21 - 30</v>
      </c>
      <c r="U1704" t="str" cm="1">
        <f t="array" ref="U1704">_xlfn.IFS(student_scores[[#This Row],[absence_days]]=0,"0", student_scores[[#This Row],[absence_days]]&lt;=3,"1-3", student_scores[[#This Row],[absence_days]]&lt;=6,"4-6", TRUE,"7-10")</f>
        <v>4-6</v>
      </c>
      <c r="V1704" t="str">
        <f>IF(student_scores[[#This Row],[Total_Score]] &gt;= _xlfn.PERCENTILE.INC(student_scores[Total_Score], 0.8), "Yes", "No")</f>
        <v>No</v>
      </c>
    </row>
    <row r="1705" spans="1:22" x14ac:dyDescent="0.35">
      <c r="A1705">
        <v>1704</v>
      </c>
      <c r="B1705" t="s">
        <v>758</v>
      </c>
      <c r="C1705" t="s">
        <v>103</v>
      </c>
      <c r="D1705" t="s">
        <v>2787</v>
      </c>
      <c r="E1705" t="s">
        <v>20</v>
      </c>
      <c r="F1705" t="b">
        <v>0</v>
      </c>
      <c r="G1705">
        <v>8</v>
      </c>
      <c r="H1705" t="b">
        <v>0</v>
      </c>
      <c r="I1705">
        <v>3</v>
      </c>
      <c r="J1705" t="s">
        <v>64</v>
      </c>
      <c r="K1705">
        <v>48</v>
      </c>
      <c r="L1705">
        <v>80</v>
      </c>
      <c r="M1705">
        <v>73</v>
      </c>
      <c r="N1705">
        <v>67</v>
      </c>
      <c r="O1705">
        <v>84</v>
      </c>
      <c r="P1705">
        <v>99</v>
      </c>
      <c r="Q1705">
        <v>83</v>
      </c>
      <c r="R1705">
        <f>SUM(student_scores[[#This Row],[math_score]:[geography_score]])</f>
        <v>534</v>
      </c>
      <c r="S1705" s="3">
        <f>student_scores[[#This Row],[Total_Score]]/7</f>
        <v>76.285714285714292</v>
      </c>
      <c r="T1705" s="3" t="str" cm="1">
        <f t="array" ref="T1705">_xlfn.IFS(student_scores[[#This Row],[weekly_self_study_hours]]&lt;=5,   "0 - 5", student_scores[[#This Row],[weekly_self_study_hours]]&lt;=10,  "6 - 10", student_scores[[#This Row],[weekly_self_study_hours]]&lt;=20,  "11 - 20",student_scores[[#This Row],[weekly_self_study_hours]]&lt;=30, "21 - 30",TRUE, "31+")</f>
        <v>0 - 5</v>
      </c>
      <c r="U1705" t="str" cm="1">
        <f t="array" ref="U1705">_xlfn.IFS(student_scores[[#This Row],[absence_days]]=0,"0", student_scores[[#This Row],[absence_days]]&lt;=3,"1-3", student_scores[[#This Row],[absence_days]]&lt;=6,"4-6", TRUE,"7-10")</f>
        <v>7-10</v>
      </c>
      <c r="V1705" t="str">
        <f>IF(student_scores[[#This Row],[Total_Score]] &gt;= _xlfn.PERCENTILE.INC(student_scores[Total_Score], 0.8), "Yes", "No")</f>
        <v>No</v>
      </c>
    </row>
    <row r="1706" spans="1:22" x14ac:dyDescent="0.35">
      <c r="A1706">
        <v>1705</v>
      </c>
      <c r="B1706" t="s">
        <v>2788</v>
      </c>
      <c r="C1706" t="s">
        <v>623</v>
      </c>
      <c r="D1706" t="s">
        <v>2789</v>
      </c>
      <c r="E1706" t="s">
        <v>25</v>
      </c>
      <c r="F1706" t="b">
        <v>1</v>
      </c>
      <c r="G1706">
        <v>7</v>
      </c>
      <c r="H1706" t="b">
        <v>1</v>
      </c>
      <c r="I1706">
        <v>0</v>
      </c>
      <c r="J1706" t="s">
        <v>64</v>
      </c>
      <c r="K1706">
        <v>69</v>
      </c>
      <c r="L1706">
        <v>56</v>
      </c>
      <c r="M1706">
        <v>71</v>
      </c>
      <c r="N1706">
        <v>84</v>
      </c>
      <c r="O1706">
        <v>52</v>
      </c>
      <c r="P1706">
        <v>71</v>
      </c>
      <c r="Q1706">
        <v>88</v>
      </c>
      <c r="R1706">
        <f>SUM(student_scores[[#This Row],[math_score]:[geography_score]])</f>
        <v>491</v>
      </c>
      <c r="S1706" s="3">
        <f>student_scores[[#This Row],[Total_Score]]/7</f>
        <v>70.142857142857139</v>
      </c>
      <c r="T1706" s="3" t="str" cm="1">
        <f t="array" ref="T1706">_xlfn.IFS(student_scores[[#This Row],[weekly_self_study_hours]]&lt;=5,   "0 - 5", student_scores[[#This Row],[weekly_self_study_hours]]&lt;=10,  "6 - 10", student_scores[[#This Row],[weekly_self_study_hours]]&lt;=20,  "11 - 20",student_scores[[#This Row],[weekly_self_study_hours]]&lt;=30, "21 - 30",TRUE, "31+")</f>
        <v>0 - 5</v>
      </c>
      <c r="U1706" t="str" cm="1">
        <f t="array" ref="U1706">_xlfn.IFS(student_scores[[#This Row],[absence_days]]=0,"0", student_scores[[#This Row],[absence_days]]&lt;=3,"1-3", student_scores[[#This Row],[absence_days]]&lt;=6,"4-6", TRUE,"7-10")</f>
        <v>7-10</v>
      </c>
      <c r="V1706" t="str">
        <f>IF(student_scores[[#This Row],[Total_Score]] &gt;= _xlfn.PERCENTILE.INC(student_scores[Total_Score], 0.8), "Yes", "No")</f>
        <v>No</v>
      </c>
    </row>
    <row r="1707" spans="1:22" x14ac:dyDescent="0.35">
      <c r="A1707">
        <v>1706</v>
      </c>
      <c r="B1707" t="s">
        <v>919</v>
      </c>
      <c r="C1707" t="s">
        <v>118</v>
      </c>
      <c r="D1707" t="s">
        <v>2790</v>
      </c>
      <c r="E1707" t="s">
        <v>25</v>
      </c>
      <c r="F1707" t="b">
        <v>0</v>
      </c>
      <c r="G1707">
        <v>2</v>
      </c>
      <c r="H1707" t="b">
        <v>0</v>
      </c>
      <c r="I1707">
        <v>33</v>
      </c>
      <c r="J1707" t="s">
        <v>38</v>
      </c>
      <c r="K1707">
        <v>73</v>
      </c>
      <c r="L1707">
        <v>84</v>
      </c>
      <c r="M1707">
        <v>97</v>
      </c>
      <c r="N1707">
        <v>64</v>
      </c>
      <c r="O1707">
        <v>87</v>
      </c>
      <c r="P1707">
        <v>82</v>
      </c>
      <c r="Q1707">
        <v>70</v>
      </c>
      <c r="R1707">
        <f>SUM(student_scores[[#This Row],[math_score]:[geography_score]])</f>
        <v>557</v>
      </c>
      <c r="S1707" s="3">
        <f>student_scores[[#This Row],[Total_Score]]/7</f>
        <v>79.571428571428569</v>
      </c>
      <c r="T1707" s="3" t="str" cm="1">
        <f t="array" ref="T1707">_xlfn.IFS(student_scores[[#This Row],[weekly_self_study_hours]]&lt;=5,   "0 - 5", student_scores[[#This Row],[weekly_self_study_hours]]&lt;=10,  "6 - 10", student_scores[[#This Row],[weekly_self_study_hours]]&lt;=20,  "11 - 20",student_scores[[#This Row],[weekly_self_study_hours]]&lt;=30, "21 - 30",TRUE, "31+")</f>
        <v>31+</v>
      </c>
      <c r="U1707" t="str" cm="1">
        <f t="array" ref="U1707">_xlfn.IFS(student_scores[[#This Row],[absence_days]]=0,"0", student_scores[[#This Row],[absence_days]]&lt;=3,"1-3", student_scores[[#This Row],[absence_days]]&lt;=6,"4-6", TRUE,"7-10")</f>
        <v>1-3</v>
      </c>
      <c r="V1707" t="str">
        <f>IF(student_scores[[#This Row],[Total_Score]] &gt;= _xlfn.PERCENTILE.INC(student_scores[Total_Score], 0.8), "Yes", "No")</f>
        <v>No</v>
      </c>
    </row>
    <row r="1708" spans="1:22" x14ac:dyDescent="0.35">
      <c r="A1708">
        <v>1707</v>
      </c>
      <c r="B1708" t="s">
        <v>160</v>
      </c>
      <c r="C1708" t="s">
        <v>1664</v>
      </c>
      <c r="D1708" t="s">
        <v>2791</v>
      </c>
      <c r="E1708" t="s">
        <v>20</v>
      </c>
      <c r="F1708" t="b">
        <v>0</v>
      </c>
      <c r="G1708">
        <v>3</v>
      </c>
      <c r="H1708" t="b">
        <v>0</v>
      </c>
      <c r="I1708">
        <v>12</v>
      </c>
      <c r="J1708" t="s">
        <v>38</v>
      </c>
      <c r="K1708">
        <v>82</v>
      </c>
      <c r="L1708">
        <v>81</v>
      </c>
      <c r="M1708">
        <v>78</v>
      </c>
      <c r="N1708">
        <v>95</v>
      </c>
      <c r="O1708">
        <v>60</v>
      </c>
      <c r="P1708">
        <v>88</v>
      </c>
      <c r="Q1708">
        <v>72</v>
      </c>
      <c r="R1708">
        <f>SUM(student_scores[[#This Row],[math_score]:[geography_score]])</f>
        <v>556</v>
      </c>
      <c r="S1708" s="3">
        <f>student_scores[[#This Row],[Total_Score]]/7</f>
        <v>79.428571428571431</v>
      </c>
      <c r="T1708" s="3" t="str" cm="1">
        <f t="array" ref="T1708">_xlfn.IFS(student_scores[[#This Row],[weekly_self_study_hours]]&lt;=5,   "0 - 5", student_scores[[#This Row],[weekly_self_study_hours]]&lt;=10,  "6 - 10", student_scores[[#This Row],[weekly_self_study_hours]]&lt;=20,  "11 - 20",student_scores[[#This Row],[weekly_self_study_hours]]&lt;=30, "21 - 30",TRUE, "31+")</f>
        <v>11 - 20</v>
      </c>
      <c r="U1708" t="str" cm="1">
        <f t="array" ref="U1708">_xlfn.IFS(student_scores[[#This Row],[absence_days]]=0,"0", student_scores[[#This Row],[absence_days]]&lt;=3,"1-3", student_scores[[#This Row],[absence_days]]&lt;=6,"4-6", TRUE,"7-10")</f>
        <v>1-3</v>
      </c>
      <c r="V1708" t="str">
        <f>IF(student_scores[[#This Row],[Total_Score]] &gt;= _xlfn.PERCENTILE.INC(student_scores[Total_Score], 0.8), "Yes", "No")</f>
        <v>No</v>
      </c>
    </row>
    <row r="1709" spans="1:22" x14ac:dyDescent="0.35">
      <c r="A1709">
        <v>1708</v>
      </c>
      <c r="B1709" t="s">
        <v>465</v>
      </c>
      <c r="C1709" t="s">
        <v>2792</v>
      </c>
      <c r="D1709" t="s">
        <v>2793</v>
      </c>
      <c r="E1709" t="s">
        <v>25</v>
      </c>
      <c r="F1709" t="b">
        <v>0</v>
      </c>
      <c r="G1709">
        <v>3</v>
      </c>
      <c r="H1709" t="b">
        <v>1</v>
      </c>
      <c r="I1709">
        <v>1</v>
      </c>
      <c r="J1709" t="s">
        <v>34</v>
      </c>
      <c r="K1709">
        <v>90</v>
      </c>
      <c r="L1709">
        <v>96</v>
      </c>
      <c r="M1709">
        <v>89</v>
      </c>
      <c r="N1709">
        <v>88</v>
      </c>
      <c r="O1709">
        <v>94</v>
      </c>
      <c r="P1709">
        <v>73</v>
      </c>
      <c r="Q1709">
        <v>77</v>
      </c>
      <c r="R1709">
        <f>SUM(student_scores[[#This Row],[math_score]:[geography_score]])</f>
        <v>607</v>
      </c>
      <c r="S1709" s="3">
        <f>student_scores[[#This Row],[Total_Score]]/7</f>
        <v>86.714285714285708</v>
      </c>
      <c r="T1709" s="3" t="str" cm="1">
        <f t="array" ref="T1709">_xlfn.IFS(student_scores[[#This Row],[weekly_self_study_hours]]&lt;=5,   "0 - 5", student_scores[[#This Row],[weekly_self_study_hours]]&lt;=10,  "6 - 10", student_scores[[#This Row],[weekly_self_study_hours]]&lt;=20,  "11 - 20",student_scores[[#This Row],[weekly_self_study_hours]]&lt;=30, "21 - 30",TRUE, "31+")</f>
        <v>0 - 5</v>
      </c>
      <c r="U1709" t="str" cm="1">
        <f t="array" ref="U1709">_xlfn.IFS(student_scores[[#This Row],[absence_days]]=0,"0", student_scores[[#This Row],[absence_days]]&lt;=3,"1-3", student_scores[[#This Row],[absence_days]]&lt;=6,"4-6", TRUE,"7-10")</f>
        <v>1-3</v>
      </c>
      <c r="V1709" t="str">
        <f>IF(student_scores[[#This Row],[Total_Score]] &gt;= _xlfn.PERCENTILE.INC(student_scores[Total_Score], 0.8), "Yes", "No")</f>
        <v>Yes</v>
      </c>
    </row>
    <row r="1710" spans="1:22" x14ac:dyDescent="0.35">
      <c r="A1710">
        <v>1709</v>
      </c>
      <c r="B1710" t="s">
        <v>403</v>
      </c>
      <c r="C1710" t="s">
        <v>352</v>
      </c>
      <c r="D1710" t="s">
        <v>2794</v>
      </c>
      <c r="E1710" t="s">
        <v>20</v>
      </c>
      <c r="F1710" t="b">
        <v>0</v>
      </c>
      <c r="G1710">
        <v>5</v>
      </c>
      <c r="H1710" t="b">
        <v>1</v>
      </c>
      <c r="I1710">
        <v>19</v>
      </c>
      <c r="J1710" t="s">
        <v>172</v>
      </c>
      <c r="K1710">
        <v>85</v>
      </c>
      <c r="L1710">
        <v>66</v>
      </c>
      <c r="M1710">
        <v>61</v>
      </c>
      <c r="N1710">
        <v>85</v>
      </c>
      <c r="O1710">
        <v>75</v>
      </c>
      <c r="P1710">
        <v>94</v>
      </c>
      <c r="Q1710">
        <v>76</v>
      </c>
      <c r="R1710">
        <f>SUM(student_scores[[#This Row],[math_score]:[geography_score]])</f>
        <v>542</v>
      </c>
      <c r="S1710" s="3">
        <f>student_scores[[#This Row],[Total_Score]]/7</f>
        <v>77.428571428571431</v>
      </c>
      <c r="T1710" s="3" t="str" cm="1">
        <f t="array" ref="T1710">_xlfn.IFS(student_scores[[#This Row],[weekly_self_study_hours]]&lt;=5,   "0 - 5", student_scores[[#This Row],[weekly_self_study_hours]]&lt;=10,  "6 - 10", student_scores[[#This Row],[weekly_self_study_hours]]&lt;=20,  "11 - 20",student_scores[[#This Row],[weekly_self_study_hours]]&lt;=30, "21 - 30",TRUE, "31+")</f>
        <v>11 - 20</v>
      </c>
      <c r="U1710" t="str" cm="1">
        <f t="array" ref="U1710">_xlfn.IFS(student_scores[[#This Row],[absence_days]]=0,"0", student_scores[[#This Row],[absence_days]]&lt;=3,"1-3", student_scores[[#This Row],[absence_days]]&lt;=6,"4-6", TRUE,"7-10")</f>
        <v>4-6</v>
      </c>
      <c r="V1710" t="str">
        <f>IF(student_scores[[#This Row],[Total_Score]] &gt;= _xlfn.PERCENTILE.INC(student_scores[Total_Score], 0.8), "Yes", "No")</f>
        <v>No</v>
      </c>
    </row>
    <row r="1711" spans="1:22" x14ac:dyDescent="0.35">
      <c r="A1711">
        <v>1710</v>
      </c>
      <c r="B1711" t="s">
        <v>266</v>
      </c>
      <c r="C1711" t="s">
        <v>2795</v>
      </c>
      <c r="D1711" t="s">
        <v>2796</v>
      </c>
      <c r="E1711" t="s">
        <v>20</v>
      </c>
      <c r="F1711" t="b">
        <v>0</v>
      </c>
      <c r="G1711">
        <v>2</v>
      </c>
      <c r="H1711" t="b">
        <v>0</v>
      </c>
      <c r="I1711">
        <v>2</v>
      </c>
      <c r="J1711" t="s">
        <v>123</v>
      </c>
      <c r="K1711">
        <v>82</v>
      </c>
      <c r="L1711">
        <v>73</v>
      </c>
      <c r="M1711">
        <v>64</v>
      </c>
      <c r="N1711">
        <v>95</v>
      </c>
      <c r="O1711">
        <v>87</v>
      </c>
      <c r="P1711">
        <v>73</v>
      </c>
      <c r="Q1711">
        <v>99</v>
      </c>
      <c r="R1711">
        <f>SUM(student_scores[[#This Row],[math_score]:[geography_score]])</f>
        <v>573</v>
      </c>
      <c r="S1711" s="3">
        <f>student_scores[[#This Row],[Total_Score]]/7</f>
        <v>81.857142857142861</v>
      </c>
      <c r="T1711" s="3" t="str" cm="1">
        <f t="array" ref="T1711">_xlfn.IFS(student_scores[[#This Row],[weekly_self_study_hours]]&lt;=5,   "0 - 5", student_scores[[#This Row],[weekly_self_study_hours]]&lt;=10,  "6 - 10", student_scores[[#This Row],[weekly_self_study_hours]]&lt;=20,  "11 - 20",student_scores[[#This Row],[weekly_self_study_hours]]&lt;=30, "21 - 30",TRUE, "31+")</f>
        <v>0 - 5</v>
      </c>
      <c r="U1711" t="str" cm="1">
        <f t="array" ref="U1711">_xlfn.IFS(student_scores[[#This Row],[absence_days]]=0,"0", student_scores[[#This Row],[absence_days]]&lt;=3,"1-3", student_scores[[#This Row],[absence_days]]&lt;=6,"4-6", TRUE,"7-10")</f>
        <v>1-3</v>
      </c>
      <c r="V1711" t="str">
        <f>IF(student_scores[[#This Row],[Total_Score]] &gt;= _xlfn.PERCENTILE.INC(student_scores[Total_Score], 0.8), "Yes", "No")</f>
        <v>No</v>
      </c>
    </row>
    <row r="1712" spans="1:22" x14ac:dyDescent="0.35">
      <c r="A1712">
        <v>1711</v>
      </c>
      <c r="B1712" t="s">
        <v>1171</v>
      </c>
      <c r="C1712" t="s">
        <v>515</v>
      </c>
      <c r="D1712" t="s">
        <v>2797</v>
      </c>
      <c r="E1712" t="s">
        <v>20</v>
      </c>
      <c r="F1712" t="b">
        <v>0</v>
      </c>
      <c r="G1712">
        <v>4</v>
      </c>
      <c r="H1712" t="b">
        <v>0</v>
      </c>
      <c r="I1712">
        <v>3</v>
      </c>
      <c r="J1712" t="s">
        <v>159</v>
      </c>
      <c r="K1712">
        <v>80</v>
      </c>
      <c r="L1712">
        <v>61</v>
      </c>
      <c r="M1712">
        <v>96</v>
      </c>
      <c r="N1712">
        <v>89</v>
      </c>
      <c r="O1712">
        <v>96</v>
      </c>
      <c r="P1712">
        <v>61</v>
      </c>
      <c r="Q1712">
        <v>80</v>
      </c>
      <c r="R1712">
        <f>SUM(student_scores[[#This Row],[math_score]:[geography_score]])</f>
        <v>563</v>
      </c>
      <c r="S1712" s="3">
        <f>student_scores[[#This Row],[Total_Score]]/7</f>
        <v>80.428571428571431</v>
      </c>
      <c r="T1712" s="3" t="str" cm="1">
        <f t="array" ref="T1712">_xlfn.IFS(student_scores[[#This Row],[weekly_self_study_hours]]&lt;=5,   "0 - 5", student_scores[[#This Row],[weekly_self_study_hours]]&lt;=10,  "6 - 10", student_scores[[#This Row],[weekly_self_study_hours]]&lt;=20,  "11 - 20",student_scores[[#This Row],[weekly_self_study_hours]]&lt;=30, "21 - 30",TRUE, "31+")</f>
        <v>0 - 5</v>
      </c>
      <c r="U1712" t="str" cm="1">
        <f t="array" ref="U1712">_xlfn.IFS(student_scores[[#This Row],[absence_days]]=0,"0", student_scores[[#This Row],[absence_days]]&lt;=3,"1-3", student_scores[[#This Row],[absence_days]]&lt;=6,"4-6", TRUE,"7-10")</f>
        <v>4-6</v>
      </c>
      <c r="V1712" t="str">
        <f>IF(student_scores[[#This Row],[Total_Score]] &gt;= _xlfn.PERCENTILE.INC(student_scores[Total_Score], 0.8), "Yes", "No")</f>
        <v>No</v>
      </c>
    </row>
    <row r="1713" spans="1:22" x14ac:dyDescent="0.35">
      <c r="A1713">
        <v>1712</v>
      </c>
      <c r="B1713" t="s">
        <v>715</v>
      </c>
      <c r="C1713" t="s">
        <v>1244</v>
      </c>
      <c r="D1713" t="s">
        <v>2798</v>
      </c>
      <c r="E1713" t="s">
        <v>25</v>
      </c>
      <c r="F1713" t="b">
        <v>0</v>
      </c>
      <c r="G1713">
        <v>10</v>
      </c>
      <c r="H1713" t="b">
        <v>1</v>
      </c>
      <c r="I1713">
        <v>1</v>
      </c>
      <c r="J1713" t="s">
        <v>64</v>
      </c>
      <c r="K1713">
        <v>41</v>
      </c>
      <c r="L1713">
        <v>53</v>
      </c>
      <c r="M1713">
        <v>98</v>
      </c>
      <c r="N1713">
        <v>67</v>
      </c>
      <c r="O1713">
        <v>61</v>
      </c>
      <c r="P1713">
        <v>83</v>
      </c>
      <c r="Q1713">
        <v>97</v>
      </c>
      <c r="R1713">
        <f>SUM(student_scores[[#This Row],[math_score]:[geography_score]])</f>
        <v>500</v>
      </c>
      <c r="S1713" s="3">
        <f>student_scores[[#This Row],[Total_Score]]/7</f>
        <v>71.428571428571431</v>
      </c>
      <c r="T1713" s="3" t="str" cm="1">
        <f t="array" ref="T1713">_xlfn.IFS(student_scores[[#This Row],[weekly_self_study_hours]]&lt;=5,   "0 - 5", student_scores[[#This Row],[weekly_self_study_hours]]&lt;=10,  "6 - 10", student_scores[[#This Row],[weekly_self_study_hours]]&lt;=20,  "11 - 20",student_scores[[#This Row],[weekly_self_study_hours]]&lt;=30, "21 - 30",TRUE, "31+")</f>
        <v>0 - 5</v>
      </c>
      <c r="U1713" t="str" cm="1">
        <f t="array" ref="U1713">_xlfn.IFS(student_scores[[#This Row],[absence_days]]=0,"0", student_scores[[#This Row],[absence_days]]&lt;=3,"1-3", student_scores[[#This Row],[absence_days]]&lt;=6,"4-6", TRUE,"7-10")</f>
        <v>7-10</v>
      </c>
      <c r="V1713" t="str">
        <f>IF(student_scores[[#This Row],[Total_Score]] &gt;= _xlfn.PERCENTILE.INC(student_scores[Total_Score], 0.8), "Yes", "No")</f>
        <v>No</v>
      </c>
    </row>
    <row r="1714" spans="1:22" x14ac:dyDescent="0.35">
      <c r="A1714">
        <v>1713</v>
      </c>
      <c r="B1714" t="s">
        <v>1505</v>
      </c>
      <c r="C1714" t="s">
        <v>1900</v>
      </c>
      <c r="D1714" t="s">
        <v>2799</v>
      </c>
      <c r="E1714" t="s">
        <v>20</v>
      </c>
      <c r="F1714" t="b">
        <v>0</v>
      </c>
      <c r="G1714">
        <v>1</v>
      </c>
      <c r="H1714" t="b">
        <v>0</v>
      </c>
      <c r="I1714">
        <v>48</v>
      </c>
      <c r="J1714" t="s">
        <v>26</v>
      </c>
      <c r="K1714">
        <v>99</v>
      </c>
      <c r="L1714">
        <v>93</v>
      </c>
      <c r="M1714">
        <v>88</v>
      </c>
      <c r="N1714">
        <v>92</v>
      </c>
      <c r="O1714">
        <v>99</v>
      </c>
      <c r="P1714">
        <v>94</v>
      </c>
      <c r="Q1714">
        <v>95</v>
      </c>
      <c r="R1714">
        <f>SUM(student_scores[[#This Row],[math_score]:[geography_score]])</f>
        <v>660</v>
      </c>
      <c r="S1714" s="3">
        <f>student_scores[[#This Row],[Total_Score]]/7</f>
        <v>94.285714285714292</v>
      </c>
      <c r="T1714" s="3" t="str" cm="1">
        <f t="array" ref="T1714">_xlfn.IFS(student_scores[[#This Row],[weekly_self_study_hours]]&lt;=5,   "0 - 5", student_scores[[#This Row],[weekly_self_study_hours]]&lt;=10,  "6 - 10", student_scores[[#This Row],[weekly_self_study_hours]]&lt;=20,  "11 - 20",student_scores[[#This Row],[weekly_self_study_hours]]&lt;=30, "21 - 30",TRUE, "31+")</f>
        <v>31+</v>
      </c>
      <c r="U1714" t="str" cm="1">
        <f t="array" ref="U1714">_xlfn.IFS(student_scores[[#This Row],[absence_days]]=0,"0", student_scores[[#This Row],[absence_days]]&lt;=3,"1-3", student_scores[[#This Row],[absence_days]]&lt;=6,"4-6", TRUE,"7-10")</f>
        <v>1-3</v>
      </c>
      <c r="V1714" t="str">
        <f>IF(student_scores[[#This Row],[Total_Score]] &gt;= _xlfn.PERCENTILE.INC(student_scores[Total_Score], 0.8), "Yes", "No")</f>
        <v>Yes</v>
      </c>
    </row>
    <row r="1715" spans="1:22" x14ac:dyDescent="0.35">
      <c r="A1715">
        <v>1714</v>
      </c>
      <c r="B1715" t="s">
        <v>2800</v>
      </c>
      <c r="C1715" t="s">
        <v>997</v>
      </c>
      <c r="D1715" t="s">
        <v>2801</v>
      </c>
      <c r="E1715" t="s">
        <v>20</v>
      </c>
      <c r="F1715" t="b">
        <v>0</v>
      </c>
      <c r="G1715">
        <v>2</v>
      </c>
      <c r="H1715" t="b">
        <v>0</v>
      </c>
      <c r="I1715">
        <v>32</v>
      </c>
      <c r="J1715" t="s">
        <v>21</v>
      </c>
      <c r="K1715">
        <v>95</v>
      </c>
      <c r="L1715">
        <v>95</v>
      </c>
      <c r="M1715">
        <v>92</v>
      </c>
      <c r="N1715">
        <v>61</v>
      </c>
      <c r="O1715">
        <v>63</v>
      </c>
      <c r="P1715">
        <v>81</v>
      </c>
      <c r="Q1715">
        <v>100</v>
      </c>
      <c r="R1715">
        <f>SUM(student_scores[[#This Row],[math_score]:[geography_score]])</f>
        <v>587</v>
      </c>
      <c r="S1715" s="3">
        <f>student_scores[[#This Row],[Total_Score]]/7</f>
        <v>83.857142857142861</v>
      </c>
      <c r="T1715" s="3" t="str" cm="1">
        <f t="array" ref="T1715">_xlfn.IFS(student_scores[[#This Row],[weekly_self_study_hours]]&lt;=5,   "0 - 5", student_scores[[#This Row],[weekly_self_study_hours]]&lt;=10,  "6 - 10", student_scores[[#This Row],[weekly_self_study_hours]]&lt;=20,  "11 - 20",student_scores[[#This Row],[weekly_self_study_hours]]&lt;=30, "21 - 30",TRUE, "31+")</f>
        <v>31+</v>
      </c>
      <c r="U1715" t="str" cm="1">
        <f t="array" ref="U1715">_xlfn.IFS(student_scores[[#This Row],[absence_days]]=0,"0", student_scores[[#This Row],[absence_days]]&lt;=3,"1-3", student_scores[[#This Row],[absence_days]]&lt;=6,"4-6", TRUE,"7-10")</f>
        <v>1-3</v>
      </c>
      <c r="V1715" t="str">
        <f>IF(student_scores[[#This Row],[Total_Score]] &gt;= _xlfn.PERCENTILE.INC(student_scores[Total_Score], 0.8), "Yes", "No")</f>
        <v>No</v>
      </c>
    </row>
    <row r="1716" spans="1:22" x14ac:dyDescent="0.35">
      <c r="A1716">
        <v>1715</v>
      </c>
      <c r="B1716" t="s">
        <v>560</v>
      </c>
      <c r="C1716" t="s">
        <v>782</v>
      </c>
      <c r="D1716" t="s">
        <v>2802</v>
      </c>
      <c r="E1716" t="s">
        <v>25</v>
      </c>
      <c r="F1716" t="b">
        <v>0</v>
      </c>
      <c r="G1716">
        <v>6</v>
      </c>
      <c r="H1716" t="b">
        <v>0</v>
      </c>
      <c r="I1716">
        <v>1</v>
      </c>
      <c r="J1716" t="s">
        <v>38</v>
      </c>
      <c r="K1716">
        <v>76</v>
      </c>
      <c r="L1716">
        <v>69</v>
      </c>
      <c r="M1716">
        <v>100</v>
      </c>
      <c r="N1716">
        <v>88</v>
      </c>
      <c r="O1716">
        <v>65</v>
      </c>
      <c r="P1716">
        <v>96</v>
      </c>
      <c r="Q1716">
        <v>70</v>
      </c>
      <c r="R1716">
        <f>SUM(student_scores[[#This Row],[math_score]:[geography_score]])</f>
        <v>564</v>
      </c>
      <c r="S1716" s="3">
        <f>student_scores[[#This Row],[Total_Score]]/7</f>
        <v>80.571428571428569</v>
      </c>
      <c r="T1716" s="3" t="str" cm="1">
        <f t="array" ref="T1716">_xlfn.IFS(student_scores[[#This Row],[weekly_self_study_hours]]&lt;=5,   "0 - 5", student_scores[[#This Row],[weekly_self_study_hours]]&lt;=10,  "6 - 10", student_scores[[#This Row],[weekly_self_study_hours]]&lt;=20,  "11 - 20",student_scores[[#This Row],[weekly_self_study_hours]]&lt;=30, "21 - 30",TRUE, "31+")</f>
        <v>0 - 5</v>
      </c>
      <c r="U1716" t="str" cm="1">
        <f t="array" ref="U1716">_xlfn.IFS(student_scores[[#This Row],[absence_days]]=0,"0", student_scores[[#This Row],[absence_days]]&lt;=3,"1-3", student_scores[[#This Row],[absence_days]]&lt;=6,"4-6", TRUE,"7-10")</f>
        <v>4-6</v>
      </c>
      <c r="V1716" t="str">
        <f>IF(student_scores[[#This Row],[Total_Score]] &gt;= _xlfn.PERCENTILE.INC(student_scores[Total_Score], 0.8), "Yes", "No")</f>
        <v>No</v>
      </c>
    </row>
    <row r="1717" spans="1:22" x14ac:dyDescent="0.35">
      <c r="A1717">
        <v>1716</v>
      </c>
      <c r="B1717" t="s">
        <v>185</v>
      </c>
      <c r="C1717" t="s">
        <v>2803</v>
      </c>
      <c r="D1717" t="s">
        <v>2804</v>
      </c>
      <c r="E1717" t="s">
        <v>25</v>
      </c>
      <c r="F1717" t="b">
        <v>0</v>
      </c>
      <c r="G1717">
        <v>1</v>
      </c>
      <c r="H1717" t="b">
        <v>0</v>
      </c>
      <c r="I1717">
        <v>22</v>
      </c>
      <c r="J1717" t="s">
        <v>26</v>
      </c>
      <c r="K1717">
        <v>91</v>
      </c>
      <c r="L1717">
        <v>92</v>
      </c>
      <c r="M1717">
        <v>81</v>
      </c>
      <c r="N1717">
        <v>98</v>
      </c>
      <c r="O1717">
        <v>88</v>
      </c>
      <c r="P1717">
        <v>76</v>
      </c>
      <c r="Q1717">
        <v>99</v>
      </c>
      <c r="R1717">
        <f>SUM(student_scores[[#This Row],[math_score]:[geography_score]])</f>
        <v>625</v>
      </c>
      <c r="S1717" s="3">
        <f>student_scores[[#This Row],[Total_Score]]/7</f>
        <v>89.285714285714292</v>
      </c>
      <c r="T1717" s="3" t="str" cm="1">
        <f t="array" ref="T1717">_xlfn.IFS(student_scores[[#This Row],[weekly_self_study_hours]]&lt;=5,   "0 - 5", student_scores[[#This Row],[weekly_self_study_hours]]&lt;=10,  "6 - 10", student_scores[[#This Row],[weekly_self_study_hours]]&lt;=20,  "11 - 20",student_scores[[#This Row],[weekly_self_study_hours]]&lt;=30, "21 - 30",TRUE, "31+")</f>
        <v>21 - 30</v>
      </c>
      <c r="U1717" t="str" cm="1">
        <f t="array" ref="U1717">_xlfn.IFS(student_scores[[#This Row],[absence_days]]=0,"0", student_scores[[#This Row],[absence_days]]&lt;=3,"1-3", student_scores[[#This Row],[absence_days]]&lt;=6,"4-6", TRUE,"7-10")</f>
        <v>1-3</v>
      </c>
      <c r="V1717" t="str">
        <f>IF(student_scores[[#This Row],[Total_Score]] &gt;= _xlfn.PERCENTILE.INC(student_scores[Total_Score], 0.8), "Yes", "No")</f>
        <v>Yes</v>
      </c>
    </row>
    <row r="1718" spans="1:22" x14ac:dyDescent="0.35">
      <c r="A1718">
        <v>1717</v>
      </c>
      <c r="B1718" t="s">
        <v>473</v>
      </c>
      <c r="C1718" t="s">
        <v>2805</v>
      </c>
      <c r="D1718" t="s">
        <v>2806</v>
      </c>
      <c r="E1718" t="s">
        <v>20</v>
      </c>
      <c r="F1718" t="b">
        <v>0</v>
      </c>
      <c r="G1718">
        <v>5</v>
      </c>
      <c r="H1718" t="b">
        <v>0</v>
      </c>
      <c r="I1718">
        <v>16</v>
      </c>
      <c r="J1718" t="s">
        <v>105</v>
      </c>
      <c r="K1718">
        <v>98</v>
      </c>
      <c r="L1718">
        <v>75</v>
      </c>
      <c r="M1718">
        <v>69</v>
      </c>
      <c r="N1718">
        <v>65</v>
      </c>
      <c r="O1718">
        <v>67</v>
      </c>
      <c r="P1718">
        <v>79</v>
      </c>
      <c r="Q1718">
        <v>72</v>
      </c>
      <c r="R1718">
        <f>SUM(student_scores[[#This Row],[math_score]:[geography_score]])</f>
        <v>525</v>
      </c>
      <c r="S1718" s="3">
        <f>student_scores[[#This Row],[Total_Score]]/7</f>
        <v>75</v>
      </c>
      <c r="T1718" s="3" t="str" cm="1">
        <f t="array" ref="T1718">_xlfn.IFS(student_scores[[#This Row],[weekly_self_study_hours]]&lt;=5,   "0 - 5", student_scores[[#This Row],[weekly_self_study_hours]]&lt;=10,  "6 - 10", student_scores[[#This Row],[weekly_self_study_hours]]&lt;=20,  "11 - 20",student_scores[[#This Row],[weekly_self_study_hours]]&lt;=30, "21 - 30",TRUE, "31+")</f>
        <v>11 - 20</v>
      </c>
      <c r="U1718" t="str" cm="1">
        <f t="array" ref="U1718">_xlfn.IFS(student_scores[[#This Row],[absence_days]]=0,"0", student_scores[[#This Row],[absence_days]]&lt;=3,"1-3", student_scores[[#This Row],[absence_days]]&lt;=6,"4-6", TRUE,"7-10")</f>
        <v>4-6</v>
      </c>
      <c r="V1718" t="str">
        <f>IF(student_scores[[#This Row],[Total_Score]] &gt;= _xlfn.PERCENTILE.INC(student_scores[Total_Score], 0.8), "Yes", "No")</f>
        <v>No</v>
      </c>
    </row>
    <row r="1719" spans="1:22" x14ac:dyDescent="0.35">
      <c r="A1719">
        <v>1718</v>
      </c>
      <c r="B1719" t="s">
        <v>2807</v>
      </c>
      <c r="C1719" t="s">
        <v>551</v>
      </c>
      <c r="D1719" t="s">
        <v>2808</v>
      </c>
      <c r="E1719" t="s">
        <v>20</v>
      </c>
      <c r="F1719" t="b">
        <v>1</v>
      </c>
      <c r="G1719">
        <v>6</v>
      </c>
      <c r="H1719" t="b">
        <v>0</v>
      </c>
      <c r="I1719">
        <v>15</v>
      </c>
      <c r="J1719" t="s">
        <v>138</v>
      </c>
      <c r="K1719">
        <v>90</v>
      </c>
      <c r="L1719">
        <v>71</v>
      </c>
      <c r="M1719">
        <v>93</v>
      </c>
      <c r="N1719">
        <v>73</v>
      </c>
      <c r="O1719">
        <v>80</v>
      </c>
      <c r="P1719">
        <v>78</v>
      </c>
      <c r="Q1719">
        <v>69</v>
      </c>
      <c r="R1719">
        <f>SUM(student_scores[[#This Row],[math_score]:[geography_score]])</f>
        <v>554</v>
      </c>
      <c r="S1719" s="3">
        <f>student_scores[[#This Row],[Total_Score]]/7</f>
        <v>79.142857142857139</v>
      </c>
      <c r="T1719" s="3" t="str" cm="1">
        <f t="array" ref="T1719">_xlfn.IFS(student_scores[[#This Row],[weekly_self_study_hours]]&lt;=5,   "0 - 5", student_scores[[#This Row],[weekly_self_study_hours]]&lt;=10,  "6 - 10", student_scores[[#This Row],[weekly_self_study_hours]]&lt;=20,  "11 - 20",student_scores[[#This Row],[weekly_self_study_hours]]&lt;=30, "21 - 30",TRUE, "31+")</f>
        <v>11 - 20</v>
      </c>
      <c r="U1719" t="str" cm="1">
        <f t="array" ref="U1719">_xlfn.IFS(student_scores[[#This Row],[absence_days]]=0,"0", student_scores[[#This Row],[absence_days]]&lt;=3,"1-3", student_scores[[#This Row],[absence_days]]&lt;=6,"4-6", TRUE,"7-10")</f>
        <v>4-6</v>
      </c>
      <c r="V1719" t="str">
        <f>IF(student_scores[[#This Row],[Total_Score]] &gt;= _xlfn.PERCENTILE.INC(student_scores[Total_Score], 0.8), "Yes", "No")</f>
        <v>No</v>
      </c>
    </row>
    <row r="1720" spans="1:22" x14ac:dyDescent="0.35">
      <c r="A1720">
        <v>1719</v>
      </c>
      <c r="B1720" t="s">
        <v>208</v>
      </c>
      <c r="C1720" t="s">
        <v>927</v>
      </c>
      <c r="D1720" t="s">
        <v>2809</v>
      </c>
      <c r="E1720" t="s">
        <v>20</v>
      </c>
      <c r="F1720" t="b">
        <v>0</v>
      </c>
      <c r="G1720">
        <v>3</v>
      </c>
      <c r="H1720" t="b">
        <v>1</v>
      </c>
      <c r="I1720">
        <v>26</v>
      </c>
      <c r="J1720" t="s">
        <v>44</v>
      </c>
      <c r="K1720">
        <v>85</v>
      </c>
      <c r="L1720">
        <v>68</v>
      </c>
      <c r="M1720">
        <v>73</v>
      </c>
      <c r="N1720">
        <v>94</v>
      </c>
      <c r="O1720">
        <v>88</v>
      </c>
      <c r="P1720">
        <v>86</v>
      </c>
      <c r="Q1720">
        <v>77</v>
      </c>
      <c r="R1720">
        <f>SUM(student_scores[[#This Row],[math_score]:[geography_score]])</f>
        <v>571</v>
      </c>
      <c r="S1720" s="3">
        <f>student_scores[[#This Row],[Total_Score]]/7</f>
        <v>81.571428571428569</v>
      </c>
      <c r="T1720" s="3" t="str" cm="1">
        <f t="array" ref="T1720">_xlfn.IFS(student_scores[[#This Row],[weekly_self_study_hours]]&lt;=5,   "0 - 5", student_scores[[#This Row],[weekly_self_study_hours]]&lt;=10,  "6 - 10", student_scores[[#This Row],[weekly_self_study_hours]]&lt;=20,  "11 - 20",student_scores[[#This Row],[weekly_self_study_hours]]&lt;=30, "21 - 30",TRUE, "31+")</f>
        <v>21 - 30</v>
      </c>
      <c r="U1720" t="str" cm="1">
        <f t="array" ref="U1720">_xlfn.IFS(student_scores[[#This Row],[absence_days]]=0,"0", student_scores[[#This Row],[absence_days]]&lt;=3,"1-3", student_scores[[#This Row],[absence_days]]&lt;=6,"4-6", TRUE,"7-10")</f>
        <v>1-3</v>
      </c>
      <c r="V1720" t="str">
        <f>IF(student_scores[[#This Row],[Total_Score]] &gt;= _xlfn.PERCENTILE.INC(student_scores[Total_Score], 0.8), "Yes", "No")</f>
        <v>No</v>
      </c>
    </row>
    <row r="1721" spans="1:22" x14ac:dyDescent="0.35">
      <c r="A1721">
        <v>1720</v>
      </c>
      <c r="B1721" t="s">
        <v>331</v>
      </c>
      <c r="C1721" t="s">
        <v>2810</v>
      </c>
      <c r="D1721" t="s">
        <v>2811</v>
      </c>
      <c r="E1721" t="s">
        <v>20</v>
      </c>
      <c r="F1721" t="b">
        <v>0</v>
      </c>
      <c r="G1721">
        <v>5</v>
      </c>
      <c r="H1721" t="b">
        <v>0</v>
      </c>
      <c r="I1721">
        <v>46</v>
      </c>
      <c r="J1721" t="s">
        <v>26</v>
      </c>
      <c r="K1721">
        <v>100</v>
      </c>
      <c r="L1721">
        <v>97</v>
      </c>
      <c r="M1721">
        <v>94</v>
      </c>
      <c r="N1721">
        <v>87</v>
      </c>
      <c r="O1721">
        <v>89</v>
      </c>
      <c r="P1721">
        <v>91</v>
      </c>
      <c r="Q1721">
        <v>100</v>
      </c>
      <c r="R1721">
        <f>SUM(student_scores[[#This Row],[math_score]:[geography_score]])</f>
        <v>658</v>
      </c>
      <c r="S1721" s="3">
        <f>student_scores[[#This Row],[Total_Score]]/7</f>
        <v>94</v>
      </c>
      <c r="T1721" s="3" t="str" cm="1">
        <f t="array" ref="T1721">_xlfn.IFS(student_scores[[#This Row],[weekly_self_study_hours]]&lt;=5,   "0 - 5", student_scores[[#This Row],[weekly_self_study_hours]]&lt;=10,  "6 - 10", student_scores[[#This Row],[weekly_self_study_hours]]&lt;=20,  "11 - 20",student_scores[[#This Row],[weekly_self_study_hours]]&lt;=30, "21 - 30",TRUE, "31+")</f>
        <v>31+</v>
      </c>
      <c r="U1721" t="str" cm="1">
        <f t="array" ref="U1721">_xlfn.IFS(student_scores[[#This Row],[absence_days]]=0,"0", student_scores[[#This Row],[absence_days]]&lt;=3,"1-3", student_scores[[#This Row],[absence_days]]&lt;=6,"4-6", TRUE,"7-10")</f>
        <v>4-6</v>
      </c>
      <c r="V1721" t="str">
        <f>IF(student_scores[[#This Row],[Total_Score]] &gt;= _xlfn.PERCENTILE.INC(student_scores[Total_Score], 0.8), "Yes", "No")</f>
        <v>Yes</v>
      </c>
    </row>
    <row r="1722" spans="1:22" x14ac:dyDescent="0.35">
      <c r="A1722">
        <v>1721</v>
      </c>
      <c r="B1722" t="s">
        <v>145</v>
      </c>
      <c r="C1722" t="s">
        <v>222</v>
      </c>
      <c r="D1722" t="s">
        <v>2812</v>
      </c>
      <c r="E1722" t="s">
        <v>20</v>
      </c>
      <c r="F1722" t="b">
        <v>1</v>
      </c>
      <c r="G1722">
        <v>4</v>
      </c>
      <c r="H1722" t="b">
        <v>0</v>
      </c>
      <c r="I1722">
        <v>31</v>
      </c>
      <c r="J1722" t="s">
        <v>76</v>
      </c>
      <c r="K1722">
        <v>77</v>
      </c>
      <c r="L1722">
        <v>81</v>
      </c>
      <c r="M1722">
        <v>80</v>
      </c>
      <c r="N1722">
        <v>95</v>
      </c>
      <c r="O1722">
        <v>80</v>
      </c>
      <c r="P1722">
        <v>74</v>
      </c>
      <c r="Q1722">
        <v>80</v>
      </c>
      <c r="R1722">
        <f>SUM(student_scores[[#This Row],[math_score]:[geography_score]])</f>
        <v>567</v>
      </c>
      <c r="S1722" s="3">
        <f>student_scores[[#This Row],[Total_Score]]/7</f>
        <v>81</v>
      </c>
      <c r="T1722" s="3" t="str" cm="1">
        <f t="array" ref="T1722">_xlfn.IFS(student_scores[[#This Row],[weekly_self_study_hours]]&lt;=5,   "0 - 5", student_scores[[#This Row],[weekly_self_study_hours]]&lt;=10,  "6 - 10", student_scores[[#This Row],[weekly_self_study_hours]]&lt;=20,  "11 - 20",student_scores[[#This Row],[weekly_self_study_hours]]&lt;=30, "21 - 30",TRUE, "31+")</f>
        <v>31+</v>
      </c>
      <c r="U1722" t="str" cm="1">
        <f t="array" ref="U1722">_xlfn.IFS(student_scores[[#This Row],[absence_days]]=0,"0", student_scores[[#This Row],[absence_days]]&lt;=3,"1-3", student_scores[[#This Row],[absence_days]]&lt;=6,"4-6", TRUE,"7-10")</f>
        <v>4-6</v>
      </c>
      <c r="V1722" t="str">
        <f>IF(student_scores[[#This Row],[Total_Score]] &gt;= _xlfn.PERCENTILE.INC(student_scores[Total_Score], 0.8), "Yes", "No")</f>
        <v>No</v>
      </c>
    </row>
    <row r="1723" spans="1:22" x14ac:dyDescent="0.35">
      <c r="A1723">
        <v>1722</v>
      </c>
      <c r="B1723" t="s">
        <v>173</v>
      </c>
      <c r="C1723" t="s">
        <v>2545</v>
      </c>
      <c r="D1723" t="s">
        <v>2813</v>
      </c>
      <c r="E1723" t="s">
        <v>25</v>
      </c>
      <c r="F1723" t="b">
        <v>0</v>
      </c>
      <c r="G1723">
        <v>10</v>
      </c>
      <c r="H1723" t="b">
        <v>0</v>
      </c>
      <c r="I1723">
        <v>4</v>
      </c>
      <c r="J1723" t="s">
        <v>64</v>
      </c>
      <c r="K1723">
        <v>92</v>
      </c>
      <c r="L1723">
        <v>98</v>
      </c>
      <c r="M1723">
        <v>60</v>
      </c>
      <c r="N1723">
        <v>74</v>
      </c>
      <c r="O1723">
        <v>63</v>
      </c>
      <c r="P1723">
        <v>89</v>
      </c>
      <c r="Q1723">
        <v>80</v>
      </c>
      <c r="R1723">
        <f>SUM(student_scores[[#This Row],[math_score]:[geography_score]])</f>
        <v>556</v>
      </c>
      <c r="S1723" s="3">
        <f>student_scores[[#This Row],[Total_Score]]/7</f>
        <v>79.428571428571431</v>
      </c>
      <c r="T1723" s="3" t="str" cm="1">
        <f t="array" ref="T1723">_xlfn.IFS(student_scores[[#This Row],[weekly_self_study_hours]]&lt;=5,   "0 - 5", student_scores[[#This Row],[weekly_self_study_hours]]&lt;=10,  "6 - 10", student_scores[[#This Row],[weekly_self_study_hours]]&lt;=20,  "11 - 20",student_scores[[#This Row],[weekly_self_study_hours]]&lt;=30, "21 - 30",TRUE, "31+")</f>
        <v>0 - 5</v>
      </c>
      <c r="U1723" t="str" cm="1">
        <f t="array" ref="U1723">_xlfn.IFS(student_scores[[#This Row],[absence_days]]=0,"0", student_scores[[#This Row],[absence_days]]&lt;=3,"1-3", student_scores[[#This Row],[absence_days]]&lt;=6,"4-6", TRUE,"7-10")</f>
        <v>7-10</v>
      </c>
      <c r="V1723" t="str">
        <f>IF(student_scores[[#This Row],[Total_Score]] &gt;= _xlfn.PERCENTILE.INC(student_scores[Total_Score], 0.8), "Yes", "No")</f>
        <v>No</v>
      </c>
    </row>
    <row r="1724" spans="1:22" x14ac:dyDescent="0.35">
      <c r="A1724">
        <v>1723</v>
      </c>
      <c r="B1724" t="s">
        <v>2814</v>
      </c>
      <c r="C1724" t="s">
        <v>2561</v>
      </c>
      <c r="D1724" t="s">
        <v>2815</v>
      </c>
      <c r="E1724" t="s">
        <v>25</v>
      </c>
      <c r="F1724" t="b">
        <v>0</v>
      </c>
      <c r="G1724">
        <v>9</v>
      </c>
      <c r="H1724" t="b">
        <v>0</v>
      </c>
      <c r="I1724">
        <v>5</v>
      </c>
      <c r="J1724" t="s">
        <v>64</v>
      </c>
      <c r="K1724">
        <v>53</v>
      </c>
      <c r="L1724">
        <v>87</v>
      </c>
      <c r="M1724">
        <v>60</v>
      </c>
      <c r="N1724">
        <v>94</v>
      </c>
      <c r="O1724">
        <v>93</v>
      </c>
      <c r="P1724">
        <v>65</v>
      </c>
      <c r="Q1724">
        <v>88</v>
      </c>
      <c r="R1724">
        <f>SUM(student_scores[[#This Row],[math_score]:[geography_score]])</f>
        <v>540</v>
      </c>
      <c r="S1724" s="3">
        <f>student_scores[[#This Row],[Total_Score]]/7</f>
        <v>77.142857142857139</v>
      </c>
      <c r="T1724" s="3" t="str" cm="1">
        <f t="array" ref="T1724">_xlfn.IFS(student_scores[[#This Row],[weekly_self_study_hours]]&lt;=5,   "0 - 5", student_scores[[#This Row],[weekly_self_study_hours]]&lt;=10,  "6 - 10", student_scores[[#This Row],[weekly_self_study_hours]]&lt;=20,  "11 - 20",student_scores[[#This Row],[weekly_self_study_hours]]&lt;=30, "21 - 30",TRUE, "31+")</f>
        <v>0 - 5</v>
      </c>
      <c r="U1724" t="str" cm="1">
        <f t="array" ref="U1724">_xlfn.IFS(student_scores[[#This Row],[absence_days]]=0,"0", student_scores[[#This Row],[absence_days]]&lt;=3,"1-3", student_scores[[#This Row],[absence_days]]&lt;=6,"4-6", TRUE,"7-10")</f>
        <v>7-10</v>
      </c>
      <c r="V1724" t="str">
        <f>IF(student_scores[[#This Row],[Total_Score]] &gt;= _xlfn.PERCENTILE.INC(student_scores[Total_Score], 0.8), "Yes", "No")</f>
        <v>No</v>
      </c>
    </row>
    <row r="1725" spans="1:22" x14ac:dyDescent="0.35">
      <c r="A1725">
        <v>1724</v>
      </c>
      <c r="B1725" t="s">
        <v>410</v>
      </c>
      <c r="C1725" t="s">
        <v>1012</v>
      </c>
      <c r="D1725" t="s">
        <v>2816</v>
      </c>
      <c r="E1725" t="s">
        <v>20</v>
      </c>
      <c r="F1725" t="b">
        <v>0</v>
      </c>
      <c r="G1725">
        <v>6</v>
      </c>
      <c r="H1725" t="b">
        <v>0</v>
      </c>
      <c r="I1725">
        <v>21</v>
      </c>
      <c r="J1725" t="s">
        <v>113</v>
      </c>
      <c r="K1725">
        <v>79</v>
      </c>
      <c r="L1725">
        <v>74</v>
      </c>
      <c r="M1725">
        <v>78</v>
      </c>
      <c r="N1725">
        <v>97</v>
      </c>
      <c r="O1725">
        <v>87</v>
      </c>
      <c r="P1725">
        <v>85</v>
      </c>
      <c r="Q1725">
        <v>79</v>
      </c>
      <c r="R1725">
        <f>SUM(student_scores[[#This Row],[math_score]:[geography_score]])</f>
        <v>579</v>
      </c>
      <c r="S1725" s="3">
        <f>student_scores[[#This Row],[Total_Score]]/7</f>
        <v>82.714285714285708</v>
      </c>
      <c r="T1725" s="3" t="str" cm="1">
        <f t="array" ref="T1725">_xlfn.IFS(student_scores[[#This Row],[weekly_self_study_hours]]&lt;=5,   "0 - 5", student_scores[[#This Row],[weekly_self_study_hours]]&lt;=10,  "6 - 10", student_scores[[#This Row],[weekly_self_study_hours]]&lt;=20,  "11 - 20",student_scores[[#This Row],[weekly_self_study_hours]]&lt;=30, "21 - 30",TRUE, "31+")</f>
        <v>21 - 30</v>
      </c>
      <c r="U1725" t="str" cm="1">
        <f t="array" ref="U1725">_xlfn.IFS(student_scores[[#This Row],[absence_days]]=0,"0", student_scores[[#This Row],[absence_days]]&lt;=3,"1-3", student_scores[[#This Row],[absence_days]]&lt;=6,"4-6", TRUE,"7-10")</f>
        <v>4-6</v>
      </c>
      <c r="V1725" t="str">
        <f>IF(student_scores[[#This Row],[Total_Score]] &gt;= _xlfn.PERCENTILE.INC(student_scores[Total_Score], 0.8), "Yes", "No")</f>
        <v>No</v>
      </c>
    </row>
    <row r="1726" spans="1:22" x14ac:dyDescent="0.35">
      <c r="A1726">
        <v>1725</v>
      </c>
      <c r="B1726" t="s">
        <v>913</v>
      </c>
      <c r="C1726" t="s">
        <v>501</v>
      </c>
      <c r="D1726" t="s">
        <v>2817</v>
      </c>
      <c r="E1726" t="s">
        <v>25</v>
      </c>
      <c r="F1726" t="b">
        <v>0</v>
      </c>
      <c r="G1726">
        <v>2</v>
      </c>
      <c r="H1726" t="b">
        <v>0</v>
      </c>
      <c r="I1726">
        <v>26</v>
      </c>
      <c r="J1726" t="s">
        <v>123</v>
      </c>
      <c r="K1726">
        <v>85</v>
      </c>
      <c r="L1726">
        <v>89</v>
      </c>
      <c r="M1726">
        <v>72</v>
      </c>
      <c r="N1726">
        <v>80</v>
      </c>
      <c r="O1726">
        <v>99</v>
      </c>
      <c r="P1726">
        <v>94</v>
      </c>
      <c r="Q1726">
        <v>90</v>
      </c>
      <c r="R1726">
        <f>SUM(student_scores[[#This Row],[math_score]:[geography_score]])</f>
        <v>609</v>
      </c>
      <c r="S1726" s="3">
        <f>student_scores[[#This Row],[Total_Score]]/7</f>
        <v>87</v>
      </c>
      <c r="T1726" s="3" t="str" cm="1">
        <f t="array" ref="T1726">_xlfn.IFS(student_scores[[#This Row],[weekly_self_study_hours]]&lt;=5,   "0 - 5", student_scores[[#This Row],[weekly_self_study_hours]]&lt;=10,  "6 - 10", student_scores[[#This Row],[weekly_self_study_hours]]&lt;=20,  "11 - 20",student_scores[[#This Row],[weekly_self_study_hours]]&lt;=30, "21 - 30",TRUE, "31+")</f>
        <v>21 - 30</v>
      </c>
      <c r="U1726" t="str" cm="1">
        <f t="array" ref="U1726">_xlfn.IFS(student_scores[[#This Row],[absence_days]]=0,"0", student_scores[[#This Row],[absence_days]]&lt;=3,"1-3", student_scores[[#This Row],[absence_days]]&lt;=6,"4-6", TRUE,"7-10")</f>
        <v>1-3</v>
      </c>
      <c r="V1726" t="str">
        <f>IF(student_scores[[#This Row],[Total_Score]] &gt;= _xlfn.PERCENTILE.INC(student_scores[Total_Score], 0.8), "Yes", "No")</f>
        <v>Yes</v>
      </c>
    </row>
    <row r="1727" spans="1:22" x14ac:dyDescent="0.35">
      <c r="A1727">
        <v>1726</v>
      </c>
      <c r="B1727" t="s">
        <v>68</v>
      </c>
      <c r="C1727" t="s">
        <v>329</v>
      </c>
      <c r="D1727" t="s">
        <v>2818</v>
      </c>
      <c r="E1727" t="s">
        <v>25</v>
      </c>
      <c r="F1727" t="b">
        <v>0</v>
      </c>
      <c r="G1727">
        <v>1</v>
      </c>
      <c r="H1727" t="b">
        <v>0</v>
      </c>
      <c r="I1727">
        <v>3</v>
      </c>
      <c r="J1727" t="s">
        <v>34</v>
      </c>
      <c r="K1727">
        <v>99</v>
      </c>
      <c r="L1727">
        <v>85</v>
      </c>
      <c r="M1727">
        <v>60</v>
      </c>
      <c r="N1727">
        <v>81</v>
      </c>
      <c r="O1727">
        <v>75</v>
      </c>
      <c r="P1727">
        <v>78</v>
      </c>
      <c r="Q1727">
        <v>78</v>
      </c>
      <c r="R1727">
        <f>SUM(student_scores[[#This Row],[math_score]:[geography_score]])</f>
        <v>556</v>
      </c>
      <c r="S1727" s="3">
        <f>student_scores[[#This Row],[Total_Score]]/7</f>
        <v>79.428571428571431</v>
      </c>
      <c r="T1727" s="3" t="str" cm="1">
        <f t="array" ref="T1727">_xlfn.IFS(student_scores[[#This Row],[weekly_self_study_hours]]&lt;=5,   "0 - 5", student_scores[[#This Row],[weekly_self_study_hours]]&lt;=10,  "6 - 10", student_scores[[#This Row],[weekly_self_study_hours]]&lt;=20,  "11 - 20",student_scores[[#This Row],[weekly_self_study_hours]]&lt;=30, "21 - 30",TRUE, "31+")</f>
        <v>0 - 5</v>
      </c>
      <c r="U1727" t="str" cm="1">
        <f t="array" ref="U1727">_xlfn.IFS(student_scores[[#This Row],[absence_days]]=0,"0", student_scores[[#This Row],[absence_days]]&lt;=3,"1-3", student_scores[[#This Row],[absence_days]]&lt;=6,"4-6", TRUE,"7-10")</f>
        <v>1-3</v>
      </c>
      <c r="V1727" t="str">
        <f>IF(student_scores[[#This Row],[Total_Score]] &gt;= _xlfn.PERCENTILE.INC(student_scores[Total_Score], 0.8), "Yes", "No")</f>
        <v>No</v>
      </c>
    </row>
    <row r="1728" spans="1:22" x14ac:dyDescent="0.35">
      <c r="A1728">
        <v>1727</v>
      </c>
      <c r="B1728" t="s">
        <v>130</v>
      </c>
      <c r="C1728" t="s">
        <v>854</v>
      </c>
      <c r="D1728" t="s">
        <v>2819</v>
      </c>
      <c r="E1728" t="s">
        <v>25</v>
      </c>
      <c r="F1728" t="b">
        <v>0</v>
      </c>
      <c r="G1728">
        <v>1</v>
      </c>
      <c r="H1728" t="b">
        <v>1</v>
      </c>
      <c r="I1728">
        <v>11</v>
      </c>
      <c r="J1728" t="s">
        <v>105</v>
      </c>
      <c r="K1728">
        <v>99</v>
      </c>
      <c r="L1728">
        <v>91</v>
      </c>
      <c r="M1728">
        <v>73</v>
      </c>
      <c r="N1728">
        <v>77</v>
      </c>
      <c r="O1728">
        <v>81</v>
      </c>
      <c r="P1728">
        <v>75</v>
      </c>
      <c r="Q1728">
        <v>90</v>
      </c>
      <c r="R1728">
        <f>SUM(student_scores[[#This Row],[math_score]:[geography_score]])</f>
        <v>586</v>
      </c>
      <c r="S1728" s="3">
        <f>student_scores[[#This Row],[Total_Score]]/7</f>
        <v>83.714285714285708</v>
      </c>
      <c r="T1728" s="3" t="str" cm="1">
        <f t="array" ref="T1728">_xlfn.IFS(student_scores[[#This Row],[weekly_self_study_hours]]&lt;=5,   "0 - 5", student_scores[[#This Row],[weekly_self_study_hours]]&lt;=10,  "6 - 10", student_scores[[#This Row],[weekly_self_study_hours]]&lt;=20,  "11 - 20",student_scores[[#This Row],[weekly_self_study_hours]]&lt;=30, "21 - 30",TRUE, "31+")</f>
        <v>11 - 20</v>
      </c>
      <c r="U1728" t="str" cm="1">
        <f t="array" ref="U1728">_xlfn.IFS(student_scores[[#This Row],[absence_days]]=0,"0", student_scores[[#This Row],[absence_days]]&lt;=3,"1-3", student_scores[[#This Row],[absence_days]]&lt;=6,"4-6", TRUE,"7-10")</f>
        <v>1-3</v>
      </c>
      <c r="V1728" t="str">
        <f>IF(student_scores[[#This Row],[Total_Score]] &gt;= _xlfn.PERCENTILE.INC(student_scores[Total_Score], 0.8), "Yes", "No")</f>
        <v>No</v>
      </c>
    </row>
    <row r="1729" spans="1:22" x14ac:dyDescent="0.35">
      <c r="A1729">
        <v>1728</v>
      </c>
      <c r="B1729" t="s">
        <v>2394</v>
      </c>
      <c r="C1729" t="s">
        <v>707</v>
      </c>
      <c r="D1729" t="s">
        <v>2820</v>
      </c>
      <c r="E1729" t="s">
        <v>20</v>
      </c>
      <c r="F1729" t="b">
        <v>0</v>
      </c>
      <c r="G1729">
        <v>6</v>
      </c>
      <c r="H1729" t="b">
        <v>0</v>
      </c>
      <c r="I1729">
        <v>5</v>
      </c>
      <c r="J1729" t="s">
        <v>64</v>
      </c>
      <c r="K1729">
        <v>65</v>
      </c>
      <c r="L1729">
        <v>68</v>
      </c>
      <c r="M1729">
        <v>74</v>
      </c>
      <c r="N1729">
        <v>50</v>
      </c>
      <c r="O1729">
        <v>98</v>
      </c>
      <c r="P1729">
        <v>60</v>
      </c>
      <c r="Q1729">
        <v>83</v>
      </c>
      <c r="R1729">
        <f>SUM(student_scores[[#This Row],[math_score]:[geography_score]])</f>
        <v>498</v>
      </c>
      <c r="S1729" s="3">
        <f>student_scores[[#This Row],[Total_Score]]/7</f>
        <v>71.142857142857139</v>
      </c>
      <c r="T1729" s="3" t="str" cm="1">
        <f t="array" ref="T1729">_xlfn.IFS(student_scores[[#This Row],[weekly_self_study_hours]]&lt;=5,   "0 - 5", student_scores[[#This Row],[weekly_self_study_hours]]&lt;=10,  "6 - 10", student_scores[[#This Row],[weekly_self_study_hours]]&lt;=20,  "11 - 20",student_scores[[#This Row],[weekly_self_study_hours]]&lt;=30, "21 - 30",TRUE, "31+")</f>
        <v>0 - 5</v>
      </c>
      <c r="U1729" t="str" cm="1">
        <f t="array" ref="U1729">_xlfn.IFS(student_scores[[#This Row],[absence_days]]=0,"0", student_scores[[#This Row],[absence_days]]&lt;=3,"1-3", student_scores[[#This Row],[absence_days]]&lt;=6,"4-6", TRUE,"7-10")</f>
        <v>4-6</v>
      </c>
      <c r="V1729" t="str">
        <f>IF(student_scores[[#This Row],[Total_Score]] &gt;= _xlfn.PERCENTILE.INC(student_scores[Total_Score], 0.8), "Yes", "No")</f>
        <v>No</v>
      </c>
    </row>
    <row r="1730" spans="1:22" x14ac:dyDescent="0.35">
      <c r="A1730">
        <v>1729</v>
      </c>
      <c r="B1730" t="s">
        <v>173</v>
      </c>
      <c r="C1730" t="s">
        <v>1522</v>
      </c>
      <c r="D1730" t="s">
        <v>2821</v>
      </c>
      <c r="E1730" t="s">
        <v>25</v>
      </c>
      <c r="F1730" t="b">
        <v>0</v>
      </c>
      <c r="G1730">
        <v>8</v>
      </c>
      <c r="H1730" t="b">
        <v>1</v>
      </c>
      <c r="I1730">
        <v>19</v>
      </c>
      <c r="J1730" t="s">
        <v>44</v>
      </c>
      <c r="K1730">
        <v>94</v>
      </c>
      <c r="L1730">
        <v>83</v>
      </c>
      <c r="M1730">
        <v>72</v>
      </c>
      <c r="N1730">
        <v>63</v>
      </c>
      <c r="O1730">
        <v>65</v>
      </c>
      <c r="P1730">
        <v>63</v>
      </c>
      <c r="Q1730">
        <v>74</v>
      </c>
      <c r="R1730">
        <f>SUM(student_scores[[#This Row],[math_score]:[geography_score]])</f>
        <v>514</v>
      </c>
      <c r="S1730" s="3">
        <f>student_scores[[#This Row],[Total_Score]]/7</f>
        <v>73.428571428571431</v>
      </c>
      <c r="T1730" s="3" t="str" cm="1">
        <f t="array" ref="T1730">_xlfn.IFS(student_scores[[#This Row],[weekly_self_study_hours]]&lt;=5,   "0 - 5", student_scores[[#This Row],[weekly_self_study_hours]]&lt;=10,  "6 - 10", student_scores[[#This Row],[weekly_self_study_hours]]&lt;=20,  "11 - 20",student_scores[[#This Row],[weekly_self_study_hours]]&lt;=30, "21 - 30",TRUE, "31+")</f>
        <v>11 - 20</v>
      </c>
      <c r="U1730" t="str" cm="1">
        <f t="array" ref="U1730">_xlfn.IFS(student_scores[[#This Row],[absence_days]]=0,"0", student_scores[[#This Row],[absence_days]]&lt;=3,"1-3", student_scores[[#This Row],[absence_days]]&lt;=6,"4-6", TRUE,"7-10")</f>
        <v>7-10</v>
      </c>
      <c r="V1730" t="str">
        <f>IF(student_scores[[#This Row],[Total_Score]] &gt;= _xlfn.PERCENTILE.INC(student_scores[Total_Score], 0.8), "Yes", "No")</f>
        <v>No</v>
      </c>
    </row>
    <row r="1731" spans="1:22" x14ac:dyDescent="0.35">
      <c r="A1731">
        <v>1730</v>
      </c>
      <c r="B1731" t="s">
        <v>787</v>
      </c>
      <c r="C1731" t="s">
        <v>501</v>
      </c>
      <c r="D1731" t="s">
        <v>2822</v>
      </c>
      <c r="E1731" t="s">
        <v>25</v>
      </c>
      <c r="F1731" t="b">
        <v>1</v>
      </c>
      <c r="G1731">
        <v>7</v>
      </c>
      <c r="H1731" t="b">
        <v>0</v>
      </c>
      <c r="I1731">
        <v>3</v>
      </c>
      <c r="J1731" t="s">
        <v>64</v>
      </c>
      <c r="K1731">
        <v>73</v>
      </c>
      <c r="L1731">
        <v>52</v>
      </c>
      <c r="M1731">
        <v>89</v>
      </c>
      <c r="N1731">
        <v>85</v>
      </c>
      <c r="O1731">
        <v>74</v>
      </c>
      <c r="P1731">
        <v>66</v>
      </c>
      <c r="Q1731">
        <v>79</v>
      </c>
      <c r="R1731">
        <f>SUM(student_scores[[#This Row],[math_score]:[geography_score]])</f>
        <v>518</v>
      </c>
      <c r="S1731" s="3">
        <f>student_scores[[#This Row],[Total_Score]]/7</f>
        <v>74</v>
      </c>
      <c r="T1731" s="3" t="str" cm="1">
        <f t="array" ref="T1731">_xlfn.IFS(student_scores[[#This Row],[weekly_self_study_hours]]&lt;=5,   "0 - 5", student_scores[[#This Row],[weekly_self_study_hours]]&lt;=10,  "6 - 10", student_scores[[#This Row],[weekly_self_study_hours]]&lt;=20,  "11 - 20",student_scores[[#This Row],[weekly_self_study_hours]]&lt;=30, "21 - 30",TRUE, "31+")</f>
        <v>0 - 5</v>
      </c>
      <c r="U1731" t="str" cm="1">
        <f t="array" ref="U1731">_xlfn.IFS(student_scores[[#This Row],[absence_days]]=0,"0", student_scores[[#This Row],[absence_days]]&lt;=3,"1-3", student_scores[[#This Row],[absence_days]]&lt;=6,"4-6", TRUE,"7-10")</f>
        <v>7-10</v>
      </c>
      <c r="V1731" t="str">
        <f>IF(student_scores[[#This Row],[Total_Score]] &gt;= _xlfn.PERCENTILE.INC(student_scores[Total_Score], 0.8), "Yes", "No")</f>
        <v>No</v>
      </c>
    </row>
    <row r="1732" spans="1:22" x14ac:dyDescent="0.35">
      <c r="A1732">
        <v>1731</v>
      </c>
      <c r="B1732" t="s">
        <v>596</v>
      </c>
      <c r="C1732" t="s">
        <v>42</v>
      </c>
      <c r="D1732" t="s">
        <v>2823</v>
      </c>
      <c r="E1732" t="s">
        <v>20</v>
      </c>
      <c r="F1732" t="b">
        <v>1</v>
      </c>
      <c r="G1732">
        <v>5</v>
      </c>
      <c r="H1732" t="b">
        <v>0</v>
      </c>
      <c r="I1732">
        <v>15</v>
      </c>
      <c r="J1732" t="s">
        <v>44</v>
      </c>
      <c r="K1732">
        <v>85</v>
      </c>
      <c r="L1732">
        <v>76</v>
      </c>
      <c r="M1732">
        <v>61</v>
      </c>
      <c r="N1732">
        <v>93</v>
      </c>
      <c r="O1732">
        <v>98</v>
      </c>
      <c r="P1732">
        <v>87</v>
      </c>
      <c r="Q1732">
        <v>67</v>
      </c>
      <c r="R1732">
        <f>SUM(student_scores[[#This Row],[math_score]:[geography_score]])</f>
        <v>567</v>
      </c>
      <c r="S1732" s="3">
        <f>student_scores[[#This Row],[Total_Score]]/7</f>
        <v>81</v>
      </c>
      <c r="T1732" s="3" t="str" cm="1">
        <f t="array" ref="T1732">_xlfn.IFS(student_scores[[#This Row],[weekly_self_study_hours]]&lt;=5,   "0 - 5", student_scores[[#This Row],[weekly_self_study_hours]]&lt;=10,  "6 - 10", student_scores[[#This Row],[weekly_self_study_hours]]&lt;=20,  "11 - 20",student_scores[[#This Row],[weekly_self_study_hours]]&lt;=30, "21 - 30",TRUE, "31+")</f>
        <v>11 - 20</v>
      </c>
      <c r="U1732" t="str" cm="1">
        <f t="array" ref="U1732">_xlfn.IFS(student_scores[[#This Row],[absence_days]]=0,"0", student_scores[[#This Row],[absence_days]]&lt;=3,"1-3", student_scores[[#This Row],[absence_days]]&lt;=6,"4-6", TRUE,"7-10")</f>
        <v>4-6</v>
      </c>
      <c r="V1732" t="str">
        <f>IF(student_scores[[#This Row],[Total_Score]] &gt;= _xlfn.PERCENTILE.INC(student_scores[Total_Score], 0.8), "Yes", "No")</f>
        <v>No</v>
      </c>
    </row>
    <row r="1733" spans="1:22" x14ac:dyDescent="0.35">
      <c r="A1733">
        <v>1732</v>
      </c>
      <c r="B1733" t="s">
        <v>214</v>
      </c>
      <c r="C1733" t="s">
        <v>2136</v>
      </c>
      <c r="D1733" t="s">
        <v>2824</v>
      </c>
      <c r="E1733" t="s">
        <v>20</v>
      </c>
      <c r="F1733" t="b">
        <v>0</v>
      </c>
      <c r="G1733">
        <v>4</v>
      </c>
      <c r="H1733" t="b">
        <v>0</v>
      </c>
      <c r="I1733">
        <v>32</v>
      </c>
      <c r="J1733" t="s">
        <v>21</v>
      </c>
      <c r="K1733">
        <v>87</v>
      </c>
      <c r="L1733">
        <v>82</v>
      </c>
      <c r="M1733">
        <v>74</v>
      </c>
      <c r="N1733">
        <v>77</v>
      </c>
      <c r="O1733">
        <v>100</v>
      </c>
      <c r="P1733">
        <v>93</v>
      </c>
      <c r="Q1733">
        <v>65</v>
      </c>
      <c r="R1733">
        <f>SUM(student_scores[[#This Row],[math_score]:[geography_score]])</f>
        <v>578</v>
      </c>
      <c r="S1733" s="3">
        <f>student_scores[[#This Row],[Total_Score]]/7</f>
        <v>82.571428571428569</v>
      </c>
      <c r="T1733" s="3" t="str" cm="1">
        <f t="array" ref="T1733">_xlfn.IFS(student_scores[[#This Row],[weekly_self_study_hours]]&lt;=5,   "0 - 5", student_scores[[#This Row],[weekly_self_study_hours]]&lt;=10,  "6 - 10", student_scores[[#This Row],[weekly_self_study_hours]]&lt;=20,  "11 - 20",student_scores[[#This Row],[weekly_self_study_hours]]&lt;=30, "21 - 30",TRUE, "31+")</f>
        <v>31+</v>
      </c>
      <c r="U1733" t="str" cm="1">
        <f t="array" ref="U1733">_xlfn.IFS(student_scores[[#This Row],[absence_days]]=0,"0", student_scores[[#This Row],[absence_days]]&lt;=3,"1-3", student_scores[[#This Row],[absence_days]]&lt;=6,"4-6", TRUE,"7-10")</f>
        <v>4-6</v>
      </c>
      <c r="V1733" t="str">
        <f>IF(student_scores[[#This Row],[Total_Score]] &gt;= _xlfn.PERCENTILE.INC(student_scores[Total_Score], 0.8), "Yes", "No")</f>
        <v>No</v>
      </c>
    </row>
    <row r="1734" spans="1:22" x14ac:dyDescent="0.35">
      <c r="A1734">
        <v>1733</v>
      </c>
      <c r="B1734" t="s">
        <v>2825</v>
      </c>
      <c r="C1734" t="s">
        <v>927</v>
      </c>
      <c r="D1734" t="s">
        <v>2826</v>
      </c>
      <c r="E1734" t="s">
        <v>20</v>
      </c>
      <c r="F1734" t="b">
        <v>1</v>
      </c>
      <c r="G1734">
        <v>5</v>
      </c>
      <c r="H1734" t="b">
        <v>0</v>
      </c>
      <c r="I1734">
        <v>4</v>
      </c>
      <c r="J1734" t="s">
        <v>64</v>
      </c>
      <c r="K1734">
        <v>77</v>
      </c>
      <c r="L1734">
        <v>58</v>
      </c>
      <c r="M1734">
        <v>90</v>
      </c>
      <c r="N1734">
        <v>72</v>
      </c>
      <c r="O1734">
        <v>75</v>
      </c>
      <c r="P1734">
        <v>88</v>
      </c>
      <c r="Q1734">
        <v>90</v>
      </c>
      <c r="R1734">
        <f>SUM(student_scores[[#This Row],[math_score]:[geography_score]])</f>
        <v>550</v>
      </c>
      <c r="S1734" s="3">
        <f>student_scores[[#This Row],[Total_Score]]/7</f>
        <v>78.571428571428569</v>
      </c>
      <c r="T1734" s="3" t="str" cm="1">
        <f t="array" ref="T1734">_xlfn.IFS(student_scores[[#This Row],[weekly_self_study_hours]]&lt;=5,   "0 - 5", student_scores[[#This Row],[weekly_self_study_hours]]&lt;=10,  "6 - 10", student_scores[[#This Row],[weekly_self_study_hours]]&lt;=20,  "11 - 20",student_scores[[#This Row],[weekly_self_study_hours]]&lt;=30, "21 - 30",TRUE, "31+")</f>
        <v>0 - 5</v>
      </c>
      <c r="U1734" t="str" cm="1">
        <f t="array" ref="U1734">_xlfn.IFS(student_scores[[#This Row],[absence_days]]=0,"0", student_scores[[#This Row],[absence_days]]&lt;=3,"1-3", student_scores[[#This Row],[absence_days]]&lt;=6,"4-6", TRUE,"7-10")</f>
        <v>4-6</v>
      </c>
      <c r="V1734" t="str">
        <f>IF(student_scores[[#This Row],[Total_Score]] &gt;= _xlfn.PERCENTILE.INC(student_scores[Total_Score], 0.8), "Yes", "No")</f>
        <v>No</v>
      </c>
    </row>
    <row r="1735" spans="1:22" x14ac:dyDescent="0.35">
      <c r="A1735">
        <v>1734</v>
      </c>
      <c r="B1735" t="s">
        <v>89</v>
      </c>
      <c r="C1735" t="s">
        <v>2827</v>
      </c>
      <c r="D1735" t="s">
        <v>2828</v>
      </c>
      <c r="E1735" t="s">
        <v>20</v>
      </c>
      <c r="F1735" t="b">
        <v>0</v>
      </c>
      <c r="G1735">
        <v>1</v>
      </c>
      <c r="H1735" t="b">
        <v>0</v>
      </c>
      <c r="I1735">
        <v>31</v>
      </c>
      <c r="J1735" t="s">
        <v>76</v>
      </c>
      <c r="K1735">
        <v>85</v>
      </c>
      <c r="L1735">
        <v>60</v>
      </c>
      <c r="M1735">
        <v>92</v>
      </c>
      <c r="N1735">
        <v>92</v>
      </c>
      <c r="O1735">
        <v>85</v>
      </c>
      <c r="P1735">
        <v>62</v>
      </c>
      <c r="Q1735">
        <v>84</v>
      </c>
      <c r="R1735">
        <f>SUM(student_scores[[#This Row],[math_score]:[geography_score]])</f>
        <v>560</v>
      </c>
      <c r="S1735" s="3">
        <f>student_scores[[#This Row],[Total_Score]]/7</f>
        <v>80</v>
      </c>
      <c r="T1735" s="3" t="str" cm="1">
        <f t="array" ref="T1735">_xlfn.IFS(student_scores[[#This Row],[weekly_self_study_hours]]&lt;=5,   "0 - 5", student_scores[[#This Row],[weekly_self_study_hours]]&lt;=10,  "6 - 10", student_scores[[#This Row],[weekly_self_study_hours]]&lt;=20,  "11 - 20",student_scores[[#This Row],[weekly_self_study_hours]]&lt;=30, "21 - 30",TRUE, "31+")</f>
        <v>31+</v>
      </c>
      <c r="U1735" t="str" cm="1">
        <f t="array" ref="U1735">_xlfn.IFS(student_scores[[#This Row],[absence_days]]=0,"0", student_scores[[#This Row],[absence_days]]&lt;=3,"1-3", student_scores[[#This Row],[absence_days]]&lt;=6,"4-6", TRUE,"7-10")</f>
        <v>1-3</v>
      </c>
      <c r="V1735" t="str">
        <f>IF(student_scores[[#This Row],[Total_Score]] &gt;= _xlfn.PERCENTILE.INC(student_scores[Total_Score], 0.8), "Yes", "No")</f>
        <v>No</v>
      </c>
    </row>
    <row r="1736" spans="1:22" x14ac:dyDescent="0.35">
      <c r="A1736">
        <v>1735</v>
      </c>
      <c r="B1736" t="s">
        <v>2829</v>
      </c>
      <c r="C1736" t="s">
        <v>2830</v>
      </c>
      <c r="D1736" t="s">
        <v>2831</v>
      </c>
      <c r="E1736" t="s">
        <v>20</v>
      </c>
      <c r="F1736" t="b">
        <v>0</v>
      </c>
      <c r="G1736">
        <v>2</v>
      </c>
      <c r="H1736" t="b">
        <v>0</v>
      </c>
      <c r="I1736">
        <v>19</v>
      </c>
      <c r="J1736" t="s">
        <v>44</v>
      </c>
      <c r="K1736">
        <v>91</v>
      </c>
      <c r="L1736">
        <v>69</v>
      </c>
      <c r="M1736">
        <v>90</v>
      </c>
      <c r="N1736">
        <v>76</v>
      </c>
      <c r="O1736">
        <v>79</v>
      </c>
      <c r="P1736">
        <v>80</v>
      </c>
      <c r="Q1736">
        <v>82</v>
      </c>
      <c r="R1736">
        <f>SUM(student_scores[[#This Row],[math_score]:[geography_score]])</f>
        <v>567</v>
      </c>
      <c r="S1736" s="3">
        <f>student_scores[[#This Row],[Total_Score]]/7</f>
        <v>81</v>
      </c>
      <c r="T1736" s="3" t="str" cm="1">
        <f t="array" ref="T1736">_xlfn.IFS(student_scores[[#This Row],[weekly_self_study_hours]]&lt;=5,   "0 - 5", student_scores[[#This Row],[weekly_self_study_hours]]&lt;=10,  "6 - 10", student_scores[[#This Row],[weekly_self_study_hours]]&lt;=20,  "11 - 20",student_scores[[#This Row],[weekly_self_study_hours]]&lt;=30, "21 - 30",TRUE, "31+")</f>
        <v>11 - 20</v>
      </c>
      <c r="U1736" t="str" cm="1">
        <f t="array" ref="U1736">_xlfn.IFS(student_scores[[#This Row],[absence_days]]=0,"0", student_scores[[#This Row],[absence_days]]&lt;=3,"1-3", student_scores[[#This Row],[absence_days]]&lt;=6,"4-6", TRUE,"7-10")</f>
        <v>1-3</v>
      </c>
      <c r="V1736" t="str">
        <f>IF(student_scores[[#This Row],[Total_Score]] &gt;= _xlfn.PERCENTILE.INC(student_scores[Total_Score], 0.8), "Yes", "No")</f>
        <v>No</v>
      </c>
    </row>
    <row r="1737" spans="1:22" x14ac:dyDescent="0.35">
      <c r="A1737">
        <v>1736</v>
      </c>
      <c r="B1737" t="s">
        <v>2832</v>
      </c>
      <c r="C1737" t="s">
        <v>200</v>
      </c>
      <c r="D1737" t="s">
        <v>2833</v>
      </c>
      <c r="E1737" t="s">
        <v>25</v>
      </c>
      <c r="F1737" t="b">
        <v>0</v>
      </c>
      <c r="G1737">
        <v>1</v>
      </c>
      <c r="H1737" t="b">
        <v>0</v>
      </c>
      <c r="I1737">
        <v>16</v>
      </c>
      <c r="J1737" t="s">
        <v>44</v>
      </c>
      <c r="K1737">
        <v>86</v>
      </c>
      <c r="L1737">
        <v>96</v>
      </c>
      <c r="M1737">
        <v>83</v>
      </c>
      <c r="N1737">
        <v>78</v>
      </c>
      <c r="O1737">
        <v>71</v>
      </c>
      <c r="P1737">
        <v>78</v>
      </c>
      <c r="Q1737">
        <v>75</v>
      </c>
      <c r="R1737">
        <f>SUM(student_scores[[#This Row],[math_score]:[geography_score]])</f>
        <v>567</v>
      </c>
      <c r="S1737" s="3">
        <f>student_scores[[#This Row],[Total_Score]]/7</f>
        <v>81</v>
      </c>
      <c r="T1737" s="3" t="str" cm="1">
        <f t="array" ref="T1737">_xlfn.IFS(student_scores[[#This Row],[weekly_self_study_hours]]&lt;=5,   "0 - 5", student_scores[[#This Row],[weekly_self_study_hours]]&lt;=10,  "6 - 10", student_scores[[#This Row],[weekly_self_study_hours]]&lt;=20,  "11 - 20",student_scores[[#This Row],[weekly_self_study_hours]]&lt;=30, "21 - 30",TRUE, "31+")</f>
        <v>11 - 20</v>
      </c>
      <c r="U1737" t="str" cm="1">
        <f t="array" ref="U1737">_xlfn.IFS(student_scores[[#This Row],[absence_days]]=0,"0", student_scores[[#This Row],[absence_days]]&lt;=3,"1-3", student_scores[[#This Row],[absence_days]]&lt;=6,"4-6", TRUE,"7-10")</f>
        <v>1-3</v>
      </c>
      <c r="V1737" t="str">
        <f>IF(student_scores[[#This Row],[Total_Score]] &gt;= _xlfn.PERCENTILE.INC(student_scores[Total_Score], 0.8), "Yes", "No")</f>
        <v>No</v>
      </c>
    </row>
    <row r="1738" spans="1:22" x14ac:dyDescent="0.35">
      <c r="A1738">
        <v>1737</v>
      </c>
      <c r="B1738" t="s">
        <v>2606</v>
      </c>
      <c r="C1738" t="s">
        <v>501</v>
      </c>
      <c r="D1738" t="s">
        <v>2834</v>
      </c>
      <c r="E1738" t="s">
        <v>20</v>
      </c>
      <c r="F1738" t="b">
        <v>0</v>
      </c>
      <c r="G1738">
        <v>1</v>
      </c>
      <c r="H1738" t="b">
        <v>0</v>
      </c>
      <c r="I1738">
        <v>29</v>
      </c>
      <c r="J1738" t="s">
        <v>21</v>
      </c>
      <c r="K1738">
        <v>78</v>
      </c>
      <c r="L1738">
        <v>80</v>
      </c>
      <c r="M1738">
        <v>72</v>
      </c>
      <c r="N1738">
        <v>65</v>
      </c>
      <c r="O1738">
        <v>90</v>
      </c>
      <c r="P1738">
        <v>99</v>
      </c>
      <c r="Q1738">
        <v>95</v>
      </c>
      <c r="R1738">
        <f>SUM(student_scores[[#This Row],[math_score]:[geography_score]])</f>
        <v>579</v>
      </c>
      <c r="S1738" s="3">
        <f>student_scores[[#This Row],[Total_Score]]/7</f>
        <v>82.714285714285708</v>
      </c>
      <c r="T1738" s="3" t="str" cm="1">
        <f t="array" ref="T1738">_xlfn.IFS(student_scores[[#This Row],[weekly_self_study_hours]]&lt;=5,   "0 - 5", student_scores[[#This Row],[weekly_self_study_hours]]&lt;=10,  "6 - 10", student_scores[[#This Row],[weekly_self_study_hours]]&lt;=20,  "11 - 20",student_scores[[#This Row],[weekly_self_study_hours]]&lt;=30, "21 - 30",TRUE, "31+")</f>
        <v>21 - 30</v>
      </c>
      <c r="U1738" t="str" cm="1">
        <f t="array" ref="U1738">_xlfn.IFS(student_scores[[#This Row],[absence_days]]=0,"0", student_scores[[#This Row],[absence_days]]&lt;=3,"1-3", student_scores[[#This Row],[absence_days]]&lt;=6,"4-6", TRUE,"7-10")</f>
        <v>1-3</v>
      </c>
      <c r="V1738" t="str">
        <f>IF(student_scores[[#This Row],[Total_Score]] &gt;= _xlfn.PERCENTILE.INC(student_scores[Total_Score], 0.8), "Yes", "No")</f>
        <v>No</v>
      </c>
    </row>
    <row r="1739" spans="1:22" x14ac:dyDescent="0.35">
      <c r="A1739">
        <v>1738</v>
      </c>
      <c r="B1739" t="s">
        <v>214</v>
      </c>
      <c r="C1739" t="s">
        <v>375</v>
      </c>
      <c r="D1739" t="s">
        <v>2835</v>
      </c>
      <c r="E1739" t="s">
        <v>20</v>
      </c>
      <c r="F1739" t="b">
        <v>0</v>
      </c>
      <c r="G1739">
        <v>3</v>
      </c>
      <c r="H1739" t="b">
        <v>0</v>
      </c>
      <c r="I1739">
        <v>26</v>
      </c>
      <c r="J1739" t="s">
        <v>21</v>
      </c>
      <c r="K1739">
        <v>71</v>
      </c>
      <c r="L1739">
        <v>92</v>
      </c>
      <c r="M1739">
        <v>92</v>
      </c>
      <c r="N1739">
        <v>96</v>
      </c>
      <c r="O1739">
        <v>81</v>
      </c>
      <c r="P1739">
        <v>81</v>
      </c>
      <c r="Q1739">
        <v>85</v>
      </c>
      <c r="R1739">
        <f>SUM(student_scores[[#This Row],[math_score]:[geography_score]])</f>
        <v>598</v>
      </c>
      <c r="S1739" s="3">
        <f>student_scores[[#This Row],[Total_Score]]/7</f>
        <v>85.428571428571431</v>
      </c>
      <c r="T1739" s="3" t="str" cm="1">
        <f t="array" ref="T1739">_xlfn.IFS(student_scores[[#This Row],[weekly_self_study_hours]]&lt;=5,   "0 - 5", student_scores[[#This Row],[weekly_self_study_hours]]&lt;=10,  "6 - 10", student_scores[[#This Row],[weekly_self_study_hours]]&lt;=20,  "11 - 20",student_scores[[#This Row],[weekly_self_study_hours]]&lt;=30, "21 - 30",TRUE, "31+")</f>
        <v>21 - 30</v>
      </c>
      <c r="U1739" t="str" cm="1">
        <f t="array" ref="U1739">_xlfn.IFS(student_scores[[#This Row],[absence_days]]=0,"0", student_scores[[#This Row],[absence_days]]&lt;=3,"1-3", student_scores[[#This Row],[absence_days]]&lt;=6,"4-6", TRUE,"7-10")</f>
        <v>1-3</v>
      </c>
      <c r="V1739" t="str">
        <f>IF(student_scores[[#This Row],[Total_Score]] &gt;= _xlfn.PERCENTILE.INC(student_scores[Total_Score], 0.8), "Yes", "No")</f>
        <v>No</v>
      </c>
    </row>
    <row r="1740" spans="1:22" x14ac:dyDescent="0.35">
      <c r="A1740">
        <v>1739</v>
      </c>
      <c r="B1740" t="s">
        <v>676</v>
      </c>
      <c r="C1740" t="s">
        <v>1121</v>
      </c>
      <c r="D1740" t="s">
        <v>2836</v>
      </c>
      <c r="E1740" t="s">
        <v>20</v>
      </c>
      <c r="F1740" t="b">
        <v>1</v>
      </c>
      <c r="G1740">
        <v>4</v>
      </c>
      <c r="H1740" t="b">
        <v>0</v>
      </c>
      <c r="I1740">
        <v>27</v>
      </c>
      <c r="J1740" t="s">
        <v>21</v>
      </c>
      <c r="K1740">
        <v>72</v>
      </c>
      <c r="L1740">
        <v>85</v>
      </c>
      <c r="M1740">
        <v>92</v>
      </c>
      <c r="N1740">
        <v>83</v>
      </c>
      <c r="O1740">
        <v>84</v>
      </c>
      <c r="P1740">
        <v>96</v>
      </c>
      <c r="Q1740">
        <v>81</v>
      </c>
      <c r="R1740">
        <f>SUM(student_scores[[#This Row],[math_score]:[geography_score]])</f>
        <v>593</v>
      </c>
      <c r="S1740" s="3">
        <f>student_scores[[#This Row],[Total_Score]]/7</f>
        <v>84.714285714285708</v>
      </c>
      <c r="T1740" s="3" t="str" cm="1">
        <f t="array" ref="T1740">_xlfn.IFS(student_scores[[#This Row],[weekly_self_study_hours]]&lt;=5,   "0 - 5", student_scores[[#This Row],[weekly_self_study_hours]]&lt;=10,  "6 - 10", student_scores[[#This Row],[weekly_self_study_hours]]&lt;=20,  "11 - 20",student_scores[[#This Row],[weekly_self_study_hours]]&lt;=30, "21 - 30",TRUE, "31+")</f>
        <v>21 - 30</v>
      </c>
      <c r="U1740" t="str" cm="1">
        <f t="array" ref="U1740">_xlfn.IFS(student_scores[[#This Row],[absence_days]]=0,"0", student_scores[[#This Row],[absence_days]]&lt;=3,"1-3", student_scores[[#This Row],[absence_days]]&lt;=6,"4-6", TRUE,"7-10")</f>
        <v>4-6</v>
      </c>
      <c r="V1740" t="str">
        <f>IF(student_scores[[#This Row],[Total_Score]] &gt;= _xlfn.PERCENTILE.INC(student_scores[Total_Score], 0.8), "Yes", "No")</f>
        <v>No</v>
      </c>
    </row>
    <row r="1741" spans="1:22" x14ac:dyDescent="0.35">
      <c r="A1741">
        <v>1740</v>
      </c>
      <c r="B1741" t="s">
        <v>300</v>
      </c>
      <c r="C1741" t="s">
        <v>305</v>
      </c>
      <c r="D1741" t="s">
        <v>2837</v>
      </c>
      <c r="E1741" t="s">
        <v>20</v>
      </c>
      <c r="F1741" t="b">
        <v>0</v>
      </c>
      <c r="G1741">
        <v>3</v>
      </c>
      <c r="H1741" t="b">
        <v>0</v>
      </c>
      <c r="I1741">
        <v>35</v>
      </c>
      <c r="J1741" t="s">
        <v>44</v>
      </c>
      <c r="K1741">
        <v>88</v>
      </c>
      <c r="L1741">
        <v>92</v>
      </c>
      <c r="M1741">
        <v>88</v>
      </c>
      <c r="N1741">
        <v>100</v>
      </c>
      <c r="O1741">
        <v>89</v>
      </c>
      <c r="P1741">
        <v>94</v>
      </c>
      <c r="Q1741">
        <v>87</v>
      </c>
      <c r="R1741">
        <f>SUM(student_scores[[#This Row],[math_score]:[geography_score]])</f>
        <v>638</v>
      </c>
      <c r="S1741" s="3">
        <f>student_scores[[#This Row],[Total_Score]]/7</f>
        <v>91.142857142857139</v>
      </c>
      <c r="T1741" s="3" t="str" cm="1">
        <f t="array" ref="T1741">_xlfn.IFS(student_scores[[#This Row],[weekly_self_study_hours]]&lt;=5,   "0 - 5", student_scores[[#This Row],[weekly_self_study_hours]]&lt;=10,  "6 - 10", student_scores[[#This Row],[weekly_self_study_hours]]&lt;=20,  "11 - 20",student_scores[[#This Row],[weekly_self_study_hours]]&lt;=30, "21 - 30",TRUE, "31+")</f>
        <v>31+</v>
      </c>
      <c r="U1741" t="str" cm="1">
        <f t="array" ref="U1741">_xlfn.IFS(student_scores[[#This Row],[absence_days]]=0,"0", student_scores[[#This Row],[absence_days]]&lt;=3,"1-3", student_scores[[#This Row],[absence_days]]&lt;=6,"4-6", TRUE,"7-10")</f>
        <v>1-3</v>
      </c>
      <c r="V1741" t="str">
        <f>IF(student_scores[[#This Row],[Total_Score]] &gt;= _xlfn.PERCENTILE.INC(student_scores[Total_Score], 0.8), "Yes", "No")</f>
        <v>Yes</v>
      </c>
    </row>
    <row r="1742" spans="1:22" x14ac:dyDescent="0.35">
      <c r="A1742">
        <v>1741</v>
      </c>
      <c r="B1742" t="s">
        <v>2170</v>
      </c>
      <c r="C1742" t="s">
        <v>42</v>
      </c>
      <c r="D1742" t="s">
        <v>2838</v>
      </c>
      <c r="E1742" t="s">
        <v>25</v>
      </c>
      <c r="F1742" t="b">
        <v>0</v>
      </c>
      <c r="G1742">
        <v>5</v>
      </c>
      <c r="H1742" t="b">
        <v>0</v>
      </c>
      <c r="I1742">
        <v>26</v>
      </c>
      <c r="J1742" t="s">
        <v>38</v>
      </c>
      <c r="K1742">
        <v>68</v>
      </c>
      <c r="L1742">
        <v>100</v>
      </c>
      <c r="M1742">
        <v>94</v>
      </c>
      <c r="N1742">
        <v>69</v>
      </c>
      <c r="O1742">
        <v>93</v>
      </c>
      <c r="P1742">
        <v>64</v>
      </c>
      <c r="Q1742">
        <v>93</v>
      </c>
      <c r="R1742">
        <f>SUM(student_scores[[#This Row],[math_score]:[geography_score]])</f>
        <v>581</v>
      </c>
      <c r="S1742" s="3">
        <f>student_scores[[#This Row],[Total_Score]]/7</f>
        <v>83</v>
      </c>
      <c r="T1742" s="3" t="str" cm="1">
        <f t="array" ref="T1742">_xlfn.IFS(student_scores[[#This Row],[weekly_self_study_hours]]&lt;=5,   "0 - 5", student_scores[[#This Row],[weekly_self_study_hours]]&lt;=10,  "6 - 10", student_scores[[#This Row],[weekly_self_study_hours]]&lt;=20,  "11 - 20",student_scores[[#This Row],[weekly_self_study_hours]]&lt;=30, "21 - 30",TRUE, "31+")</f>
        <v>21 - 30</v>
      </c>
      <c r="U1742" t="str" cm="1">
        <f t="array" ref="U1742">_xlfn.IFS(student_scores[[#This Row],[absence_days]]=0,"0", student_scores[[#This Row],[absence_days]]&lt;=3,"1-3", student_scores[[#This Row],[absence_days]]&lt;=6,"4-6", TRUE,"7-10")</f>
        <v>4-6</v>
      </c>
      <c r="V1742" t="str">
        <f>IF(student_scores[[#This Row],[Total_Score]] &gt;= _xlfn.PERCENTILE.INC(student_scores[Total_Score], 0.8), "Yes", "No")</f>
        <v>No</v>
      </c>
    </row>
    <row r="1743" spans="1:22" x14ac:dyDescent="0.35">
      <c r="A1743">
        <v>1742</v>
      </c>
      <c r="B1743" t="s">
        <v>974</v>
      </c>
      <c r="C1743" t="s">
        <v>794</v>
      </c>
      <c r="D1743" t="s">
        <v>2839</v>
      </c>
      <c r="E1743" t="s">
        <v>25</v>
      </c>
      <c r="F1743" t="b">
        <v>1</v>
      </c>
      <c r="G1743">
        <v>2</v>
      </c>
      <c r="H1743" t="b">
        <v>0</v>
      </c>
      <c r="I1743">
        <v>28</v>
      </c>
      <c r="J1743" t="s">
        <v>26</v>
      </c>
      <c r="K1743">
        <v>81</v>
      </c>
      <c r="L1743">
        <v>75</v>
      </c>
      <c r="M1743">
        <v>94</v>
      </c>
      <c r="N1743">
        <v>93</v>
      </c>
      <c r="O1743">
        <v>87</v>
      </c>
      <c r="P1743">
        <v>77</v>
      </c>
      <c r="Q1743">
        <v>67</v>
      </c>
      <c r="R1743">
        <f>SUM(student_scores[[#This Row],[math_score]:[geography_score]])</f>
        <v>574</v>
      </c>
      <c r="S1743" s="3">
        <f>student_scores[[#This Row],[Total_Score]]/7</f>
        <v>82</v>
      </c>
      <c r="T1743" s="3" t="str" cm="1">
        <f t="array" ref="T1743">_xlfn.IFS(student_scores[[#This Row],[weekly_self_study_hours]]&lt;=5,   "0 - 5", student_scores[[#This Row],[weekly_self_study_hours]]&lt;=10,  "6 - 10", student_scores[[#This Row],[weekly_self_study_hours]]&lt;=20,  "11 - 20",student_scores[[#This Row],[weekly_self_study_hours]]&lt;=30, "21 - 30",TRUE, "31+")</f>
        <v>21 - 30</v>
      </c>
      <c r="U1743" t="str" cm="1">
        <f t="array" ref="U1743">_xlfn.IFS(student_scores[[#This Row],[absence_days]]=0,"0", student_scores[[#This Row],[absence_days]]&lt;=3,"1-3", student_scores[[#This Row],[absence_days]]&lt;=6,"4-6", TRUE,"7-10")</f>
        <v>1-3</v>
      </c>
      <c r="V1743" t="str">
        <f>IF(student_scores[[#This Row],[Total_Score]] &gt;= _xlfn.PERCENTILE.INC(student_scores[Total_Score], 0.8), "Yes", "No")</f>
        <v>No</v>
      </c>
    </row>
    <row r="1744" spans="1:22" x14ac:dyDescent="0.35">
      <c r="A1744">
        <v>1743</v>
      </c>
      <c r="B1744" t="s">
        <v>1171</v>
      </c>
      <c r="C1744" t="s">
        <v>135</v>
      </c>
      <c r="D1744" t="s">
        <v>2840</v>
      </c>
      <c r="E1744" t="s">
        <v>20</v>
      </c>
      <c r="F1744" t="b">
        <v>1</v>
      </c>
      <c r="G1744">
        <v>1</v>
      </c>
      <c r="H1744" t="b">
        <v>0</v>
      </c>
      <c r="I1744">
        <v>32</v>
      </c>
      <c r="J1744" t="s">
        <v>105</v>
      </c>
      <c r="K1744">
        <v>92</v>
      </c>
      <c r="L1744">
        <v>69</v>
      </c>
      <c r="M1744">
        <v>92</v>
      </c>
      <c r="N1744">
        <v>91</v>
      </c>
      <c r="O1744">
        <v>82</v>
      </c>
      <c r="P1744">
        <v>89</v>
      </c>
      <c r="Q1744">
        <v>69</v>
      </c>
      <c r="R1744">
        <f>SUM(student_scores[[#This Row],[math_score]:[geography_score]])</f>
        <v>584</v>
      </c>
      <c r="S1744" s="3">
        <f>student_scores[[#This Row],[Total_Score]]/7</f>
        <v>83.428571428571431</v>
      </c>
      <c r="T1744" s="3" t="str" cm="1">
        <f t="array" ref="T1744">_xlfn.IFS(student_scores[[#This Row],[weekly_self_study_hours]]&lt;=5,   "0 - 5", student_scores[[#This Row],[weekly_self_study_hours]]&lt;=10,  "6 - 10", student_scores[[#This Row],[weekly_self_study_hours]]&lt;=20,  "11 - 20",student_scores[[#This Row],[weekly_self_study_hours]]&lt;=30, "21 - 30",TRUE, "31+")</f>
        <v>31+</v>
      </c>
      <c r="U1744" t="str" cm="1">
        <f t="array" ref="U1744">_xlfn.IFS(student_scores[[#This Row],[absence_days]]=0,"0", student_scores[[#This Row],[absence_days]]&lt;=3,"1-3", student_scores[[#This Row],[absence_days]]&lt;=6,"4-6", TRUE,"7-10")</f>
        <v>1-3</v>
      </c>
      <c r="V1744" t="str">
        <f>IF(student_scores[[#This Row],[Total_Score]] &gt;= _xlfn.PERCENTILE.INC(student_scores[Total_Score], 0.8), "Yes", "No")</f>
        <v>No</v>
      </c>
    </row>
    <row r="1745" spans="1:22" x14ac:dyDescent="0.35">
      <c r="A1745">
        <v>1744</v>
      </c>
      <c r="B1745" t="s">
        <v>568</v>
      </c>
      <c r="C1745" t="s">
        <v>95</v>
      </c>
      <c r="D1745" t="s">
        <v>2841</v>
      </c>
      <c r="E1745" t="s">
        <v>20</v>
      </c>
      <c r="F1745" t="b">
        <v>0</v>
      </c>
      <c r="G1745">
        <v>0</v>
      </c>
      <c r="H1745" t="b">
        <v>0</v>
      </c>
      <c r="I1745">
        <v>33</v>
      </c>
      <c r="J1745" t="s">
        <v>113</v>
      </c>
      <c r="K1745">
        <v>84</v>
      </c>
      <c r="L1745">
        <v>64</v>
      </c>
      <c r="M1745">
        <v>82</v>
      </c>
      <c r="N1745">
        <v>81</v>
      </c>
      <c r="O1745">
        <v>85</v>
      </c>
      <c r="P1745">
        <v>84</v>
      </c>
      <c r="Q1745">
        <v>89</v>
      </c>
      <c r="R1745">
        <f>SUM(student_scores[[#This Row],[math_score]:[geography_score]])</f>
        <v>569</v>
      </c>
      <c r="S1745" s="3">
        <f>student_scores[[#This Row],[Total_Score]]/7</f>
        <v>81.285714285714292</v>
      </c>
      <c r="T1745" s="3" t="str" cm="1">
        <f t="array" ref="T1745">_xlfn.IFS(student_scores[[#This Row],[weekly_self_study_hours]]&lt;=5,   "0 - 5", student_scores[[#This Row],[weekly_self_study_hours]]&lt;=10,  "6 - 10", student_scores[[#This Row],[weekly_self_study_hours]]&lt;=20,  "11 - 20",student_scores[[#This Row],[weekly_self_study_hours]]&lt;=30, "21 - 30",TRUE, "31+")</f>
        <v>31+</v>
      </c>
      <c r="U1745" t="str" cm="1">
        <f t="array" ref="U1745">_xlfn.IFS(student_scores[[#This Row],[absence_days]]=0,"0", student_scores[[#This Row],[absence_days]]&lt;=3,"1-3", student_scores[[#This Row],[absence_days]]&lt;=6,"4-6", TRUE,"7-10")</f>
        <v>0</v>
      </c>
      <c r="V1745" t="str">
        <f>IF(student_scores[[#This Row],[Total_Score]] &gt;= _xlfn.PERCENTILE.INC(student_scores[Total_Score], 0.8), "Yes", "No")</f>
        <v>No</v>
      </c>
    </row>
    <row r="1746" spans="1:22" x14ac:dyDescent="0.35">
      <c r="A1746">
        <v>1745</v>
      </c>
      <c r="B1746" t="s">
        <v>816</v>
      </c>
      <c r="C1746" t="s">
        <v>766</v>
      </c>
      <c r="D1746" t="s">
        <v>2842</v>
      </c>
      <c r="E1746" t="s">
        <v>25</v>
      </c>
      <c r="F1746" t="b">
        <v>0</v>
      </c>
      <c r="G1746">
        <v>2</v>
      </c>
      <c r="H1746" t="b">
        <v>1</v>
      </c>
      <c r="I1746">
        <v>18</v>
      </c>
      <c r="J1746" t="s">
        <v>172</v>
      </c>
      <c r="K1746">
        <v>89</v>
      </c>
      <c r="L1746">
        <v>60</v>
      </c>
      <c r="M1746">
        <v>82</v>
      </c>
      <c r="N1746">
        <v>90</v>
      </c>
      <c r="O1746">
        <v>96</v>
      </c>
      <c r="P1746">
        <v>67</v>
      </c>
      <c r="Q1746">
        <v>68</v>
      </c>
      <c r="R1746">
        <f>SUM(student_scores[[#This Row],[math_score]:[geography_score]])</f>
        <v>552</v>
      </c>
      <c r="S1746" s="3">
        <f>student_scores[[#This Row],[Total_Score]]/7</f>
        <v>78.857142857142861</v>
      </c>
      <c r="T1746" s="3" t="str" cm="1">
        <f t="array" ref="T1746">_xlfn.IFS(student_scores[[#This Row],[weekly_self_study_hours]]&lt;=5,   "0 - 5", student_scores[[#This Row],[weekly_self_study_hours]]&lt;=10,  "6 - 10", student_scores[[#This Row],[weekly_self_study_hours]]&lt;=20,  "11 - 20",student_scores[[#This Row],[weekly_self_study_hours]]&lt;=30, "21 - 30",TRUE, "31+")</f>
        <v>11 - 20</v>
      </c>
      <c r="U1746" t="str" cm="1">
        <f t="array" ref="U1746">_xlfn.IFS(student_scores[[#This Row],[absence_days]]=0,"0", student_scores[[#This Row],[absence_days]]&lt;=3,"1-3", student_scores[[#This Row],[absence_days]]&lt;=6,"4-6", TRUE,"7-10")</f>
        <v>1-3</v>
      </c>
      <c r="V1746" t="str">
        <f>IF(student_scores[[#This Row],[Total_Score]] &gt;= _xlfn.PERCENTILE.INC(student_scores[Total_Score], 0.8), "Yes", "No")</f>
        <v>No</v>
      </c>
    </row>
    <row r="1747" spans="1:22" x14ac:dyDescent="0.35">
      <c r="A1747">
        <v>1746</v>
      </c>
      <c r="B1747" t="s">
        <v>160</v>
      </c>
      <c r="C1747" t="s">
        <v>2843</v>
      </c>
      <c r="D1747" t="s">
        <v>2844</v>
      </c>
      <c r="E1747" t="s">
        <v>20</v>
      </c>
      <c r="F1747" t="b">
        <v>0</v>
      </c>
      <c r="G1747">
        <v>1</v>
      </c>
      <c r="H1747" t="b">
        <v>0</v>
      </c>
      <c r="I1747">
        <v>18</v>
      </c>
      <c r="J1747" t="s">
        <v>44</v>
      </c>
      <c r="K1747">
        <v>94</v>
      </c>
      <c r="L1747">
        <v>66</v>
      </c>
      <c r="M1747">
        <v>84</v>
      </c>
      <c r="N1747">
        <v>92</v>
      </c>
      <c r="O1747">
        <v>71</v>
      </c>
      <c r="P1747">
        <v>81</v>
      </c>
      <c r="Q1747">
        <v>99</v>
      </c>
      <c r="R1747">
        <f>SUM(student_scores[[#This Row],[math_score]:[geography_score]])</f>
        <v>587</v>
      </c>
      <c r="S1747" s="3">
        <f>student_scores[[#This Row],[Total_Score]]/7</f>
        <v>83.857142857142861</v>
      </c>
      <c r="T1747" s="3" t="str" cm="1">
        <f t="array" ref="T1747">_xlfn.IFS(student_scores[[#This Row],[weekly_self_study_hours]]&lt;=5,   "0 - 5", student_scores[[#This Row],[weekly_self_study_hours]]&lt;=10,  "6 - 10", student_scores[[#This Row],[weekly_self_study_hours]]&lt;=20,  "11 - 20",student_scores[[#This Row],[weekly_self_study_hours]]&lt;=30, "21 - 30",TRUE, "31+")</f>
        <v>11 - 20</v>
      </c>
      <c r="U1747" t="str" cm="1">
        <f t="array" ref="U1747">_xlfn.IFS(student_scores[[#This Row],[absence_days]]=0,"0", student_scores[[#This Row],[absence_days]]&lt;=3,"1-3", student_scores[[#This Row],[absence_days]]&lt;=6,"4-6", TRUE,"7-10")</f>
        <v>1-3</v>
      </c>
      <c r="V1747" t="str">
        <f>IF(student_scores[[#This Row],[Total_Score]] &gt;= _xlfn.PERCENTILE.INC(student_scores[Total_Score], 0.8), "Yes", "No")</f>
        <v>No</v>
      </c>
    </row>
    <row r="1748" spans="1:22" x14ac:dyDescent="0.35">
      <c r="A1748">
        <v>1747</v>
      </c>
      <c r="B1748" t="s">
        <v>2845</v>
      </c>
      <c r="C1748" t="s">
        <v>281</v>
      </c>
      <c r="D1748" t="s">
        <v>2846</v>
      </c>
      <c r="E1748" t="s">
        <v>25</v>
      </c>
      <c r="F1748" t="b">
        <v>0</v>
      </c>
      <c r="G1748">
        <v>1</v>
      </c>
      <c r="H1748" t="b">
        <v>1</v>
      </c>
      <c r="I1748">
        <v>9</v>
      </c>
      <c r="J1748" t="s">
        <v>38</v>
      </c>
      <c r="K1748">
        <v>64</v>
      </c>
      <c r="L1748">
        <v>89</v>
      </c>
      <c r="M1748">
        <v>91</v>
      </c>
      <c r="N1748">
        <v>99</v>
      </c>
      <c r="O1748">
        <v>60</v>
      </c>
      <c r="P1748">
        <v>98</v>
      </c>
      <c r="Q1748">
        <v>93</v>
      </c>
      <c r="R1748">
        <f>SUM(student_scores[[#This Row],[math_score]:[geography_score]])</f>
        <v>594</v>
      </c>
      <c r="S1748" s="3">
        <f>student_scores[[#This Row],[Total_Score]]/7</f>
        <v>84.857142857142861</v>
      </c>
      <c r="T1748" s="3" t="str" cm="1">
        <f t="array" ref="T1748">_xlfn.IFS(student_scores[[#This Row],[weekly_self_study_hours]]&lt;=5,   "0 - 5", student_scores[[#This Row],[weekly_self_study_hours]]&lt;=10,  "6 - 10", student_scores[[#This Row],[weekly_self_study_hours]]&lt;=20,  "11 - 20",student_scores[[#This Row],[weekly_self_study_hours]]&lt;=30, "21 - 30",TRUE, "31+")</f>
        <v>6 - 10</v>
      </c>
      <c r="U1748" t="str" cm="1">
        <f t="array" ref="U1748">_xlfn.IFS(student_scores[[#This Row],[absence_days]]=0,"0", student_scores[[#This Row],[absence_days]]&lt;=3,"1-3", student_scores[[#This Row],[absence_days]]&lt;=6,"4-6", TRUE,"7-10")</f>
        <v>1-3</v>
      </c>
      <c r="V1748" t="str">
        <f>IF(student_scores[[#This Row],[Total_Score]] &gt;= _xlfn.PERCENTILE.INC(student_scores[Total_Score], 0.8), "Yes", "No")</f>
        <v>No</v>
      </c>
    </row>
    <row r="1749" spans="1:22" x14ac:dyDescent="0.35">
      <c r="A1749">
        <v>1748</v>
      </c>
      <c r="B1749" t="s">
        <v>139</v>
      </c>
      <c r="C1749" t="s">
        <v>586</v>
      </c>
      <c r="D1749" t="s">
        <v>2847</v>
      </c>
      <c r="E1749" t="s">
        <v>20</v>
      </c>
      <c r="F1749" t="b">
        <v>1</v>
      </c>
      <c r="G1749">
        <v>5</v>
      </c>
      <c r="H1749" t="b">
        <v>0</v>
      </c>
      <c r="I1749">
        <v>25</v>
      </c>
      <c r="J1749" t="s">
        <v>172</v>
      </c>
      <c r="K1749">
        <v>81</v>
      </c>
      <c r="L1749">
        <v>88</v>
      </c>
      <c r="M1749">
        <v>85</v>
      </c>
      <c r="N1749">
        <v>90</v>
      </c>
      <c r="O1749">
        <v>93</v>
      </c>
      <c r="P1749">
        <v>62</v>
      </c>
      <c r="Q1749">
        <v>96</v>
      </c>
      <c r="R1749">
        <f>SUM(student_scores[[#This Row],[math_score]:[geography_score]])</f>
        <v>595</v>
      </c>
      <c r="S1749" s="3">
        <f>student_scores[[#This Row],[Total_Score]]/7</f>
        <v>85</v>
      </c>
      <c r="T1749" s="3" t="str" cm="1">
        <f t="array" ref="T1749">_xlfn.IFS(student_scores[[#This Row],[weekly_self_study_hours]]&lt;=5,   "0 - 5", student_scores[[#This Row],[weekly_self_study_hours]]&lt;=10,  "6 - 10", student_scores[[#This Row],[weekly_self_study_hours]]&lt;=20,  "11 - 20",student_scores[[#This Row],[weekly_self_study_hours]]&lt;=30, "21 - 30",TRUE, "31+")</f>
        <v>21 - 30</v>
      </c>
      <c r="U1749" t="str" cm="1">
        <f t="array" ref="U1749">_xlfn.IFS(student_scores[[#This Row],[absence_days]]=0,"0", student_scores[[#This Row],[absence_days]]&lt;=3,"1-3", student_scores[[#This Row],[absence_days]]&lt;=6,"4-6", TRUE,"7-10")</f>
        <v>4-6</v>
      </c>
      <c r="V1749" t="str">
        <f>IF(student_scores[[#This Row],[Total_Score]] &gt;= _xlfn.PERCENTILE.INC(student_scores[Total_Score], 0.8), "Yes", "No")</f>
        <v>No</v>
      </c>
    </row>
    <row r="1750" spans="1:22" x14ac:dyDescent="0.35">
      <c r="A1750">
        <v>1749</v>
      </c>
      <c r="B1750" t="s">
        <v>1582</v>
      </c>
      <c r="C1750" t="s">
        <v>2848</v>
      </c>
      <c r="D1750" t="s">
        <v>2849</v>
      </c>
      <c r="E1750" t="s">
        <v>25</v>
      </c>
      <c r="F1750" t="b">
        <v>0</v>
      </c>
      <c r="G1750">
        <v>1</v>
      </c>
      <c r="H1750" t="b">
        <v>1</v>
      </c>
      <c r="I1750">
        <v>18</v>
      </c>
      <c r="J1750" t="s">
        <v>54</v>
      </c>
      <c r="K1750">
        <v>80</v>
      </c>
      <c r="L1750">
        <v>93</v>
      </c>
      <c r="M1750">
        <v>89</v>
      </c>
      <c r="N1750">
        <v>79</v>
      </c>
      <c r="O1750">
        <v>89</v>
      </c>
      <c r="P1750">
        <v>93</v>
      </c>
      <c r="Q1750">
        <v>100</v>
      </c>
      <c r="R1750">
        <f>SUM(student_scores[[#This Row],[math_score]:[geography_score]])</f>
        <v>623</v>
      </c>
      <c r="S1750" s="3">
        <f>student_scores[[#This Row],[Total_Score]]/7</f>
        <v>89</v>
      </c>
      <c r="T1750" s="3" t="str" cm="1">
        <f t="array" ref="T1750">_xlfn.IFS(student_scores[[#This Row],[weekly_self_study_hours]]&lt;=5,   "0 - 5", student_scores[[#This Row],[weekly_self_study_hours]]&lt;=10,  "6 - 10", student_scores[[#This Row],[weekly_self_study_hours]]&lt;=20,  "11 - 20",student_scores[[#This Row],[weekly_self_study_hours]]&lt;=30, "21 - 30",TRUE, "31+")</f>
        <v>11 - 20</v>
      </c>
      <c r="U1750" t="str" cm="1">
        <f t="array" ref="U1750">_xlfn.IFS(student_scores[[#This Row],[absence_days]]=0,"0", student_scores[[#This Row],[absence_days]]&lt;=3,"1-3", student_scores[[#This Row],[absence_days]]&lt;=6,"4-6", TRUE,"7-10")</f>
        <v>1-3</v>
      </c>
      <c r="V1750" t="str">
        <f>IF(student_scores[[#This Row],[Total_Score]] &gt;= _xlfn.PERCENTILE.INC(student_scores[Total_Score], 0.8), "Yes", "No")</f>
        <v>Yes</v>
      </c>
    </row>
    <row r="1751" spans="1:22" x14ac:dyDescent="0.35">
      <c r="A1751">
        <v>1750</v>
      </c>
      <c r="B1751" t="s">
        <v>2460</v>
      </c>
      <c r="C1751" t="s">
        <v>2850</v>
      </c>
      <c r="D1751" t="s">
        <v>2851</v>
      </c>
      <c r="E1751" t="s">
        <v>25</v>
      </c>
      <c r="F1751" t="b">
        <v>0</v>
      </c>
      <c r="G1751">
        <v>4</v>
      </c>
      <c r="H1751" t="b">
        <v>0</v>
      </c>
      <c r="I1751">
        <v>3</v>
      </c>
      <c r="J1751" t="s">
        <v>38</v>
      </c>
      <c r="K1751">
        <v>75</v>
      </c>
      <c r="L1751">
        <v>65</v>
      </c>
      <c r="M1751">
        <v>66</v>
      </c>
      <c r="N1751">
        <v>79</v>
      </c>
      <c r="O1751">
        <v>91</v>
      </c>
      <c r="P1751">
        <v>82</v>
      </c>
      <c r="Q1751">
        <v>72</v>
      </c>
      <c r="R1751">
        <f>SUM(student_scores[[#This Row],[math_score]:[geography_score]])</f>
        <v>530</v>
      </c>
      <c r="S1751" s="3">
        <f>student_scores[[#This Row],[Total_Score]]/7</f>
        <v>75.714285714285708</v>
      </c>
      <c r="T1751" s="3" t="str" cm="1">
        <f t="array" ref="T1751">_xlfn.IFS(student_scores[[#This Row],[weekly_self_study_hours]]&lt;=5,   "0 - 5", student_scores[[#This Row],[weekly_self_study_hours]]&lt;=10,  "6 - 10", student_scores[[#This Row],[weekly_self_study_hours]]&lt;=20,  "11 - 20",student_scores[[#This Row],[weekly_self_study_hours]]&lt;=30, "21 - 30",TRUE, "31+")</f>
        <v>0 - 5</v>
      </c>
      <c r="U1751" t="str" cm="1">
        <f t="array" ref="U1751">_xlfn.IFS(student_scores[[#This Row],[absence_days]]=0,"0", student_scores[[#This Row],[absence_days]]&lt;=3,"1-3", student_scores[[#This Row],[absence_days]]&lt;=6,"4-6", TRUE,"7-10")</f>
        <v>4-6</v>
      </c>
      <c r="V1751" t="str">
        <f>IF(student_scores[[#This Row],[Total_Score]] &gt;= _xlfn.PERCENTILE.INC(student_scores[Total_Score], 0.8), "Yes", "No")</f>
        <v>No</v>
      </c>
    </row>
    <row r="1752" spans="1:22" x14ac:dyDescent="0.35">
      <c r="A1752">
        <v>1751</v>
      </c>
      <c r="B1752" t="s">
        <v>61</v>
      </c>
      <c r="C1752" t="s">
        <v>2852</v>
      </c>
      <c r="D1752" t="s">
        <v>2853</v>
      </c>
      <c r="E1752" t="s">
        <v>25</v>
      </c>
      <c r="F1752" t="b">
        <v>0</v>
      </c>
      <c r="G1752">
        <v>4</v>
      </c>
      <c r="H1752" t="b">
        <v>1</v>
      </c>
      <c r="I1752">
        <v>34</v>
      </c>
      <c r="J1752" t="s">
        <v>21</v>
      </c>
      <c r="K1752">
        <v>87</v>
      </c>
      <c r="L1752">
        <v>90</v>
      </c>
      <c r="M1752">
        <v>98</v>
      </c>
      <c r="N1752">
        <v>90</v>
      </c>
      <c r="O1752">
        <v>83</v>
      </c>
      <c r="P1752">
        <v>94</v>
      </c>
      <c r="Q1752">
        <v>84</v>
      </c>
      <c r="R1752">
        <f>SUM(student_scores[[#This Row],[math_score]:[geography_score]])</f>
        <v>626</v>
      </c>
      <c r="S1752" s="3">
        <f>student_scores[[#This Row],[Total_Score]]/7</f>
        <v>89.428571428571431</v>
      </c>
      <c r="T1752" s="3" t="str" cm="1">
        <f t="array" ref="T1752">_xlfn.IFS(student_scores[[#This Row],[weekly_self_study_hours]]&lt;=5,   "0 - 5", student_scores[[#This Row],[weekly_self_study_hours]]&lt;=10,  "6 - 10", student_scores[[#This Row],[weekly_self_study_hours]]&lt;=20,  "11 - 20",student_scores[[#This Row],[weekly_self_study_hours]]&lt;=30, "21 - 30",TRUE, "31+")</f>
        <v>31+</v>
      </c>
      <c r="U1752" t="str" cm="1">
        <f t="array" ref="U1752">_xlfn.IFS(student_scores[[#This Row],[absence_days]]=0,"0", student_scores[[#This Row],[absence_days]]&lt;=3,"1-3", student_scores[[#This Row],[absence_days]]&lt;=6,"4-6", TRUE,"7-10")</f>
        <v>4-6</v>
      </c>
      <c r="V1752" t="str">
        <f>IF(student_scores[[#This Row],[Total_Score]] &gt;= _xlfn.PERCENTILE.INC(student_scores[Total_Score], 0.8), "Yes", "No")</f>
        <v>Yes</v>
      </c>
    </row>
    <row r="1753" spans="1:22" x14ac:dyDescent="0.35">
      <c r="A1753">
        <v>1752</v>
      </c>
      <c r="B1753" t="s">
        <v>1057</v>
      </c>
      <c r="C1753" t="s">
        <v>295</v>
      </c>
      <c r="D1753" t="s">
        <v>2854</v>
      </c>
      <c r="E1753" t="s">
        <v>25</v>
      </c>
      <c r="F1753" t="b">
        <v>0</v>
      </c>
      <c r="G1753">
        <v>7</v>
      </c>
      <c r="H1753" t="b">
        <v>0</v>
      </c>
      <c r="I1753">
        <v>4</v>
      </c>
      <c r="J1753" t="s">
        <v>64</v>
      </c>
      <c r="K1753">
        <v>58</v>
      </c>
      <c r="L1753">
        <v>50</v>
      </c>
      <c r="M1753">
        <v>73</v>
      </c>
      <c r="N1753">
        <v>54</v>
      </c>
      <c r="O1753">
        <v>94</v>
      </c>
      <c r="P1753">
        <v>51</v>
      </c>
      <c r="Q1753">
        <v>74</v>
      </c>
      <c r="R1753">
        <f>SUM(student_scores[[#This Row],[math_score]:[geography_score]])</f>
        <v>454</v>
      </c>
      <c r="S1753" s="3">
        <f>student_scores[[#This Row],[Total_Score]]/7</f>
        <v>64.857142857142861</v>
      </c>
      <c r="T1753" s="3" t="str" cm="1">
        <f t="array" ref="T1753">_xlfn.IFS(student_scores[[#This Row],[weekly_self_study_hours]]&lt;=5,   "0 - 5", student_scores[[#This Row],[weekly_self_study_hours]]&lt;=10,  "6 - 10", student_scores[[#This Row],[weekly_self_study_hours]]&lt;=20,  "11 - 20",student_scores[[#This Row],[weekly_self_study_hours]]&lt;=30, "21 - 30",TRUE, "31+")</f>
        <v>0 - 5</v>
      </c>
      <c r="U1753" t="str" cm="1">
        <f t="array" ref="U1753">_xlfn.IFS(student_scores[[#This Row],[absence_days]]=0,"0", student_scores[[#This Row],[absence_days]]&lt;=3,"1-3", student_scores[[#This Row],[absence_days]]&lt;=6,"4-6", TRUE,"7-10")</f>
        <v>7-10</v>
      </c>
      <c r="V1753" t="str">
        <f>IF(student_scores[[#This Row],[Total_Score]] &gt;= _xlfn.PERCENTILE.INC(student_scores[Total_Score], 0.8), "Yes", "No")</f>
        <v>No</v>
      </c>
    </row>
    <row r="1754" spans="1:22" x14ac:dyDescent="0.35">
      <c r="A1754">
        <v>1753</v>
      </c>
      <c r="B1754" t="s">
        <v>35</v>
      </c>
      <c r="C1754" t="s">
        <v>1235</v>
      </c>
      <c r="D1754" t="s">
        <v>2855</v>
      </c>
      <c r="E1754" t="s">
        <v>20</v>
      </c>
      <c r="F1754" t="b">
        <v>0</v>
      </c>
      <c r="G1754">
        <v>3</v>
      </c>
      <c r="H1754" t="b">
        <v>0</v>
      </c>
      <c r="I1754">
        <v>14</v>
      </c>
      <c r="J1754" t="s">
        <v>30</v>
      </c>
      <c r="K1754">
        <v>60</v>
      </c>
      <c r="L1754">
        <v>90</v>
      </c>
      <c r="M1754">
        <v>87</v>
      </c>
      <c r="N1754">
        <v>91</v>
      </c>
      <c r="O1754">
        <v>78</v>
      </c>
      <c r="P1754">
        <v>77</v>
      </c>
      <c r="Q1754">
        <v>82</v>
      </c>
      <c r="R1754">
        <f>SUM(student_scores[[#This Row],[math_score]:[geography_score]])</f>
        <v>565</v>
      </c>
      <c r="S1754" s="3">
        <f>student_scores[[#This Row],[Total_Score]]/7</f>
        <v>80.714285714285708</v>
      </c>
      <c r="T1754" s="3" t="str" cm="1">
        <f t="array" ref="T1754">_xlfn.IFS(student_scores[[#This Row],[weekly_self_study_hours]]&lt;=5,   "0 - 5", student_scores[[#This Row],[weekly_self_study_hours]]&lt;=10,  "6 - 10", student_scores[[#This Row],[weekly_self_study_hours]]&lt;=20,  "11 - 20",student_scores[[#This Row],[weekly_self_study_hours]]&lt;=30, "21 - 30",TRUE, "31+")</f>
        <v>11 - 20</v>
      </c>
      <c r="U1754" t="str" cm="1">
        <f t="array" ref="U1754">_xlfn.IFS(student_scores[[#This Row],[absence_days]]=0,"0", student_scores[[#This Row],[absence_days]]&lt;=3,"1-3", student_scores[[#This Row],[absence_days]]&lt;=6,"4-6", TRUE,"7-10")</f>
        <v>1-3</v>
      </c>
      <c r="V1754" t="str">
        <f>IF(student_scores[[#This Row],[Total_Score]] &gt;= _xlfn.PERCENTILE.INC(student_scores[Total_Score], 0.8), "Yes", "No")</f>
        <v>No</v>
      </c>
    </row>
    <row r="1755" spans="1:22" x14ac:dyDescent="0.35">
      <c r="A1755">
        <v>1754</v>
      </c>
      <c r="B1755" t="s">
        <v>160</v>
      </c>
      <c r="C1755" t="s">
        <v>1005</v>
      </c>
      <c r="D1755" t="s">
        <v>2856</v>
      </c>
      <c r="E1755" t="s">
        <v>20</v>
      </c>
      <c r="F1755" t="b">
        <v>1</v>
      </c>
      <c r="G1755">
        <v>5</v>
      </c>
      <c r="H1755" t="b">
        <v>0</v>
      </c>
      <c r="I1755">
        <v>8</v>
      </c>
      <c r="J1755" t="s">
        <v>224</v>
      </c>
      <c r="K1755">
        <v>91</v>
      </c>
      <c r="L1755">
        <v>70</v>
      </c>
      <c r="M1755">
        <v>88</v>
      </c>
      <c r="N1755">
        <v>68</v>
      </c>
      <c r="O1755">
        <v>88</v>
      </c>
      <c r="P1755">
        <v>63</v>
      </c>
      <c r="Q1755">
        <v>68</v>
      </c>
      <c r="R1755">
        <f>SUM(student_scores[[#This Row],[math_score]:[geography_score]])</f>
        <v>536</v>
      </c>
      <c r="S1755" s="3">
        <f>student_scores[[#This Row],[Total_Score]]/7</f>
        <v>76.571428571428569</v>
      </c>
      <c r="T1755" s="3" t="str" cm="1">
        <f t="array" ref="T1755">_xlfn.IFS(student_scores[[#This Row],[weekly_self_study_hours]]&lt;=5,   "0 - 5", student_scores[[#This Row],[weekly_self_study_hours]]&lt;=10,  "6 - 10", student_scores[[#This Row],[weekly_self_study_hours]]&lt;=20,  "11 - 20",student_scores[[#This Row],[weekly_self_study_hours]]&lt;=30, "21 - 30",TRUE, "31+")</f>
        <v>6 - 10</v>
      </c>
      <c r="U1755" t="str" cm="1">
        <f t="array" ref="U1755">_xlfn.IFS(student_scores[[#This Row],[absence_days]]=0,"0", student_scores[[#This Row],[absence_days]]&lt;=3,"1-3", student_scores[[#This Row],[absence_days]]&lt;=6,"4-6", TRUE,"7-10")</f>
        <v>4-6</v>
      </c>
      <c r="V1755" t="str">
        <f>IF(student_scores[[#This Row],[Total_Score]] &gt;= _xlfn.PERCENTILE.INC(student_scores[Total_Score], 0.8), "Yes", "No")</f>
        <v>No</v>
      </c>
    </row>
    <row r="1756" spans="1:22" x14ac:dyDescent="0.35">
      <c r="A1756">
        <v>1755</v>
      </c>
      <c r="B1756" t="s">
        <v>369</v>
      </c>
      <c r="C1756" t="s">
        <v>491</v>
      </c>
      <c r="D1756" t="s">
        <v>2857</v>
      </c>
      <c r="E1756" t="s">
        <v>25</v>
      </c>
      <c r="F1756" t="b">
        <v>0</v>
      </c>
      <c r="G1756">
        <v>3</v>
      </c>
      <c r="H1756" t="b">
        <v>0</v>
      </c>
      <c r="I1756">
        <v>35</v>
      </c>
      <c r="J1756" t="s">
        <v>76</v>
      </c>
      <c r="K1756">
        <v>95</v>
      </c>
      <c r="L1756">
        <v>97</v>
      </c>
      <c r="M1756">
        <v>89</v>
      </c>
      <c r="N1756">
        <v>97</v>
      </c>
      <c r="O1756">
        <v>99</v>
      </c>
      <c r="P1756">
        <v>85</v>
      </c>
      <c r="Q1756">
        <v>92</v>
      </c>
      <c r="R1756">
        <f>SUM(student_scores[[#This Row],[math_score]:[geography_score]])</f>
        <v>654</v>
      </c>
      <c r="S1756" s="3">
        <f>student_scores[[#This Row],[Total_Score]]/7</f>
        <v>93.428571428571431</v>
      </c>
      <c r="T1756" s="3" t="str" cm="1">
        <f t="array" ref="T1756">_xlfn.IFS(student_scores[[#This Row],[weekly_self_study_hours]]&lt;=5,   "0 - 5", student_scores[[#This Row],[weekly_self_study_hours]]&lt;=10,  "6 - 10", student_scores[[#This Row],[weekly_self_study_hours]]&lt;=20,  "11 - 20",student_scores[[#This Row],[weekly_self_study_hours]]&lt;=30, "21 - 30",TRUE, "31+")</f>
        <v>31+</v>
      </c>
      <c r="U1756" t="str" cm="1">
        <f t="array" ref="U1756">_xlfn.IFS(student_scores[[#This Row],[absence_days]]=0,"0", student_scores[[#This Row],[absence_days]]&lt;=3,"1-3", student_scores[[#This Row],[absence_days]]&lt;=6,"4-6", TRUE,"7-10")</f>
        <v>1-3</v>
      </c>
      <c r="V1756" t="str">
        <f>IF(student_scores[[#This Row],[Total_Score]] &gt;= _xlfn.PERCENTILE.INC(student_scores[Total_Score], 0.8), "Yes", "No")</f>
        <v>Yes</v>
      </c>
    </row>
    <row r="1757" spans="1:22" x14ac:dyDescent="0.35">
      <c r="A1757">
        <v>1756</v>
      </c>
      <c r="B1757" t="s">
        <v>280</v>
      </c>
      <c r="C1757" t="s">
        <v>1041</v>
      </c>
      <c r="D1757" t="s">
        <v>2858</v>
      </c>
      <c r="E1757" t="s">
        <v>20</v>
      </c>
      <c r="F1757" t="b">
        <v>0</v>
      </c>
      <c r="G1757">
        <v>3</v>
      </c>
      <c r="H1757" t="b">
        <v>0</v>
      </c>
      <c r="I1757">
        <v>2</v>
      </c>
      <c r="J1757" t="s">
        <v>34</v>
      </c>
      <c r="K1757">
        <v>70</v>
      </c>
      <c r="L1757">
        <v>100</v>
      </c>
      <c r="M1757">
        <v>92</v>
      </c>
      <c r="N1757">
        <v>73</v>
      </c>
      <c r="O1757">
        <v>67</v>
      </c>
      <c r="P1757">
        <v>68</v>
      </c>
      <c r="Q1757">
        <v>76</v>
      </c>
      <c r="R1757">
        <f>SUM(student_scores[[#This Row],[math_score]:[geography_score]])</f>
        <v>546</v>
      </c>
      <c r="S1757" s="3">
        <f>student_scores[[#This Row],[Total_Score]]/7</f>
        <v>78</v>
      </c>
      <c r="T1757" s="3" t="str" cm="1">
        <f t="array" ref="T1757">_xlfn.IFS(student_scores[[#This Row],[weekly_self_study_hours]]&lt;=5,   "0 - 5", student_scores[[#This Row],[weekly_self_study_hours]]&lt;=10,  "6 - 10", student_scores[[#This Row],[weekly_self_study_hours]]&lt;=20,  "11 - 20",student_scores[[#This Row],[weekly_self_study_hours]]&lt;=30, "21 - 30",TRUE, "31+")</f>
        <v>0 - 5</v>
      </c>
      <c r="U1757" t="str" cm="1">
        <f t="array" ref="U1757">_xlfn.IFS(student_scores[[#This Row],[absence_days]]=0,"0", student_scores[[#This Row],[absence_days]]&lt;=3,"1-3", student_scores[[#This Row],[absence_days]]&lt;=6,"4-6", TRUE,"7-10")</f>
        <v>1-3</v>
      </c>
      <c r="V1757" t="str">
        <f>IF(student_scores[[#This Row],[Total_Score]] &gt;= _xlfn.PERCENTILE.INC(student_scores[Total_Score], 0.8), "Yes", "No")</f>
        <v>No</v>
      </c>
    </row>
    <row r="1758" spans="1:22" x14ac:dyDescent="0.35">
      <c r="A1758">
        <v>1757</v>
      </c>
      <c r="B1758" t="s">
        <v>785</v>
      </c>
      <c r="C1758" t="s">
        <v>1995</v>
      </c>
      <c r="D1758" t="s">
        <v>2859</v>
      </c>
      <c r="E1758" t="s">
        <v>25</v>
      </c>
      <c r="F1758" t="b">
        <v>0</v>
      </c>
      <c r="G1758">
        <v>2</v>
      </c>
      <c r="H1758" t="b">
        <v>0</v>
      </c>
      <c r="I1758">
        <v>27</v>
      </c>
      <c r="J1758" t="s">
        <v>21</v>
      </c>
      <c r="K1758">
        <v>76</v>
      </c>
      <c r="L1758">
        <v>100</v>
      </c>
      <c r="M1758">
        <v>94</v>
      </c>
      <c r="N1758">
        <v>81</v>
      </c>
      <c r="O1758">
        <v>60</v>
      </c>
      <c r="P1758">
        <v>85</v>
      </c>
      <c r="Q1758">
        <v>73</v>
      </c>
      <c r="R1758">
        <f>SUM(student_scores[[#This Row],[math_score]:[geography_score]])</f>
        <v>569</v>
      </c>
      <c r="S1758" s="3">
        <f>student_scores[[#This Row],[Total_Score]]/7</f>
        <v>81.285714285714292</v>
      </c>
      <c r="T1758" s="3" t="str" cm="1">
        <f t="array" ref="T1758">_xlfn.IFS(student_scores[[#This Row],[weekly_self_study_hours]]&lt;=5,   "0 - 5", student_scores[[#This Row],[weekly_self_study_hours]]&lt;=10,  "6 - 10", student_scores[[#This Row],[weekly_self_study_hours]]&lt;=20,  "11 - 20",student_scores[[#This Row],[weekly_self_study_hours]]&lt;=30, "21 - 30",TRUE, "31+")</f>
        <v>21 - 30</v>
      </c>
      <c r="U1758" t="str" cm="1">
        <f t="array" ref="U1758">_xlfn.IFS(student_scores[[#This Row],[absence_days]]=0,"0", student_scores[[#This Row],[absence_days]]&lt;=3,"1-3", student_scores[[#This Row],[absence_days]]&lt;=6,"4-6", TRUE,"7-10")</f>
        <v>1-3</v>
      </c>
      <c r="V1758" t="str">
        <f>IF(student_scores[[#This Row],[Total_Score]] &gt;= _xlfn.PERCENTILE.INC(student_scores[Total_Score], 0.8), "Yes", "No")</f>
        <v>No</v>
      </c>
    </row>
    <row r="1759" spans="1:22" x14ac:dyDescent="0.35">
      <c r="A1759">
        <v>1758</v>
      </c>
      <c r="B1759" t="s">
        <v>805</v>
      </c>
      <c r="C1759" t="s">
        <v>2860</v>
      </c>
      <c r="D1759" t="s">
        <v>2861</v>
      </c>
      <c r="E1759" t="s">
        <v>20</v>
      </c>
      <c r="F1759" t="b">
        <v>0</v>
      </c>
      <c r="G1759">
        <v>5</v>
      </c>
      <c r="H1759" t="b">
        <v>0</v>
      </c>
      <c r="I1759">
        <v>20</v>
      </c>
      <c r="J1759" t="s">
        <v>113</v>
      </c>
      <c r="K1759">
        <v>79</v>
      </c>
      <c r="L1759">
        <v>65</v>
      </c>
      <c r="M1759">
        <v>78</v>
      </c>
      <c r="N1759">
        <v>65</v>
      </c>
      <c r="O1759">
        <v>57</v>
      </c>
      <c r="P1759">
        <v>99</v>
      </c>
      <c r="Q1759">
        <v>92</v>
      </c>
      <c r="R1759">
        <f>SUM(student_scores[[#This Row],[math_score]:[geography_score]])</f>
        <v>535</v>
      </c>
      <c r="S1759" s="3">
        <f>student_scores[[#This Row],[Total_Score]]/7</f>
        <v>76.428571428571431</v>
      </c>
      <c r="T1759" s="3" t="str" cm="1">
        <f t="array" ref="T1759">_xlfn.IFS(student_scores[[#This Row],[weekly_self_study_hours]]&lt;=5,   "0 - 5", student_scores[[#This Row],[weekly_self_study_hours]]&lt;=10,  "6 - 10", student_scores[[#This Row],[weekly_self_study_hours]]&lt;=20,  "11 - 20",student_scores[[#This Row],[weekly_self_study_hours]]&lt;=30, "21 - 30",TRUE, "31+")</f>
        <v>11 - 20</v>
      </c>
      <c r="U1759" t="str" cm="1">
        <f t="array" ref="U1759">_xlfn.IFS(student_scores[[#This Row],[absence_days]]=0,"0", student_scores[[#This Row],[absence_days]]&lt;=3,"1-3", student_scores[[#This Row],[absence_days]]&lt;=6,"4-6", TRUE,"7-10")</f>
        <v>4-6</v>
      </c>
      <c r="V1759" t="str">
        <f>IF(student_scores[[#This Row],[Total_Score]] &gt;= _xlfn.PERCENTILE.INC(student_scores[Total_Score], 0.8), "Yes", "No")</f>
        <v>No</v>
      </c>
    </row>
    <row r="1760" spans="1:22" x14ac:dyDescent="0.35">
      <c r="A1760">
        <v>1759</v>
      </c>
      <c r="B1760" t="s">
        <v>35</v>
      </c>
      <c r="C1760" t="s">
        <v>2776</v>
      </c>
      <c r="D1760" t="s">
        <v>2862</v>
      </c>
      <c r="E1760" t="s">
        <v>20</v>
      </c>
      <c r="F1760" t="b">
        <v>0</v>
      </c>
      <c r="G1760">
        <v>4</v>
      </c>
      <c r="H1760" t="b">
        <v>0</v>
      </c>
      <c r="I1760">
        <v>21</v>
      </c>
      <c r="J1760" t="s">
        <v>44</v>
      </c>
      <c r="K1760">
        <v>92</v>
      </c>
      <c r="L1760">
        <v>96</v>
      </c>
      <c r="M1760">
        <v>92</v>
      </c>
      <c r="N1760">
        <v>63</v>
      </c>
      <c r="O1760">
        <v>73</v>
      </c>
      <c r="P1760">
        <v>60</v>
      </c>
      <c r="Q1760">
        <v>81</v>
      </c>
      <c r="R1760">
        <f>SUM(student_scores[[#This Row],[math_score]:[geography_score]])</f>
        <v>557</v>
      </c>
      <c r="S1760" s="3">
        <f>student_scores[[#This Row],[Total_Score]]/7</f>
        <v>79.571428571428569</v>
      </c>
      <c r="T1760" s="3" t="str" cm="1">
        <f t="array" ref="T1760">_xlfn.IFS(student_scores[[#This Row],[weekly_self_study_hours]]&lt;=5,   "0 - 5", student_scores[[#This Row],[weekly_self_study_hours]]&lt;=10,  "6 - 10", student_scores[[#This Row],[weekly_self_study_hours]]&lt;=20,  "11 - 20",student_scores[[#This Row],[weekly_self_study_hours]]&lt;=30, "21 - 30",TRUE, "31+")</f>
        <v>21 - 30</v>
      </c>
      <c r="U1760" t="str" cm="1">
        <f t="array" ref="U1760">_xlfn.IFS(student_scores[[#This Row],[absence_days]]=0,"0", student_scores[[#This Row],[absence_days]]&lt;=3,"1-3", student_scores[[#This Row],[absence_days]]&lt;=6,"4-6", TRUE,"7-10")</f>
        <v>4-6</v>
      </c>
      <c r="V1760" t="str">
        <f>IF(student_scores[[#This Row],[Total_Score]] &gt;= _xlfn.PERCENTILE.INC(student_scores[Total_Score], 0.8), "Yes", "No")</f>
        <v>No</v>
      </c>
    </row>
    <row r="1761" spans="1:22" x14ac:dyDescent="0.35">
      <c r="A1761">
        <v>1760</v>
      </c>
      <c r="B1761" t="s">
        <v>534</v>
      </c>
      <c r="C1761" t="s">
        <v>246</v>
      </c>
      <c r="D1761" t="s">
        <v>2863</v>
      </c>
      <c r="E1761" t="s">
        <v>25</v>
      </c>
      <c r="F1761" t="b">
        <v>0</v>
      </c>
      <c r="G1761">
        <v>5</v>
      </c>
      <c r="H1761" t="b">
        <v>0</v>
      </c>
      <c r="I1761">
        <v>6</v>
      </c>
      <c r="J1761" t="s">
        <v>30</v>
      </c>
      <c r="K1761">
        <v>89</v>
      </c>
      <c r="L1761">
        <v>73</v>
      </c>
      <c r="M1761">
        <v>71</v>
      </c>
      <c r="N1761">
        <v>97</v>
      </c>
      <c r="O1761">
        <v>78</v>
      </c>
      <c r="P1761">
        <v>99</v>
      </c>
      <c r="Q1761">
        <v>60</v>
      </c>
      <c r="R1761">
        <f>SUM(student_scores[[#This Row],[math_score]:[geography_score]])</f>
        <v>567</v>
      </c>
      <c r="S1761" s="3">
        <f>student_scores[[#This Row],[Total_Score]]/7</f>
        <v>81</v>
      </c>
      <c r="T1761" s="3" t="str" cm="1">
        <f t="array" ref="T1761">_xlfn.IFS(student_scores[[#This Row],[weekly_self_study_hours]]&lt;=5,   "0 - 5", student_scores[[#This Row],[weekly_self_study_hours]]&lt;=10,  "6 - 10", student_scores[[#This Row],[weekly_self_study_hours]]&lt;=20,  "11 - 20",student_scores[[#This Row],[weekly_self_study_hours]]&lt;=30, "21 - 30",TRUE, "31+")</f>
        <v>6 - 10</v>
      </c>
      <c r="U1761" t="str" cm="1">
        <f t="array" ref="U1761">_xlfn.IFS(student_scores[[#This Row],[absence_days]]=0,"0", student_scores[[#This Row],[absence_days]]&lt;=3,"1-3", student_scores[[#This Row],[absence_days]]&lt;=6,"4-6", TRUE,"7-10")</f>
        <v>4-6</v>
      </c>
      <c r="V1761" t="str">
        <f>IF(student_scores[[#This Row],[Total_Score]] &gt;= _xlfn.PERCENTILE.INC(student_scores[Total_Score], 0.8), "Yes", "No")</f>
        <v>No</v>
      </c>
    </row>
    <row r="1762" spans="1:22" x14ac:dyDescent="0.35">
      <c r="A1762">
        <v>1761</v>
      </c>
      <c r="B1762" t="s">
        <v>2425</v>
      </c>
      <c r="C1762" t="s">
        <v>782</v>
      </c>
      <c r="D1762" t="s">
        <v>2864</v>
      </c>
      <c r="E1762" t="s">
        <v>25</v>
      </c>
      <c r="F1762" t="b">
        <v>0</v>
      </c>
      <c r="G1762">
        <v>3</v>
      </c>
      <c r="H1762" t="b">
        <v>0</v>
      </c>
      <c r="I1762">
        <v>18</v>
      </c>
      <c r="J1762" t="s">
        <v>105</v>
      </c>
      <c r="K1762">
        <v>85</v>
      </c>
      <c r="L1762">
        <v>95</v>
      </c>
      <c r="M1762">
        <v>77</v>
      </c>
      <c r="N1762">
        <v>71</v>
      </c>
      <c r="O1762">
        <v>75</v>
      </c>
      <c r="P1762">
        <v>95</v>
      </c>
      <c r="Q1762">
        <v>94</v>
      </c>
      <c r="R1762">
        <f>SUM(student_scores[[#This Row],[math_score]:[geography_score]])</f>
        <v>592</v>
      </c>
      <c r="S1762" s="3">
        <f>student_scores[[#This Row],[Total_Score]]/7</f>
        <v>84.571428571428569</v>
      </c>
      <c r="T1762" s="3" t="str" cm="1">
        <f t="array" ref="T1762">_xlfn.IFS(student_scores[[#This Row],[weekly_self_study_hours]]&lt;=5,   "0 - 5", student_scores[[#This Row],[weekly_self_study_hours]]&lt;=10,  "6 - 10", student_scores[[#This Row],[weekly_self_study_hours]]&lt;=20,  "11 - 20",student_scores[[#This Row],[weekly_self_study_hours]]&lt;=30, "21 - 30",TRUE, "31+")</f>
        <v>11 - 20</v>
      </c>
      <c r="U1762" t="str" cm="1">
        <f t="array" ref="U1762">_xlfn.IFS(student_scores[[#This Row],[absence_days]]=0,"0", student_scores[[#This Row],[absence_days]]&lt;=3,"1-3", student_scores[[#This Row],[absence_days]]&lt;=6,"4-6", TRUE,"7-10")</f>
        <v>1-3</v>
      </c>
      <c r="V1762" t="str">
        <f>IF(student_scores[[#This Row],[Total_Score]] &gt;= _xlfn.PERCENTILE.INC(student_scores[Total_Score], 0.8), "Yes", "No")</f>
        <v>No</v>
      </c>
    </row>
    <row r="1763" spans="1:22" x14ac:dyDescent="0.35">
      <c r="A1763">
        <v>1762</v>
      </c>
      <c r="B1763" t="s">
        <v>92</v>
      </c>
      <c r="C1763" t="s">
        <v>218</v>
      </c>
      <c r="D1763" t="s">
        <v>2865</v>
      </c>
      <c r="E1763" t="s">
        <v>25</v>
      </c>
      <c r="F1763" t="b">
        <v>0</v>
      </c>
      <c r="G1763">
        <v>2</v>
      </c>
      <c r="H1763" t="b">
        <v>0</v>
      </c>
      <c r="I1763">
        <v>7</v>
      </c>
      <c r="J1763" t="s">
        <v>224</v>
      </c>
      <c r="K1763">
        <v>92</v>
      </c>
      <c r="L1763">
        <v>66</v>
      </c>
      <c r="M1763">
        <v>88</v>
      </c>
      <c r="N1763">
        <v>91</v>
      </c>
      <c r="O1763">
        <v>61</v>
      </c>
      <c r="P1763">
        <v>84</v>
      </c>
      <c r="Q1763">
        <v>69</v>
      </c>
      <c r="R1763">
        <f>SUM(student_scores[[#This Row],[math_score]:[geography_score]])</f>
        <v>551</v>
      </c>
      <c r="S1763" s="3">
        <f>student_scores[[#This Row],[Total_Score]]/7</f>
        <v>78.714285714285708</v>
      </c>
      <c r="T1763" s="3" t="str" cm="1">
        <f t="array" ref="T1763">_xlfn.IFS(student_scores[[#This Row],[weekly_self_study_hours]]&lt;=5,   "0 - 5", student_scores[[#This Row],[weekly_self_study_hours]]&lt;=10,  "6 - 10", student_scores[[#This Row],[weekly_self_study_hours]]&lt;=20,  "11 - 20",student_scores[[#This Row],[weekly_self_study_hours]]&lt;=30, "21 - 30",TRUE, "31+")</f>
        <v>6 - 10</v>
      </c>
      <c r="U1763" t="str" cm="1">
        <f t="array" ref="U1763">_xlfn.IFS(student_scores[[#This Row],[absence_days]]=0,"0", student_scores[[#This Row],[absence_days]]&lt;=3,"1-3", student_scores[[#This Row],[absence_days]]&lt;=6,"4-6", TRUE,"7-10")</f>
        <v>1-3</v>
      </c>
      <c r="V1763" t="str">
        <f>IF(student_scores[[#This Row],[Total_Score]] &gt;= _xlfn.PERCENTILE.INC(student_scores[Total_Score], 0.8), "Yes", "No")</f>
        <v>No</v>
      </c>
    </row>
    <row r="1764" spans="1:22" x14ac:dyDescent="0.35">
      <c r="A1764">
        <v>1763</v>
      </c>
      <c r="B1764" t="s">
        <v>190</v>
      </c>
      <c r="C1764" t="s">
        <v>2776</v>
      </c>
      <c r="D1764" t="s">
        <v>2866</v>
      </c>
      <c r="E1764" t="s">
        <v>25</v>
      </c>
      <c r="F1764" t="b">
        <v>0</v>
      </c>
      <c r="G1764">
        <v>2</v>
      </c>
      <c r="H1764" t="b">
        <v>0</v>
      </c>
      <c r="I1764">
        <v>24</v>
      </c>
      <c r="J1764" t="s">
        <v>44</v>
      </c>
      <c r="K1764">
        <v>87</v>
      </c>
      <c r="L1764">
        <v>63</v>
      </c>
      <c r="M1764">
        <v>79</v>
      </c>
      <c r="N1764">
        <v>81</v>
      </c>
      <c r="O1764">
        <v>95</v>
      </c>
      <c r="P1764">
        <v>75</v>
      </c>
      <c r="Q1764">
        <v>64</v>
      </c>
      <c r="R1764">
        <f>SUM(student_scores[[#This Row],[math_score]:[geography_score]])</f>
        <v>544</v>
      </c>
      <c r="S1764" s="3">
        <f>student_scores[[#This Row],[Total_Score]]/7</f>
        <v>77.714285714285708</v>
      </c>
      <c r="T1764" s="3" t="str" cm="1">
        <f t="array" ref="T1764">_xlfn.IFS(student_scores[[#This Row],[weekly_self_study_hours]]&lt;=5,   "0 - 5", student_scores[[#This Row],[weekly_self_study_hours]]&lt;=10,  "6 - 10", student_scores[[#This Row],[weekly_self_study_hours]]&lt;=20,  "11 - 20",student_scores[[#This Row],[weekly_self_study_hours]]&lt;=30, "21 - 30",TRUE, "31+")</f>
        <v>21 - 30</v>
      </c>
      <c r="U1764" t="str" cm="1">
        <f t="array" ref="U1764">_xlfn.IFS(student_scores[[#This Row],[absence_days]]=0,"0", student_scores[[#This Row],[absence_days]]&lt;=3,"1-3", student_scores[[#This Row],[absence_days]]&lt;=6,"4-6", TRUE,"7-10")</f>
        <v>1-3</v>
      </c>
      <c r="V1764" t="str">
        <f>IF(student_scores[[#This Row],[Total_Score]] &gt;= _xlfn.PERCENTILE.INC(student_scores[Total_Score], 0.8), "Yes", "No")</f>
        <v>No</v>
      </c>
    </row>
    <row r="1765" spans="1:22" x14ac:dyDescent="0.35">
      <c r="A1765">
        <v>1764</v>
      </c>
      <c r="B1765" t="s">
        <v>139</v>
      </c>
      <c r="C1765" t="s">
        <v>2422</v>
      </c>
      <c r="D1765" t="s">
        <v>2867</v>
      </c>
      <c r="E1765" t="s">
        <v>20</v>
      </c>
      <c r="F1765" t="b">
        <v>0</v>
      </c>
      <c r="G1765">
        <v>5</v>
      </c>
      <c r="H1765" t="b">
        <v>0</v>
      </c>
      <c r="I1765">
        <v>21</v>
      </c>
      <c r="J1765" t="s">
        <v>113</v>
      </c>
      <c r="K1765">
        <v>77</v>
      </c>
      <c r="L1765">
        <v>77</v>
      </c>
      <c r="M1765">
        <v>97</v>
      </c>
      <c r="N1765">
        <v>66</v>
      </c>
      <c r="O1765">
        <v>87</v>
      </c>
      <c r="P1765">
        <v>73</v>
      </c>
      <c r="Q1765">
        <v>75</v>
      </c>
      <c r="R1765">
        <f>SUM(student_scores[[#This Row],[math_score]:[geography_score]])</f>
        <v>552</v>
      </c>
      <c r="S1765" s="3">
        <f>student_scores[[#This Row],[Total_Score]]/7</f>
        <v>78.857142857142861</v>
      </c>
      <c r="T1765" s="3" t="str" cm="1">
        <f t="array" ref="T1765">_xlfn.IFS(student_scores[[#This Row],[weekly_self_study_hours]]&lt;=5,   "0 - 5", student_scores[[#This Row],[weekly_self_study_hours]]&lt;=10,  "6 - 10", student_scores[[#This Row],[weekly_self_study_hours]]&lt;=20,  "11 - 20",student_scores[[#This Row],[weekly_self_study_hours]]&lt;=30, "21 - 30",TRUE, "31+")</f>
        <v>21 - 30</v>
      </c>
      <c r="U1765" t="str" cm="1">
        <f t="array" ref="U1765">_xlfn.IFS(student_scores[[#This Row],[absence_days]]=0,"0", student_scores[[#This Row],[absence_days]]&lt;=3,"1-3", student_scores[[#This Row],[absence_days]]&lt;=6,"4-6", TRUE,"7-10")</f>
        <v>4-6</v>
      </c>
      <c r="V1765" t="str">
        <f>IF(student_scores[[#This Row],[Total_Score]] &gt;= _xlfn.PERCENTILE.INC(student_scores[Total_Score], 0.8), "Yes", "No")</f>
        <v>No</v>
      </c>
    </row>
    <row r="1766" spans="1:22" x14ac:dyDescent="0.35">
      <c r="A1766">
        <v>1765</v>
      </c>
      <c r="B1766" t="s">
        <v>266</v>
      </c>
      <c r="C1766" t="s">
        <v>518</v>
      </c>
      <c r="D1766" t="s">
        <v>2868</v>
      </c>
      <c r="E1766" t="s">
        <v>20</v>
      </c>
      <c r="F1766" t="b">
        <v>0</v>
      </c>
      <c r="G1766">
        <v>10</v>
      </c>
      <c r="H1766" t="b">
        <v>0</v>
      </c>
      <c r="I1766">
        <v>2</v>
      </c>
      <c r="J1766" t="s">
        <v>64</v>
      </c>
      <c r="K1766">
        <v>73</v>
      </c>
      <c r="L1766">
        <v>56</v>
      </c>
      <c r="M1766">
        <v>59</v>
      </c>
      <c r="N1766">
        <v>62</v>
      </c>
      <c r="O1766">
        <v>58</v>
      </c>
      <c r="P1766">
        <v>83</v>
      </c>
      <c r="Q1766">
        <v>80</v>
      </c>
      <c r="R1766">
        <f>SUM(student_scores[[#This Row],[math_score]:[geography_score]])</f>
        <v>471</v>
      </c>
      <c r="S1766" s="3">
        <f>student_scores[[#This Row],[Total_Score]]/7</f>
        <v>67.285714285714292</v>
      </c>
      <c r="T1766" s="3" t="str" cm="1">
        <f t="array" ref="T1766">_xlfn.IFS(student_scores[[#This Row],[weekly_self_study_hours]]&lt;=5,   "0 - 5", student_scores[[#This Row],[weekly_self_study_hours]]&lt;=10,  "6 - 10", student_scores[[#This Row],[weekly_self_study_hours]]&lt;=20,  "11 - 20",student_scores[[#This Row],[weekly_self_study_hours]]&lt;=30, "21 - 30",TRUE, "31+")</f>
        <v>0 - 5</v>
      </c>
      <c r="U1766" t="str" cm="1">
        <f t="array" ref="U1766">_xlfn.IFS(student_scores[[#This Row],[absence_days]]=0,"0", student_scores[[#This Row],[absence_days]]&lt;=3,"1-3", student_scores[[#This Row],[absence_days]]&lt;=6,"4-6", TRUE,"7-10")</f>
        <v>7-10</v>
      </c>
      <c r="V1766" t="str">
        <f>IF(student_scores[[#This Row],[Total_Score]] &gt;= _xlfn.PERCENTILE.INC(student_scores[Total_Score], 0.8), "Yes", "No")</f>
        <v>No</v>
      </c>
    </row>
    <row r="1767" spans="1:22" x14ac:dyDescent="0.35">
      <c r="A1767">
        <v>1766</v>
      </c>
      <c r="B1767" t="s">
        <v>319</v>
      </c>
      <c r="C1767" t="s">
        <v>2869</v>
      </c>
      <c r="D1767" t="s">
        <v>2870</v>
      </c>
      <c r="E1767" t="s">
        <v>25</v>
      </c>
      <c r="F1767" t="b">
        <v>1</v>
      </c>
      <c r="G1767">
        <v>0</v>
      </c>
      <c r="H1767" t="b">
        <v>0</v>
      </c>
      <c r="I1767">
        <v>34</v>
      </c>
      <c r="J1767" t="s">
        <v>21</v>
      </c>
      <c r="K1767">
        <v>91</v>
      </c>
      <c r="L1767">
        <v>85</v>
      </c>
      <c r="M1767">
        <v>81</v>
      </c>
      <c r="N1767">
        <v>93</v>
      </c>
      <c r="O1767">
        <v>100</v>
      </c>
      <c r="P1767">
        <v>87</v>
      </c>
      <c r="Q1767">
        <v>77</v>
      </c>
      <c r="R1767">
        <f>SUM(student_scores[[#This Row],[math_score]:[geography_score]])</f>
        <v>614</v>
      </c>
      <c r="S1767" s="3">
        <f>student_scores[[#This Row],[Total_Score]]/7</f>
        <v>87.714285714285708</v>
      </c>
      <c r="T1767" s="3" t="str" cm="1">
        <f t="array" ref="T1767">_xlfn.IFS(student_scores[[#This Row],[weekly_self_study_hours]]&lt;=5,   "0 - 5", student_scores[[#This Row],[weekly_self_study_hours]]&lt;=10,  "6 - 10", student_scores[[#This Row],[weekly_self_study_hours]]&lt;=20,  "11 - 20",student_scores[[#This Row],[weekly_self_study_hours]]&lt;=30, "21 - 30",TRUE, "31+")</f>
        <v>31+</v>
      </c>
      <c r="U1767" t="str" cm="1">
        <f t="array" ref="U1767">_xlfn.IFS(student_scores[[#This Row],[absence_days]]=0,"0", student_scores[[#This Row],[absence_days]]&lt;=3,"1-3", student_scores[[#This Row],[absence_days]]&lt;=6,"4-6", TRUE,"7-10")</f>
        <v>0</v>
      </c>
      <c r="V1767" t="str">
        <f>IF(student_scores[[#This Row],[Total_Score]] &gt;= _xlfn.PERCENTILE.INC(student_scores[Total_Score], 0.8), "Yes", "No")</f>
        <v>Yes</v>
      </c>
    </row>
    <row r="1768" spans="1:22" x14ac:dyDescent="0.35">
      <c r="A1768">
        <v>1767</v>
      </c>
      <c r="B1768" t="s">
        <v>845</v>
      </c>
      <c r="C1768" t="s">
        <v>136</v>
      </c>
      <c r="D1768" t="s">
        <v>2871</v>
      </c>
      <c r="E1768" t="s">
        <v>25</v>
      </c>
      <c r="F1768" t="b">
        <v>0</v>
      </c>
      <c r="G1768">
        <v>7</v>
      </c>
      <c r="H1768" t="b">
        <v>1</v>
      </c>
      <c r="I1768">
        <v>0</v>
      </c>
      <c r="J1768" t="s">
        <v>64</v>
      </c>
      <c r="K1768">
        <v>76</v>
      </c>
      <c r="L1768">
        <v>96</v>
      </c>
      <c r="M1768">
        <v>89</v>
      </c>
      <c r="N1768">
        <v>83</v>
      </c>
      <c r="O1768">
        <v>78</v>
      </c>
      <c r="P1768">
        <v>54</v>
      </c>
      <c r="Q1768">
        <v>61</v>
      </c>
      <c r="R1768">
        <f>SUM(student_scores[[#This Row],[math_score]:[geography_score]])</f>
        <v>537</v>
      </c>
      <c r="S1768" s="3">
        <f>student_scores[[#This Row],[Total_Score]]/7</f>
        <v>76.714285714285708</v>
      </c>
      <c r="T1768" s="3" t="str" cm="1">
        <f t="array" ref="T1768">_xlfn.IFS(student_scores[[#This Row],[weekly_self_study_hours]]&lt;=5,   "0 - 5", student_scores[[#This Row],[weekly_self_study_hours]]&lt;=10,  "6 - 10", student_scores[[#This Row],[weekly_self_study_hours]]&lt;=20,  "11 - 20",student_scores[[#This Row],[weekly_self_study_hours]]&lt;=30, "21 - 30",TRUE, "31+")</f>
        <v>0 - 5</v>
      </c>
      <c r="U1768" t="str" cm="1">
        <f t="array" ref="U1768">_xlfn.IFS(student_scores[[#This Row],[absence_days]]=0,"0", student_scores[[#This Row],[absence_days]]&lt;=3,"1-3", student_scores[[#This Row],[absence_days]]&lt;=6,"4-6", TRUE,"7-10")</f>
        <v>7-10</v>
      </c>
      <c r="V1768" t="str">
        <f>IF(student_scores[[#This Row],[Total_Score]] &gt;= _xlfn.PERCENTILE.INC(student_scores[Total_Score], 0.8), "Yes", "No")</f>
        <v>No</v>
      </c>
    </row>
    <row r="1769" spans="1:22" x14ac:dyDescent="0.35">
      <c r="A1769">
        <v>1768</v>
      </c>
      <c r="B1769" t="s">
        <v>197</v>
      </c>
      <c r="C1769" t="s">
        <v>1272</v>
      </c>
      <c r="D1769" t="s">
        <v>2872</v>
      </c>
      <c r="E1769" t="s">
        <v>20</v>
      </c>
      <c r="F1769" t="b">
        <v>0</v>
      </c>
      <c r="G1769">
        <v>4</v>
      </c>
      <c r="H1769" t="b">
        <v>0</v>
      </c>
      <c r="I1769">
        <v>17</v>
      </c>
      <c r="J1769" t="s">
        <v>44</v>
      </c>
      <c r="K1769">
        <v>86</v>
      </c>
      <c r="L1769">
        <v>70</v>
      </c>
      <c r="M1769">
        <v>94</v>
      </c>
      <c r="N1769">
        <v>96</v>
      </c>
      <c r="O1769">
        <v>74</v>
      </c>
      <c r="P1769">
        <v>67</v>
      </c>
      <c r="Q1769">
        <v>60</v>
      </c>
      <c r="R1769">
        <f>SUM(student_scores[[#This Row],[math_score]:[geography_score]])</f>
        <v>547</v>
      </c>
      <c r="S1769" s="3">
        <f>student_scores[[#This Row],[Total_Score]]/7</f>
        <v>78.142857142857139</v>
      </c>
      <c r="T1769" s="3" t="str" cm="1">
        <f t="array" ref="T1769">_xlfn.IFS(student_scores[[#This Row],[weekly_self_study_hours]]&lt;=5,   "0 - 5", student_scores[[#This Row],[weekly_self_study_hours]]&lt;=10,  "6 - 10", student_scores[[#This Row],[weekly_self_study_hours]]&lt;=20,  "11 - 20",student_scores[[#This Row],[weekly_self_study_hours]]&lt;=30, "21 - 30",TRUE, "31+")</f>
        <v>11 - 20</v>
      </c>
      <c r="U1769" t="str" cm="1">
        <f t="array" ref="U1769">_xlfn.IFS(student_scores[[#This Row],[absence_days]]=0,"0", student_scores[[#This Row],[absence_days]]&lt;=3,"1-3", student_scores[[#This Row],[absence_days]]&lt;=6,"4-6", TRUE,"7-10")</f>
        <v>4-6</v>
      </c>
      <c r="V1769" t="str">
        <f>IF(student_scores[[#This Row],[Total_Score]] &gt;= _xlfn.PERCENTILE.INC(student_scores[Total_Score], 0.8), "Yes", "No")</f>
        <v>No</v>
      </c>
    </row>
    <row r="1770" spans="1:22" x14ac:dyDescent="0.35">
      <c r="A1770">
        <v>1769</v>
      </c>
      <c r="B1770" t="s">
        <v>558</v>
      </c>
      <c r="C1770" t="s">
        <v>2873</v>
      </c>
      <c r="D1770" t="s">
        <v>2874</v>
      </c>
      <c r="E1770" t="s">
        <v>25</v>
      </c>
      <c r="F1770" t="b">
        <v>0</v>
      </c>
      <c r="G1770">
        <v>5</v>
      </c>
      <c r="H1770" t="b">
        <v>0</v>
      </c>
      <c r="I1770">
        <v>10</v>
      </c>
      <c r="J1770" t="s">
        <v>105</v>
      </c>
      <c r="K1770">
        <v>81</v>
      </c>
      <c r="L1770">
        <v>77</v>
      </c>
      <c r="M1770">
        <v>88</v>
      </c>
      <c r="N1770">
        <v>92</v>
      </c>
      <c r="O1770">
        <v>65</v>
      </c>
      <c r="P1770">
        <v>92</v>
      </c>
      <c r="Q1770">
        <v>87</v>
      </c>
      <c r="R1770">
        <f>SUM(student_scores[[#This Row],[math_score]:[geography_score]])</f>
        <v>582</v>
      </c>
      <c r="S1770" s="3">
        <f>student_scores[[#This Row],[Total_Score]]/7</f>
        <v>83.142857142857139</v>
      </c>
      <c r="T1770" s="3" t="str" cm="1">
        <f t="array" ref="T1770">_xlfn.IFS(student_scores[[#This Row],[weekly_self_study_hours]]&lt;=5,   "0 - 5", student_scores[[#This Row],[weekly_self_study_hours]]&lt;=10,  "6 - 10", student_scores[[#This Row],[weekly_self_study_hours]]&lt;=20,  "11 - 20",student_scores[[#This Row],[weekly_self_study_hours]]&lt;=30, "21 - 30",TRUE, "31+")</f>
        <v>6 - 10</v>
      </c>
      <c r="U1770" t="str" cm="1">
        <f t="array" ref="U1770">_xlfn.IFS(student_scores[[#This Row],[absence_days]]=0,"0", student_scores[[#This Row],[absence_days]]&lt;=3,"1-3", student_scores[[#This Row],[absence_days]]&lt;=6,"4-6", TRUE,"7-10")</f>
        <v>4-6</v>
      </c>
      <c r="V1770" t="str">
        <f>IF(student_scores[[#This Row],[Total_Score]] &gt;= _xlfn.PERCENTILE.INC(student_scores[Total_Score], 0.8), "Yes", "No")</f>
        <v>No</v>
      </c>
    </row>
    <row r="1771" spans="1:22" x14ac:dyDescent="0.35">
      <c r="A1771">
        <v>1770</v>
      </c>
      <c r="B1771" t="s">
        <v>2036</v>
      </c>
      <c r="C1771" t="s">
        <v>2875</v>
      </c>
      <c r="D1771" t="s">
        <v>2876</v>
      </c>
      <c r="E1771" t="s">
        <v>25</v>
      </c>
      <c r="F1771" t="b">
        <v>0</v>
      </c>
      <c r="G1771">
        <v>4</v>
      </c>
      <c r="H1771" t="b">
        <v>1</v>
      </c>
      <c r="I1771">
        <v>35</v>
      </c>
      <c r="J1771" t="s">
        <v>21</v>
      </c>
      <c r="K1771">
        <v>98</v>
      </c>
      <c r="L1771">
        <v>88</v>
      </c>
      <c r="M1771">
        <v>88</v>
      </c>
      <c r="N1771">
        <v>89</v>
      </c>
      <c r="O1771">
        <v>90</v>
      </c>
      <c r="P1771">
        <v>90</v>
      </c>
      <c r="Q1771">
        <v>90</v>
      </c>
      <c r="R1771">
        <f>SUM(student_scores[[#This Row],[math_score]:[geography_score]])</f>
        <v>633</v>
      </c>
      <c r="S1771" s="3">
        <f>student_scores[[#This Row],[Total_Score]]/7</f>
        <v>90.428571428571431</v>
      </c>
      <c r="T1771" s="3" t="str" cm="1">
        <f t="array" ref="T1771">_xlfn.IFS(student_scores[[#This Row],[weekly_self_study_hours]]&lt;=5,   "0 - 5", student_scores[[#This Row],[weekly_self_study_hours]]&lt;=10,  "6 - 10", student_scores[[#This Row],[weekly_self_study_hours]]&lt;=20,  "11 - 20",student_scores[[#This Row],[weekly_self_study_hours]]&lt;=30, "21 - 30",TRUE, "31+")</f>
        <v>31+</v>
      </c>
      <c r="U1771" t="str" cm="1">
        <f t="array" ref="U1771">_xlfn.IFS(student_scores[[#This Row],[absence_days]]=0,"0", student_scores[[#This Row],[absence_days]]&lt;=3,"1-3", student_scores[[#This Row],[absence_days]]&lt;=6,"4-6", TRUE,"7-10")</f>
        <v>4-6</v>
      </c>
      <c r="V1771" t="str">
        <f>IF(student_scores[[#This Row],[Total_Score]] &gt;= _xlfn.PERCENTILE.INC(student_scores[Total_Score], 0.8), "Yes", "No")</f>
        <v>Yes</v>
      </c>
    </row>
    <row r="1772" spans="1:22" x14ac:dyDescent="0.35">
      <c r="A1772">
        <v>1771</v>
      </c>
      <c r="B1772" t="s">
        <v>1218</v>
      </c>
      <c r="C1772" t="s">
        <v>95</v>
      </c>
      <c r="D1772" t="s">
        <v>2877</v>
      </c>
      <c r="E1772" t="s">
        <v>20</v>
      </c>
      <c r="F1772" t="b">
        <v>0</v>
      </c>
      <c r="G1772">
        <v>3</v>
      </c>
      <c r="H1772" t="b">
        <v>0</v>
      </c>
      <c r="I1772">
        <v>27</v>
      </c>
      <c r="J1772" t="s">
        <v>44</v>
      </c>
      <c r="K1772">
        <v>88</v>
      </c>
      <c r="L1772">
        <v>67</v>
      </c>
      <c r="M1772">
        <v>96</v>
      </c>
      <c r="N1772">
        <v>70</v>
      </c>
      <c r="O1772">
        <v>66</v>
      </c>
      <c r="P1772">
        <v>76</v>
      </c>
      <c r="Q1772">
        <v>71</v>
      </c>
      <c r="R1772">
        <f>SUM(student_scores[[#This Row],[math_score]:[geography_score]])</f>
        <v>534</v>
      </c>
      <c r="S1772" s="3">
        <f>student_scores[[#This Row],[Total_Score]]/7</f>
        <v>76.285714285714292</v>
      </c>
      <c r="T1772" s="3" t="str" cm="1">
        <f t="array" ref="T1772">_xlfn.IFS(student_scores[[#This Row],[weekly_self_study_hours]]&lt;=5,   "0 - 5", student_scores[[#This Row],[weekly_self_study_hours]]&lt;=10,  "6 - 10", student_scores[[#This Row],[weekly_self_study_hours]]&lt;=20,  "11 - 20",student_scores[[#This Row],[weekly_self_study_hours]]&lt;=30, "21 - 30",TRUE, "31+")</f>
        <v>21 - 30</v>
      </c>
      <c r="U1772" t="str" cm="1">
        <f t="array" ref="U1772">_xlfn.IFS(student_scores[[#This Row],[absence_days]]=0,"0", student_scores[[#This Row],[absence_days]]&lt;=3,"1-3", student_scores[[#This Row],[absence_days]]&lt;=6,"4-6", TRUE,"7-10")</f>
        <v>1-3</v>
      </c>
      <c r="V1772" t="str">
        <f>IF(student_scores[[#This Row],[Total_Score]] &gt;= _xlfn.PERCENTILE.INC(student_scores[Total_Score], 0.8), "Yes", "No")</f>
        <v>No</v>
      </c>
    </row>
    <row r="1773" spans="1:22" x14ac:dyDescent="0.35">
      <c r="A1773">
        <v>1772</v>
      </c>
      <c r="B1773" t="s">
        <v>1007</v>
      </c>
      <c r="C1773" t="s">
        <v>332</v>
      </c>
      <c r="D1773" t="s">
        <v>2878</v>
      </c>
      <c r="E1773" t="s">
        <v>20</v>
      </c>
      <c r="F1773" t="b">
        <v>0</v>
      </c>
      <c r="G1773">
        <v>2</v>
      </c>
      <c r="H1773" t="b">
        <v>1</v>
      </c>
      <c r="I1773">
        <v>30</v>
      </c>
      <c r="J1773" t="s">
        <v>76</v>
      </c>
      <c r="K1773">
        <v>85</v>
      </c>
      <c r="L1773">
        <v>83</v>
      </c>
      <c r="M1773">
        <v>94</v>
      </c>
      <c r="N1773">
        <v>100</v>
      </c>
      <c r="O1773">
        <v>89</v>
      </c>
      <c r="P1773">
        <v>68</v>
      </c>
      <c r="Q1773">
        <v>89</v>
      </c>
      <c r="R1773">
        <f>SUM(student_scores[[#This Row],[math_score]:[geography_score]])</f>
        <v>608</v>
      </c>
      <c r="S1773" s="3">
        <f>student_scores[[#This Row],[Total_Score]]/7</f>
        <v>86.857142857142861</v>
      </c>
      <c r="T1773" s="3" t="str" cm="1">
        <f t="array" ref="T1773">_xlfn.IFS(student_scores[[#This Row],[weekly_self_study_hours]]&lt;=5,   "0 - 5", student_scores[[#This Row],[weekly_self_study_hours]]&lt;=10,  "6 - 10", student_scores[[#This Row],[weekly_self_study_hours]]&lt;=20,  "11 - 20",student_scores[[#This Row],[weekly_self_study_hours]]&lt;=30, "21 - 30",TRUE, "31+")</f>
        <v>21 - 30</v>
      </c>
      <c r="U1773" t="str" cm="1">
        <f t="array" ref="U1773">_xlfn.IFS(student_scores[[#This Row],[absence_days]]=0,"0", student_scores[[#This Row],[absence_days]]&lt;=3,"1-3", student_scores[[#This Row],[absence_days]]&lt;=6,"4-6", TRUE,"7-10")</f>
        <v>1-3</v>
      </c>
      <c r="V1773" t="str">
        <f>IF(student_scores[[#This Row],[Total_Score]] &gt;= _xlfn.PERCENTILE.INC(student_scores[Total_Score], 0.8), "Yes", "No")</f>
        <v>Yes</v>
      </c>
    </row>
    <row r="1774" spans="1:22" x14ac:dyDescent="0.35">
      <c r="A1774">
        <v>1773</v>
      </c>
      <c r="B1774" t="s">
        <v>568</v>
      </c>
      <c r="C1774" t="s">
        <v>295</v>
      </c>
      <c r="D1774" t="s">
        <v>2879</v>
      </c>
      <c r="E1774" t="s">
        <v>20</v>
      </c>
      <c r="F1774" t="b">
        <v>0</v>
      </c>
      <c r="G1774">
        <v>2</v>
      </c>
      <c r="H1774" t="b">
        <v>0</v>
      </c>
      <c r="I1774">
        <v>35</v>
      </c>
      <c r="J1774" t="s">
        <v>21</v>
      </c>
      <c r="K1774">
        <v>90</v>
      </c>
      <c r="L1774">
        <v>89</v>
      </c>
      <c r="M1774">
        <v>96</v>
      </c>
      <c r="N1774">
        <v>94</v>
      </c>
      <c r="O1774">
        <v>100</v>
      </c>
      <c r="P1774">
        <v>88</v>
      </c>
      <c r="Q1774">
        <v>85</v>
      </c>
      <c r="R1774">
        <f>SUM(student_scores[[#This Row],[math_score]:[geography_score]])</f>
        <v>642</v>
      </c>
      <c r="S1774" s="3">
        <f>student_scores[[#This Row],[Total_Score]]/7</f>
        <v>91.714285714285708</v>
      </c>
      <c r="T1774" s="3" t="str" cm="1">
        <f t="array" ref="T1774">_xlfn.IFS(student_scores[[#This Row],[weekly_self_study_hours]]&lt;=5,   "0 - 5", student_scores[[#This Row],[weekly_self_study_hours]]&lt;=10,  "6 - 10", student_scores[[#This Row],[weekly_self_study_hours]]&lt;=20,  "11 - 20",student_scores[[#This Row],[weekly_self_study_hours]]&lt;=30, "21 - 30",TRUE, "31+")</f>
        <v>31+</v>
      </c>
      <c r="U1774" t="str" cm="1">
        <f t="array" ref="U1774">_xlfn.IFS(student_scores[[#This Row],[absence_days]]=0,"0", student_scores[[#This Row],[absence_days]]&lt;=3,"1-3", student_scores[[#This Row],[absence_days]]&lt;=6,"4-6", TRUE,"7-10")</f>
        <v>1-3</v>
      </c>
      <c r="V1774" t="str">
        <f>IF(student_scores[[#This Row],[Total_Score]] &gt;= _xlfn.PERCENTILE.INC(student_scores[Total_Score], 0.8), "Yes", "No")</f>
        <v>Yes</v>
      </c>
    </row>
    <row r="1775" spans="1:22" x14ac:dyDescent="0.35">
      <c r="A1775">
        <v>1774</v>
      </c>
      <c r="B1775" t="s">
        <v>388</v>
      </c>
      <c r="C1775" t="s">
        <v>1153</v>
      </c>
      <c r="D1775" t="s">
        <v>2880</v>
      </c>
      <c r="E1775" t="s">
        <v>25</v>
      </c>
      <c r="F1775" t="b">
        <v>1</v>
      </c>
      <c r="G1775">
        <v>5</v>
      </c>
      <c r="H1775" t="b">
        <v>0</v>
      </c>
      <c r="I1775">
        <v>5</v>
      </c>
      <c r="J1775" t="s">
        <v>159</v>
      </c>
      <c r="K1775">
        <v>97</v>
      </c>
      <c r="L1775">
        <v>83</v>
      </c>
      <c r="M1775">
        <v>93</v>
      </c>
      <c r="N1775">
        <v>67</v>
      </c>
      <c r="O1775">
        <v>85</v>
      </c>
      <c r="P1775">
        <v>63</v>
      </c>
      <c r="Q1775">
        <v>66</v>
      </c>
      <c r="R1775">
        <f>SUM(student_scores[[#This Row],[math_score]:[geography_score]])</f>
        <v>554</v>
      </c>
      <c r="S1775" s="3">
        <f>student_scores[[#This Row],[Total_Score]]/7</f>
        <v>79.142857142857139</v>
      </c>
      <c r="T1775" s="3" t="str" cm="1">
        <f t="array" ref="T1775">_xlfn.IFS(student_scores[[#This Row],[weekly_self_study_hours]]&lt;=5,   "0 - 5", student_scores[[#This Row],[weekly_self_study_hours]]&lt;=10,  "6 - 10", student_scores[[#This Row],[weekly_self_study_hours]]&lt;=20,  "11 - 20",student_scores[[#This Row],[weekly_self_study_hours]]&lt;=30, "21 - 30",TRUE, "31+")</f>
        <v>0 - 5</v>
      </c>
      <c r="U1775" t="str" cm="1">
        <f t="array" ref="U1775">_xlfn.IFS(student_scores[[#This Row],[absence_days]]=0,"0", student_scores[[#This Row],[absence_days]]&lt;=3,"1-3", student_scores[[#This Row],[absence_days]]&lt;=6,"4-6", TRUE,"7-10")</f>
        <v>4-6</v>
      </c>
      <c r="V1775" t="str">
        <f>IF(student_scores[[#This Row],[Total_Score]] &gt;= _xlfn.PERCENTILE.INC(student_scores[Total_Score], 0.8), "Yes", "No")</f>
        <v>No</v>
      </c>
    </row>
    <row r="1776" spans="1:22" x14ac:dyDescent="0.35">
      <c r="A1776">
        <v>1775</v>
      </c>
      <c r="B1776" t="s">
        <v>919</v>
      </c>
      <c r="C1776" t="s">
        <v>264</v>
      </c>
      <c r="D1776" t="s">
        <v>2881</v>
      </c>
      <c r="E1776" t="s">
        <v>25</v>
      </c>
      <c r="F1776" t="b">
        <v>0</v>
      </c>
      <c r="G1776">
        <v>6</v>
      </c>
      <c r="H1776" t="b">
        <v>1</v>
      </c>
      <c r="I1776">
        <v>10</v>
      </c>
      <c r="J1776" t="s">
        <v>30</v>
      </c>
      <c r="K1776">
        <v>78</v>
      </c>
      <c r="L1776">
        <v>84</v>
      </c>
      <c r="M1776">
        <v>71</v>
      </c>
      <c r="N1776">
        <v>93</v>
      </c>
      <c r="O1776">
        <v>78</v>
      </c>
      <c r="P1776">
        <v>78</v>
      </c>
      <c r="Q1776">
        <v>87</v>
      </c>
      <c r="R1776">
        <f>SUM(student_scores[[#This Row],[math_score]:[geography_score]])</f>
        <v>569</v>
      </c>
      <c r="S1776" s="3">
        <f>student_scores[[#This Row],[Total_Score]]/7</f>
        <v>81.285714285714292</v>
      </c>
      <c r="T1776" s="3" t="str" cm="1">
        <f t="array" ref="T1776">_xlfn.IFS(student_scores[[#This Row],[weekly_self_study_hours]]&lt;=5,   "0 - 5", student_scores[[#This Row],[weekly_self_study_hours]]&lt;=10,  "6 - 10", student_scores[[#This Row],[weekly_self_study_hours]]&lt;=20,  "11 - 20",student_scores[[#This Row],[weekly_self_study_hours]]&lt;=30, "21 - 30",TRUE, "31+")</f>
        <v>6 - 10</v>
      </c>
      <c r="U1776" t="str" cm="1">
        <f t="array" ref="U1776">_xlfn.IFS(student_scores[[#This Row],[absence_days]]=0,"0", student_scores[[#This Row],[absence_days]]&lt;=3,"1-3", student_scores[[#This Row],[absence_days]]&lt;=6,"4-6", TRUE,"7-10")</f>
        <v>4-6</v>
      </c>
      <c r="V1776" t="str">
        <f>IF(student_scores[[#This Row],[Total_Score]] &gt;= _xlfn.PERCENTILE.INC(student_scores[Total_Score], 0.8), "Yes", "No")</f>
        <v>No</v>
      </c>
    </row>
    <row r="1777" spans="1:22" x14ac:dyDescent="0.35">
      <c r="A1777">
        <v>1776</v>
      </c>
      <c r="B1777" t="s">
        <v>417</v>
      </c>
      <c r="C1777" t="s">
        <v>2587</v>
      </c>
      <c r="D1777" t="s">
        <v>2882</v>
      </c>
      <c r="E1777" t="s">
        <v>25</v>
      </c>
      <c r="F1777" t="b">
        <v>1</v>
      </c>
      <c r="G1777">
        <v>8</v>
      </c>
      <c r="H1777" t="b">
        <v>0</v>
      </c>
      <c r="I1777">
        <v>1</v>
      </c>
      <c r="J1777" t="s">
        <v>64</v>
      </c>
      <c r="K1777">
        <v>53</v>
      </c>
      <c r="L1777">
        <v>98</v>
      </c>
      <c r="M1777">
        <v>90</v>
      </c>
      <c r="N1777">
        <v>81</v>
      </c>
      <c r="O1777">
        <v>61</v>
      </c>
      <c r="P1777">
        <v>65</v>
      </c>
      <c r="Q1777">
        <v>93</v>
      </c>
      <c r="R1777">
        <f>SUM(student_scores[[#This Row],[math_score]:[geography_score]])</f>
        <v>541</v>
      </c>
      <c r="S1777" s="3">
        <f>student_scores[[#This Row],[Total_Score]]/7</f>
        <v>77.285714285714292</v>
      </c>
      <c r="T1777" s="3" t="str" cm="1">
        <f t="array" ref="T1777">_xlfn.IFS(student_scores[[#This Row],[weekly_self_study_hours]]&lt;=5,   "0 - 5", student_scores[[#This Row],[weekly_self_study_hours]]&lt;=10,  "6 - 10", student_scores[[#This Row],[weekly_self_study_hours]]&lt;=20,  "11 - 20",student_scores[[#This Row],[weekly_self_study_hours]]&lt;=30, "21 - 30",TRUE, "31+")</f>
        <v>0 - 5</v>
      </c>
      <c r="U1777" t="str" cm="1">
        <f t="array" ref="U1777">_xlfn.IFS(student_scores[[#This Row],[absence_days]]=0,"0", student_scores[[#This Row],[absence_days]]&lt;=3,"1-3", student_scores[[#This Row],[absence_days]]&lt;=6,"4-6", TRUE,"7-10")</f>
        <v>7-10</v>
      </c>
      <c r="V1777" t="str">
        <f>IF(student_scores[[#This Row],[Total_Score]] &gt;= _xlfn.PERCENTILE.INC(student_scores[Total_Score], 0.8), "Yes", "No")</f>
        <v>No</v>
      </c>
    </row>
    <row r="1778" spans="1:22" x14ac:dyDescent="0.35">
      <c r="A1778">
        <v>1777</v>
      </c>
      <c r="B1778" t="s">
        <v>1227</v>
      </c>
      <c r="C1778" t="s">
        <v>2883</v>
      </c>
      <c r="D1778" t="s">
        <v>2884</v>
      </c>
      <c r="E1778" t="s">
        <v>20</v>
      </c>
      <c r="F1778" t="b">
        <v>1</v>
      </c>
      <c r="G1778">
        <v>10</v>
      </c>
      <c r="H1778" t="b">
        <v>0</v>
      </c>
      <c r="I1778">
        <v>0</v>
      </c>
      <c r="J1778" t="s">
        <v>64</v>
      </c>
      <c r="K1778">
        <v>77</v>
      </c>
      <c r="L1778">
        <v>53</v>
      </c>
      <c r="M1778">
        <v>92</v>
      </c>
      <c r="N1778">
        <v>98</v>
      </c>
      <c r="O1778">
        <v>56</v>
      </c>
      <c r="P1778">
        <v>53</v>
      </c>
      <c r="Q1778">
        <v>93</v>
      </c>
      <c r="R1778">
        <f>SUM(student_scores[[#This Row],[math_score]:[geography_score]])</f>
        <v>522</v>
      </c>
      <c r="S1778" s="3">
        <f>student_scores[[#This Row],[Total_Score]]/7</f>
        <v>74.571428571428569</v>
      </c>
      <c r="T1778" s="3" t="str" cm="1">
        <f t="array" ref="T1778">_xlfn.IFS(student_scores[[#This Row],[weekly_self_study_hours]]&lt;=5,   "0 - 5", student_scores[[#This Row],[weekly_self_study_hours]]&lt;=10,  "6 - 10", student_scores[[#This Row],[weekly_self_study_hours]]&lt;=20,  "11 - 20",student_scores[[#This Row],[weekly_self_study_hours]]&lt;=30, "21 - 30",TRUE, "31+")</f>
        <v>0 - 5</v>
      </c>
      <c r="U1778" t="str" cm="1">
        <f t="array" ref="U1778">_xlfn.IFS(student_scores[[#This Row],[absence_days]]=0,"0", student_scores[[#This Row],[absence_days]]&lt;=3,"1-3", student_scores[[#This Row],[absence_days]]&lt;=6,"4-6", TRUE,"7-10")</f>
        <v>7-10</v>
      </c>
      <c r="V1778" t="str">
        <f>IF(student_scores[[#This Row],[Total_Score]] &gt;= _xlfn.PERCENTILE.INC(student_scores[Total_Score], 0.8), "Yes", "No")</f>
        <v>No</v>
      </c>
    </row>
    <row r="1779" spans="1:22" x14ac:dyDescent="0.35">
      <c r="A1779">
        <v>1778</v>
      </c>
      <c r="B1779" t="s">
        <v>557</v>
      </c>
      <c r="C1779" t="s">
        <v>62</v>
      </c>
      <c r="D1779" t="s">
        <v>2885</v>
      </c>
      <c r="E1779" t="s">
        <v>20</v>
      </c>
      <c r="F1779" t="b">
        <v>1</v>
      </c>
      <c r="G1779">
        <v>3</v>
      </c>
      <c r="H1779" t="b">
        <v>0</v>
      </c>
      <c r="I1779">
        <v>30</v>
      </c>
      <c r="J1779" t="s">
        <v>21</v>
      </c>
      <c r="K1779">
        <v>97</v>
      </c>
      <c r="L1779">
        <v>88</v>
      </c>
      <c r="M1779">
        <v>94</v>
      </c>
      <c r="N1779">
        <v>75</v>
      </c>
      <c r="O1779">
        <v>66</v>
      </c>
      <c r="P1779">
        <v>91</v>
      </c>
      <c r="Q1779">
        <v>64</v>
      </c>
      <c r="R1779">
        <f>SUM(student_scores[[#This Row],[math_score]:[geography_score]])</f>
        <v>575</v>
      </c>
      <c r="S1779" s="3">
        <f>student_scores[[#This Row],[Total_Score]]/7</f>
        <v>82.142857142857139</v>
      </c>
      <c r="T1779" s="3" t="str" cm="1">
        <f t="array" ref="T1779">_xlfn.IFS(student_scores[[#This Row],[weekly_self_study_hours]]&lt;=5,   "0 - 5", student_scores[[#This Row],[weekly_self_study_hours]]&lt;=10,  "6 - 10", student_scores[[#This Row],[weekly_self_study_hours]]&lt;=20,  "11 - 20",student_scores[[#This Row],[weekly_self_study_hours]]&lt;=30, "21 - 30",TRUE, "31+")</f>
        <v>21 - 30</v>
      </c>
      <c r="U1779" t="str" cm="1">
        <f t="array" ref="U1779">_xlfn.IFS(student_scores[[#This Row],[absence_days]]=0,"0", student_scores[[#This Row],[absence_days]]&lt;=3,"1-3", student_scores[[#This Row],[absence_days]]&lt;=6,"4-6", TRUE,"7-10")</f>
        <v>1-3</v>
      </c>
      <c r="V1779" t="str">
        <f>IF(student_scores[[#This Row],[Total_Score]] &gt;= _xlfn.PERCENTILE.INC(student_scores[Total_Score], 0.8), "Yes", "No")</f>
        <v>No</v>
      </c>
    </row>
    <row r="1780" spans="1:22" x14ac:dyDescent="0.35">
      <c r="A1780">
        <v>1779</v>
      </c>
      <c r="B1780" t="s">
        <v>348</v>
      </c>
      <c r="C1780" t="s">
        <v>32</v>
      </c>
      <c r="D1780" t="s">
        <v>2886</v>
      </c>
      <c r="E1780" t="s">
        <v>20</v>
      </c>
      <c r="F1780" t="b">
        <v>0</v>
      </c>
      <c r="G1780">
        <v>4</v>
      </c>
      <c r="H1780" t="b">
        <v>0</v>
      </c>
      <c r="I1780">
        <v>3</v>
      </c>
      <c r="J1780" t="s">
        <v>64</v>
      </c>
      <c r="K1780">
        <v>88</v>
      </c>
      <c r="L1780">
        <v>100</v>
      </c>
      <c r="M1780">
        <v>58</v>
      </c>
      <c r="N1780">
        <v>59</v>
      </c>
      <c r="O1780">
        <v>96</v>
      </c>
      <c r="P1780">
        <v>64</v>
      </c>
      <c r="Q1780">
        <v>87</v>
      </c>
      <c r="R1780">
        <f>SUM(student_scores[[#This Row],[math_score]:[geography_score]])</f>
        <v>552</v>
      </c>
      <c r="S1780" s="3">
        <f>student_scores[[#This Row],[Total_Score]]/7</f>
        <v>78.857142857142861</v>
      </c>
      <c r="T1780" s="3" t="str" cm="1">
        <f t="array" ref="T1780">_xlfn.IFS(student_scores[[#This Row],[weekly_self_study_hours]]&lt;=5,   "0 - 5", student_scores[[#This Row],[weekly_self_study_hours]]&lt;=10,  "6 - 10", student_scores[[#This Row],[weekly_self_study_hours]]&lt;=20,  "11 - 20",student_scores[[#This Row],[weekly_self_study_hours]]&lt;=30, "21 - 30",TRUE, "31+")</f>
        <v>0 - 5</v>
      </c>
      <c r="U1780" t="str" cm="1">
        <f t="array" ref="U1780">_xlfn.IFS(student_scores[[#This Row],[absence_days]]=0,"0", student_scores[[#This Row],[absence_days]]&lt;=3,"1-3", student_scores[[#This Row],[absence_days]]&lt;=6,"4-6", TRUE,"7-10")</f>
        <v>4-6</v>
      </c>
      <c r="V1780" t="str">
        <f>IF(student_scores[[#This Row],[Total_Score]] &gt;= _xlfn.PERCENTILE.INC(student_scores[Total_Score], 0.8), "Yes", "No")</f>
        <v>No</v>
      </c>
    </row>
    <row r="1781" spans="1:22" x14ac:dyDescent="0.35">
      <c r="A1781">
        <v>1780</v>
      </c>
      <c r="B1781" t="s">
        <v>208</v>
      </c>
      <c r="C1781" t="s">
        <v>316</v>
      </c>
      <c r="D1781" t="s">
        <v>2887</v>
      </c>
      <c r="E1781" t="s">
        <v>20</v>
      </c>
      <c r="F1781" t="b">
        <v>0</v>
      </c>
      <c r="G1781">
        <v>3</v>
      </c>
      <c r="H1781" t="b">
        <v>1</v>
      </c>
      <c r="I1781">
        <v>18</v>
      </c>
      <c r="J1781" t="s">
        <v>138</v>
      </c>
      <c r="K1781">
        <v>98</v>
      </c>
      <c r="L1781">
        <v>67</v>
      </c>
      <c r="M1781">
        <v>80</v>
      </c>
      <c r="N1781">
        <v>68</v>
      </c>
      <c r="O1781">
        <v>80</v>
      </c>
      <c r="P1781">
        <v>88</v>
      </c>
      <c r="Q1781">
        <v>85</v>
      </c>
      <c r="R1781">
        <f>SUM(student_scores[[#This Row],[math_score]:[geography_score]])</f>
        <v>566</v>
      </c>
      <c r="S1781" s="3">
        <f>student_scores[[#This Row],[Total_Score]]/7</f>
        <v>80.857142857142861</v>
      </c>
      <c r="T1781" s="3" t="str" cm="1">
        <f t="array" ref="T1781">_xlfn.IFS(student_scores[[#This Row],[weekly_self_study_hours]]&lt;=5,   "0 - 5", student_scores[[#This Row],[weekly_self_study_hours]]&lt;=10,  "6 - 10", student_scores[[#This Row],[weekly_self_study_hours]]&lt;=20,  "11 - 20",student_scores[[#This Row],[weekly_self_study_hours]]&lt;=30, "21 - 30",TRUE, "31+")</f>
        <v>11 - 20</v>
      </c>
      <c r="U1781" t="str" cm="1">
        <f t="array" ref="U1781">_xlfn.IFS(student_scores[[#This Row],[absence_days]]=0,"0", student_scores[[#This Row],[absence_days]]&lt;=3,"1-3", student_scores[[#This Row],[absence_days]]&lt;=6,"4-6", TRUE,"7-10")</f>
        <v>1-3</v>
      </c>
      <c r="V1781" t="str">
        <f>IF(student_scores[[#This Row],[Total_Score]] &gt;= _xlfn.PERCENTILE.INC(student_scores[Total_Score], 0.8), "Yes", "No")</f>
        <v>No</v>
      </c>
    </row>
    <row r="1782" spans="1:22" x14ac:dyDescent="0.35">
      <c r="A1782">
        <v>1781</v>
      </c>
      <c r="B1782" t="s">
        <v>388</v>
      </c>
      <c r="C1782" t="s">
        <v>42</v>
      </c>
      <c r="D1782" t="s">
        <v>2888</v>
      </c>
      <c r="E1782" t="s">
        <v>25</v>
      </c>
      <c r="F1782" t="b">
        <v>1</v>
      </c>
      <c r="G1782">
        <v>8</v>
      </c>
      <c r="H1782" t="b">
        <v>1</v>
      </c>
      <c r="I1782">
        <v>0</v>
      </c>
      <c r="J1782" t="s">
        <v>64</v>
      </c>
      <c r="K1782">
        <v>92</v>
      </c>
      <c r="L1782">
        <v>78</v>
      </c>
      <c r="M1782">
        <v>78</v>
      </c>
      <c r="N1782">
        <v>85</v>
      </c>
      <c r="O1782">
        <v>94</v>
      </c>
      <c r="P1782">
        <v>94</v>
      </c>
      <c r="Q1782">
        <v>73</v>
      </c>
      <c r="R1782">
        <f>SUM(student_scores[[#This Row],[math_score]:[geography_score]])</f>
        <v>594</v>
      </c>
      <c r="S1782" s="3">
        <f>student_scores[[#This Row],[Total_Score]]/7</f>
        <v>84.857142857142861</v>
      </c>
      <c r="T1782" s="3" t="str" cm="1">
        <f t="array" ref="T1782">_xlfn.IFS(student_scores[[#This Row],[weekly_self_study_hours]]&lt;=5,   "0 - 5", student_scores[[#This Row],[weekly_self_study_hours]]&lt;=10,  "6 - 10", student_scores[[#This Row],[weekly_self_study_hours]]&lt;=20,  "11 - 20",student_scores[[#This Row],[weekly_self_study_hours]]&lt;=30, "21 - 30",TRUE, "31+")</f>
        <v>0 - 5</v>
      </c>
      <c r="U1782" t="str" cm="1">
        <f t="array" ref="U1782">_xlfn.IFS(student_scores[[#This Row],[absence_days]]=0,"0", student_scores[[#This Row],[absence_days]]&lt;=3,"1-3", student_scores[[#This Row],[absence_days]]&lt;=6,"4-6", TRUE,"7-10")</f>
        <v>7-10</v>
      </c>
      <c r="V1782" t="str">
        <f>IF(student_scores[[#This Row],[Total_Score]] &gt;= _xlfn.PERCENTILE.INC(student_scores[Total_Score], 0.8), "Yes", "No")</f>
        <v>No</v>
      </c>
    </row>
    <row r="1783" spans="1:22" x14ac:dyDescent="0.35">
      <c r="A1783">
        <v>1782</v>
      </c>
      <c r="B1783" t="s">
        <v>300</v>
      </c>
      <c r="C1783" t="s">
        <v>1522</v>
      </c>
      <c r="D1783" t="s">
        <v>2889</v>
      </c>
      <c r="E1783" t="s">
        <v>20</v>
      </c>
      <c r="F1783" t="b">
        <v>1</v>
      </c>
      <c r="G1783">
        <v>5</v>
      </c>
      <c r="H1783" t="b">
        <v>0</v>
      </c>
      <c r="I1783">
        <v>15</v>
      </c>
      <c r="J1783" t="s">
        <v>44</v>
      </c>
      <c r="K1783">
        <v>92</v>
      </c>
      <c r="L1783">
        <v>92</v>
      </c>
      <c r="M1783">
        <v>74</v>
      </c>
      <c r="N1783">
        <v>96</v>
      </c>
      <c r="O1783">
        <v>95</v>
      </c>
      <c r="P1783">
        <v>77</v>
      </c>
      <c r="Q1783">
        <v>76</v>
      </c>
      <c r="R1783">
        <f>SUM(student_scores[[#This Row],[math_score]:[geography_score]])</f>
        <v>602</v>
      </c>
      <c r="S1783" s="3">
        <f>student_scores[[#This Row],[Total_Score]]/7</f>
        <v>86</v>
      </c>
      <c r="T1783" s="3" t="str" cm="1">
        <f t="array" ref="T1783">_xlfn.IFS(student_scores[[#This Row],[weekly_self_study_hours]]&lt;=5,   "0 - 5", student_scores[[#This Row],[weekly_self_study_hours]]&lt;=10,  "6 - 10", student_scores[[#This Row],[weekly_self_study_hours]]&lt;=20,  "11 - 20",student_scores[[#This Row],[weekly_self_study_hours]]&lt;=30, "21 - 30",TRUE, "31+")</f>
        <v>11 - 20</v>
      </c>
      <c r="U1783" t="str" cm="1">
        <f t="array" ref="U1783">_xlfn.IFS(student_scores[[#This Row],[absence_days]]=0,"0", student_scores[[#This Row],[absence_days]]&lt;=3,"1-3", student_scores[[#This Row],[absence_days]]&lt;=6,"4-6", TRUE,"7-10")</f>
        <v>4-6</v>
      </c>
      <c r="V1783" t="str">
        <f>IF(student_scores[[#This Row],[Total_Score]] &gt;= _xlfn.PERCENTILE.INC(student_scores[Total_Score], 0.8), "Yes", "No")</f>
        <v>Yes</v>
      </c>
    </row>
    <row r="1784" spans="1:22" x14ac:dyDescent="0.35">
      <c r="A1784">
        <v>1783</v>
      </c>
      <c r="B1784" t="s">
        <v>173</v>
      </c>
      <c r="C1784" t="s">
        <v>2890</v>
      </c>
      <c r="D1784" t="s">
        <v>2891</v>
      </c>
      <c r="E1784" t="s">
        <v>25</v>
      </c>
      <c r="F1784" t="b">
        <v>1</v>
      </c>
      <c r="G1784">
        <v>3</v>
      </c>
      <c r="H1784" t="b">
        <v>0</v>
      </c>
      <c r="I1784">
        <v>43</v>
      </c>
      <c r="J1784" t="s">
        <v>26</v>
      </c>
      <c r="K1784">
        <v>86</v>
      </c>
      <c r="L1784">
        <v>99</v>
      </c>
      <c r="M1784">
        <v>87</v>
      </c>
      <c r="N1784">
        <v>88</v>
      </c>
      <c r="O1784">
        <v>99</v>
      </c>
      <c r="P1784">
        <v>89</v>
      </c>
      <c r="Q1784">
        <v>86</v>
      </c>
      <c r="R1784">
        <f>SUM(student_scores[[#This Row],[math_score]:[geography_score]])</f>
        <v>634</v>
      </c>
      <c r="S1784" s="3">
        <f>student_scores[[#This Row],[Total_Score]]/7</f>
        <v>90.571428571428569</v>
      </c>
      <c r="T1784" s="3" t="str" cm="1">
        <f t="array" ref="T1784">_xlfn.IFS(student_scores[[#This Row],[weekly_self_study_hours]]&lt;=5,   "0 - 5", student_scores[[#This Row],[weekly_self_study_hours]]&lt;=10,  "6 - 10", student_scores[[#This Row],[weekly_self_study_hours]]&lt;=20,  "11 - 20",student_scores[[#This Row],[weekly_self_study_hours]]&lt;=30, "21 - 30",TRUE, "31+")</f>
        <v>31+</v>
      </c>
      <c r="U1784" t="str" cm="1">
        <f t="array" ref="U1784">_xlfn.IFS(student_scores[[#This Row],[absence_days]]=0,"0", student_scores[[#This Row],[absence_days]]&lt;=3,"1-3", student_scores[[#This Row],[absence_days]]&lt;=6,"4-6", TRUE,"7-10")</f>
        <v>1-3</v>
      </c>
      <c r="V1784" t="str">
        <f>IF(student_scores[[#This Row],[Total_Score]] &gt;= _xlfn.PERCENTILE.INC(student_scores[Total_Score], 0.8), "Yes", "No")</f>
        <v>Yes</v>
      </c>
    </row>
    <row r="1785" spans="1:22" x14ac:dyDescent="0.35">
      <c r="A1785">
        <v>1784</v>
      </c>
      <c r="B1785" t="s">
        <v>188</v>
      </c>
      <c r="C1785" t="s">
        <v>1743</v>
      </c>
      <c r="D1785" t="s">
        <v>2892</v>
      </c>
      <c r="E1785" t="s">
        <v>20</v>
      </c>
      <c r="F1785" t="b">
        <v>0</v>
      </c>
      <c r="G1785">
        <v>5</v>
      </c>
      <c r="H1785" t="b">
        <v>0</v>
      </c>
      <c r="I1785">
        <v>16</v>
      </c>
      <c r="J1785" t="s">
        <v>123</v>
      </c>
      <c r="K1785">
        <v>91</v>
      </c>
      <c r="L1785">
        <v>69</v>
      </c>
      <c r="M1785">
        <v>97</v>
      </c>
      <c r="N1785">
        <v>76</v>
      </c>
      <c r="O1785">
        <v>97</v>
      </c>
      <c r="P1785">
        <v>81</v>
      </c>
      <c r="Q1785">
        <v>86</v>
      </c>
      <c r="R1785">
        <f>SUM(student_scores[[#This Row],[math_score]:[geography_score]])</f>
        <v>597</v>
      </c>
      <c r="S1785" s="3">
        <f>student_scores[[#This Row],[Total_Score]]/7</f>
        <v>85.285714285714292</v>
      </c>
      <c r="T1785" s="3" t="str" cm="1">
        <f t="array" ref="T1785">_xlfn.IFS(student_scores[[#This Row],[weekly_self_study_hours]]&lt;=5,   "0 - 5", student_scores[[#This Row],[weekly_self_study_hours]]&lt;=10,  "6 - 10", student_scores[[#This Row],[weekly_self_study_hours]]&lt;=20,  "11 - 20",student_scores[[#This Row],[weekly_self_study_hours]]&lt;=30, "21 - 30",TRUE, "31+")</f>
        <v>11 - 20</v>
      </c>
      <c r="U1785" t="str" cm="1">
        <f t="array" ref="U1785">_xlfn.IFS(student_scores[[#This Row],[absence_days]]=0,"0", student_scores[[#This Row],[absence_days]]&lt;=3,"1-3", student_scores[[#This Row],[absence_days]]&lt;=6,"4-6", TRUE,"7-10")</f>
        <v>4-6</v>
      </c>
      <c r="V1785" t="str">
        <f>IF(student_scores[[#This Row],[Total_Score]] &gt;= _xlfn.PERCENTILE.INC(student_scores[Total_Score], 0.8), "Yes", "No")</f>
        <v>No</v>
      </c>
    </row>
    <row r="1786" spans="1:22" x14ac:dyDescent="0.35">
      <c r="A1786">
        <v>1785</v>
      </c>
      <c r="B1786" t="s">
        <v>868</v>
      </c>
      <c r="C1786" t="s">
        <v>81</v>
      </c>
      <c r="D1786" t="s">
        <v>2893</v>
      </c>
      <c r="E1786" t="s">
        <v>25</v>
      </c>
      <c r="F1786" t="b">
        <v>0</v>
      </c>
      <c r="G1786">
        <v>3</v>
      </c>
      <c r="H1786" t="b">
        <v>0</v>
      </c>
      <c r="I1786">
        <v>23</v>
      </c>
      <c r="J1786" t="s">
        <v>113</v>
      </c>
      <c r="K1786">
        <v>92</v>
      </c>
      <c r="L1786">
        <v>75</v>
      </c>
      <c r="M1786">
        <v>100</v>
      </c>
      <c r="N1786">
        <v>78</v>
      </c>
      <c r="O1786">
        <v>32</v>
      </c>
      <c r="P1786">
        <v>84</v>
      </c>
      <c r="Q1786">
        <v>69</v>
      </c>
      <c r="R1786">
        <f>SUM(student_scores[[#This Row],[math_score]:[geography_score]])</f>
        <v>530</v>
      </c>
      <c r="S1786" s="3">
        <f>student_scores[[#This Row],[Total_Score]]/7</f>
        <v>75.714285714285708</v>
      </c>
      <c r="T1786" s="3" t="str" cm="1">
        <f t="array" ref="T1786">_xlfn.IFS(student_scores[[#This Row],[weekly_self_study_hours]]&lt;=5,   "0 - 5", student_scores[[#This Row],[weekly_self_study_hours]]&lt;=10,  "6 - 10", student_scores[[#This Row],[weekly_self_study_hours]]&lt;=20,  "11 - 20",student_scores[[#This Row],[weekly_self_study_hours]]&lt;=30, "21 - 30",TRUE, "31+")</f>
        <v>21 - 30</v>
      </c>
      <c r="U1786" t="str" cm="1">
        <f t="array" ref="U1786">_xlfn.IFS(student_scores[[#This Row],[absence_days]]=0,"0", student_scores[[#This Row],[absence_days]]&lt;=3,"1-3", student_scores[[#This Row],[absence_days]]&lt;=6,"4-6", TRUE,"7-10")</f>
        <v>1-3</v>
      </c>
      <c r="V1786" t="str">
        <f>IF(student_scores[[#This Row],[Total_Score]] &gt;= _xlfn.PERCENTILE.INC(student_scores[Total_Score], 0.8), "Yes", "No")</f>
        <v>No</v>
      </c>
    </row>
    <row r="1787" spans="1:22" x14ac:dyDescent="0.35">
      <c r="A1787">
        <v>1786</v>
      </c>
      <c r="B1787" t="s">
        <v>80</v>
      </c>
      <c r="C1787" t="s">
        <v>701</v>
      </c>
      <c r="D1787" t="s">
        <v>2894</v>
      </c>
      <c r="E1787" t="s">
        <v>20</v>
      </c>
      <c r="F1787" t="b">
        <v>0</v>
      </c>
      <c r="G1787">
        <v>2</v>
      </c>
      <c r="H1787" t="b">
        <v>0</v>
      </c>
      <c r="I1787">
        <v>2</v>
      </c>
      <c r="J1787" t="s">
        <v>159</v>
      </c>
      <c r="K1787">
        <v>82</v>
      </c>
      <c r="L1787">
        <v>75</v>
      </c>
      <c r="M1787">
        <v>93</v>
      </c>
      <c r="N1787">
        <v>67</v>
      </c>
      <c r="O1787">
        <v>69</v>
      </c>
      <c r="P1787">
        <v>65</v>
      </c>
      <c r="Q1787">
        <v>74</v>
      </c>
      <c r="R1787">
        <f>SUM(student_scores[[#This Row],[math_score]:[geography_score]])</f>
        <v>525</v>
      </c>
      <c r="S1787" s="3">
        <f>student_scores[[#This Row],[Total_Score]]/7</f>
        <v>75</v>
      </c>
      <c r="T1787" s="3" t="str" cm="1">
        <f t="array" ref="T1787">_xlfn.IFS(student_scores[[#This Row],[weekly_self_study_hours]]&lt;=5,   "0 - 5", student_scores[[#This Row],[weekly_self_study_hours]]&lt;=10,  "6 - 10", student_scores[[#This Row],[weekly_self_study_hours]]&lt;=20,  "11 - 20",student_scores[[#This Row],[weekly_self_study_hours]]&lt;=30, "21 - 30",TRUE, "31+")</f>
        <v>0 - 5</v>
      </c>
      <c r="U1787" t="str" cm="1">
        <f t="array" ref="U1787">_xlfn.IFS(student_scores[[#This Row],[absence_days]]=0,"0", student_scores[[#This Row],[absence_days]]&lt;=3,"1-3", student_scores[[#This Row],[absence_days]]&lt;=6,"4-6", TRUE,"7-10")</f>
        <v>1-3</v>
      </c>
      <c r="V1787" t="str">
        <f>IF(student_scores[[#This Row],[Total_Score]] &gt;= _xlfn.PERCENTILE.INC(student_scores[Total_Score], 0.8), "Yes", "No")</f>
        <v>No</v>
      </c>
    </row>
    <row r="1788" spans="1:22" x14ac:dyDescent="0.35">
      <c r="A1788">
        <v>1787</v>
      </c>
      <c r="B1788" t="s">
        <v>2573</v>
      </c>
      <c r="C1788" t="s">
        <v>42</v>
      </c>
      <c r="D1788" t="s">
        <v>2895</v>
      </c>
      <c r="E1788" t="s">
        <v>25</v>
      </c>
      <c r="F1788" t="b">
        <v>0</v>
      </c>
      <c r="G1788">
        <v>1</v>
      </c>
      <c r="H1788" t="b">
        <v>0</v>
      </c>
      <c r="I1788">
        <v>34</v>
      </c>
      <c r="J1788" t="s">
        <v>21</v>
      </c>
      <c r="K1788">
        <v>99</v>
      </c>
      <c r="L1788">
        <v>81</v>
      </c>
      <c r="M1788">
        <v>92</v>
      </c>
      <c r="N1788">
        <v>86</v>
      </c>
      <c r="O1788">
        <v>65</v>
      </c>
      <c r="P1788">
        <v>99</v>
      </c>
      <c r="Q1788">
        <v>79</v>
      </c>
      <c r="R1788">
        <f>SUM(student_scores[[#This Row],[math_score]:[geography_score]])</f>
        <v>601</v>
      </c>
      <c r="S1788" s="3">
        <f>student_scores[[#This Row],[Total_Score]]/7</f>
        <v>85.857142857142861</v>
      </c>
      <c r="T1788" s="3" t="str" cm="1">
        <f t="array" ref="T1788">_xlfn.IFS(student_scores[[#This Row],[weekly_self_study_hours]]&lt;=5,   "0 - 5", student_scores[[#This Row],[weekly_self_study_hours]]&lt;=10,  "6 - 10", student_scores[[#This Row],[weekly_self_study_hours]]&lt;=20,  "11 - 20",student_scores[[#This Row],[weekly_self_study_hours]]&lt;=30, "21 - 30",TRUE, "31+")</f>
        <v>31+</v>
      </c>
      <c r="U1788" t="str" cm="1">
        <f t="array" ref="U1788">_xlfn.IFS(student_scores[[#This Row],[absence_days]]=0,"0", student_scores[[#This Row],[absence_days]]&lt;=3,"1-3", student_scores[[#This Row],[absence_days]]&lt;=6,"4-6", TRUE,"7-10")</f>
        <v>1-3</v>
      </c>
      <c r="V1788" t="str">
        <f>IF(student_scores[[#This Row],[Total_Score]] &gt;= _xlfn.PERCENTILE.INC(student_scores[Total_Score], 0.8), "Yes", "No")</f>
        <v>Yes</v>
      </c>
    </row>
    <row r="1789" spans="1:22" x14ac:dyDescent="0.35">
      <c r="A1789">
        <v>1788</v>
      </c>
      <c r="B1789" t="s">
        <v>2392</v>
      </c>
      <c r="C1789" t="s">
        <v>2015</v>
      </c>
      <c r="D1789" t="s">
        <v>2896</v>
      </c>
      <c r="E1789" t="s">
        <v>20</v>
      </c>
      <c r="F1789" t="b">
        <v>1</v>
      </c>
      <c r="G1789">
        <v>2</v>
      </c>
      <c r="H1789" t="b">
        <v>0</v>
      </c>
      <c r="I1789">
        <v>34</v>
      </c>
      <c r="J1789" t="s">
        <v>44</v>
      </c>
      <c r="K1789">
        <v>95</v>
      </c>
      <c r="L1789">
        <v>90</v>
      </c>
      <c r="M1789">
        <v>65</v>
      </c>
      <c r="N1789">
        <v>84</v>
      </c>
      <c r="O1789">
        <v>86</v>
      </c>
      <c r="P1789">
        <v>88</v>
      </c>
      <c r="Q1789">
        <v>94</v>
      </c>
      <c r="R1789">
        <f>SUM(student_scores[[#This Row],[math_score]:[geography_score]])</f>
        <v>602</v>
      </c>
      <c r="S1789" s="3">
        <f>student_scores[[#This Row],[Total_Score]]/7</f>
        <v>86</v>
      </c>
      <c r="T1789" s="3" t="str" cm="1">
        <f t="array" ref="T1789">_xlfn.IFS(student_scores[[#This Row],[weekly_self_study_hours]]&lt;=5,   "0 - 5", student_scores[[#This Row],[weekly_self_study_hours]]&lt;=10,  "6 - 10", student_scores[[#This Row],[weekly_self_study_hours]]&lt;=20,  "11 - 20",student_scores[[#This Row],[weekly_self_study_hours]]&lt;=30, "21 - 30",TRUE, "31+")</f>
        <v>31+</v>
      </c>
      <c r="U1789" t="str" cm="1">
        <f t="array" ref="U1789">_xlfn.IFS(student_scores[[#This Row],[absence_days]]=0,"0", student_scores[[#This Row],[absence_days]]&lt;=3,"1-3", student_scores[[#This Row],[absence_days]]&lt;=6,"4-6", TRUE,"7-10")</f>
        <v>1-3</v>
      </c>
      <c r="V1789" t="str">
        <f>IF(student_scores[[#This Row],[Total_Score]] &gt;= _xlfn.PERCENTILE.INC(student_scores[Total_Score], 0.8), "Yes", "No")</f>
        <v>Yes</v>
      </c>
    </row>
    <row r="1790" spans="1:22" x14ac:dyDescent="0.35">
      <c r="A1790">
        <v>1789</v>
      </c>
      <c r="B1790" t="s">
        <v>300</v>
      </c>
      <c r="C1790" t="s">
        <v>2897</v>
      </c>
      <c r="D1790" t="s">
        <v>2898</v>
      </c>
      <c r="E1790" t="s">
        <v>20</v>
      </c>
      <c r="F1790" t="b">
        <v>0</v>
      </c>
      <c r="G1790">
        <v>3</v>
      </c>
      <c r="H1790" t="b">
        <v>0</v>
      </c>
      <c r="I1790">
        <v>18</v>
      </c>
      <c r="J1790" t="s">
        <v>44</v>
      </c>
      <c r="K1790">
        <v>100</v>
      </c>
      <c r="L1790">
        <v>93</v>
      </c>
      <c r="M1790">
        <v>99</v>
      </c>
      <c r="N1790">
        <v>65</v>
      </c>
      <c r="O1790">
        <v>72</v>
      </c>
      <c r="P1790">
        <v>79</v>
      </c>
      <c r="Q1790">
        <v>88</v>
      </c>
      <c r="R1790">
        <f>SUM(student_scores[[#This Row],[math_score]:[geography_score]])</f>
        <v>596</v>
      </c>
      <c r="S1790" s="3">
        <f>student_scores[[#This Row],[Total_Score]]/7</f>
        <v>85.142857142857139</v>
      </c>
      <c r="T1790" s="3" t="str" cm="1">
        <f t="array" ref="T1790">_xlfn.IFS(student_scores[[#This Row],[weekly_self_study_hours]]&lt;=5,   "0 - 5", student_scores[[#This Row],[weekly_self_study_hours]]&lt;=10,  "6 - 10", student_scores[[#This Row],[weekly_self_study_hours]]&lt;=20,  "11 - 20",student_scores[[#This Row],[weekly_self_study_hours]]&lt;=30, "21 - 30",TRUE, "31+")</f>
        <v>11 - 20</v>
      </c>
      <c r="U1790" t="str" cm="1">
        <f t="array" ref="U1790">_xlfn.IFS(student_scores[[#This Row],[absence_days]]=0,"0", student_scores[[#This Row],[absence_days]]&lt;=3,"1-3", student_scores[[#This Row],[absence_days]]&lt;=6,"4-6", TRUE,"7-10")</f>
        <v>1-3</v>
      </c>
      <c r="V1790" t="str">
        <f>IF(student_scores[[#This Row],[Total_Score]] &gt;= _xlfn.PERCENTILE.INC(student_scores[Total_Score], 0.8), "Yes", "No")</f>
        <v>No</v>
      </c>
    </row>
    <row r="1791" spans="1:22" x14ac:dyDescent="0.35">
      <c r="A1791">
        <v>1790</v>
      </c>
      <c r="B1791" t="s">
        <v>634</v>
      </c>
      <c r="C1791" t="s">
        <v>586</v>
      </c>
      <c r="D1791" t="s">
        <v>2899</v>
      </c>
      <c r="E1791" t="s">
        <v>25</v>
      </c>
      <c r="F1791" t="b">
        <v>0</v>
      </c>
      <c r="G1791">
        <v>5</v>
      </c>
      <c r="H1791" t="b">
        <v>1</v>
      </c>
      <c r="I1791">
        <v>21</v>
      </c>
      <c r="J1791" t="s">
        <v>38</v>
      </c>
      <c r="K1791">
        <v>79</v>
      </c>
      <c r="L1791">
        <v>86</v>
      </c>
      <c r="M1791">
        <v>84</v>
      </c>
      <c r="N1791">
        <v>84</v>
      </c>
      <c r="O1791">
        <v>63</v>
      </c>
      <c r="P1791">
        <v>82</v>
      </c>
      <c r="Q1791">
        <v>94</v>
      </c>
      <c r="R1791">
        <f>SUM(student_scores[[#This Row],[math_score]:[geography_score]])</f>
        <v>572</v>
      </c>
      <c r="S1791" s="3">
        <f>student_scores[[#This Row],[Total_Score]]/7</f>
        <v>81.714285714285708</v>
      </c>
      <c r="T1791" s="3" t="str" cm="1">
        <f t="array" ref="T1791">_xlfn.IFS(student_scores[[#This Row],[weekly_self_study_hours]]&lt;=5,   "0 - 5", student_scores[[#This Row],[weekly_self_study_hours]]&lt;=10,  "6 - 10", student_scores[[#This Row],[weekly_self_study_hours]]&lt;=20,  "11 - 20",student_scores[[#This Row],[weekly_self_study_hours]]&lt;=30, "21 - 30",TRUE, "31+")</f>
        <v>21 - 30</v>
      </c>
      <c r="U1791" t="str" cm="1">
        <f t="array" ref="U1791">_xlfn.IFS(student_scores[[#This Row],[absence_days]]=0,"0", student_scores[[#This Row],[absence_days]]&lt;=3,"1-3", student_scores[[#This Row],[absence_days]]&lt;=6,"4-6", TRUE,"7-10")</f>
        <v>4-6</v>
      </c>
      <c r="V1791" t="str">
        <f>IF(student_scores[[#This Row],[Total_Score]] &gt;= _xlfn.PERCENTILE.INC(student_scores[Total_Score], 0.8), "Yes", "No")</f>
        <v>No</v>
      </c>
    </row>
    <row r="1792" spans="1:22" x14ac:dyDescent="0.35">
      <c r="A1792">
        <v>1791</v>
      </c>
      <c r="B1792" t="s">
        <v>1024</v>
      </c>
      <c r="C1792" t="s">
        <v>346</v>
      </c>
      <c r="D1792" t="s">
        <v>2900</v>
      </c>
      <c r="E1792" t="s">
        <v>20</v>
      </c>
      <c r="F1792" t="b">
        <v>1</v>
      </c>
      <c r="G1792">
        <v>3</v>
      </c>
      <c r="H1792" t="b">
        <v>1</v>
      </c>
      <c r="I1792">
        <v>3</v>
      </c>
      <c r="J1792" t="s">
        <v>64</v>
      </c>
      <c r="K1792">
        <v>80</v>
      </c>
      <c r="L1792">
        <v>95</v>
      </c>
      <c r="M1792">
        <v>96</v>
      </c>
      <c r="N1792">
        <v>96</v>
      </c>
      <c r="O1792">
        <v>94</v>
      </c>
      <c r="P1792">
        <v>84</v>
      </c>
      <c r="Q1792">
        <v>93</v>
      </c>
      <c r="R1792">
        <f>SUM(student_scores[[#This Row],[math_score]:[geography_score]])</f>
        <v>638</v>
      </c>
      <c r="S1792" s="3">
        <f>student_scores[[#This Row],[Total_Score]]/7</f>
        <v>91.142857142857139</v>
      </c>
      <c r="T1792" s="3" t="str" cm="1">
        <f t="array" ref="T1792">_xlfn.IFS(student_scores[[#This Row],[weekly_self_study_hours]]&lt;=5,   "0 - 5", student_scores[[#This Row],[weekly_self_study_hours]]&lt;=10,  "6 - 10", student_scores[[#This Row],[weekly_self_study_hours]]&lt;=20,  "11 - 20",student_scores[[#This Row],[weekly_self_study_hours]]&lt;=30, "21 - 30",TRUE, "31+")</f>
        <v>0 - 5</v>
      </c>
      <c r="U1792" t="str" cm="1">
        <f t="array" ref="U1792">_xlfn.IFS(student_scores[[#This Row],[absence_days]]=0,"0", student_scores[[#This Row],[absence_days]]&lt;=3,"1-3", student_scores[[#This Row],[absence_days]]&lt;=6,"4-6", TRUE,"7-10")</f>
        <v>1-3</v>
      </c>
      <c r="V1792" t="str">
        <f>IF(student_scores[[#This Row],[Total_Score]] &gt;= _xlfn.PERCENTILE.INC(student_scores[Total_Score], 0.8), "Yes", "No")</f>
        <v>Yes</v>
      </c>
    </row>
    <row r="1793" spans="1:22" x14ac:dyDescent="0.35">
      <c r="A1793">
        <v>1792</v>
      </c>
      <c r="B1793" t="s">
        <v>1079</v>
      </c>
      <c r="C1793" t="s">
        <v>1917</v>
      </c>
      <c r="D1793" t="s">
        <v>2901</v>
      </c>
      <c r="E1793" t="s">
        <v>25</v>
      </c>
      <c r="F1793" t="b">
        <v>0</v>
      </c>
      <c r="G1793">
        <v>4</v>
      </c>
      <c r="H1793" t="b">
        <v>0</v>
      </c>
      <c r="I1793">
        <v>31</v>
      </c>
      <c r="J1793" t="s">
        <v>26</v>
      </c>
      <c r="K1793">
        <v>93</v>
      </c>
      <c r="L1793">
        <v>81</v>
      </c>
      <c r="M1793">
        <v>88</v>
      </c>
      <c r="N1793">
        <v>90</v>
      </c>
      <c r="O1793">
        <v>89</v>
      </c>
      <c r="P1793">
        <v>95</v>
      </c>
      <c r="Q1793">
        <v>81</v>
      </c>
      <c r="R1793">
        <f>SUM(student_scores[[#This Row],[math_score]:[geography_score]])</f>
        <v>617</v>
      </c>
      <c r="S1793" s="3">
        <f>student_scores[[#This Row],[Total_Score]]/7</f>
        <v>88.142857142857139</v>
      </c>
      <c r="T1793" s="3" t="str" cm="1">
        <f t="array" ref="T1793">_xlfn.IFS(student_scores[[#This Row],[weekly_self_study_hours]]&lt;=5,   "0 - 5", student_scores[[#This Row],[weekly_self_study_hours]]&lt;=10,  "6 - 10", student_scores[[#This Row],[weekly_self_study_hours]]&lt;=20,  "11 - 20",student_scores[[#This Row],[weekly_self_study_hours]]&lt;=30, "21 - 30",TRUE, "31+")</f>
        <v>31+</v>
      </c>
      <c r="U1793" t="str" cm="1">
        <f t="array" ref="U1793">_xlfn.IFS(student_scores[[#This Row],[absence_days]]=0,"0", student_scores[[#This Row],[absence_days]]&lt;=3,"1-3", student_scores[[#This Row],[absence_days]]&lt;=6,"4-6", TRUE,"7-10")</f>
        <v>4-6</v>
      </c>
      <c r="V1793" t="str">
        <f>IF(student_scores[[#This Row],[Total_Score]] &gt;= _xlfn.PERCENTILE.INC(student_scores[Total_Score], 0.8), "Yes", "No")</f>
        <v>Yes</v>
      </c>
    </row>
    <row r="1794" spans="1:22" x14ac:dyDescent="0.35">
      <c r="A1794">
        <v>1793</v>
      </c>
      <c r="B1794" t="s">
        <v>544</v>
      </c>
      <c r="C1794" t="s">
        <v>2902</v>
      </c>
      <c r="D1794" t="s">
        <v>2903</v>
      </c>
      <c r="E1794" t="s">
        <v>25</v>
      </c>
      <c r="F1794" t="b">
        <v>0</v>
      </c>
      <c r="G1794">
        <v>5</v>
      </c>
      <c r="H1794" t="b">
        <v>1</v>
      </c>
      <c r="I1794">
        <v>17</v>
      </c>
      <c r="J1794" t="s">
        <v>44</v>
      </c>
      <c r="K1794">
        <v>95</v>
      </c>
      <c r="L1794">
        <v>75</v>
      </c>
      <c r="M1794">
        <v>79</v>
      </c>
      <c r="N1794">
        <v>79</v>
      </c>
      <c r="O1794">
        <v>93</v>
      </c>
      <c r="P1794">
        <v>85</v>
      </c>
      <c r="Q1794">
        <v>71</v>
      </c>
      <c r="R1794">
        <f>SUM(student_scores[[#This Row],[math_score]:[geography_score]])</f>
        <v>577</v>
      </c>
      <c r="S1794" s="3">
        <f>student_scores[[#This Row],[Total_Score]]/7</f>
        <v>82.428571428571431</v>
      </c>
      <c r="T1794" s="3" t="str" cm="1">
        <f t="array" ref="T1794">_xlfn.IFS(student_scores[[#This Row],[weekly_self_study_hours]]&lt;=5,   "0 - 5", student_scores[[#This Row],[weekly_self_study_hours]]&lt;=10,  "6 - 10", student_scores[[#This Row],[weekly_self_study_hours]]&lt;=20,  "11 - 20",student_scores[[#This Row],[weekly_self_study_hours]]&lt;=30, "21 - 30",TRUE, "31+")</f>
        <v>11 - 20</v>
      </c>
      <c r="U1794" t="str" cm="1">
        <f t="array" ref="U1794">_xlfn.IFS(student_scores[[#This Row],[absence_days]]=0,"0", student_scores[[#This Row],[absence_days]]&lt;=3,"1-3", student_scores[[#This Row],[absence_days]]&lt;=6,"4-6", TRUE,"7-10")</f>
        <v>4-6</v>
      </c>
      <c r="V1794" t="str">
        <f>IF(student_scores[[#This Row],[Total_Score]] &gt;= _xlfn.PERCENTILE.INC(student_scores[Total_Score], 0.8), "Yes", "No")</f>
        <v>No</v>
      </c>
    </row>
    <row r="1795" spans="1:22" x14ac:dyDescent="0.35">
      <c r="A1795">
        <v>1794</v>
      </c>
      <c r="B1795" t="s">
        <v>130</v>
      </c>
      <c r="C1795" t="s">
        <v>2904</v>
      </c>
      <c r="D1795" t="s">
        <v>2905</v>
      </c>
      <c r="E1795" t="s">
        <v>25</v>
      </c>
      <c r="F1795" t="b">
        <v>0</v>
      </c>
      <c r="G1795">
        <v>0</v>
      </c>
      <c r="H1795" t="b">
        <v>0</v>
      </c>
      <c r="I1795">
        <v>10</v>
      </c>
      <c r="J1795" t="s">
        <v>105</v>
      </c>
      <c r="K1795">
        <v>81</v>
      </c>
      <c r="L1795">
        <v>92</v>
      </c>
      <c r="M1795">
        <v>76</v>
      </c>
      <c r="N1795">
        <v>81</v>
      </c>
      <c r="O1795">
        <v>73</v>
      </c>
      <c r="P1795">
        <v>92</v>
      </c>
      <c r="Q1795">
        <v>63</v>
      </c>
      <c r="R1795">
        <f>SUM(student_scores[[#This Row],[math_score]:[geography_score]])</f>
        <v>558</v>
      </c>
      <c r="S1795" s="3">
        <f>student_scores[[#This Row],[Total_Score]]/7</f>
        <v>79.714285714285708</v>
      </c>
      <c r="T1795" s="3" t="str" cm="1">
        <f t="array" ref="T1795">_xlfn.IFS(student_scores[[#This Row],[weekly_self_study_hours]]&lt;=5,   "0 - 5", student_scores[[#This Row],[weekly_self_study_hours]]&lt;=10,  "6 - 10", student_scores[[#This Row],[weekly_self_study_hours]]&lt;=20,  "11 - 20",student_scores[[#This Row],[weekly_self_study_hours]]&lt;=30, "21 - 30",TRUE, "31+")</f>
        <v>6 - 10</v>
      </c>
      <c r="U1795" t="str" cm="1">
        <f t="array" ref="U1795">_xlfn.IFS(student_scores[[#This Row],[absence_days]]=0,"0", student_scores[[#This Row],[absence_days]]&lt;=3,"1-3", student_scores[[#This Row],[absence_days]]&lt;=6,"4-6", TRUE,"7-10")</f>
        <v>0</v>
      </c>
      <c r="V1795" t="str">
        <f>IF(student_scores[[#This Row],[Total_Score]] &gt;= _xlfn.PERCENTILE.INC(student_scores[Total_Score], 0.8), "Yes", "No")</f>
        <v>No</v>
      </c>
    </row>
    <row r="1796" spans="1:22" x14ac:dyDescent="0.35">
      <c r="A1796">
        <v>1795</v>
      </c>
      <c r="B1796" t="s">
        <v>18</v>
      </c>
      <c r="C1796" t="s">
        <v>742</v>
      </c>
      <c r="D1796" t="s">
        <v>2906</v>
      </c>
      <c r="E1796" t="s">
        <v>25</v>
      </c>
      <c r="F1796" t="b">
        <v>0</v>
      </c>
      <c r="G1796">
        <v>1</v>
      </c>
      <c r="H1796" t="b">
        <v>0</v>
      </c>
      <c r="I1796">
        <v>5</v>
      </c>
      <c r="J1796" t="s">
        <v>123</v>
      </c>
      <c r="K1796">
        <v>75</v>
      </c>
      <c r="L1796">
        <v>88</v>
      </c>
      <c r="M1796">
        <v>63</v>
      </c>
      <c r="N1796">
        <v>64</v>
      </c>
      <c r="O1796">
        <v>84</v>
      </c>
      <c r="P1796">
        <v>74</v>
      </c>
      <c r="Q1796">
        <v>72</v>
      </c>
      <c r="R1796">
        <f>SUM(student_scores[[#This Row],[math_score]:[geography_score]])</f>
        <v>520</v>
      </c>
      <c r="S1796" s="3">
        <f>student_scores[[#This Row],[Total_Score]]/7</f>
        <v>74.285714285714292</v>
      </c>
      <c r="T1796" s="3" t="str" cm="1">
        <f t="array" ref="T1796">_xlfn.IFS(student_scores[[#This Row],[weekly_self_study_hours]]&lt;=5,   "0 - 5", student_scores[[#This Row],[weekly_self_study_hours]]&lt;=10,  "6 - 10", student_scores[[#This Row],[weekly_self_study_hours]]&lt;=20,  "11 - 20",student_scores[[#This Row],[weekly_self_study_hours]]&lt;=30, "21 - 30",TRUE, "31+")</f>
        <v>0 - 5</v>
      </c>
      <c r="U1796" t="str" cm="1">
        <f t="array" ref="U1796">_xlfn.IFS(student_scores[[#This Row],[absence_days]]=0,"0", student_scores[[#This Row],[absence_days]]&lt;=3,"1-3", student_scores[[#This Row],[absence_days]]&lt;=6,"4-6", TRUE,"7-10")</f>
        <v>1-3</v>
      </c>
      <c r="V1796" t="str">
        <f>IF(student_scores[[#This Row],[Total_Score]] &gt;= _xlfn.PERCENTILE.INC(student_scores[Total_Score], 0.8), "Yes", "No")</f>
        <v>No</v>
      </c>
    </row>
    <row r="1797" spans="1:22" x14ac:dyDescent="0.35">
      <c r="A1797">
        <v>1796</v>
      </c>
      <c r="B1797" t="s">
        <v>331</v>
      </c>
      <c r="C1797" t="s">
        <v>157</v>
      </c>
      <c r="D1797" t="s">
        <v>2907</v>
      </c>
      <c r="E1797" t="s">
        <v>20</v>
      </c>
      <c r="F1797" t="b">
        <v>0</v>
      </c>
      <c r="G1797">
        <v>4</v>
      </c>
      <c r="H1797" t="b">
        <v>0</v>
      </c>
      <c r="I1797">
        <v>8</v>
      </c>
      <c r="J1797" t="s">
        <v>172</v>
      </c>
      <c r="K1797">
        <v>80</v>
      </c>
      <c r="L1797">
        <v>69</v>
      </c>
      <c r="M1797">
        <v>70</v>
      </c>
      <c r="N1797">
        <v>60</v>
      </c>
      <c r="O1797">
        <v>71</v>
      </c>
      <c r="P1797">
        <v>60</v>
      </c>
      <c r="Q1797">
        <v>89</v>
      </c>
      <c r="R1797">
        <f>SUM(student_scores[[#This Row],[math_score]:[geography_score]])</f>
        <v>499</v>
      </c>
      <c r="S1797" s="3">
        <f>student_scores[[#This Row],[Total_Score]]/7</f>
        <v>71.285714285714292</v>
      </c>
      <c r="T1797" s="3" t="str" cm="1">
        <f t="array" ref="T1797">_xlfn.IFS(student_scores[[#This Row],[weekly_self_study_hours]]&lt;=5,   "0 - 5", student_scores[[#This Row],[weekly_self_study_hours]]&lt;=10,  "6 - 10", student_scores[[#This Row],[weekly_self_study_hours]]&lt;=20,  "11 - 20",student_scores[[#This Row],[weekly_self_study_hours]]&lt;=30, "21 - 30",TRUE, "31+")</f>
        <v>6 - 10</v>
      </c>
      <c r="U1797" t="str" cm="1">
        <f t="array" ref="U1797">_xlfn.IFS(student_scores[[#This Row],[absence_days]]=0,"0", student_scores[[#This Row],[absence_days]]&lt;=3,"1-3", student_scores[[#This Row],[absence_days]]&lt;=6,"4-6", TRUE,"7-10")</f>
        <v>4-6</v>
      </c>
      <c r="V1797" t="str">
        <f>IF(student_scores[[#This Row],[Total_Score]] &gt;= _xlfn.PERCENTILE.INC(student_scores[Total_Score], 0.8), "Yes", "No")</f>
        <v>No</v>
      </c>
    </row>
    <row r="1798" spans="1:22" x14ac:dyDescent="0.35">
      <c r="A1798">
        <v>1797</v>
      </c>
      <c r="B1798" t="s">
        <v>348</v>
      </c>
      <c r="C1798" t="s">
        <v>66</v>
      </c>
      <c r="D1798" t="s">
        <v>2908</v>
      </c>
      <c r="E1798" t="s">
        <v>20</v>
      </c>
      <c r="F1798" t="b">
        <v>0</v>
      </c>
      <c r="G1798">
        <v>4</v>
      </c>
      <c r="H1798" t="b">
        <v>0</v>
      </c>
      <c r="I1798">
        <v>3</v>
      </c>
      <c r="J1798" t="s">
        <v>64</v>
      </c>
      <c r="K1798">
        <v>52</v>
      </c>
      <c r="L1798">
        <v>81</v>
      </c>
      <c r="M1798">
        <v>62</v>
      </c>
      <c r="N1798">
        <v>77</v>
      </c>
      <c r="O1798">
        <v>74</v>
      </c>
      <c r="P1798">
        <v>91</v>
      </c>
      <c r="Q1798">
        <v>92</v>
      </c>
      <c r="R1798">
        <f>SUM(student_scores[[#This Row],[math_score]:[geography_score]])</f>
        <v>529</v>
      </c>
      <c r="S1798" s="3">
        <f>student_scores[[#This Row],[Total_Score]]/7</f>
        <v>75.571428571428569</v>
      </c>
      <c r="T1798" s="3" t="str" cm="1">
        <f t="array" ref="T1798">_xlfn.IFS(student_scores[[#This Row],[weekly_self_study_hours]]&lt;=5,   "0 - 5", student_scores[[#This Row],[weekly_self_study_hours]]&lt;=10,  "6 - 10", student_scores[[#This Row],[weekly_self_study_hours]]&lt;=20,  "11 - 20",student_scores[[#This Row],[weekly_self_study_hours]]&lt;=30, "21 - 30",TRUE, "31+")</f>
        <v>0 - 5</v>
      </c>
      <c r="U1798" t="str" cm="1">
        <f t="array" ref="U1798">_xlfn.IFS(student_scores[[#This Row],[absence_days]]=0,"0", student_scores[[#This Row],[absence_days]]&lt;=3,"1-3", student_scores[[#This Row],[absence_days]]&lt;=6,"4-6", TRUE,"7-10")</f>
        <v>4-6</v>
      </c>
      <c r="V1798" t="str">
        <f>IF(student_scores[[#This Row],[Total_Score]] &gt;= _xlfn.PERCENTILE.INC(student_scores[Total_Score], 0.8), "Yes", "No")</f>
        <v>No</v>
      </c>
    </row>
    <row r="1799" spans="1:22" x14ac:dyDescent="0.35">
      <c r="A1799">
        <v>1798</v>
      </c>
      <c r="B1799" t="s">
        <v>524</v>
      </c>
      <c r="C1799" t="s">
        <v>423</v>
      </c>
      <c r="D1799" t="s">
        <v>2909</v>
      </c>
      <c r="E1799" t="s">
        <v>25</v>
      </c>
      <c r="F1799" t="b">
        <v>0</v>
      </c>
      <c r="G1799">
        <v>3</v>
      </c>
      <c r="H1799" t="b">
        <v>0</v>
      </c>
      <c r="I1799">
        <v>30</v>
      </c>
      <c r="J1799" t="s">
        <v>26</v>
      </c>
      <c r="K1799">
        <v>95</v>
      </c>
      <c r="L1799">
        <v>94</v>
      </c>
      <c r="M1799">
        <v>82</v>
      </c>
      <c r="N1799">
        <v>87</v>
      </c>
      <c r="O1799">
        <v>93</v>
      </c>
      <c r="P1799">
        <v>93</v>
      </c>
      <c r="Q1799">
        <v>90</v>
      </c>
      <c r="R1799">
        <f>SUM(student_scores[[#This Row],[math_score]:[geography_score]])</f>
        <v>634</v>
      </c>
      <c r="S1799" s="3">
        <f>student_scores[[#This Row],[Total_Score]]/7</f>
        <v>90.571428571428569</v>
      </c>
      <c r="T1799" s="3" t="str" cm="1">
        <f t="array" ref="T1799">_xlfn.IFS(student_scores[[#This Row],[weekly_self_study_hours]]&lt;=5,   "0 - 5", student_scores[[#This Row],[weekly_self_study_hours]]&lt;=10,  "6 - 10", student_scores[[#This Row],[weekly_self_study_hours]]&lt;=20,  "11 - 20",student_scores[[#This Row],[weekly_self_study_hours]]&lt;=30, "21 - 30",TRUE, "31+")</f>
        <v>21 - 30</v>
      </c>
      <c r="U1799" t="str" cm="1">
        <f t="array" ref="U1799">_xlfn.IFS(student_scores[[#This Row],[absence_days]]=0,"0", student_scores[[#This Row],[absence_days]]&lt;=3,"1-3", student_scores[[#This Row],[absence_days]]&lt;=6,"4-6", TRUE,"7-10")</f>
        <v>1-3</v>
      </c>
      <c r="V1799" t="str">
        <f>IF(student_scores[[#This Row],[Total_Score]] &gt;= _xlfn.PERCENTILE.INC(student_scores[Total_Score], 0.8), "Yes", "No")</f>
        <v>Yes</v>
      </c>
    </row>
    <row r="1800" spans="1:22" x14ac:dyDescent="0.35">
      <c r="A1800">
        <v>1799</v>
      </c>
      <c r="B1800" t="s">
        <v>892</v>
      </c>
      <c r="C1800" t="s">
        <v>515</v>
      </c>
      <c r="D1800" t="s">
        <v>2910</v>
      </c>
      <c r="E1800" t="s">
        <v>25</v>
      </c>
      <c r="F1800" t="b">
        <v>0</v>
      </c>
      <c r="G1800">
        <v>2</v>
      </c>
      <c r="H1800" t="b">
        <v>0</v>
      </c>
      <c r="I1800">
        <v>20</v>
      </c>
      <c r="J1800" t="s">
        <v>113</v>
      </c>
      <c r="K1800">
        <v>99</v>
      </c>
      <c r="L1800">
        <v>70</v>
      </c>
      <c r="M1800">
        <v>97</v>
      </c>
      <c r="N1800">
        <v>93</v>
      </c>
      <c r="O1800">
        <v>87</v>
      </c>
      <c r="P1800">
        <v>90</v>
      </c>
      <c r="Q1800">
        <v>88</v>
      </c>
      <c r="R1800">
        <f>SUM(student_scores[[#This Row],[math_score]:[geography_score]])</f>
        <v>624</v>
      </c>
      <c r="S1800" s="3">
        <f>student_scores[[#This Row],[Total_Score]]/7</f>
        <v>89.142857142857139</v>
      </c>
      <c r="T1800" s="3" t="str" cm="1">
        <f t="array" ref="T1800">_xlfn.IFS(student_scores[[#This Row],[weekly_self_study_hours]]&lt;=5,   "0 - 5", student_scores[[#This Row],[weekly_self_study_hours]]&lt;=10,  "6 - 10", student_scores[[#This Row],[weekly_self_study_hours]]&lt;=20,  "11 - 20",student_scores[[#This Row],[weekly_self_study_hours]]&lt;=30, "21 - 30",TRUE, "31+")</f>
        <v>11 - 20</v>
      </c>
      <c r="U1800" t="str" cm="1">
        <f t="array" ref="U1800">_xlfn.IFS(student_scores[[#This Row],[absence_days]]=0,"0", student_scores[[#This Row],[absence_days]]&lt;=3,"1-3", student_scores[[#This Row],[absence_days]]&lt;=6,"4-6", TRUE,"7-10")</f>
        <v>1-3</v>
      </c>
      <c r="V1800" t="str">
        <f>IF(student_scores[[#This Row],[Total_Score]] &gt;= _xlfn.PERCENTILE.INC(student_scores[Total_Score], 0.8), "Yes", "No")</f>
        <v>Yes</v>
      </c>
    </row>
    <row r="1801" spans="1:22" x14ac:dyDescent="0.35">
      <c r="A1801">
        <v>1800</v>
      </c>
      <c r="B1801" t="s">
        <v>342</v>
      </c>
      <c r="C1801" t="s">
        <v>2911</v>
      </c>
      <c r="D1801" t="s">
        <v>2912</v>
      </c>
      <c r="E1801" t="s">
        <v>25</v>
      </c>
      <c r="F1801" t="b">
        <v>1</v>
      </c>
      <c r="G1801">
        <v>5</v>
      </c>
      <c r="H1801" t="b">
        <v>0</v>
      </c>
      <c r="I1801">
        <v>25</v>
      </c>
      <c r="J1801" t="s">
        <v>44</v>
      </c>
      <c r="K1801">
        <v>85</v>
      </c>
      <c r="L1801">
        <v>87</v>
      </c>
      <c r="M1801">
        <v>68</v>
      </c>
      <c r="N1801">
        <v>74</v>
      </c>
      <c r="O1801">
        <v>74</v>
      </c>
      <c r="P1801">
        <v>85</v>
      </c>
      <c r="Q1801">
        <v>68</v>
      </c>
      <c r="R1801">
        <f>SUM(student_scores[[#This Row],[math_score]:[geography_score]])</f>
        <v>541</v>
      </c>
      <c r="S1801" s="3">
        <f>student_scores[[#This Row],[Total_Score]]/7</f>
        <v>77.285714285714292</v>
      </c>
      <c r="T1801" s="3" t="str" cm="1">
        <f t="array" ref="T1801">_xlfn.IFS(student_scores[[#This Row],[weekly_self_study_hours]]&lt;=5,   "0 - 5", student_scores[[#This Row],[weekly_self_study_hours]]&lt;=10,  "6 - 10", student_scores[[#This Row],[weekly_self_study_hours]]&lt;=20,  "11 - 20",student_scores[[#This Row],[weekly_self_study_hours]]&lt;=30, "21 - 30",TRUE, "31+")</f>
        <v>21 - 30</v>
      </c>
      <c r="U1801" t="str" cm="1">
        <f t="array" ref="U1801">_xlfn.IFS(student_scores[[#This Row],[absence_days]]=0,"0", student_scores[[#This Row],[absence_days]]&lt;=3,"1-3", student_scores[[#This Row],[absence_days]]&lt;=6,"4-6", TRUE,"7-10")</f>
        <v>4-6</v>
      </c>
      <c r="V1801" t="str">
        <f>IF(student_scores[[#This Row],[Total_Score]] &gt;= _xlfn.PERCENTILE.INC(student_scores[Total_Score], 0.8), "Yes", "No")</f>
        <v>No</v>
      </c>
    </row>
    <row r="1802" spans="1:22" x14ac:dyDescent="0.35">
      <c r="A1802">
        <v>1801</v>
      </c>
      <c r="B1802" t="s">
        <v>1007</v>
      </c>
      <c r="C1802" t="s">
        <v>1100</v>
      </c>
      <c r="D1802" t="s">
        <v>2913</v>
      </c>
      <c r="E1802" t="s">
        <v>20</v>
      </c>
      <c r="F1802" t="b">
        <v>0</v>
      </c>
      <c r="G1802">
        <v>4</v>
      </c>
      <c r="H1802" t="b">
        <v>1</v>
      </c>
      <c r="I1802">
        <v>23</v>
      </c>
      <c r="J1802" t="s">
        <v>138</v>
      </c>
      <c r="K1802">
        <v>96</v>
      </c>
      <c r="L1802">
        <v>89</v>
      </c>
      <c r="M1802">
        <v>86</v>
      </c>
      <c r="N1802">
        <v>84</v>
      </c>
      <c r="O1802">
        <v>64</v>
      </c>
      <c r="P1802">
        <v>60</v>
      </c>
      <c r="Q1802">
        <v>66</v>
      </c>
      <c r="R1802">
        <f>SUM(student_scores[[#This Row],[math_score]:[geography_score]])</f>
        <v>545</v>
      </c>
      <c r="S1802" s="3">
        <f>student_scores[[#This Row],[Total_Score]]/7</f>
        <v>77.857142857142861</v>
      </c>
      <c r="T1802" s="3" t="str" cm="1">
        <f t="array" ref="T1802">_xlfn.IFS(student_scores[[#This Row],[weekly_self_study_hours]]&lt;=5,   "0 - 5", student_scores[[#This Row],[weekly_self_study_hours]]&lt;=10,  "6 - 10", student_scores[[#This Row],[weekly_self_study_hours]]&lt;=20,  "11 - 20",student_scores[[#This Row],[weekly_self_study_hours]]&lt;=30, "21 - 30",TRUE, "31+")</f>
        <v>21 - 30</v>
      </c>
      <c r="U1802" t="str" cm="1">
        <f t="array" ref="U1802">_xlfn.IFS(student_scores[[#This Row],[absence_days]]=0,"0", student_scores[[#This Row],[absence_days]]&lt;=3,"1-3", student_scores[[#This Row],[absence_days]]&lt;=6,"4-6", TRUE,"7-10")</f>
        <v>4-6</v>
      </c>
      <c r="V1802" t="str">
        <f>IF(student_scores[[#This Row],[Total_Score]] &gt;= _xlfn.PERCENTILE.INC(student_scores[Total_Score], 0.8), "Yes", "No")</f>
        <v>No</v>
      </c>
    </row>
    <row r="1803" spans="1:22" x14ac:dyDescent="0.35">
      <c r="A1803">
        <v>1802</v>
      </c>
      <c r="B1803" t="s">
        <v>689</v>
      </c>
      <c r="C1803" t="s">
        <v>2914</v>
      </c>
      <c r="D1803" t="s">
        <v>2915</v>
      </c>
      <c r="E1803" t="s">
        <v>20</v>
      </c>
      <c r="F1803" t="b">
        <v>0</v>
      </c>
      <c r="G1803">
        <v>7</v>
      </c>
      <c r="H1803" t="b">
        <v>0</v>
      </c>
      <c r="I1803">
        <v>3</v>
      </c>
      <c r="J1803" t="s">
        <v>159</v>
      </c>
      <c r="K1803">
        <v>91</v>
      </c>
      <c r="L1803">
        <v>63</v>
      </c>
      <c r="M1803">
        <v>86</v>
      </c>
      <c r="N1803">
        <v>81</v>
      </c>
      <c r="O1803">
        <v>90</v>
      </c>
      <c r="P1803">
        <v>98</v>
      </c>
      <c r="Q1803">
        <v>63</v>
      </c>
      <c r="R1803">
        <f>SUM(student_scores[[#This Row],[math_score]:[geography_score]])</f>
        <v>572</v>
      </c>
      <c r="S1803" s="3">
        <f>student_scores[[#This Row],[Total_Score]]/7</f>
        <v>81.714285714285708</v>
      </c>
      <c r="T1803" s="3" t="str" cm="1">
        <f t="array" ref="T1803">_xlfn.IFS(student_scores[[#This Row],[weekly_self_study_hours]]&lt;=5,   "0 - 5", student_scores[[#This Row],[weekly_self_study_hours]]&lt;=10,  "6 - 10", student_scores[[#This Row],[weekly_self_study_hours]]&lt;=20,  "11 - 20",student_scores[[#This Row],[weekly_self_study_hours]]&lt;=30, "21 - 30",TRUE, "31+")</f>
        <v>0 - 5</v>
      </c>
      <c r="U1803" t="str" cm="1">
        <f t="array" ref="U1803">_xlfn.IFS(student_scores[[#This Row],[absence_days]]=0,"0", student_scores[[#This Row],[absence_days]]&lt;=3,"1-3", student_scores[[#This Row],[absence_days]]&lt;=6,"4-6", TRUE,"7-10")</f>
        <v>7-10</v>
      </c>
      <c r="V1803" t="str">
        <f>IF(student_scores[[#This Row],[Total_Score]] &gt;= _xlfn.PERCENTILE.INC(student_scores[Total_Score], 0.8), "Yes", "No")</f>
        <v>No</v>
      </c>
    </row>
    <row r="1804" spans="1:22" x14ac:dyDescent="0.35">
      <c r="A1804">
        <v>1803</v>
      </c>
      <c r="B1804" t="s">
        <v>2392</v>
      </c>
      <c r="C1804" t="s">
        <v>1698</v>
      </c>
      <c r="D1804" t="s">
        <v>2916</v>
      </c>
      <c r="E1804" t="s">
        <v>20</v>
      </c>
      <c r="F1804" t="b">
        <v>1</v>
      </c>
      <c r="G1804">
        <v>1</v>
      </c>
      <c r="H1804" t="b">
        <v>0</v>
      </c>
      <c r="I1804">
        <v>24</v>
      </c>
      <c r="J1804" t="s">
        <v>44</v>
      </c>
      <c r="K1804">
        <v>89</v>
      </c>
      <c r="L1804">
        <v>82</v>
      </c>
      <c r="M1804">
        <v>76</v>
      </c>
      <c r="N1804">
        <v>92</v>
      </c>
      <c r="O1804">
        <v>97</v>
      </c>
      <c r="P1804">
        <v>66</v>
      </c>
      <c r="Q1804">
        <v>60</v>
      </c>
      <c r="R1804">
        <f>SUM(student_scores[[#This Row],[math_score]:[geography_score]])</f>
        <v>562</v>
      </c>
      <c r="S1804" s="3">
        <f>student_scores[[#This Row],[Total_Score]]/7</f>
        <v>80.285714285714292</v>
      </c>
      <c r="T1804" s="3" t="str" cm="1">
        <f t="array" ref="T1804">_xlfn.IFS(student_scores[[#This Row],[weekly_self_study_hours]]&lt;=5,   "0 - 5", student_scores[[#This Row],[weekly_self_study_hours]]&lt;=10,  "6 - 10", student_scores[[#This Row],[weekly_self_study_hours]]&lt;=20,  "11 - 20",student_scores[[#This Row],[weekly_self_study_hours]]&lt;=30, "21 - 30",TRUE, "31+")</f>
        <v>21 - 30</v>
      </c>
      <c r="U1804" t="str" cm="1">
        <f t="array" ref="U1804">_xlfn.IFS(student_scores[[#This Row],[absence_days]]=0,"0", student_scores[[#This Row],[absence_days]]&lt;=3,"1-3", student_scores[[#This Row],[absence_days]]&lt;=6,"4-6", TRUE,"7-10")</f>
        <v>1-3</v>
      </c>
      <c r="V1804" t="str">
        <f>IF(student_scores[[#This Row],[Total_Score]] &gt;= _xlfn.PERCENTILE.INC(student_scores[Total_Score], 0.8), "Yes", "No")</f>
        <v>No</v>
      </c>
    </row>
    <row r="1805" spans="1:22" x14ac:dyDescent="0.35">
      <c r="A1805">
        <v>1804</v>
      </c>
      <c r="B1805" t="s">
        <v>208</v>
      </c>
      <c r="C1805" t="s">
        <v>39</v>
      </c>
      <c r="D1805" t="s">
        <v>2917</v>
      </c>
      <c r="E1805" t="s">
        <v>20</v>
      </c>
      <c r="F1805" t="b">
        <v>0</v>
      </c>
      <c r="G1805">
        <v>1</v>
      </c>
      <c r="H1805" t="b">
        <v>0</v>
      </c>
      <c r="I1805">
        <v>37</v>
      </c>
      <c r="J1805" t="s">
        <v>26</v>
      </c>
      <c r="K1805">
        <v>98</v>
      </c>
      <c r="L1805">
        <v>87</v>
      </c>
      <c r="M1805">
        <v>96</v>
      </c>
      <c r="N1805">
        <v>89</v>
      </c>
      <c r="O1805">
        <v>100</v>
      </c>
      <c r="P1805">
        <v>85</v>
      </c>
      <c r="Q1805">
        <v>91</v>
      </c>
      <c r="R1805">
        <f>SUM(student_scores[[#This Row],[math_score]:[geography_score]])</f>
        <v>646</v>
      </c>
      <c r="S1805" s="3">
        <f>student_scores[[#This Row],[Total_Score]]/7</f>
        <v>92.285714285714292</v>
      </c>
      <c r="T1805" s="3" t="str" cm="1">
        <f t="array" ref="T1805">_xlfn.IFS(student_scores[[#This Row],[weekly_self_study_hours]]&lt;=5,   "0 - 5", student_scores[[#This Row],[weekly_self_study_hours]]&lt;=10,  "6 - 10", student_scores[[#This Row],[weekly_self_study_hours]]&lt;=20,  "11 - 20",student_scores[[#This Row],[weekly_self_study_hours]]&lt;=30, "21 - 30",TRUE, "31+")</f>
        <v>31+</v>
      </c>
      <c r="U1805" t="str" cm="1">
        <f t="array" ref="U1805">_xlfn.IFS(student_scores[[#This Row],[absence_days]]=0,"0", student_scores[[#This Row],[absence_days]]&lt;=3,"1-3", student_scores[[#This Row],[absence_days]]&lt;=6,"4-6", TRUE,"7-10")</f>
        <v>1-3</v>
      </c>
      <c r="V1805" t="str">
        <f>IF(student_scores[[#This Row],[Total_Score]] &gt;= _xlfn.PERCENTILE.INC(student_scores[Total_Score], 0.8), "Yes", "No")</f>
        <v>Yes</v>
      </c>
    </row>
    <row r="1806" spans="1:22" x14ac:dyDescent="0.35">
      <c r="A1806">
        <v>1805</v>
      </c>
      <c r="B1806" t="s">
        <v>1218</v>
      </c>
      <c r="C1806" t="s">
        <v>429</v>
      </c>
      <c r="D1806" t="s">
        <v>2918</v>
      </c>
      <c r="E1806" t="s">
        <v>20</v>
      </c>
      <c r="F1806" t="b">
        <v>0</v>
      </c>
      <c r="G1806">
        <v>2</v>
      </c>
      <c r="H1806" t="b">
        <v>0</v>
      </c>
      <c r="I1806">
        <v>28</v>
      </c>
      <c r="J1806" t="s">
        <v>38</v>
      </c>
      <c r="K1806">
        <v>100</v>
      </c>
      <c r="L1806">
        <v>82</v>
      </c>
      <c r="M1806">
        <v>72</v>
      </c>
      <c r="N1806">
        <v>97</v>
      </c>
      <c r="O1806">
        <v>74</v>
      </c>
      <c r="P1806">
        <v>75</v>
      </c>
      <c r="Q1806">
        <v>81</v>
      </c>
      <c r="R1806">
        <f>SUM(student_scores[[#This Row],[math_score]:[geography_score]])</f>
        <v>581</v>
      </c>
      <c r="S1806" s="3">
        <f>student_scores[[#This Row],[Total_Score]]/7</f>
        <v>83</v>
      </c>
      <c r="T1806" s="3" t="str" cm="1">
        <f t="array" ref="T1806">_xlfn.IFS(student_scores[[#This Row],[weekly_self_study_hours]]&lt;=5,   "0 - 5", student_scores[[#This Row],[weekly_self_study_hours]]&lt;=10,  "6 - 10", student_scores[[#This Row],[weekly_self_study_hours]]&lt;=20,  "11 - 20",student_scores[[#This Row],[weekly_self_study_hours]]&lt;=30, "21 - 30",TRUE, "31+")</f>
        <v>21 - 30</v>
      </c>
      <c r="U1806" t="str" cm="1">
        <f t="array" ref="U1806">_xlfn.IFS(student_scores[[#This Row],[absence_days]]=0,"0", student_scores[[#This Row],[absence_days]]&lt;=3,"1-3", student_scores[[#This Row],[absence_days]]&lt;=6,"4-6", TRUE,"7-10")</f>
        <v>1-3</v>
      </c>
      <c r="V1806" t="str">
        <f>IF(student_scores[[#This Row],[Total_Score]] &gt;= _xlfn.PERCENTILE.INC(student_scores[Total_Score], 0.8), "Yes", "No")</f>
        <v>No</v>
      </c>
    </row>
    <row r="1807" spans="1:22" x14ac:dyDescent="0.35">
      <c r="A1807">
        <v>1806</v>
      </c>
      <c r="B1807" t="s">
        <v>1036</v>
      </c>
      <c r="C1807" t="s">
        <v>143</v>
      </c>
      <c r="D1807" t="s">
        <v>2919</v>
      </c>
      <c r="E1807" t="s">
        <v>25</v>
      </c>
      <c r="F1807" t="b">
        <v>0</v>
      </c>
      <c r="G1807">
        <v>2</v>
      </c>
      <c r="H1807" t="b">
        <v>0</v>
      </c>
      <c r="I1807">
        <v>5</v>
      </c>
      <c r="J1807" t="s">
        <v>64</v>
      </c>
      <c r="K1807">
        <v>75</v>
      </c>
      <c r="L1807">
        <v>71</v>
      </c>
      <c r="M1807">
        <v>68</v>
      </c>
      <c r="N1807">
        <v>91</v>
      </c>
      <c r="O1807">
        <v>79</v>
      </c>
      <c r="P1807">
        <v>62</v>
      </c>
      <c r="Q1807">
        <v>94</v>
      </c>
      <c r="R1807">
        <f>SUM(student_scores[[#This Row],[math_score]:[geography_score]])</f>
        <v>540</v>
      </c>
      <c r="S1807" s="3">
        <f>student_scores[[#This Row],[Total_Score]]/7</f>
        <v>77.142857142857139</v>
      </c>
      <c r="T1807" s="3" t="str" cm="1">
        <f t="array" ref="T1807">_xlfn.IFS(student_scores[[#This Row],[weekly_self_study_hours]]&lt;=5,   "0 - 5", student_scores[[#This Row],[weekly_self_study_hours]]&lt;=10,  "6 - 10", student_scores[[#This Row],[weekly_self_study_hours]]&lt;=20,  "11 - 20",student_scores[[#This Row],[weekly_self_study_hours]]&lt;=30, "21 - 30",TRUE, "31+")</f>
        <v>0 - 5</v>
      </c>
      <c r="U1807" t="str" cm="1">
        <f t="array" ref="U1807">_xlfn.IFS(student_scores[[#This Row],[absence_days]]=0,"0", student_scores[[#This Row],[absence_days]]&lt;=3,"1-3", student_scores[[#This Row],[absence_days]]&lt;=6,"4-6", TRUE,"7-10")</f>
        <v>1-3</v>
      </c>
      <c r="V1807" t="str">
        <f>IF(student_scores[[#This Row],[Total_Score]] &gt;= _xlfn.PERCENTILE.INC(student_scores[Total_Score], 0.8), "Yes", "No")</f>
        <v>No</v>
      </c>
    </row>
    <row r="1808" spans="1:22" x14ac:dyDescent="0.35">
      <c r="A1808">
        <v>1807</v>
      </c>
      <c r="B1808" t="s">
        <v>1267</v>
      </c>
      <c r="C1808" t="s">
        <v>1771</v>
      </c>
      <c r="D1808" t="s">
        <v>2920</v>
      </c>
      <c r="E1808" t="s">
        <v>25</v>
      </c>
      <c r="F1808" t="b">
        <v>0</v>
      </c>
      <c r="G1808">
        <v>3</v>
      </c>
      <c r="H1808" t="b">
        <v>0</v>
      </c>
      <c r="I1808">
        <v>6</v>
      </c>
      <c r="J1808" t="s">
        <v>224</v>
      </c>
      <c r="K1808">
        <v>74</v>
      </c>
      <c r="L1808">
        <v>63</v>
      </c>
      <c r="M1808">
        <v>74</v>
      </c>
      <c r="N1808">
        <v>63</v>
      </c>
      <c r="O1808">
        <v>78</v>
      </c>
      <c r="P1808">
        <v>90</v>
      </c>
      <c r="Q1808">
        <v>83</v>
      </c>
      <c r="R1808">
        <f>SUM(student_scores[[#This Row],[math_score]:[geography_score]])</f>
        <v>525</v>
      </c>
      <c r="S1808" s="3">
        <f>student_scores[[#This Row],[Total_Score]]/7</f>
        <v>75</v>
      </c>
      <c r="T1808" s="3" t="str" cm="1">
        <f t="array" ref="T1808">_xlfn.IFS(student_scores[[#This Row],[weekly_self_study_hours]]&lt;=5,   "0 - 5", student_scores[[#This Row],[weekly_self_study_hours]]&lt;=10,  "6 - 10", student_scores[[#This Row],[weekly_self_study_hours]]&lt;=20,  "11 - 20",student_scores[[#This Row],[weekly_self_study_hours]]&lt;=30, "21 - 30",TRUE, "31+")</f>
        <v>6 - 10</v>
      </c>
      <c r="U1808" t="str" cm="1">
        <f t="array" ref="U1808">_xlfn.IFS(student_scores[[#This Row],[absence_days]]=0,"0", student_scores[[#This Row],[absence_days]]&lt;=3,"1-3", student_scores[[#This Row],[absence_days]]&lt;=6,"4-6", TRUE,"7-10")</f>
        <v>1-3</v>
      </c>
      <c r="V1808" t="str">
        <f>IF(student_scores[[#This Row],[Total_Score]] &gt;= _xlfn.PERCENTILE.INC(student_scores[Total_Score], 0.8), "Yes", "No")</f>
        <v>No</v>
      </c>
    </row>
    <row r="1809" spans="1:22" x14ac:dyDescent="0.35">
      <c r="A1809">
        <v>1808</v>
      </c>
      <c r="B1809" t="s">
        <v>465</v>
      </c>
      <c r="C1809" t="s">
        <v>1332</v>
      </c>
      <c r="D1809" t="s">
        <v>2921</v>
      </c>
      <c r="E1809" t="s">
        <v>25</v>
      </c>
      <c r="F1809" t="b">
        <v>0</v>
      </c>
      <c r="G1809">
        <v>7</v>
      </c>
      <c r="H1809" t="b">
        <v>0</v>
      </c>
      <c r="I1809">
        <v>40</v>
      </c>
      <c r="J1809" t="s">
        <v>26</v>
      </c>
      <c r="K1809">
        <v>85</v>
      </c>
      <c r="L1809">
        <v>99</v>
      </c>
      <c r="M1809">
        <v>87</v>
      </c>
      <c r="N1809">
        <v>85</v>
      </c>
      <c r="O1809">
        <v>91</v>
      </c>
      <c r="P1809">
        <v>88</v>
      </c>
      <c r="Q1809">
        <v>90</v>
      </c>
      <c r="R1809">
        <f>SUM(student_scores[[#This Row],[math_score]:[geography_score]])</f>
        <v>625</v>
      </c>
      <c r="S1809" s="3">
        <f>student_scores[[#This Row],[Total_Score]]/7</f>
        <v>89.285714285714292</v>
      </c>
      <c r="T1809" s="3" t="str" cm="1">
        <f t="array" ref="T1809">_xlfn.IFS(student_scores[[#This Row],[weekly_self_study_hours]]&lt;=5,   "0 - 5", student_scores[[#This Row],[weekly_self_study_hours]]&lt;=10,  "6 - 10", student_scores[[#This Row],[weekly_self_study_hours]]&lt;=20,  "11 - 20",student_scores[[#This Row],[weekly_self_study_hours]]&lt;=30, "21 - 30",TRUE, "31+")</f>
        <v>31+</v>
      </c>
      <c r="U1809" t="str" cm="1">
        <f t="array" ref="U1809">_xlfn.IFS(student_scores[[#This Row],[absence_days]]=0,"0", student_scores[[#This Row],[absence_days]]&lt;=3,"1-3", student_scores[[#This Row],[absence_days]]&lt;=6,"4-6", TRUE,"7-10")</f>
        <v>7-10</v>
      </c>
      <c r="V1809" t="str">
        <f>IF(student_scores[[#This Row],[Total_Score]] &gt;= _xlfn.PERCENTILE.INC(student_scores[Total_Score], 0.8), "Yes", "No")</f>
        <v>Yes</v>
      </c>
    </row>
    <row r="1810" spans="1:22" x14ac:dyDescent="0.35">
      <c r="A1810">
        <v>1809</v>
      </c>
      <c r="B1810" t="s">
        <v>2122</v>
      </c>
      <c r="C1810" t="s">
        <v>2654</v>
      </c>
      <c r="D1810" t="s">
        <v>2922</v>
      </c>
      <c r="E1810" t="s">
        <v>20</v>
      </c>
      <c r="F1810" t="b">
        <v>0</v>
      </c>
      <c r="G1810">
        <v>3</v>
      </c>
      <c r="H1810" t="b">
        <v>1</v>
      </c>
      <c r="I1810">
        <v>35</v>
      </c>
      <c r="J1810" t="s">
        <v>38</v>
      </c>
      <c r="K1810">
        <v>86</v>
      </c>
      <c r="L1810">
        <v>87</v>
      </c>
      <c r="M1810">
        <v>97</v>
      </c>
      <c r="N1810">
        <v>92</v>
      </c>
      <c r="O1810">
        <v>85</v>
      </c>
      <c r="P1810">
        <v>99</v>
      </c>
      <c r="Q1810">
        <v>86</v>
      </c>
      <c r="R1810">
        <f>SUM(student_scores[[#This Row],[math_score]:[geography_score]])</f>
        <v>632</v>
      </c>
      <c r="S1810" s="3">
        <f>student_scores[[#This Row],[Total_Score]]/7</f>
        <v>90.285714285714292</v>
      </c>
      <c r="T1810" s="3" t="str" cm="1">
        <f t="array" ref="T1810">_xlfn.IFS(student_scores[[#This Row],[weekly_self_study_hours]]&lt;=5,   "0 - 5", student_scores[[#This Row],[weekly_self_study_hours]]&lt;=10,  "6 - 10", student_scores[[#This Row],[weekly_self_study_hours]]&lt;=20,  "11 - 20",student_scores[[#This Row],[weekly_self_study_hours]]&lt;=30, "21 - 30",TRUE, "31+")</f>
        <v>31+</v>
      </c>
      <c r="U1810" t="str" cm="1">
        <f t="array" ref="U1810">_xlfn.IFS(student_scores[[#This Row],[absence_days]]=0,"0", student_scores[[#This Row],[absence_days]]&lt;=3,"1-3", student_scores[[#This Row],[absence_days]]&lt;=6,"4-6", TRUE,"7-10")</f>
        <v>1-3</v>
      </c>
      <c r="V1810" t="str">
        <f>IF(student_scores[[#This Row],[Total_Score]] &gt;= _xlfn.PERCENTILE.INC(student_scores[Total_Score], 0.8), "Yes", "No")</f>
        <v>Yes</v>
      </c>
    </row>
    <row r="1811" spans="1:22" x14ac:dyDescent="0.35">
      <c r="A1811">
        <v>1810</v>
      </c>
      <c r="B1811" t="s">
        <v>167</v>
      </c>
      <c r="C1811" t="s">
        <v>2923</v>
      </c>
      <c r="D1811" t="s">
        <v>2924</v>
      </c>
      <c r="E1811" t="s">
        <v>20</v>
      </c>
      <c r="F1811" t="b">
        <v>0</v>
      </c>
      <c r="G1811">
        <v>4</v>
      </c>
      <c r="H1811" t="b">
        <v>1</v>
      </c>
      <c r="I1811">
        <v>34</v>
      </c>
      <c r="J1811" t="s">
        <v>26</v>
      </c>
      <c r="K1811">
        <v>91</v>
      </c>
      <c r="L1811">
        <v>71</v>
      </c>
      <c r="M1811">
        <v>99</v>
      </c>
      <c r="N1811">
        <v>96</v>
      </c>
      <c r="O1811">
        <v>85</v>
      </c>
      <c r="P1811">
        <v>79</v>
      </c>
      <c r="Q1811">
        <v>74</v>
      </c>
      <c r="R1811">
        <f>SUM(student_scores[[#This Row],[math_score]:[geography_score]])</f>
        <v>595</v>
      </c>
      <c r="S1811" s="3">
        <f>student_scores[[#This Row],[Total_Score]]/7</f>
        <v>85</v>
      </c>
      <c r="T1811" s="3" t="str" cm="1">
        <f t="array" ref="T1811">_xlfn.IFS(student_scores[[#This Row],[weekly_self_study_hours]]&lt;=5,   "0 - 5", student_scores[[#This Row],[weekly_self_study_hours]]&lt;=10,  "6 - 10", student_scores[[#This Row],[weekly_self_study_hours]]&lt;=20,  "11 - 20",student_scores[[#This Row],[weekly_self_study_hours]]&lt;=30, "21 - 30",TRUE, "31+")</f>
        <v>31+</v>
      </c>
      <c r="U1811" t="str" cm="1">
        <f t="array" ref="U1811">_xlfn.IFS(student_scores[[#This Row],[absence_days]]=0,"0", student_scores[[#This Row],[absence_days]]&lt;=3,"1-3", student_scores[[#This Row],[absence_days]]&lt;=6,"4-6", TRUE,"7-10")</f>
        <v>4-6</v>
      </c>
      <c r="V1811" t="str">
        <f>IF(student_scores[[#This Row],[Total_Score]] &gt;= _xlfn.PERCENTILE.INC(student_scores[Total_Score], 0.8), "Yes", "No")</f>
        <v>No</v>
      </c>
    </row>
    <row r="1812" spans="1:22" x14ac:dyDescent="0.35">
      <c r="A1812">
        <v>1811</v>
      </c>
      <c r="B1812" t="s">
        <v>145</v>
      </c>
      <c r="C1812" t="s">
        <v>49</v>
      </c>
      <c r="D1812" t="s">
        <v>2925</v>
      </c>
      <c r="E1812" t="s">
        <v>20</v>
      </c>
      <c r="F1812" t="b">
        <v>0</v>
      </c>
      <c r="G1812">
        <v>2</v>
      </c>
      <c r="H1812" t="b">
        <v>0</v>
      </c>
      <c r="I1812">
        <v>24</v>
      </c>
      <c r="J1812" t="s">
        <v>44</v>
      </c>
      <c r="K1812">
        <v>90</v>
      </c>
      <c r="L1812">
        <v>76</v>
      </c>
      <c r="M1812">
        <v>100</v>
      </c>
      <c r="N1812">
        <v>73</v>
      </c>
      <c r="O1812">
        <v>90</v>
      </c>
      <c r="P1812">
        <v>64</v>
      </c>
      <c r="Q1812">
        <v>86</v>
      </c>
      <c r="R1812">
        <f>SUM(student_scores[[#This Row],[math_score]:[geography_score]])</f>
        <v>579</v>
      </c>
      <c r="S1812" s="3">
        <f>student_scores[[#This Row],[Total_Score]]/7</f>
        <v>82.714285714285708</v>
      </c>
      <c r="T1812" s="3" t="str" cm="1">
        <f t="array" ref="T1812">_xlfn.IFS(student_scores[[#This Row],[weekly_self_study_hours]]&lt;=5,   "0 - 5", student_scores[[#This Row],[weekly_self_study_hours]]&lt;=10,  "6 - 10", student_scores[[#This Row],[weekly_self_study_hours]]&lt;=20,  "11 - 20",student_scores[[#This Row],[weekly_self_study_hours]]&lt;=30, "21 - 30",TRUE, "31+")</f>
        <v>21 - 30</v>
      </c>
      <c r="U1812" t="str" cm="1">
        <f t="array" ref="U1812">_xlfn.IFS(student_scores[[#This Row],[absence_days]]=0,"0", student_scores[[#This Row],[absence_days]]&lt;=3,"1-3", student_scores[[#This Row],[absence_days]]&lt;=6,"4-6", TRUE,"7-10")</f>
        <v>1-3</v>
      </c>
      <c r="V1812" t="str">
        <f>IF(student_scores[[#This Row],[Total_Score]] &gt;= _xlfn.PERCENTILE.INC(student_scores[Total_Score], 0.8), "Yes", "No")</f>
        <v>No</v>
      </c>
    </row>
    <row r="1813" spans="1:22" x14ac:dyDescent="0.35">
      <c r="A1813">
        <v>1812</v>
      </c>
      <c r="B1813" t="s">
        <v>755</v>
      </c>
      <c r="C1813" t="s">
        <v>561</v>
      </c>
      <c r="D1813" t="s">
        <v>2926</v>
      </c>
      <c r="E1813" t="s">
        <v>25</v>
      </c>
      <c r="F1813" t="b">
        <v>0</v>
      </c>
      <c r="G1813">
        <v>6</v>
      </c>
      <c r="H1813" t="b">
        <v>0</v>
      </c>
      <c r="I1813">
        <v>35</v>
      </c>
      <c r="J1813" t="s">
        <v>76</v>
      </c>
      <c r="K1813">
        <v>91</v>
      </c>
      <c r="L1813">
        <v>91</v>
      </c>
      <c r="M1813">
        <v>92</v>
      </c>
      <c r="N1813">
        <v>95</v>
      </c>
      <c r="O1813">
        <v>98</v>
      </c>
      <c r="P1813">
        <v>91</v>
      </c>
      <c r="Q1813">
        <v>85</v>
      </c>
      <c r="R1813">
        <f>SUM(student_scores[[#This Row],[math_score]:[geography_score]])</f>
        <v>643</v>
      </c>
      <c r="S1813" s="3">
        <f>student_scores[[#This Row],[Total_Score]]/7</f>
        <v>91.857142857142861</v>
      </c>
      <c r="T1813" s="3" t="str" cm="1">
        <f t="array" ref="T1813">_xlfn.IFS(student_scores[[#This Row],[weekly_self_study_hours]]&lt;=5,   "0 - 5", student_scores[[#This Row],[weekly_self_study_hours]]&lt;=10,  "6 - 10", student_scores[[#This Row],[weekly_self_study_hours]]&lt;=20,  "11 - 20",student_scores[[#This Row],[weekly_self_study_hours]]&lt;=30, "21 - 30",TRUE, "31+")</f>
        <v>31+</v>
      </c>
      <c r="U1813" t="str" cm="1">
        <f t="array" ref="U1813">_xlfn.IFS(student_scores[[#This Row],[absence_days]]=0,"0", student_scores[[#This Row],[absence_days]]&lt;=3,"1-3", student_scores[[#This Row],[absence_days]]&lt;=6,"4-6", TRUE,"7-10")</f>
        <v>4-6</v>
      </c>
      <c r="V1813" t="str">
        <f>IF(student_scores[[#This Row],[Total_Score]] &gt;= _xlfn.PERCENTILE.INC(student_scores[Total_Score], 0.8), "Yes", "No")</f>
        <v>Yes</v>
      </c>
    </row>
    <row r="1814" spans="1:22" x14ac:dyDescent="0.35">
      <c r="A1814">
        <v>1813</v>
      </c>
      <c r="B1814" t="s">
        <v>715</v>
      </c>
      <c r="C1814" t="s">
        <v>658</v>
      </c>
      <c r="D1814" t="s">
        <v>2927</v>
      </c>
      <c r="E1814" t="s">
        <v>25</v>
      </c>
      <c r="F1814" t="b">
        <v>1</v>
      </c>
      <c r="G1814">
        <v>6</v>
      </c>
      <c r="H1814" t="b">
        <v>0</v>
      </c>
      <c r="I1814">
        <v>0</v>
      </c>
      <c r="J1814" t="s">
        <v>64</v>
      </c>
      <c r="K1814">
        <v>80</v>
      </c>
      <c r="L1814">
        <v>83</v>
      </c>
      <c r="M1814">
        <v>93</v>
      </c>
      <c r="N1814">
        <v>81</v>
      </c>
      <c r="O1814">
        <v>95</v>
      </c>
      <c r="P1814">
        <v>87</v>
      </c>
      <c r="Q1814">
        <v>61</v>
      </c>
      <c r="R1814">
        <f>SUM(student_scores[[#This Row],[math_score]:[geography_score]])</f>
        <v>580</v>
      </c>
      <c r="S1814" s="3">
        <f>student_scores[[#This Row],[Total_Score]]/7</f>
        <v>82.857142857142861</v>
      </c>
      <c r="T1814" s="3" t="str" cm="1">
        <f t="array" ref="T1814">_xlfn.IFS(student_scores[[#This Row],[weekly_self_study_hours]]&lt;=5,   "0 - 5", student_scores[[#This Row],[weekly_self_study_hours]]&lt;=10,  "6 - 10", student_scores[[#This Row],[weekly_self_study_hours]]&lt;=20,  "11 - 20",student_scores[[#This Row],[weekly_self_study_hours]]&lt;=30, "21 - 30",TRUE, "31+")</f>
        <v>0 - 5</v>
      </c>
      <c r="U1814" t="str" cm="1">
        <f t="array" ref="U1814">_xlfn.IFS(student_scores[[#This Row],[absence_days]]=0,"0", student_scores[[#This Row],[absence_days]]&lt;=3,"1-3", student_scores[[#This Row],[absence_days]]&lt;=6,"4-6", TRUE,"7-10")</f>
        <v>4-6</v>
      </c>
      <c r="V1814" t="str">
        <f>IF(student_scores[[#This Row],[Total_Score]] &gt;= _xlfn.PERCENTILE.INC(student_scores[Total_Score], 0.8), "Yes", "No")</f>
        <v>No</v>
      </c>
    </row>
    <row r="1815" spans="1:22" x14ac:dyDescent="0.35">
      <c r="A1815">
        <v>1814</v>
      </c>
      <c r="B1815" t="s">
        <v>2394</v>
      </c>
      <c r="C1815" t="s">
        <v>1448</v>
      </c>
      <c r="D1815" t="s">
        <v>2928</v>
      </c>
      <c r="E1815" t="s">
        <v>20</v>
      </c>
      <c r="F1815" t="b">
        <v>0</v>
      </c>
      <c r="G1815">
        <v>1</v>
      </c>
      <c r="H1815" t="b">
        <v>0</v>
      </c>
      <c r="I1815">
        <v>35</v>
      </c>
      <c r="J1815" t="s">
        <v>26</v>
      </c>
      <c r="K1815">
        <v>95</v>
      </c>
      <c r="L1815">
        <v>89</v>
      </c>
      <c r="M1815">
        <v>92</v>
      </c>
      <c r="N1815">
        <v>87</v>
      </c>
      <c r="O1815">
        <v>95</v>
      </c>
      <c r="P1815">
        <v>86</v>
      </c>
      <c r="Q1815">
        <v>93</v>
      </c>
      <c r="R1815">
        <f>SUM(student_scores[[#This Row],[math_score]:[geography_score]])</f>
        <v>637</v>
      </c>
      <c r="S1815" s="3">
        <f>student_scores[[#This Row],[Total_Score]]/7</f>
        <v>91</v>
      </c>
      <c r="T1815" s="3" t="str" cm="1">
        <f t="array" ref="T1815">_xlfn.IFS(student_scores[[#This Row],[weekly_self_study_hours]]&lt;=5,   "0 - 5", student_scores[[#This Row],[weekly_self_study_hours]]&lt;=10,  "6 - 10", student_scores[[#This Row],[weekly_self_study_hours]]&lt;=20,  "11 - 20",student_scores[[#This Row],[weekly_self_study_hours]]&lt;=30, "21 - 30",TRUE, "31+")</f>
        <v>31+</v>
      </c>
      <c r="U1815" t="str" cm="1">
        <f t="array" ref="U1815">_xlfn.IFS(student_scores[[#This Row],[absence_days]]=0,"0", student_scores[[#This Row],[absence_days]]&lt;=3,"1-3", student_scores[[#This Row],[absence_days]]&lt;=6,"4-6", TRUE,"7-10")</f>
        <v>1-3</v>
      </c>
      <c r="V1815" t="str">
        <f>IF(student_scores[[#This Row],[Total_Score]] &gt;= _xlfn.PERCENTILE.INC(student_scores[Total_Score], 0.8), "Yes", "No")</f>
        <v>Yes</v>
      </c>
    </row>
    <row r="1816" spans="1:22" x14ac:dyDescent="0.35">
      <c r="A1816">
        <v>1815</v>
      </c>
      <c r="B1816" t="s">
        <v>331</v>
      </c>
      <c r="C1816" t="s">
        <v>1501</v>
      </c>
      <c r="D1816" t="s">
        <v>2929</v>
      </c>
      <c r="E1816" t="s">
        <v>20</v>
      </c>
      <c r="F1816" t="b">
        <v>0</v>
      </c>
      <c r="G1816">
        <v>5</v>
      </c>
      <c r="H1816" t="b">
        <v>1</v>
      </c>
      <c r="I1816">
        <v>18</v>
      </c>
      <c r="J1816" t="s">
        <v>38</v>
      </c>
      <c r="K1816">
        <v>94</v>
      </c>
      <c r="L1816">
        <v>97</v>
      </c>
      <c r="M1816">
        <v>69</v>
      </c>
      <c r="N1816">
        <v>81</v>
      </c>
      <c r="O1816">
        <v>100</v>
      </c>
      <c r="P1816">
        <v>68</v>
      </c>
      <c r="Q1816">
        <v>68</v>
      </c>
      <c r="R1816">
        <f>SUM(student_scores[[#This Row],[math_score]:[geography_score]])</f>
        <v>577</v>
      </c>
      <c r="S1816" s="3">
        <f>student_scores[[#This Row],[Total_Score]]/7</f>
        <v>82.428571428571431</v>
      </c>
      <c r="T1816" s="3" t="str" cm="1">
        <f t="array" ref="T1816">_xlfn.IFS(student_scores[[#This Row],[weekly_self_study_hours]]&lt;=5,   "0 - 5", student_scores[[#This Row],[weekly_self_study_hours]]&lt;=10,  "6 - 10", student_scores[[#This Row],[weekly_self_study_hours]]&lt;=20,  "11 - 20",student_scores[[#This Row],[weekly_self_study_hours]]&lt;=30, "21 - 30",TRUE, "31+")</f>
        <v>11 - 20</v>
      </c>
      <c r="U1816" t="str" cm="1">
        <f t="array" ref="U1816">_xlfn.IFS(student_scores[[#This Row],[absence_days]]=0,"0", student_scores[[#This Row],[absence_days]]&lt;=3,"1-3", student_scores[[#This Row],[absence_days]]&lt;=6,"4-6", TRUE,"7-10")</f>
        <v>4-6</v>
      </c>
      <c r="V1816" t="str">
        <f>IF(student_scores[[#This Row],[Total_Score]] &gt;= _xlfn.PERCENTILE.INC(student_scores[Total_Score], 0.8), "Yes", "No")</f>
        <v>No</v>
      </c>
    </row>
    <row r="1817" spans="1:22" x14ac:dyDescent="0.35">
      <c r="A1817">
        <v>1816</v>
      </c>
      <c r="B1817" t="s">
        <v>27</v>
      </c>
      <c r="C1817" t="s">
        <v>2930</v>
      </c>
      <c r="D1817" t="s">
        <v>2931</v>
      </c>
      <c r="E1817" t="s">
        <v>25</v>
      </c>
      <c r="F1817" t="b">
        <v>1</v>
      </c>
      <c r="G1817">
        <v>1</v>
      </c>
      <c r="H1817" t="b">
        <v>1</v>
      </c>
      <c r="I1817">
        <v>1</v>
      </c>
      <c r="J1817" t="s">
        <v>64</v>
      </c>
      <c r="K1817">
        <v>54</v>
      </c>
      <c r="L1817">
        <v>55</v>
      </c>
      <c r="M1817">
        <v>50</v>
      </c>
      <c r="N1817">
        <v>100</v>
      </c>
      <c r="O1817">
        <v>77</v>
      </c>
      <c r="P1817">
        <v>61</v>
      </c>
      <c r="Q1817">
        <v>78</v>
      </c>
      <c r="R1817">
        <f>SUM(student_scores[[#This Row],[math_score]:[geography_score]])</f>
        <v>475</v>
      </c>
      <c r="S1817" s="3">
        <f>student_scores[[#This Row],[Total_Score]]/7</f>
        <v>67.857142857142861</v>
      </c>
      <c r="T1817" s="3" t="str" cm="1">
        <f t="array" ref="T1817">_xlfn.IFS(student_scores[[#This Row],[weekly_self_study_hours]]&lt;=5,   "0 - 5", student_scores[[#This Row],[weekly_self_study_hours]]&lt;=10,  "6 - 10", student_scores[[#This Row],[weekly_self_study_hours]]&lt;=20,  "11 - 20",student_scores[[#This Row],[weekly_self_study_hours]]&lt;=30, "21 - 30",TRUE, "31+")</f>
        <v>0 - 5</v>
      </c>
      <c r="U1817" t="str" cm="1">
        <f t="array" ref="U1817">_xlfn.IFS(student_scores[[#This Row],[absence_days]]=0,"0", student_scores[[#This Row],[absence_days]]&lt;=3,"1-3", student_scores[[#This Row],[absence_days]]&lt;=6,"4-6", TRUE,"7-10")</f>
        <v>1-3</v>
      </c>
      <c r="V1817" t="str">
        <f>IF(student_scores[[#This Row],[Total_Score]] &gt;= _xlfn.PERCENTILE.INC(student_scores[Total_Score], 0.8), "Yes", "No")</f>
        <v>No</v>
      </c>
    </row>
    <row r="1818" spans="1:22" x14ac:dyDescent="0.35">
      <c r="A1818">
        <v>1817</v>
      </c>
      <c r="B1818" t="s">
        <v>280</v>
      </c>
      <c r="C1818" t="s">
        <v>2085</v>
      </c>
      <c r="D1818" t="s">
        <v>2932</v>
      </c>
      <c r="E1818" t="s">
        <v>20</v>
      </c>
      <c r="F1818" t="b">
        <v>0</v>
      </c>
      <c r="G1818">
        <v>2</v>
      </c>
      <c r="H1818" t="b">
        <v>0</v>
      </c>
      <c r="I1818">
        <v>16</v>
      </c>
      <c r="J1818" t="s">
        <v>138</v>
      </c>
      <c r="K1818">
        <v>87</v>
      </c>
      <c r="L1818">
        <v>80</v>
      </c>
      <c r="M1818">
        <v>85</v>
      </c>
      <c r="N1818">
        <v>60</v>
      </c>
      <c r="O1818">
        <v>96</v>
      </c>
      <c r="P1818">
        <v>81</v>
      </c>
      <c r="Q1818">
        <v>83</v>
      </c>
      <c r="R1818">
        <f>SUM(student_scores[[#This Row],[math_score]:[geography_score]])</f>
        <v>572</v>
      </c>
      <c r="S1818" s="3">
        <f>student_scores[[#This Row],[Total_Score]]/7</f>
        <v>81.714285714285708</v>
      </c>
      <c r="T1818" s="3" t="str" cm="1">
        <f t="array" ref="T1818">_xlfn.IFS(student_scores[[#This Row],[weekly_self_study_hours]]&lt;=5,   "0 - 5", student_scores[[#This Row],[weekly_self_study_hours]]&lt;=10,  "6 - 10", student_scores[[#This Row],[weekly_self_study_hours]]&lt;=20,  "11 - 20",student_scores[[#This Row],[weekly_self_study_hours]]&lt;=30, "21 - 30",TRUE, "31+")</f>
        <v>11 - 20</v>
      </c>
      <c r="U1818" t="str" cm="1">
        <f t="array" ref="U1818">_xlfn.IFS(student_scores[[#This Row],[absence_days]]=0,"0", student_scores[[#This Row],[absence_days]]&lt;=3,"1-3", student_scores[[#This Row],[absence_days]]&lt;=6,"4-6", TRUE,"7-10")</f>
        <v>1-3</v>
      </c>
      <c r="V1818" t="str">
        <f>IF(student_scores[[#This Row],[Total_Score]] &gt;= _xlfn.PERCENTILE.INC(student_scores[Total_Score], 0.8), "Yes", "No")</f>
        <v>No</v>
      </c>
    </row>
    <row r="1819" spans="1:22" x14ac:dyDescent="0.35">
      <c r="A1819">
        <v>1818</v>
      </c>
      <c r="B1819" t="s">
        <v>280</v>
      </c>
      <c r="C1819" t="s">
        <v>1783</v>
      </c>
      <c r="D1819" t="s">
        <v>2933</v>
      </c>
      <c r="E1819" t="s">
        <v>20</v>
      </c>
      <c r="F1819" t="b">
        <v>0</v>
      </c>
      <c r="G1819">
        <v>5</v>
      </c>
      <c r="H1819" t="b">
        <v>0</v>
      </c>
      <c r="I1819">
        <v>28</v>
      </c>
      <c r="J1819" t="s">
        <v>44</v>
      </c>
      <c r="K1819">
        <v>100</v>
      </c>
      <c r="L1819">
        <v>75</v>
      </c>
      <c r="M1819">
        <v>72</v>
      </c>
      <c r="N1819">
        <v>79</v>
      </c>
      <c r="O1819">
        <v>61</v>
      </c>
      <c r="P1819">
        <v>94</v>
      </c>
      <c r="Q1819">
        <v>82</v>
      </c>
      <c r="R1819">
        <f>SUM(student_scores[[#This Row],[math_score]:[geography_score]])</f>
        <v>563</v>
      </c>
      <c r="S1819" s="3">
        <f>student_scores[[#This Row],[Total_Score]]/7</f>
        <v>80.428571428571431</v>
      </c>
      <c r="T1819" s="3" t="str" cm="1">
        <f t="array" ref="T1819">_xlfn.IFS(student_scores[[#This Row],[weekly_self_study_hours]]&lt;=5,   "0 - 5", student_scores[[#This Row],[weekly_self_study_hours]]&lt;=10,  "6 - 10", student_scores[[#This Row],[weekly_self_study_hours]]&lt;=20,  "11 - 20",student_scores[[#This Row],[weekly_self_study_hours]]&lt;=30, "21 - 30",TRUE, "31+")</f>
        <v>21 - 30</v>
      </c>
      <c r="U1819" t="str" cm="1">
        <f t="array" ref="U1819">_xlfn.IFS(student_scores[[#This Row],[absence_days]]=0,"0", student_scores[[#This Row],[absence_days]]&lt;=3,"1-3", student_scores[[#This Row],[absence_days]]&lt;=6,"4-6", TRUE,"7-10")</f>
        <v>4-6</v>
      </c>
      <c r="V1819" t="str">
        <f>IF(student_scores[[#This Row],[Total_Score]] &gt;= _xlfn.PERCENTILE.INC(student_scores[Total_Score], 0.8), "Yes", "No")</f>
        <v>No</v>
      </c>
    </row>
    <row r="1820" spans="1:22" x14ac:dyDescent="0.35">
      <c r="A1820">
        <v>1819</v>
      </c>
      <c r="B1820" t="s">
        <v>473</v>
      </c>
      <c r="C1820" t="s">
        <v>2934</v>
      </c>
      <c r="D1820" t="s">
        <v>2935</v>
      </c>
      <c r="E1820" t="s">
        <v>20</v>
      </c>
      <c r="F1820" t="b">
        <v>0</v>
      </c>
      <c r="G1820">
        <v>3</v>
      </c>
      <c r="H1820" t="b">
        <v>0</v>
      </c>
      <c r="I1820">
        <v>14</v>
      </c>
      <c r="J1820" t="s">
        <v>30</v>
      </c>
      <c r="K1820">
        <v>93</v>
      </c>
      <c r="L1820">
        <v>99</v>
      </c>
      <c r="M1820">
        <v>72</v>
      </c>
      <c r="N1820">
        <v>79</v>
      </c>
      <c r="O1820">
        <v>83</v>
      </c>
      <c r="P1820">
        <v>87</v>
      </c>
      <c r="Q1820">
        <v>73</v>
      </c>
      <c r="R1820">
        <f>SUM(student_scores[[#This Row],[math_score]:[geography_score]])</f>
        <v>586</v>
      </c>
      <c r="S1820" s="3">
        <f>student_scores[[#This Row],[Total_Score]]/7</f>
        <v>83.714285714285708</v>
      </c>
      <c r="T1820" s="3" t="str" cm="1">
        <f t="array" ref="T1820">_xlfn.IFS(student_scores[[#This Row],[weekly_self_study_hours]]&lt;=5,   "0 - 5", student_scores[[#This Row],[weekly_self_study_hours]]&lt;=10,  "6 - 10", student_scores[[#This Row],[weekly_self_study_hours]]&lt;=20,  "11 - 20",student_scores[[#This Row],[weekly_self_study_hours]]&lt;=30, "21 - 30",TRUE, "31+")</f>
        <v>11 - 20</v>
      </c>
      <c r="U1820" t="str" cm="1">
        <f t="array" ref="U1820">_xlfn.IFS(student_scores[[#This Row],[absence_days]]=0,"0", student_scores[[#This Row],[absence_days]]&lt;=3,"1-3", student_scores[[#This Row],[absence_days]]&lt;=6,"4-6", TRUE,"7-10")</f>
        <v>1-3</v>
      </c>
      <c r="V1820" t="str">
        <f>IF(student_scores[[#This Row],[Total_Score]] &gt;= _xlfn.PERCENTILE.INC(student_scores[Total_Score], 0.8), "Yes", "No")</f>
        <v>No</v>
      </c>
    </row>
    <row r="1821" spans="1:22" x14ac:dyDescent="0.35">
      <c r="A1821">
        <v>1820</v>
      </c>
      <c r="B1821" t="s">
        <v>476</v>
      </c>
      <c r="C1821" t="s">
        <v>1353</v>
      </c>
      <c r="D1821" t="s">
        <v>2936</v>
      </c>
      <c r="E1821" t="s">
        <v>20</v>
      </c>
      <c r="F1821" t="b">
        <v>0</v>
      </c>
      <c r="G1821">
        <v>3</v>
      </c>
      <c r="H1821" t="b">
        <v>0</v>
      </c>
      <c r="I1821">
        <v>25</v>
      </c>
      <c r="J1821" t="s">
        <v>26</v>
      </c>
      <c r="K1821">
        <v>99</v>
      </c>
      <c r="L1821">
        <v>70</v>
      </c>
      <c r="M1821">
        <v>89</v>
      </c>
      <c r="N1821">
        <v>86</v>
      </c>
      <c r="O1821">
        <v>92</v>
      </c>
      <c r="P1821">
        <v>65</v>
      </c>
      <c r="Q1821">
        <v>64</v>
      </c>
      <c r="R1821">
        <f>SUM(student_scores[[#This Row],[math_score]:[geography_score]])</f>
        <v>565</v>
      </c>
      <c r="S1821" s="3">
        <f>student_scores[[#This Row],[Total_Score]]/7</f>
        <v>80.714285714285708</v>
      </c>
      <c r="T1821" s="3" t="str" cm="1">
        <f t="array" ref="T1821">_xlfn.IFS(student_scores[[#This Row],[weekly_self_study_hours]]&lt;=5,   "0 - 5", student_scores[[#This Row],[weekly_self_study_hours]]&lt;=10,  "6 - 10", student_scores[[#This Row],[weekly_self_study_hours]]&lt;=20,  "11 - 20",student_scores[[#This Row],[weekly_self_study_hours]]&lt;=30, "21 - 30",TRUE, "31+")</f>
        <v>21 - 30</v>
      </c>
      <c r="U1821" t="str" cm="1">
        <f t="array" ref="U1821">_xlfn.IFS(student_scores[[#This Row],[absence_days]]=0,"0", student_scores[[#This Row],[absence_days]]&lt;=3,"1-3", student_scores[[#This Row],[absence_days]]&lt;=6,"4-6", TRUE,"7-10")</f>
        <v>1-3</v>
      </c>
      <c r="V1821" t="str">
        <f>IF(student_scores[[#This Row],[Total_Score]] &gt;= _xlfn.PERCENTILE.INC(student_scores[Total_Score], 0.8), "Yes", "No")</f>
        <v>No</v>
      </c>
    </row>
    <row r="1822" spans="1:22" x14ac:dyDescent="0.35">
      <c r="A1822">
        <v>1821</v>
      </c>
      <c r="B1822" t="s">
        <v>68</v>
      </c>
      <c r="C1822" t="s">
        <v>316</v>
      </c>
      <c r="D1822" t="s">
        <v>2937</v>
      </c>
      <c r="E1822" t="s">
        <v>25</v>
      </c>
      <c r="F1822" t="b">
        <v>0</v>
      </c>
      <c r="G1822">
        <v>2</v>
      </c>
      <c r="H1822" t="b">
        <v>0</v>
      </c>
      <c r="I1822">
        <v>16</v>
      </c>
      <c r="J1822" t="s">
        <v>105</v>
      </c>
      <c r="K1822">
        <v>99</v>
      </c>
      <c r="L1822">
        <v>99</v>
      </c>
      <c r="M1822">
        <v>90</v>
      </c>
      <c r="N1822">
        <v>63</v>
      </c>
      <c r="O1822">
        <v>63</v>
      </c>
      <c r="P1822">
        <v>77</v>
      </c>
      <c r="Q1822">
        <v>60</v>
      </c>
      <c r="R1822">
        <f>SUM(student_scores[[#This Row],[math_score]:[geography_score]])</f>
        <v>551</v>
      </c>
      <c r="S1822" s="3">
        <f>student_scores[[#This Row],[Total_Score]]/7</f>
        <v>78.714285714285708</v>
      </c>
      <c r="T1822" s="3" t="str" cm="1">
        <f t="array" ref="T1822">_xlfn.IFS(student_scores[[#This Row],[weekly_self_study_hours]]&lt;=5,   "0 - 5", student_scores[[#This Row],[weekly_self_study_hours]]&lt;=10,  "6 - 10", student_scores[[#This Row],[weekly_self_study_hours]]&lt;=20,  "11 - 20",student_scores[[#This Row],[weekly_self_study_hours]]&lt;=30, "21 - 30",TRUE, "31+")</f>
        <v>11 - 20</v>
      </c>
      <c r="U1822" t="str" cm="1">
        <f t="array" ref="U1822">_xlfn.IFS(student_scores[[#This Row],[absence_days]]=0,"0", student_scores[[#This Row],[absence_days]]&lt;=3,"1-3", student_scores[[#This Row],[absence_days]]&lt;=6,"4-6", TRUE,"7-10")</f>
        <v>1-3</v>
      </c>
      <c r="V1822" t="str">
        <f>IF(student_scores[[#This Row],[Total_Score]] &gt;= _xlfn.PERCENTILE.INC(student_scores[Total_Score], 0.8), "Yes", "No")</f>
        <v>No</v>
      </c>
    </row>
    <row r="1823" spans="1:22" x14ac:dyDescent="0.35">
      <c r="A1823">
        <v>1822</v>
      </c>
      <c r="B1823" t="s">
        <v>160</v>
      </c>
      <c r="C1823" t="s">
        <v>2938</v>
      </c>
      <c r="D1823" t="s">
        <v>2939</v>
      </c>
      <c r="E1823" t="s">
        <v>20</v>
      </c>
      <c r="F1823" t="b">
        <v>0</v>
      </c>
      <c r="G1823">
        <v>4</v>
      </c>
      <c r="H1823" t="b">
        <v>0</v>
      </c>
      <c r="I1823">
        <v>28</v>
      </c>
      <c r="J1823" t="s">
        <v>172</v>
      </c>
      <c r="K1823">
        <v>76</v>
      </c>
      <c r="L1823">
        <v>80</v>
      </c>
      <c r="M1823">
        <v>89</v>
      </c>
      <c r="N1823">
        <v>74</v>
      </c>
      <c r="O1823">
        <v>61</v>
      </c>
      <c r="P1823">
        <v>86</v>
      </c>
      <c r="Q1823">
        <v>93</v>
      </c>
      <c r="R1823">
        <f>SUM(student_scores[[#This Row],[math_score]:[geography_score]])</f>
        <v>559</v>
      </c>
      <c r="S1823" s="3">
        <f>student_scores[[#This Row],[Total_Score]]/7</f>
        <v>79.857142857142861</v>
      </c>
      <c r="T1823" s="3" t="str" cm="1">
        <f t="array" ref="T1823">_xlfn.IFS(student_scores[[#This Row],[weekly_self_study_hours]]&lt;=5,   "0 - 5", student_scores[[#This Row],[weekly_self_study_hours]]&lt;=10,  "6 - 10", student_scores[[#This Row],[weekly_self_study_hours]]&lt;=20,  "11 - 20",student_scores[[#This Row],[weekly_self_study_hours]]&lt;=30, "21 - 30",TRUE, "31+")</f>
        <v>21 - 30</v>
      </c>
      <c r="U1823" t="str" cm="1">
        <f t="array" ref="U1823">_xlfn.IFS(student_scores[[#This Row],[absence_days]]=0,"0", student_scores[[#This Row],[absence_days]]&lt;=3,"1-3", student_scores[[#This Row],[absence_days]]&lt;=6,"4-6", TRUE,"7-10")</f>
        <v>4-6</v>
      </c>
      <c r="V1823" t="str">
        <f>IF(student_scores[[#This Row],[Total_Score]] &gt;= _xlfn.PERCENTILE.INC(student_scores[Total_Score], 0.8), "Yes", "No")</f>
        <v>No</v>
      </c>
    </row>
    <row r="1824" spans="1:22" x14ac:dyDescent="0.35">
      <c r="A1824">
        <v>1823</v>
      </c>
      <c r="B1824" t="s">
        <v>145</v>
      </c>
      <c r="C1824" t="s">
        <v>2309</v>
      </c>
      <c r="D1824" t="s">
        <v>2940</v>
      </c>
      <c r="E1824" t="s">
        <v>20</v>
      </c>
      <c r="F1824" t="b">
        <v>0</v>
      </c>
      <c r="G1824">
        <v>0</v>
      </c>
      <c r="H1824" t="b">
        <v>0</v>
      </c>
      <c r="I1824">
        <v>15</v>
      </c>
      <c r="J1824" t="s">
        <v>44</v>
      </c>
      <c r="K1824">
        <v>92</v>
      </c>
      <c r="L1824">
        <v>100</v>
      </c>
      <c r="M1824">
        <v>83</v>
      </c>
      <c r="N1824">
        <v>74</v>
      </c>
      <c r="O1824">
        <v>73</v>
      </c>
      <c r="P1824">
        <v>66</v>
      </c>
      <c r="Q1824">
        <v>83</v>
      </c>
      <c r="R1824">
        <f>SUM(student_scores[[#This Row],[math_score]:[geography_score]])</f>
        <v>571</v>
      </c>
      <c r="S1824" s="3">
        <f>student_scores[[#This Row],[Total_Score]]/7</f>
        <v>81.571428571428569</v>
      </c>
      <c r="T1824" s="3" t="str" cm="1">
        <f t="array" ref="T1824">_xlfn.IFS(student_scores[[#This Row],[weekly_self_study_hours]]&lt;=5,   "0 - 5", student_scores[[#This Row],[weekly_self_study_hours]]&lt;=10,  "6 - 10", student_scores[[#This Row],[weekly_self_study_hours]]&lt;=20,  "11 - 20",student_scores[[#This Row],[weekly_self_study_hours]]&lt;=30, "21 - 30",TRUE, "31+")</f>
        <v>11 - 20</v>
      </c>
      <c r="U1824" t="str" cm="1">
        <f t="array" ref="U1824">_xlfn.IFS(student_scores[[#This Row],[absence_days]]=0,"0", student_scores[[#This Row],[absence_days]]&lt;=3,"1-3", student_scores[[#This Row],[absence_days]]&lt;=6,"4-6", TRUE,"7-10")</f>
        <v>0</v>
      </c>
      <c r="V1824" t="str">
        <f>IF(student_scores[[#This Row],[Total_Score]] &gt;= _xlfn.PERCENTILE.INC(student_scores[Total_Score], 0.8), "Yes", "No")</f>
        <v>No</v>
      </c>
    </row>
    <row r="1825" spans="1:22" x14ac:dyDescent="0.35">
      <c r="A1825">
        <v>1824</v>
      </c>
      <c r="B1825" t="s">
        <v>1589</v>
      </c>
      <c r="C1825" t="s">
        <v>2293</v>
      </c>
      <c r="D1825" t="s">
        <v>2941</v>
      </c>
      <c r="E1825" t="s">
        <v>20</v>
      </c>
      <c r="F1825" t="b">
        <v>0</v>
      </c>
      <c r="G1825">
        <v>10</v>
      </c>
      <c r="H1825" t="b">
        <v>0</v>
      </c>
      <c r="I1825">
        <v>46</v>
      </c>
      <c r="J1825" t="s">
        <v>26</v>
      </c>
      <c r="K1825">
        <v>100</v>
      </c>
      <c r="L1825">
        <v>93</v>
      </c>
      <c r="M1825">
        <v>88</v>
      </c>
      <c r="N1825">
        <v>98</v>
      </c>
      <c r="O1825">
        <v>99</v>
      </c>
      <c r="P1825">
        <v>89</v>
      </c>
      <c r="Q1825">
        <v>95</v>
      </c>
      <c r="R1825">
        <f>SUM(student_scores[[#This Row],[math_score]:[geography_score]])</f>
        <v>662</v>
      </c>
      <c r="S1825" s="3">
        <f>student_scores[[#This Row],[Total_Score]]/7</f>
        <v>94.571428571428569</v>
      </c>
      <c r="T1825" s="3" t="str" cm="1">
        <f t="array" ref="T1825">_xlfn.IFS(student_scores[[#This Row],[weekly_self_study_hours]]&lt;=5,   "0 - 5", student_scores[[#This Row],[weekly_self_study_hours]]&lt;=10,  "6 - 10", student_scores[[#This Row],[weekly_self_study_hours]]&lt;=20,  "11 - 20",student_scores[[#This Row],[weekly_self_study_hours]]&lt;=30, "21 - 30",TRUE, "31+")</f>
        <v>31+</v>
      </c>
      <c r="U1825" t="str" cm="1">
        <f t="array" ref="U1825">_xlfn.IFS(student_scores[[#This Row],[absence_days]]=0,"0", student_scores[[#This Row],[absence_days]]&lt;=3,"1-3", student_scores[[#This Row],[absence_days]]&lt;=6,"4-6", TRUE,"7-10")</f>
        <v>7-10</v>
      </c>
      <c r="V1825" t="str">
        <f>IF(student_scores[[#This Row],[Total_Score]] &gt;= _xlfn.PERCENTILE.INC(student_scores[Total_Score], 0.8), "Yes", "No")</f>
        <v>Yes</v>
      </c>
    </row>
    <row r="1826" spans="1:22" x14ac:dyDescent="0.35">
      <c r="A1826">
        <v>1825</v>
      </c>
      <c r="B1826" t="s">
        <v>568</v>
      </c>
      <c r="C1826" t="s">
        <v>246</v>
      </c>
      <c r="D1826" t="s">
        <v>2942</v>
      </c>
      <c r="E1826" t="s">
        <v>20</v>
      </c>
      <c r="F1826" t="b">
        <v>0</v>
      </c>
      <c r="G1826">
        <v>2</v>
      </c>
      <c r="H1826" t="b">
        <v>0</v>
      </c>
      <c r="I1826">
        <v>34</v>
      </c>
      <c r="J1826" t="s">
        <v>21</v>
      </c>
      <c r="K1826">
        <v>89</v>
      </c>
      <c r="L1826">
        <v>97</v>
      </c>
      <c r="M1826">
        <v>77</v>
      </c>
      <c r="N1826">
        <v>90</v>
      </c>
      <c r="O1826">
        <v>93</v>
      </c>
      <c r="P1826">
        <v>87</v>
      </c>
      <c r="Q1826">
        <v>90</v>
      </c>
      <c r="R1826">
        <f>SUM(student_scores[[#This Row],[math_score]:[geography_score]])</f>
        <v>623</v>
      </c>
      <c r="S1826" s="3">
        <f>student_scores[[#This Row],[Total_Score]]/7</f>
        <v>89</v>
      </c>
      <c r="T1826" s="3" t="str" cm="1">
        <f t="array" ref="T1826">_xlfn.IFS(student_scores[[#This Row],[weekly_self_study_hours]]&lt;=5,   "0 - 5", student_scores[[#This Row],[weekly_self_study_hours]]&lt;=10,  "6 - 10", student_scores[[#This Row],[weekly_self_study_hours]]&lt;=20,  "11 - 20",student_scores[[#This Row],[weekly_self_study_hours]]&lt;=30, "21 - 30",TRUE, "31+")</f>
        <v>31+</v>
      </c>
      <c r="U1826" t="str" cm="1">
        <f t="array" ref="U1826">_xlfn.IFS(student_scores[[#This Row],[absence_days]]=0,"0", student_scores[[#This Row],[absence_days]]&lt;=3,"1-3", student_scores[[#This Row],[absence_days]]&lt;=6,"4-6", TRUE,"7-10")</f>
        <v>1-3</v>
      </c>
      <c r="V1826" t="str">
        <f>IF(student_scores[[#This Row],[Total_Score]] &gt;= _xlfn.PERCENTILE.INC(student_scores[Total_Score], 0.8), "Yes", "No")</f>
        <v>Yes</v>
      </c>
    </row>
    <row r="1827" spans="1:22" x14ac:dyDescent="0.35">
      <c r="A1827">
        <v>1826</v>
      </c>
      <c r="B1827" t="s">
        <v>139</v>
      </c>
      <c r="C1827" t="s">
        <v>576</v>
      </c>
      <c r="D1827" t="s">
        <v>2943</v>
      </c>
      <c r="E1827" t="s">
        <v>20</v>
      </c>
      <c r="F1827" t="b">
        <v>0</v>
      </c>
      <c r="G1827">
        <v>2</v>
      </c>
      <c r="H1827" t="b">
        <v>0</v>
      </c>
      <c r="I1827">
        <v>27</v>
      </c>
      <c r="J1827" t="s">
        <v>21</v>
      </c>
      <c r="K1827">
        <v>97</v>
      </c>
      <c r="L1827">
        <v>81</v>
      </c>
      <c r="M1827">
        <v>71</v>
      </c>
      <c r="N1827">
        <v>77</v>
      </c>
      <c r="O1827">
        <v>90</v>
      </c>
      <c r="P1827">
        <v>86</v>
      </c>
      <c r="Q1827">
        <v>80</v>
      </c>
      <c r="R1827">
        <f>SUM(student_scores[[#This Row],[math_score]:[geography_score]])</f>
        <v>582</v>
      </c>
      <c r="S1827" s="3">
        <f>student_scores[[#This Row],[Total_Score]]/7</f>
        <v>83.142857142857139</v>
      </c>
      <c r="T1827" s="3" t="str" cm="1">
        <f t="array" ref="T1827">_xlfn.IFS(student_scores[[#This Row],[weekly_self_study_hours]]&lt;=5,   "0 - 5", student_scores[[#This Row],[weekly_self_study_hours]]&lt;=10,  "6 - 10", student_scores[[#This Row],[weekly_self_study_hours]]&lt;=20,  "11 - 20",student_scores[[#This Row],[weekly_self_study_hours]]&lt;=30, "21 - 30",TRUE, "31+")</f>
        <v>21 - 30</v>
      </c>
      <c r="U1827" t="str" cm="1">
        <f t="array" ref="U1827">_xlfn.IFS(student_scores[[#This Row],[absence_days]]=0,"0", student_scores[[#This Row],[absence_days]]&lt;=3,"1-3", student_scores[[#This Row],[absence_days]]&lt;=6,"4-6", TRUE,"7-10")</f>
        <v>1-3</v>
      </c>
      <c r="V1827" t="str">
        <f>IF(student_scores[[#This Row],[Total_Score]] &gt;= _xlfn.PERCENTILE.INC(student_scores[Total_Score], 0.8), "Yes", "No")</f>
        <v>No</v>
      </c>
    </row>
    <row r="1828" spans="1:22" x14ac:dyDescent="0.35">
      <c r="A1828">
        <v>1827</v>
      </c>
      <c r="B1828" t="s">
        <v>2944</v>
      </c>
      <c r="C1828" t="s">
        <v>726</v>
      </c>
      <c r="D1828" t="s">
        <v>2945</v>
      </c>
      <c r="E1828" t="s">
        <v>25</v>
      </c>
      <c r="F1828" t="b">
        <v>1</v>
      </c>
      <c r="G1828">
        <v>4</v>
      </c>
      <c r="H1828" t="b">
        <v>0</v>
      </c>
      <c r="I1828">
        <v>28</v>
      </c>
      <c r="J1828" t="s">
        <v>26</v>
      </c>
      <c r="K1828">
        <v>99</v>
      </c>
      <c r="L1828">
        <v>63</v>
      </c>
      <c r="M1828">
        <v>97</v>
      </c>
      <c r="N1828">
        <v>90</v>
      </c>
      <c r="O1828">
        <v>99</v>
      </c>
      <c r="P1828">
        <v>99</v>
      </c>
      <c r="Q1828">
        <v>100</v>
      </c>
      <c r="R1828">
        <f>SUM(student_scores[[#This Row],[math_score]:[geography_score]])</f>
        <v>647</v>
      </c>
      <c r="S1828" s="3">
        <f>student_scores[[#This Row],[Total_Score]]/7</f>
        <v>92.428571428571431</v>
      </c>
      <c r="T1828" s="3" t="str" cm="1">
        <f t="array" ref="T1828">_xlfn.IFS(student_scores[[#This Row],[weekly_self_study_hours]]&lt;=5,   "0 - 5", student_scores[[#This Row],[weekly_self_study_hours]]&lt;=10,  "6 - 10", student_scores[[#This Row],[weekly_self_study_hours]]&lt;=20,  "11 - 20",student_scores[[#This Row],[weekly_self_study_hours]]&lt;=30, "21 - 30",TRUE, "31+")</f>
        <v>21 - 30</v>
      </c>
      <c r="U1828" t="str" cm="1">
        <f t="array" ref="U1828">_xlfn.IFS(student_scores[[#This Row],[absence_days]]=0,"0", student_scores[[#This Row],[absence_days]]&lt;=3,"1-3", student_scores[[#This Row],[absence_days]]&lt;=6,"4-6", TRUE,"7-10")</f>
        <v>4-6</v>
      </c>
      <c r="V1828" t="str">
        <f>IF(student_scores[[#This Row],[Total_Score]] &gt;= _xlfn.PERCENTILE.INC(student_scores[Total_Score], 0.8), "Yes", "No")</f>
        <v>Yes</v>
      </c>
    </row>
    <row r="1829" spans="1:22" x14ac:dyDescent="0.35">
      <c r="A1829">
        <v>1828</v>
      </c>
      <c r="B1829" t="s">
        <v>139</v>
      </c>
      <c r="C1829" t="s">
        <v>2946</v>
      </c>
      <c r="D1829" t="s">
        <v>2947</v>
      </c>
      <c r="E1829" t="s">
        <v>20</v>
      </c>
      <c r="F1829" t="b">
        <v>0</v>
      </c>
      <c r="G1829">
        <v>3</v>
      </c>
      <c r="H1829" t="b">
        <v>0</v>
      </c>
      <c r="I1829">
        <v>33</v>
      </c>
      <c r="J1829" t="s">
        <v>76</v>
      </c>
      <c r="K1829">
        <v>100</v>
      </c>
      <c r="L1829">
        <v>63</v>
      </c>
      <c r="M1829">
        <v>96</v>
      </c>
      <c r="N1829">
        <v>95</v>
      </c>
      <c r="O1829">
        <v>92</v>
      </c>
      <c r="P1829">
        <v>76</v>
      </c>
      <c r="Q1829">
        <v>88</v>
      </c>
      <c r="R1829">
        <f>SUM(student_scores[[#This Row],[math_score]:[geography_score]])</f>
        <v>610</v>
      </c>
      <c r="S1829" s="3">
        <f>student_scores[[#This Row],[Total_Score]]/7</f>
        <v>87.142857142857139</v>
      </c>
      <c r="T1829" s="3" t="str" cm="1">
        <f t="array" ref="T1829">_xlfn.IFS(student_scores[[#This Row],[weekly_self_study_hours]]&lt;=5,   "0 - 5", student_scores[[#This Row],[weekly_self_study_hours]]&lt;=10,  "6 - 10", student_scores[[#This Row],[weekly_self_study_hours]]&lt;=20,  "11 - 20",student_scores[[#This Row],[weekly_self_study_hours]]&lt;=30, "21 - 30",TRUE, "31+")</f>
        <v>31+</v>
      </c>
      <c r="U1829" t="str" cm="1">
        <f t="array" ref="U1829">_xlfn.IFS(student_scores[[#This Row],[absence_days]]=0,"0", student_scores[[#This Row],[absence_days]]&lt;=3,"1-3", student_scores[[#This Row],[absence_days]]&lt;=6,"4-6", TRUE,"7-10")</f>
        <v>1-3</v>
      </c>
      <c r="V1829" t="str">
        <f>IF(student_scores[[#This Row],[Total_Score]] &gt;= _xlfn.PERCENTILE.INC(student_scores[Total_Score], 0.8), "Yes", "No")</f>
        <v>Yes</v>
      </c>
    </row>
    <row r="1830" spans="1:22" x14ac:dyDescent="0.35">
      <c r="A1830">
        <v>1829</v>
      </c>
      <c r="B1830" t="s">
        <v>193</v>
      </c>
      <c r="C1830" t="s">
        <v>259</v>
      </c>
      <c r="D1830" t="s">
        <v>2948</v>
      </c>
      <c r="E1830" t="s">
        <v>25</v>
      </c>
      <c r="F1830" t="b">
        <v>0</v>
      </c>
      <c r="G1830">
        <v>5</v>
      </c>
      <c r="H1830" t="b">
        <v>0</v>
      </c>
      <c r="I1830">
        <v>12</v>
      </c>
      <c r="J1830" t="s">
        <v>105</v>
      </c>
      <c r="K1830">
        <v>86</v>
      </c>
      <c r="L1830">
        <v>87</v>
      </c>
      <c r="M1830">
        <v>72</v>
      </c>
      <c r="N1830">
        <v>66</v>
      </c>
      <c r="O1830">
        <v>94</v>
      </c>
      <c r="P1830">
        <v>78</v>
      </c>
      <c r="Q1830">
        <v>94</v>
      </c>
      <c r="R1830">
        <f>SUM(student_scores[[#This Row],[math_score]:[geography_score]])</f>
        <v>577</v>
      </c>
      <c r="S1830" s="3">
        <f>student_scores[[#This Row],[Total_Score]]/7</f>
        <v>82.428571428571431</v>
      </c>
      <c r="T1830" s="3" t="str" cm="1">
        <f t="array" ref="T1830">_xlfn.IFS(student_scores[[#This Row],[weekly_self_study_hours]]&lt;=5,   "0 - 5", student_scores[[#This Row],[weekly_self_study_hours]]&lt;=10,  "6 - 10", student_scores[[#This Row],[weekly_self_study_hours]]&lt;=20,  "11 - 20",student_scores[[#This Row],[weekly_self_study_hours]]&lt;=30, "21 - 30",TRUE, "31+")</f>
        <v>11 - 20</v>
      </c>
      <c r="U1830" t="str" cm="1">
        <f t="array" ref="U1830">_xlfn.IFS(student_scores[[#This Row],[absence_days]]=0,"0", student_scores[[#This Row],[absence_days]]&lt;=3,"1-3", student_scores[[#This Row],[absence_days]]&lt;=6,"4-6", TRUE,"7-10")</f>
        <v>4-6</v>
      </c>
      <c r="V1830" t="str">
        <f>IF(student_scores[[#This Row],[Total_Score]] &gt;= _xlfn.PERCENTILE.INC(student_scores[Total_Score], 0.8), "Yes", "No")</f>
        <v>No</v>
      </c>
    </row>
    <row r="1831" spans="1:22" x14ac:dyDescent="0.35">
      <c r="A1831">
        <v>1830</v>
      </c>
      <c r="B1831" t="s">
        <v>2949</v>
      </c>
      <c r="C1831" t="s">
        <v>400</v>
      </c>
      <c r="D1831" t="s">
        <v>2950</v>
      </c>
      <c r="E1831" t="s">
        <v>20</v>
      </c>
      <c r="F1831" t="b">
        <v>0</v>
      </c>
      <c r="G1831">
        <v>0</v>
      </c>
      <c r="H1831" t="b">
        <v>0</v>
      </c>
      <c r="I1831">
        <v>27</v>
      </c>
      <c r="J1831" t="s">
        <v>21</v>
      </c>
      <c r="K1831">
        <v>77</v>
      </c>
      <c r="L1831">
        <v>99</v>
      </c>
      <c r="M1831">
        <v>94</v>
      </c>
      <c r="N1831">
        <v>81</v>
      </c>
      <c r="O1831">
        <v>80</v>
      </c>
      <c r="P1831">
        <v>87</v>
      </c>
      <c r="Q1831">
        <v>98</v>
      </c>
      <c r="R1831">
        <f>SUM(student_scores[[#This Row],[math_score]:[geography_score]])</f>
        <v>616</v>
      </c>
      <c r="S1831" s="3">
        <f>student_scores[[#This Row],[Total_Score]]/7</f>
        <v>88</v>
      </c>
      <c r="T1831" s="3" t="str" cm="1">
        <f t="array" ref="T1831">_xlfn.IFS(student_scores[[#This Row],[weekly_self_study_hours]]&lt;=5,   "0 - 5", student_scores[[#This Row],[weekly_self_study_hours]]&lt;=10,  "6 - 10", student_scores[[#This Row],[weekly_self_study_hours]]&lt;=20,  "11 - 20",student_scores[[#This Row],[weekly_self_study_hours]]&lt;=30, "21 - 30",TRUE, "31+")</f>
        <v>21 - 30</v>
      </c>
      <c r="U1831" t="str" cm="1">
        <f t="array" ref="U1831">_xlfn.IFS(student_scores[[#This Row],[absence_days]]=0,"0", student_scores[[#This Row],[absence_days]]&lt;=3,"1-3", student_scores[[#This Row],[absence_days]]&lt;=6,"4-6", TRUE,"7-10")</f>
        <v>0</v>
      </c>
      <c r="V1831" t="str">
        <f>IF(student_scores[[#This Row],[Total_Score]] &gt;= _xlfn.PERCENTILE.INC(student_scores[Total_Score], 0.8), "Yes", "No")</f>
        <v>Yes</v>
      </c>
    </row>
    <row r="1832" spans="1:22" x14ac:dyDescent="0.35">
      <c r="A1832">
        <v>1831</v>
      </c>
      <c r="B1832" t="s">
        <v>1027</v>
      </c>
      <c r="C1832" t="s">
        <v>2654</v>
      </c>
      <c r="D1832" t="s">
        <v>2951</v>
      </c>
      <c r="E1832" t="s">
        <v>25</v>
      </c>
      <c r="F1832" t="b">
        <v>0</v>
      </c>
      <c r="G1832">
        <v>1</v>
      </c>
      <c r="H1832" t="b">
        <v>0</v>
      </c>
      <c r="I1832">
        <v>15</v>
      </c>
      <c r="J1832" t="s">
        <v>30</v>
      </c>
      <c r="K1832">
        <v>86</v>
      </c>
      <c r="L1832">
        <v>96</v>
      </c>
      <c r="M1832">
        <v>67</v>
      </c>
      <c r="N1832">
        <v>76</v>
      </c>
      <c r="O1832">
        <v>74</v>
      </c>
      <c r="P1832">
        <v>66</v>
      </c>
      <c r="Q1832">
        <v>69</v>
      </c>
      <c r="R1832">
        <f>SUM(student_scores[[#This Row],[math_score]:[geography_score]])</f>
        <v>534</v>
      </c>
      <c r="S1832" s="3">
        <f>student_scores[[#This Row],[Total_Score]]/7</f>
        <v>76.285714285714292</v>
      </c>
      <c r="T1832" s="3" t="str" cm="1">
        <f t="array" ref="T1832">_xlfn.IFS(student_scores[[#This Row],[weekly_self_study_hours]]&lt;=5,   "0 - 5", student_scores[[#This Row],[weekly_self_study_hours]]&lt;=10,  "6 - 10", student_scores[[#This Row],[weekly_self_study_hours]]&lt;=20,  "11 - 20",student_scores[[#This Row],[weekly_self_study_hours]]&lt;=30, "21 - 30",TRUE, "31+")</f>
        <v>11 - 20</v>
      </c>
      <c r="U1832" t="str" cm="1">
        <f t="array" ref="U1832">_xlfn.IFS(student_scores[[#This Row],[absence_days]]=0,"0", student_scores[[#This Row],[absence_days]]&lt;=3,"1-3", student_scores[[#This Row],[absence_days]]&lt;=6,"4-6", TRUE,"7-10")</f>
        <v>1-3</v>
      </c>
      <c r="V1832" t="str">
        <f>IF(student_scores[[#This Row],[Total_Score]] &gt;= _xlfn.PERCENTILE.INC(student_scores[Total_Score], 0.8), "Yes", "No")</f>
        <v>No</v>
      </c>
    </row>
    <row r="1833" spans="1:22" x14ac:dyDescent="0.35">
      <c r="A1833">
        <v>1832</v>
      </c>
      <c r="B1833" t="s">
        <v>2952</v>
      </c>
      <c r="C1833" t="s">
        <v>2953</v>
      </c>
      <c r="D1833" t="s">
        <v>2954</v>
      </c>
      <c r="E1833" t="s">
        <v>25</v>
      </c>
      <c r="F1833" t="b">
        <v>0</v>
      </c>
      <c r="G1833">
        <v>1</v>
      </c>
      <c r="H1833" t="b">
        <v>1</v>
      </c>
      <c r="I1833">
        <v>3</v>
      </c>
      <c r="J1833" t="s">
        <v>224</v>
      </c>
      <c r="K1833">
        <v>75</v>
      </c>
      <c r="L1833">
        <v>64</v>
      </c>
      <c r="M1833">
        <v>98</v>
      </c>
      <c r="N1833">
        <v>65</v>
      </c>
      <c r="O1833">
        <v>88</v>
      </c>
      <c r="P1833">
        <v>65</v>
      </c>
      <c r="Q1833">
        <v>71</v>
      </c>
      <c r="R1833">
        <f>SUM(student_scores[[#This Row],[math_score]:[geography_score]])</f>
        <v>526</v>
      </c>
      <c r="S1833" s="3">
        <f>student_scores[[#This Row],[Total_Score]]/7</f>
        <v>75.142857142857139</v>
      </c>
      <c r="T1833" s="3" t="str" cm="1">
        <f t="array" ref="T1833">_xlfn.IFS(student_scores[[#This Row],[weekly_self_study_hours]]&lt;=5,   "0 - 5", student_scores[[#This Row],[weekly_self_study_hours]]&lt;=10,  "6 - 10", student_scores[[#This Row],[weekly_self_study_hours]]&lt;=20,  "11 - 20",student_scores[[#This Row],[weekly_self_study_hours]]&lt;=30, "21 - 30",TRUE, "31+")</f>
        <v>0 - 5</v>
      </c>
      <c r="U1833" t="str" cm="1">
        <f t="array" ref="U1833">_xlfn.IFS(student_scores[[#This Row],[absence_days]]=0,"0", student_scores[[#This Row],[absence_days]]&lt;=3,"1-3", student_scores[[#This Row],[absence_days]]&lt;=6,"4-6", TRUE,"7-10")</f>
        <v>1-3</v>
      </c>
      <c r="V1833" t="str">
        <f>IF(student_scores[[#This Row],[Total_Score]] &gt;= _xlfn.PERCENTILE.INC(student_scores[Total_Score], 0.8), "Yes", "No")</f>
        <v>No</v>
      </c>
    </row>
    <row r="1834" spans="1:22" x14ac:dyDescent="0.35">
      <c r="A1834">
        <v>1833</v>
      </c>
      <c r="B1834" t="s">
        <v>221</v>
      </c>
      <c r="C1834" t="s">
        <v>471</v>
      </c>
      <c r="D1834" t="s">
        <v>2955</v>
      </c>
      <c r="E1834" t="s">
        <v>20</v>
      </c>
      <c r="F1834" t="b">
        <v>0</v>
      </c>
      <c r="G1834">
        <v>2</v>
      </c>
      <c r="H1834" t="b">
        <v>0</v>
      </c>
      <c r="I1834">
        <v>26</v>
      </c>
      <c r="J1834" t="s">
        <v>21</v>
      </c>
      <c r="K1834">
        <v>94</v>
      </c>
      <c r="L1834">
        <v>93</v>
      </c>
      <c r="M1834">
        <v>92</v>
      </c>
      <c r="N1834">
        <v>67</v>
      </c>
      <c r="O1834">
        <v>61</v>
      </c>
      <c r="P1834">
        <v>85</v>
      </c>
      <c r="Q1834">
        <v>94</v>
      </c>
      <c r="R1834">
        <f>SUM(student_scores[[#This Row],[math_score]:[geography_score]])</f>
        <v>586</v>
      </c>
      <c r="S1834" s="3">
        <f>student_scores[[#This Row],[Total_Score]]/7</f>
        <v>83.714285714285708</v>
      </c>
      <c r="T1834" s="3" t="str" cm="1">
        <f t="array" ref="T1834">_xlfn.IFS(student_scores[[#This Row],[weekly_self_study_hours]]&lt;=5,   "0 - 5", student_scores[[#This Row],[weekly_self_study_hours]]&lt;=10,  "6 - 10", student_scores[[#This Row],[weekly_self_study_hours]]&lt;=20,  "11 - 20",student_scores[[#This Row],[weekly_self_study_hours]]&lt;=30, "21 - 30",TRUE, "31+")</f>
        <v>21 - 30</v>
      </c>
      <c r="U1834" t="str" cm="1">
        <f t="array" ref="U1834">_xlfn.IFS(student_scores[[#This Row],[absence_days]]=0,"0", student_scores[[#This Row],[absence_days]]&lt;=3,"1-3", student_scores[[#This Row],[absence_days]]&lt;=6,"4-6", TRUE,"7-10")</f>
        <v>1-3</v>
      </c>
      <c r="V1834" t="str">
        <f>IF(student_scores[[#This Row],[Total_Score]] &gt;= _xlfn.PERCENTILE.INC(student_scores[Total_Score], 0.8), "Yes", "No")</f>
        <v>No</v>
      </c>
    </row>
    <row r="1835" spans="1:22" x14ac:dyDescent="0.35">
      <c r="A1835">
        <v>1834</v>
      </c>
      <c r="B1835" t="s">
        <v>27</v>
      </c>
      <c r="C1835" t="s">
        <v>2827</v>
      </c>
      <c r="D1835" t="s">
        <v>2956</v>
      </c>
      <c r="E1835" t="s">
        <v>25</v>
      </c>
      <c r="F1835" t="b">
        <v>0</v>
      </c>
      <c r="G1835">
        <v>1</v>
      </c>
      <c r="H1835" t="b">
        <v>0</v>
      </c>
      <c r="I1835">
        <v>35</v>
      </c>
      <c r="J1835" t="s">
        <v>123</v>
      </c>
      <c r="K1835">
        <v>94</v>
      </c>
      <c r="L1835">
        <v>88</v>
      </c>
      <c r="M1835">
        <v>87</v>
      </c>
      <c r="N1835">
        <v>97</v>
      </c>
      <c r="O1835">
        <v>93</v>
      </c>
      <c r="P1835">
        <v>86</v>
      </c>
      <c r="Q1835">
        <v>94</v>
      </c>
      <c r="R1835">
        <f>SUM(student_scores[[#This Row],[math_score]:[geography_score]])</f>
        <v>639</v>
      </c>
      <c r="S1835" s="3">
        <f>student_scores[[#This Row],[Total_Score]]/7</f>
        <v>91.285714285714292</v>
      </c>
      <c r="T1835" s="3" t="str" cm="1">
        <f t="array" ref="T1835">_xlfn.IFS(student_scores[[#This Row],[weekly_self_study_hours]]&lt;=5,   "0 - 5", student_scores[[#This Row],[weekly_self_study_hours]]&lt;=10,  "6 - 10", student_scores[[#This Row],[weekly_self_study_hours]]&lt;=20,  "11 - 20",student_scores[[#This Row],[weekly_self_study_hours]]&lt;=30, "21 - 30",TRUE, "31+")</f>
        <v>31+</v>
      </c>
      <c r="U1835" t="str" cm="1">
        <f t="array" ref="U1835">_xlfn.IFS(student_scores[[#This Row],[absence_days]]=0,"0", student_scores[[#This Row],[absence_days]]&lt;=3,"1-3", student_scores[[#This Row],[absence_days]]&lt;=6,"4-6", TRUE,"7-10")</f>
        <v>1-3</v>
      </c>
      <c r="V1835" t="str">
        <f>IF(student_scores[[#This Row],[Total_Score]] &gt;= _xlfn.PERCENTILE.INC(student_scores[Total_Score], 0.8), "Yes", "No")</f>
        <v>Yes</v>
      </c>
    </row>
    <row r="1836" spans="1:22" x14ac:dyDescent="0.35">
      <c r="A1836">
        <v>1835</v>
      </c>
      <c r="B1836" t="s">
        <v>348</v>
      </c>
      <c r="C1836" t="s">
        <v>2957</v>
      </c>
      <c r="D1836" t="s">
        <v>2958</v>
      </c>
      <c r="E1836" t="s">
        <v>20</v>
      </c>
      <c r="F1836" t="b">
        <v>0</v>
      </c>
      <c r="G1836">
        <v>1</v>
      </c>
      <c r="H1836" t="b">
        <v>0</v>
      </c>
      <c r="I1836">
        <v>20</v>
      </c>
      <c r="J1836" t="s">
        <v>105</v>
      </c>
      <c r="K1836">
        <v>89</v>
      </c>
      <c r="L1836">
        <v>92</v>
      </c>
      <c r="M1836">
        <v>75</v>
      </c>
      <c r="N1836">
        <v>85</v>
      </c>
      <c r="O1836">
        <v>65</v>
      </c>
      <c r="P1836">
        <v>81</v>
      </c>
      <c r="Q1836">
        <v>69</v>
      </c>
      <c r="R1836">
        <f>SUM(student_scores[[#This Row],[math_score]:[geography_score]])</f>
        <v>556</v>
      </c>
      <c r="S1836" s="3">
        <f>student_scores[[#This Row],[Total_Score]]/7</f>
        <v>79.428571428571431</v>
      </c>
      <c r="T1836" s="3" t="str" cm="1">
        <f t="array" ref="T1836">_xlfn.IFS(student_scores[[#This Row],[weekly_self_study_hours]]&lt;=5,   "0 - 5", student_scores[[#This Row],[weekly_self_study_hours]]&lt;=10,  "6 - 10", student_scores[[#This Row],[weekly_self_study_hours]]&lt;=20,  "11 - 20",student_scores[[#This Row],[weekly_self_study_hours]]&lt;=30, "21 - 30",TRUE, "31+")</f>
        <v>11 - 20</v>
      </c>
      <c r="U1836" t="str" cm="1">
        <f t="array" ref="U1836">_xlfn.IFS(student_scores[[#This Row],[absence_days]]=0,"0", student_scores[[#This Row],[absence_days]]&lt;=3,"1-3", student_scores[[#This Row],[absence_days]]&lt;=6,"4-6", TRUE,"7-10")</f>
        <v>1-3</v>
      </c>
      <c r="V1836" t="str">
        <f>IF(student_scores[[#This Row],[Total_Score]] &gt;= _xlfn.PERCENTILE.INC(student_scores[Total_Score], 0.8), "Yes", "No")</f>
        <v>No</v>
      </c>
    </row>
    <row r="1837" spans="1:22" x14ac:dyDescent="0.35">
      <c r="A1837">
        <v>1836</v>
      </c>
      <c r="B1837" t="s">
        <v>2573</v>
      </c>
      <c r="C1837" t="s">
        <v>551</v>
      </c>
      <c r="D1837" t="s">
        <v>2959</v>
      </c>
      <c r="E1837" t="s">
        <v>25</v>
      </c>
      <c r="F1837" t="b">
        <v>0</v>
      </c>
      <c r="G1837">
        <v>3</v>
      </c>
      <c r="H1837" t="b">
        <v>0</v>
      </c>
      <c r="I1837">
        <v>14</v>
      </c>
      <c r="J1837" t="s">
        <v>109</v>
      </c>
      <c r="K1837">
        <v>89</v>
      </c>
      <c r="L1837">
        <v>73</v>
      </c>
      <c r="M1837">
        <v>96</v>
      </c>
      <c r="N1837">
        <v>84</v>
      </c>
      <c r="O1837">
        <v>96</v>
      </c>
      <c r="P1837">
        <v>98</v>
      </c>
      <c r="Q1837">
        <v>77</v>
      </c>
      <c r="R1837">
        <f>SUM(student_scores[[#This Row],[math_score]:[geography_score]])</f>
        <v>613</v>
      </c>
      <c r="S1837" s="3">
        <f>student_scores[[#This Row],[Total_Score]]/7</f>
        <v>87.571428571428569</v>
      </c>
      <c r="T1837" s="3" t="str" cm="1">
        <f t="array" ref="T1837">_xlfn.IFS(student_scores[[#This Row],[weekly_self_study_hours]]&lt;=5,   "0 - 5", student_scores[[#This Row],[weekly_self_study_hours]]&lt;=10,  "6 - 10", student_scores[[#This Row],[weekly_self_study_hours]]&lt;=20,  "11 - 20",student_scores[[#This Row],[weekly_self_study_hours]]&lt;=30, "21 - 30",TRUE, "31+")</f>
        <v>11 - 20</v>
      </c>
      <c r="U1837" t="str" cm="1">
        <f t="array" ref="U1837">_xlfn.IFS(student_scores[[#This Row],[absence_days]]=0,"0", student_scores[[#This Row],[absence_days]]&lt;=3,"1-3", student_scores[[#This Row],[absence_days]]&lt;=6,"4-6", TRUE,"7-10")</f>
        <v>1-3</v>
      </c>
      <c r="V1837" t="str">
        <f>IF(student_scores[[#This Row],[Total_Score]] &gt;= _xlfn.PERCENTILE.INC(student_scores[Total_Score], 0.8), "Yes", "No")</f>
        <v>Yes</v>
      </c>
    </row>
    <row r="1838" spans="1:22" x14ac:dyDescent="0.35">
      <c r="A1838">
        <v>1837</v>
      </c>
      <c r="B1838" t="s">
        <v>294</v>
      </c>
      <c r="C1838" t="s">
        <v>146</v>
      </c>
      <c r="D1838" t="s">
        <v>2960</v>
      </c>
      <c r="E1838" t="s">
        <v>25</v>
      </c>
      <c r="F1838" t="b">
        <v>0</v>
      </c>
      <c r="G1838">
        <v>2</v>
      </c>
      <c r="H1838" t="b">
        <v>1</v>
      </c>
      <c r="I1838">
        <v>24</v>
      </c>
      <c r="J1838" t="s">
        <v>44</v>
      </c>
      <c r="K1838">
        <v>89</v>
      </c>
      <c r="L1838">
        <v>82</v>
      </c>
      <c r="M1838">
        <v>83</v>
      </c>
      <c r="N1838">
        <v>62</v>
      </c>
      <c r="O1838">
        <v>66</v>
      </c>
      <c r="P1838">
        <v>86</v>
      </c>
      <c r="Q1838">
        <v>90</v>
      </c>
      <c r="R1838">
        <f>SUM(student_scores[[#This Row],[math_score]:[geography_score]])</f>
        <v>558</v>
      </c>
      <c r="S1838" s="3">
        <f>student_scores[[#This Row],[Total_Score]]/7</f>
        <v>79.714285714285708</v>
      </c>
      <c r="T1838" s="3" t="str" cm="1">
        <f t="array" ref="T1838">_xlfn.IFS(student_scores[[#This Row],[weekly_self_study_hours]]&lt;=5,   "0 - 5", student_scores[[#This Row],[weekly_self_study_hours]]&lt;=10,  "6 - 10", student_scores[[#This Row],[weekly_self_study_hours]]&lt;=20,  "11 - 20",student_scores[[#This Row],[weekly_self_study_hours]]&lt;=30, "21 - 30",TRUE, "31+")</f>
        <v>21 - 30</v>
      </c>
      <c r="U1838" t="str" cm="1">
        <f t="array" ref="U1838">_xlfn.IFS(student_scores[[#This Row],[absence_days]]=0,"0", student_scores[[#This Row],[absence_days]]&lt;=3,"1-3", student_scores[[#This Row],[absence_days]]&lt;=6,"4-6", TRUE,"7-10")</f>
        <v>1-3</v>
      </c>
      <c r="V1838" t="str">
        <f>IF(student_scores[[#This Row],[Total_Score]] &gt;= _xlfn.PERCENTILE.INC(student_scores[Total_Score], 0.8), "Yes", "No")</f>
        <v>No</v>
      </c>
    </row>
    <row r="1839" spans="1:22" x14ac:dyDescent="0.35">
      <c r="A1839">
        <v>1838</v>
      </c>
      <c r="B1839" t="s">
        <v>568</v>
      </c>
      <c r="C1839" t="s">
        <v>349</v>
      </c>
      <c r="D1839" t="s">
        <v>2961</v>
      </c>
      <c r="E1839" t="s">
        <v>20</v>
      </c>
      <c r="F1839" t="b">
        <v>0</v>
      </c>
      <c r="G1839">
        <v>2</v>
      </c>
      <c r="H1839" t="b">
        <v>0</v>
      </c>
      <c r="I1839">
        <v>8</v>
      </c>
      <c r="J1839" t="s">
        <v>30</v>
      </c>
      <c r="K1839">
        <v>81</v>
      </c>
      <c r="L1839">
        <v>78</v>
      </c>
      <c r="M1839">
        <v>82</v>
      </c>
      <c r="N1839">
        <v>83</v>
      </c>
      <c r="O1839">
        <v>63</v>
      </c>
      <c r="P1839">
        <v>85</v>
      </c>
      <c r="Q1839">
        <v>75</v>
      </c>
      <c r="R1839">
        <f>SUM(student_scores[[#This Row],[math_score]:[geography_score]])</f>
        <v>547</v>
      </c>
      <c r="S1839" s="3">
        <f>student_scores[[#This Row],[Total_Score]]/7</f>
        <v>78.142857142857139</v>
      </c>
      <c r="T1839" s="3" t="str" cm="1">
        <f t="array" ref="T1839">_xlfn.IFS(student_scores[[#This Row],[weekly_self_study_hours]]&lt;=5,   "0 - 5", student_scores[[#This Row],[weekly_self_study_hours]]&lt;=10,  "6 - 10", student_scores[[#This Row],[weekly_self_study_hours]]&lt;=20,  "11 - 20",student_scores[[#This Row],[weekly_self_study_hours]]&lt;=30, "21 - 30",TRUE, "31+")</f>
        <v>6 - 10</v>
      </c>
      <c r="U1839" t="str" cm="1">
        <f t="array" ref="U1839">_xlfn.IFS(student_scores[[#This Row],[absence_days]]=0,"0", student_scores[[#This Row],[absence_days]]&lt;=3,"1-3", student_scores[[#This Row],[absence_days]]&lt;=6,"4-6", TRUE,"7-10")</f>
        <v>1-3</v>
      </c>
      <c r="V1839" t="str">
        <f>IF(student_scores[[#This Row],[Total_Score]] &gt;= _xlfn.PERCENTILE.INC(student_scores[Total_Score], 0.8), "Yes", "No")</f>
        <v>No</v>
      </c>
    </row>
    <row r="1840" spans="1:22" x14ac:dyDescent="0.35">
      <c r="A1840">
        <v>1839</v>
      </c>
      <c r="B1840" t="s">
        <v>731</v>
      </c>
      <c r="C1840" t="s">
        <v>49</v>
      </c>
      <c r="D1840" t="s">
        <v>2962</v>
      </c>
      <c r="E1840" t="s">
        <v>25</v>
      </c>
      <c r="F1840" t="b">
        <v>0</v>
      </c>
      <c r="G1840">
        <v>3</v>
      </c>
      <c r="H1840" t="b">
        <v>0</v>
      </c>
      <c r="I1840">
        <v>19</v>
      </c>
      <c r="J1840" t="s">
        <v>38</v>
      </c>
      <c r="K1840">
        <v>93</v>
      </c>
      <c r="L1840">
        <v>73</v>
      </c>
      <c r="M1840">
        <v>67</v>
      </c>
      <c r="N1840">
        <v>100</v>
      </c>
      <c r="O1840">
        <v>63</v>
      </c>
      <c r="P1840">
        <v>92</v>
      </c>
      <c r="Q1840">
        <v>86</v>
      </c>
      <c r="R1840">
        <f>SUM(student_scores[[#This Row],[math_score]:[geography_score]])</f>
        <v>574</v>
      </c>
      <c r="S1840" s="3">
        <f>student_scores[[#This Row],[Total_Score]]/7</f>
        <v>82</v>
      </c>
      <c r="T1840" s="3" t="str" cm="1">
        <f t="array" ref="T1840">_xlfn.IFS(student_scores[[#This Row],[weekly_self_study_hours]]&lt;=5,   "0 - 5", student_scores[[#This Row],[weekly_self_study_hours]]&lt;=10,  "6 - 10", student_scores[[#This Row],[weekly_self_study_hours]]&lt;=20,  "11 - 20",student_scores[[#This Row],[weekly_self_study_hours]]&lt;=30, "21 - 30",TRUE, "31+")</f>
        <v>11 - 20</v>
      </c>
      <c r="U1840" t="str" cm="1">
        <f t="array" ref="U1840">_xlfn.IFS(student_scores[[#This Row],[absence_days]]=0,"0", student_scores[[#This Row],[absence_days]]&lt;=3,"1-3", student_scores[[#This Row],[absence_days]]&lt;=6,"4-6", TRUE,"7-10")</f>
        <v>1-3</v>
      </c>
      <c r="V1840" t="str">
        <f>IF(student_scores[[#This Row],[Total_Score]] &gt;= _xlfn.PERCENTILE.INC(student_scores[Total_Score], 0.8), "Yes", "No")</f>
        <v>No</v>
      </c>
    </row>
    <row r="1841" spans="1:22" x14ac:dyDescent="0.35">
      <c r="A1841">
        <v>1840</v>
      </c>
      <c r="B1841" t="s">
        <v>120</v>
      </c>
      <c r="C1841" t="s">
        <v>1617</v>
      </c>
      <c r="D1841" t="s">
        <v>2963</v>
      </c>
      <c r="E1841" t="s">
        <v>25</v>
      </c>
      <c r="F1841" t="b">
        <v>0</v>
      </c>
      <c r="G1841">
        <v>10</v>
      </c>
      <c r="H1841" t="b">
        <v>1</v>
      </c>
      <c r="I1841">
        <v>2</v>
      </c>
      <c r="J1841" t="s">
        <v>64</v>
      </c>
      <c r="K1841">
        <v>79</v>
      </c>
      <c r="L1841">
        <v>95</v>
      </c>
      <c r="M1841">
        <v>70</v>
      </c>
      <c r="N1841">
        <v>92</v>
      </c>
      <c r="O1841">
        <v>63</v>
      </c>
      <c r="P1841">
        <v>57</v>
      </c>
      <c r="Q1841">
        <v>67</v>
      </c>
      <c r="R1841">
        <f>SUM(student_scores[[#This Row],[math_score]:[geography_score]])</f>
        <v>523</v>
      </c>
      <c r="S1841" s="3">
        <f>student_scores[[#This Row],[Total_Score]]/7</f>
        <v>74.714285714285708</v>
      </c>
      <c r="T1841" s="3" t="str" cm="1">
        <f t="array" ref="T1841">_xlfn.IFS(student_scores[[#This Row],[weekly_self_study_hours]]&lt;=5,   "0 - 5", student_scores[[#This Row],[weekly_self_study_hours]]&lt;=10,  "6 - 10", student_scores[[#This Row],[weekly_self_study_hours]]&lt;=20,  "11 - 20",student_scores[[#This Row],[weekly_self_study_hours]]&lt;=30, "21 - 30",TRUE, "31+")</f>
        <v>0 - 5</v>
      </c>
      <c r="U1841" t="str" cm="1">
        <f t="array" ref="U1841">_xlfn.IFS(student_scores[[#This Row],[absence_days]]=0,"0", student_scores[[#This Row],[absence_days]]&lt;=3,"1-3", student_scores[[#This Row],[absence_days]]&lt;=6,"4-6", TRUE,"7-10")</f>
        <v>7-10</v>
      </c>
      <c r="V1841" t="str">
        <f>IF(student_scores[[#This Row],[Total_Score]] &gt;= _xlfn.PERCENTILE.INC(student_scores[Total_Score], 0.8), "Yes", "No")</f>
        <v>No</v>
      </c>
    </row>
    <row r="1842" spans="1:22" x14ac:dyDescent="0.35">
      <c r="A1842">
        <v>1841</v>
      </c>
      <c r="B1842" t="s">
        <v>22</v>
      </c>
      <c r="C1842" t="s">
        <v>320</v>
      </c>
      <c r="D1842" t="s">
        <v>2964</v>
      </c>
      <c r="E1842" t="s">
        <v>25</v>
      </c>
      <c r="F1842" t="b">
        <v>0</v>
      </c>
      <c r="G1842">
        <v>2</v>
      </c>
      <c r="H1842" t="b">
        <v>0</v>
      </c>
      <c r="I1842">
        <v>29</v>
      </c>
      <c r="J1842" t="s">
        <v>38</v>
      </c>
      <c r="K1842">
        <v>97</v>
      </c>
      <c r="L1842">
        <v>86</v>
      </c>
      <c r="M1842">
        <v>72</v>
      </c>
      <c r="N1842">
        <v>81</v>
      </c>
      <c r="O1842">
        <v>85</v>
      </c>
      <c r="P1842">
        <v>70</v>
      </c>
      <c r="Q1842">
        <v>72</v>
      </c>
      <c r="R1842">
        <f>SUM(student_scores[[#This Row],[math_score]:[geography_score]])</f>
        <v>563</v>
      </c>
      <c r="S1842" s="3">
        <f>student_scores[[#This Row],[Total_Score]]/7</f>
        <v>80.428571428571431</v>
      </c>
      <c r="T1842" s="3" t="str" cm="1">
        <f t="array" ref="T1842">_xlfn.IFS(student_scores[[#This Row],[weekly_self_study_hours]]&lt;=5,   "0 - 5", student_scores[[#This Row],[weekly_self_study_hours]]&lt;=10,  "6 - 10", student_scores[[#This Row],[weekly_self_study_hours]]&lt;=20,  "11 - 20",student_scores[[#This Row],[weekly_self_study_hours]]&lt;=30, "21 - 30",TRUE, "31+")</f>
        <v>21 - 30</v>
      </c>
      <c r="U1842" t="str" cm="1">
        <f t="array" ref="U1842">_xlfn.IFS(student_scores[[#This Row],[absence_days]]=0,"0", student_scores[[#This Row],[absence_days]]&lt;=3,"1-3", student_scores[[#This Row],[absence_days]]&lt;=6,"4-6", TRUE,"7-10")</f>
        <v>1-3</v>
      </c>
      <c r="V1842" t="str">
        <f>IF(student_scores[[#This Row],[Total_Score]] &gt;= _xlfn.PERCENTILE.INC(student_scores[Total_Score], 0.8), "Yes", "No")</f>
        <v>No</v>
      </c>
    </row>
    <row r="1843" spans="1:22" x14ac:dyDescent="0.35">
      <c r="A1843">
        <v>1842</v>
      </c>
      <c r="B1843" t="s">
        <v>139</v>
      </c>
      <c r="C1843" t="s">
        <v>2044</v>
      </c>
      <c r="D1843" t="s">
        <v>2965</v>
      </c>
      <c r="E1843" t="s">
        <v>20</v>
      </c>
      <c r="F1843" t="b">
        <v>0</v>
      </c>
      <c r="G1843">
        <v>1</v>
      </c>
      <c r="H1843" t="b">
        <v>0</v>
      </c>
      <c r="I1843">
        <v>14</v>
      </c>
      <c r="J1843" t="s">
        <v>105</v>
      </c>
      <c r="K1843">
        <v>78</v>
      </c>
      <c r="L1843">
        <v>66</v>
      </c>
      <c r="M1843">
        <v>92</v>
      </c>
      <c r="N1843">
        <v>61</v>
      </c>
      <c r="O1843">
        <v>98</v>
      </c>
      <c r="P1843">
        <v>76</v>
      </c>
      <c r="Q1843">
        <v>99</v>
      </c>
      <c r="R1843">
        <f>SUM(student_scores[[#This Row],[math_score]:[geography_score]])</f>
        <v>570</v>
      </c>
      <c r="S1843" s="3">
        <f>student_scores[[#This Row],[Total_Score]]/7</f>
        <v>81.428571428571431</v>
      </c>
      <c r="T1843" s="3" t="str" cm="1">
        <f t="array" ref="T1843">_xlfn.IFS(student_scores[[#This Row],[weekly_self_study_hours]]&lt;=5,   "0 - 5", student_scores[[#This Row],[weekly_self_study_hours]]&lt;=10,  "6 - 10", student_scores[[#This Row],[weekly_self_study_hours]]&lt;=20,  "11 - 20",student_scores[[#This Row],[weekly_self_study_hours]]&lt;=30, "21 - 30",TRUE, "31+")</f>
        <v>11 - 20</v>
      </c>
      <c r="U1843" t="str" cm="1">
        <f t="array" ref="U1843">_xlfn.IFS(student_scores[[#This Row],[absence_days]]=0,"0", student_scores[[#This Row],[absence_days]]&lt;=3,"1-3", student_scores[[#This Row],[absence_days]]&lt;=6,"4-6", TRUE,"7-10")</f>
        <v>1-3</v>
      </c>
      <c r="V1843" t="str">
        <f>IF(student_scores[[#This Row],[Total_Score]] &gt;= _xlfn.PERCENTILE.INC(student_scores[Total_Score], 0.8), "Yes", "No")</f>
        <v>No</v>
      </c>
    </row>
    <row r="1844" spans="1:22" x14ac:dyDescent="0.35">
      <c r="A1844">
        <v>1843</v>
      </c>
      <c r="B1844" t="s">
        <v>2010</v>
      </c>
      <c r="C1844" t="s">
        <v>236</v>
      </c>
      <c r="D1844" t="s">
        <v>2966</v>
      </c>
      <c r="E1844" t="s">
        <v>20</v>
      </c>
      <c r="F1844" t="b">
        <v>0</v>
      </c>
      <c r="G1844">
        <v>4</v>
      </c>
      <c r="H1844" t="b">
        <v>0</v>
      </c>
      <c r="I1844">
        <v>19</v>
      </c>
      <c r="J1844" t="s">
        <v>113</v>
      </c>
      <c r="K1844">
        <v>83</v>
      </c>
      <c r="L1844">
        <v>60</v>
      </c>
      <c r="M1844">
        <v>95</v>
      </c>
      <c r="N1844">
        <v>68</v>
      </c>
      <c r="O1844">
        <v>33</v>
      </c>
      <c r="P1844">
        <v>62</v>
      </c>
      <c r="Q1844">
        <v>73</v>
      </c>
      <c r="R1844">
        <f>SUM(student_scores[[#This Row],[math_score]:[geography_score]])</f>
        <v>474</v>
      </c>
      <c r="S1844" s="3">
        <f>student_scores[[#This Row],[Total_Score]]/7</f>
        <v>67.714285714285708</v>
      </c>
      <c r="T1844" s="3" t="str" cm="1">
        <f t="array" ref="T1844">_xlfn.IFS(student_scores[[#This Row],[weekly_self_study_hours]]&lt;=5,   "0 - 5", student_scores[[#This Row],[weekly_self_study_hours]]&lt;=10,  "6 - 10", student_scores[[#This Row],[weekly_self_study_hours]]&lt;=20,  "11 - 20",student_scores[[#This Row],[weekly_self_study_hours]]&lt;=30, "21 - 30",TRUE, "31+")</f>
        <v>11 - 20</v>
      </c>
      <c r="U1844" t="str" cm="1">
        <f t="array" ref="U1844">_xlfn.IFS(student_scores[[#This Row],[absence_days]]=0,"0", student_scores[[#This Row],[absence_days]]&lt;=3,"1-3", student_scores[[#This Row],[absence_days]]&lt;=6,"4-6", TRUE,"7-10")</f>
        <v>4-6</v>
      </c>
      <c r="V1844" t="str">
        <f>IF(student_scores[[#This Row],[Total_Score]] &gt;= _xlfn.PERCENTILE.INC(student_scores[Total_Score], 0.8), "Yes", "No")</f>
        <v>No</v>
      </c>
    </row>
    <row r="1845" spans="1:22" x14ac:dyDescent="0.35">
      <c r="A1845">
        <v>1844</v>
      </c>
      <c r="B1845" t="s">
        <v>2967</v>
      </c>
      <c r="C1845" t="s">
        <v>642</v>
      </c>
      <c r="D1845" t="s">
        <v>2968</v>
      </c>
      <c r="E1845" t="s">
        <v>20</v>
      </c>
      <c r="F1845" t="b">
        <v>0</v>
      </c>
      <c r="G1845">
        <v>0</v>
      </c>
      <c r="H1845" t="b">
        <v>0</v>
      </c>
      <c r="I1845">
        <v>29</v>
      </c>
      <c r="J1845" t="s">
        <v>172</v>
      </c>
      <c r="K1845">
        <v>86</v>
      </c>
      <c r="L1845">
        <v>95</v>
      </c>
      <c r="M1845">
        <v>61</v>
      </c>
      <c r="N1845">
        <v>96</v>
      </c>
      <c r="O1845">
        <v>89</v>
      </c>
      <c r="P1845">
        <v>99</v>
      </c>
      <c r="Q1845">
        <v>84</v>
      </c>
      <c r="R1845">
        <f>SUM(student_scores[[#This Row],[math_score]:[geography_score]])</f>
        <v>610</v>
      </c>
      <c r="S1845" s="3">
        <f>student_scores[[#This Row],[Total_Score]]/7</f>
        <v>87.142857142857139</v>
      </c>
      <c r="T1845" s="3" t="str" cm="1">
        <f t="array" ref="T1845">_xlfn.IFS(student_scores[[#This Row],[weekly_self_study_hours]]&lt;=5,   "0 - 5", student_scores[[#This Row],[weekly_self_study_hours]]&lt;=10,  "6 - 10", student_scores[[#This Row],[weekly_self_study_hours]]&lt;=20,  "11 - 20",student_scores[[#This Row],[weekly_self_study_hours]]&lt;=30, "21 - 30",TRUE, "31+")</f>
        <v>21 - 30</v>
      </c>
      <c r="U1845" t="str" cm="1">
        <f t="array" ref="U1845">_xlfn.IFS(student_scores[[#This Row],[absence_days]]=0,"0", student_scores[[#This Row],[absence_days]]&lt;=3,"1-3", student_scores[[#This Row],[absence_days]]&lt;=6,"4-6", TRUE,"7-10")</f>
        <v>0</v>
      </c>
      <c r="V1845" t="str">
        <f>IF(student_scores[[#This Row],[Total_Score]] &gt;= _xlfn.PERCENTILE.INC(student_scores[Total_Score], 0.8), "Yes", "No")</f>
        <v>Yes</v>
      </c>
    </row>
    <row r="1846" spans="1:22" x14ac:dyDescent="0.35">
      <c r="A1846">
        <v>1845</v>
      </c>
      <c r="B1846" t="s">
        <v>974</v>
      </c>
      <c r="C1846" t="s">
        <v>2969</v>
      </c>
      <c r="D1846" t="s">
        <v>2970</v>
      </c>
      <c r="E1846" t="s">
        <v>25</v>
      </c>
      <c r="F1846" t="b">
        <v>0</v>
      </c>
      <c r="G1846">
        <v>1</v>
      </c>
      <c r="H1846" t="b">
        <v>0</v>
      </c>
      <c r="I1846">
        <v>2</v>
      </c>
      <c r="J1846" t="s">
        <v>34</v>
      </c>
      <c r="K1846">
        <v>87</v>
      </c>
      <c r="L1846">
        <v>78</v>
      </c>
      <c r="M1846">
        <v>74</v>
      </c>
      <c r="N1846">
        <v>75</v>
      </c>
      <c r="O1846">
        <v>95</v>
      </c>
      <c r="P1846">
        <v>69</v>
      </c>
      <c r="Q1846">
        <v>99</v>
      </c>
      <c r="R1846">
        <f>SUM(student_scores[[#This Row],[math_score]:[geography_score]])</f>
        <v>577</v>
      </c>
      <c r="S1846" s="3">
        <f>student_scores[[#This Row],[Total_Score]]/7</f>
        <v>82.428571428571431</v>
      </c>
      <c r="T1846" s="3" t="str" cm="1">
        <f t="array" ref="T1846">_xlfn.IFS(student_scores[[#This Row],[weekly_self_study_hours]]&lt;=5,   "0 - 5", student_scores[[#This Row],[weekly_self_study_hours]]&lt;=10,  "6 - 10", student_scores[[#This Row],[weekly_self_study_hours]]&lt;=20,  "11 - 20",student_scores[[#This Row],[weekly_self_study_hours]]&lt;=30, "21 - 30",TRUE, "31+")</f>
        <v>0 - 5</v>
      </c>
      <c r="U1846" t="str" cm="1">
        <f t="array" ref="U1846">_xlfn.IFS(student_scores[[#This Row],[absence_days]]=0,"0", student_scores[[#This Row],[absence_days]]&lt;=3,"1-3", student_scores[[#This Row],[absence_days]]&lt;=6,"4-6", TRUE,"7-10")</f>
        <v>1-3</v>
      </c>
      <c r="V1846" t="str">
        <f>IF(student_scores[[#This Row],[Total_Score]] &gt;= _xlfn.PERCENTILE.INC(student_scores[Total_Score], 0.8), "Yes", "No")</f>
        <v>No</v>
      </c>
    </row>
    <row r="1847" spans="1:22" x14ac:dyDescent="0.35">
      <c r="A1847">
        <v>1846</v>
      </c>
      <c r="B1847" t="s">
        <v>710</v>
      </c>
      <c r="C1847" t="s">
        <v>990</v>
      </c>
      <c r="D1847" t="s">
        <v>2971</v>
      </c>
      <c r="E1847" t="s">
        <v>25</v>
      </c>
      <c r="F1847" t="b">
        <v>0</v>
      </c>
      <c r="G1847">
        <v>6</v>
      </c>
      <c r="H1847" t="b">
        <v>0</v>
      </c>
      <c r="I1847">
        <v>25</v>
      </c>
      <c r="J1847" t="s">
        <v>21</v>
      </c>
      <c r="K1847">
        <v>81</v>
      </c>
      <c r="L1847">
        <v>82</v>
      </c>
      <c r="M1847">
        <v>69</v>
      </c>
      <c r="N1847">
        <v>94</v>
      </c>
      <c r="O1847">
        <v>88</v>
      </c>
      <c r="P1847">
        <v>95</v>
      </c>
      <c r="Q1847">
        <v>84</v>
      </c>
      <c r="R1847">
        <f>SUM(student_scores[[#This Row],[math_score]:[geography_score]])</f>
        <v>593</v>
      </c>
      <c r="S1847" s="3">
        <f>student_scores[[#This Row],[Total_Score]]/7</f>
        <v>84.714285714285708</v>
      </c>
      <c r="T1847" s="3" t="str" cm="1">
        <f t="array" ref="T1847">_xlfn.IFS(student_scores[[#This Row],[weekly_self_study_hours]]&lt;=5,   "0 - 5", student_scores[[#This Row],[weekly_self_study_hours]]&lt;=10,  "6 - 10", student_scores[[#This Row],[weekly_self_study_hours]]&lt;=20,  "11 - 20",student_scores[[#This Row],[weekly_self_study_hours]]&lt;=30, "21 - 30",TRUE, "31+")</f>
        <v>21 - 30</v>
      </c>
      <c r="U1847" t="str" cm="1">
        <f t="array" ref="U1847">_xlfn.IFS(student_scores[[#This Row],[absence_days]]=0,"0", student_scores[[#This Row],[absence_days]]&lt;=3,"1-3", student_scores[[#This Row],[absence_days]]&lt;=6,"4-6", TRUE,"7-10")</f>
        <v>4-6</v>
      </c>
      <c r="V1847" t="str">
        <f>IF(student_scores[[#This Row],[Total_Score]] &gt;= _xlfn.PERCENTILE.INC(student_scores[Total_Score], 0.8), "Yes", "No")</f>
        <v>No</v>
      </c>
    </row>
    <row r="1848" spans="1:22" x14ac:dyDescent="0.35">
      <c r="A1848">
        <v>1847</v>
      </c>
      <c r="B1848" t="s">
        <v>465</v>
      </c>
      <c r="C1848" t="s">
        <v>107</v>
      </c>
      <c r="D1848" t="s">
        <v>2972</v>
      </c>
      <c r="E1848" t="s">
        <v>25</v>
      </c>
      <c r="F1848" t="b">
        <v>0</v>
      </c>
      <c r="G1848">
        <v>0</v>
      </c>
      <c r="H1848" t="b">
        <v>0</v>
      </c>
      <c r="I1848">
        <v>6</v>
      </c>
      <c r="J1848" t="s">
        <v>30</v>
      </c>
      <c r="K1848">
        <v>83</v>
      </c>
      <c r="L1848">
        <v>73</v>
      </c>
      <c r="M1848">
        <v>83</v>
      </c>
      <c r="N1848">
        <v>66</v>
      </c>
      <c r="O1848">
        <v>93</v>
      </c>
      <c r="P1848">
        <v>68</v>
      </c>
      <c r="Q1848">
        <v>89</v>
      </c>
      <c r="R1848">
        <f>SUM(student_scores[[#This Row],[math_score]:[geography_score]])</f>
        <v>555</v>
      </c>
      <c r="S1848" s="3">
        <f>student_scores[[#This Row],[Total_Score]]/7</f>
        <v>79.285714285714292</v>
      </c>
      <c r="T1848" s="3" t="str" cm="1">
        <f t="array" ref="T1848">_xlfn.IFS(student_scores[[#This Row],[weekly_self_study_hours]]&lt;=5,   "0 - 5", student_scores[[#This Row],[weekly_self_study_hours]]&lt;=10,  "6 - 10", student_scores[[#This Row],[weekly_self_study_hours]]&lt;=20,  "11 - 20",student_scores[[#This Row],[weekly_self_study_hours]]&lt;=30, "21 - 30",TRUE, "31+")</f>
        <v>6 - 10</v>
      </c>
      <c r="U1848" t="str" cm="1">
        <f t="array" ref="U1848">_xlfn.IFS(student_scores[[#This Row],[absence_days]]=0,"0", student_scores[[#This Row],[absence_days]]&lt;=3,"1-3", student_scores[[#This Row],[absence_days]]&lt;=6,"4-6", TRUE,"7-10")</f>
        <v>0</v>
      </c>
      <c r="V1848" t="str">
        <f>IF(student_scores[[#This Row],[Total_Score]] &gt;= _xlfn.PERCENTILE.INC(student_scores[Total_Score], 0.8), "Yes", "No")</f>
        <v>No</v>
      </c>
    </row>
    <row r="1849" spans="1:22" x14ac:dyDescent="0.35">
      <c r="A1849">
        <v>1848</v>
      </c>
      <c r="B1849" t="s">
        <v>106</v>
      </c>
      <c r="C1849" t="s">
        <v>2654</v>
      </c>
      <c r="D1849" t="s">
        <v>2973</v>
      </c>
      <c r="E1849" t="s">
        <v>20</v>
      </c>
      <c r="F1849" t="b">
        <v>0</v>
      </c>
      <c r="G1849">
        <v>2</v>
      </c>
      <c r="H1849" t="b">
        <v>1</v>
      </c>
      <c r="I1849">
        <v>11</v>
      </c>
      <c r="J1849" t="s">
        <v>105</v>
      </c>
      <c r="K1849">
        <v>81</v>
      </c>
      <c r="L1849">
        <v>85</v>
      </c>
      <c r="M1849">
        <v>91</v>
      </c>
      <c r="N1849">
        <v>94</v>
      </c>
      <c r="O1849">
        <v>97</v>
      </c>
      <c r="P1849">
        <v>93</v>
      </c>
      <c r="Q1849">
        <v>65</v>
      </c>
      <c r="R1849">
        <f>SUM(student_scores[[#This Row],[math_score]:[geography_score]])</f>
        <v>606</v>
      </c>
      <c r="S1849" s="3">
        <f>student_scores[[#This Row],[Total_Score]]/7</f>
        <v>86.571428571428569</v>
      </c>
      <c r="T1849" s="3" t="str" cm="1">
        <f t="array" ref="T1849">_xlfn.IFS(student_scores[[#This Row],[weekly_self_study_hours]]&lt;=5,   "0 - 5", student_scores[[#This Row],[weekly_self_study_hours]]&lt;=10,  "6 - 10", student_scores[[#This Row],[weekly_self_study_hours]]&lt;=20,  "11 - 20",student_scores[[#This Row],[weekly_self_study_hours]]&lt;=30, "21 - 30",TRUE, "31+")</f>
        <v>11 - 20</v>
      </c>
      <c r="U1849" t="str" cm="1">
        <f t="array" ref="U1849">_xlfn.IFS(student_scores[[#This Row],[absence_days]]=0,"0", student_scores[[#This Row],[absence_days]]&lt;=3,"1-3", student_scores[[#This Row],[absence_days]]&lt;=6,"4-6", TRUE,"7-10")</f>
        <v>1-3</v>
      </c>
      <c r="V1849" t="str">
        <f>IF(student_scores[[#This Row],[Total_Score]] &gt;= _xlfn.PERCENTILE.INC(student_scores[Total_Score], 0.8), "Yes", "No")</f>
        <v>Yes</v>
      </c>
    </row>
    <row r="1850" spans="1:22" x14ac:dyDescent="0.35">
      <c r="A1850">
        <v>1849</v>
      </c>
      <c r="B1850" t="s">
        <v>2974</v>
      </c>
      <c r="C1850" t="s">
        <v>2422</v>
      </c>
      <c r="D1850" t="s">
        <v>2975</v>
      </c>
      <c r="E1850" t="s">
        <v>20</v>
      </c>
      <c r="F1850" t="b">
        <v>0</v>
      </c>
      <c r="G1850">
        <v>1</v>
      </c>
      <c r="H1850" t="b">
        <v>1</v>
      </c>
      <c r="I1850">
        <v>4</v>
      </c>
      <c r="J1850" t="s">
        <v>123</v>
      </c>
      <c r="K1850">
        <v>65</v>
      </c>
      <c r="L1850">
        <v>95</v>
      </c>
      <c r="M1850">
        <v>89</v>
      </c>
      <c r="N1850">
        <v>96</v>
      </c>
      <c r="O1850">
        <v>78</v>
      </c>
      <c r="P1850">
        <v>85</v>
      </c>
      <c r="Q1850">
        <v>80</v>
      </c>
      <c r="R1850">
        <f>SUM(student_scores[[#This Row],[math_score]:[geography_score]])</f>
        <v>588</v>
      </c>
      <c r="S1850" s="3">
        <f>student_scores[[#This Row],[Total_Score]]/7</f>
        <v>84</v>
      </c>
      <c r="T1850" s="3" t="str" cm="1">
        <f t="array" ref="T1850">_xlfn.IFS(student_scores[[#This Row],[weekly_self_study_hours]]&lt;=5,   "0 - 5", student_scores[[#This Row],[weekly_self_study_hours]]&lt;=10,  "6 - 10", student_scores[[#This Row],[weekly_self_study_hours]]&lt;=20,  "11 - 20",student_scores[[#This Row],[weekly_self_study_hours]]&lt;=30, "21 - 30",TRUE, "31+")</f>
        <v>0 - 5</v>
      </c>
      <c r="U1850" t="str" cm="1">
        <f t="array" ref="U1850">_xlfn.IFS(student_scores[[#This Row],[absence_days]]=0,"0", student_scores[[#This Row],[absence_days]]&lt;=3,"1-3", student_scores[[#This Row],[absence_days]]&lt;=6,"4-6", TRUE,"7-10")</f>
        <v>1-3</v>
      </c>
      <c r="V1850" t="str">
        <f>IF(student_scores[[#This Row],[Total_Score]] &gt;= _xlfn.PERCENTILE.INC(student_scores[Total_Score], 0.8), "Yes", "No")</f>
        <v>No</v>
      </c>
    </row>
    <row r="1851" spans="1:22" x14ac:dyDescent="0.35">
      <c r="A1851">
        <v>1850</v>
      </c>
      <c r="B1851" t="s">
        <v>139</v>
      </c>
      <c r="C1851" t="s">
        <v>164</v>
      </c>
      <c r="D1851" t="s">
        <v>2976</v>
      </c>
      <c r="E1851" t="s">
        <v>20</v>
      </c>
      <c r="F1851" t="b">
        <v>0</v>
      </c>
      <c r="G1851">
        <v>2</v>
      </c>
      <c r="H1851" t="b">
        <v>0</v>
      </c>
      <c r="I1851">
        <v>33</v>
      </c>
      <c r="J1851" t="s">
        <v>21</v>
      </c>
      <c r="K1851">
        <v>83</v>
      </c>
      <c r="L1851">
        <v>91</v>
      </c>
      <c r="M1851">
        <v>76</v>
      </c>
      <c r="N1851">
        <v>71</v>
      </c>
      <c r="O1851">
        <v>82</v>
      </c>
      <c r="P1851">
        <v>82</v>
      </c>
      <c r="Q1851">
        <v>79</v>
      </c>
      <c r="R1851">
        <f>SUM(student_scores[[#This Row],[math_score]:[geography_score]])</f>
        <v>564</v>
      </c>
      <c r="S1851" s="3">
        <f>student_scores[[#This Row],[Total_Score]]/7</f>
        <v>80.571428571428569</v>
      </c>
      <c r="T1851" s="3" t="str" cm="1">
        <f t="array" ref="T1851">_xlfn.IFS(student_scores[[#This Row],[weekly_self_study_hours]]&lt;=5,   "0 - 5", student_scores[[#This Row],[weekly_self_study_hours]]&lt;=10,  "6 - 10", student_scores[[#This Row],[weekly_self_study_hours]]&lt;=20,  "11 - 20",student_scores[[#This Row],[weekly_self_study_hours]]&lt;=30, "21 - 30",TRUE, "31+")</f>
        <v>31+</v>
      </c>
      <c r="U1851" t="str" cm="1">
        <f t="array" ref="U1851">_xlfn.IFS(student_scores[[#This Row],[absence_days]]=0,"0", student_scores[[#This Row],[absence_days]]&lt;=3,"1-3", student_scores[[#This Row],[absence_days]]&lt;=6,"4-6", TRUE,"7-10")</f>
        <v>1-3</v>
      </c>
      <c r="V1851" t="str">
        <f>IF(student_scores[[#This Row],[Total_Score]] &gt;= _xlfn.PERCENTILE.INC(student_scores[Total_Score], 0.8), "Yes", "No")</f>
        <v>No</v>
      </c>
    </row>
    <row r="1852" spans="1:22" x14ac:dyDescent="0.35">
      <c r="A1852">
        <v>1851</v>
      </c>
      <c r="B1852" t="s">
        <v>2648</v>
      </c>
      <c r="C1852" t="s">
        <v>491</v>
      </c>
      <c r="D1852" t="s">
        <v>2977</v>
      </c>
      <c r="E1852" t="s">
        <v>25</v>
      </c>
      <c r="F1852" t="b">
        <v>0</v>
      </c>
      <c r="G1852">
        <v>3</v>
      </c>
      <c r="H1852" t="b">
        <v>1</v>
      </c>
      <c r="I1852">
        <v>22</v>
      </c>
      <c r="J1852" t="s">
        <v>26</v>
      </c>
      <c r="K1852">
        <v>98</v>
      </c>
      <c r="L1852">
        <v>79</v>
      </c>
      <c r="M1852">
        <v>87</v>
      </c>
      <c r="N1852">
        <v>86</v>
      </c>
      <c r="O1852">
        <v>98</v>
      </c>
      <c r="P1852">
        <v>85</v>
      </c>
      <c r="Q1852">
        <v>85</v>
      </c>
      <c r="R1852">
        <f>SUM(student_scores[[#This Row],[math_score]:[geography_score]])</f>
        <v>618</v>
      </c>
      <c r="S1852" s="3">
        <f>student_scores[[#This Row],[Total_Score]]/7</f>
        <v>88.285714285714292</v>
      </c>
      <c r="T1852" s="3" t="str" cm="1">
        <f t="array" ref="T1852">_xlfn.IFS(student_scores[[#This Row],[weekly_self_study_hours]]&lt;=5,   "0 - 5", student_scores[[#This Row],[weekly_self_study_hours]]&lt;=10,  "6 - 10", student_scores[[#This Row],[weekly_self_study_hours]]&lt;=20,  "11 - 20",student_scores[[#This Row],[weekly_self_study_hours]]&lt;=30, "21 - 30",TRUE, "31+")</f>
        <v>21 - 30</v>
      </c>
      <c r="U1852" t="str" cm="1">
        <f t="array" ref="U1852">_xlfn.IFS(student_scores[[#This Row],[absence_days]]=0,"0", student_scores[[#This Row],[absence_days]]&lt;=3,"1-3", student_scores[[#This Row],[absence_days]]&lt;=6,"4-6", TRUE,"7-10")</f>
        <v>1-3</v>
      </c>
      <c r="V1852" t="str">
        <f>IF(student_scores[[#This Row],[Total_Score]] &gt;= _xlfn.PERCENTILE.INC(student_scores[Total_Score], 0.8), "Yes", "No")</f>
        <v>Yes</v>
      </c>
    </row>
    <row r="1853" spans="1:22" x14ac:dyDescent="0.35">
      <c r="A1853">
        <v>1852</v>
      </c>
      <c r="B1853" t="s">
        <v>188</v>
      </c>
      <c r="C1853" t="s">
        <v>1420</v>
      </c>
      <c r="D1853" t="s">
        <v>2978</v>
      </c>
      <c r="E1853" t="s">
        <v>25</v>
      </c>
      <c r="F1853" t="b">
        <v>0</v>
      </c>
      <c r="G1853">
        <v>0</v>
      </c>
      <c r="H1853" t="b">
        <v>0</v>
      </c>
      <c r="I1853">
        <v>34</v>
      </c>
      <c r="J1853" t="s">
        <v>26</v>
      </c>
      <c r="K1853">
        <v>83</v>
      </c>
      <c r="L1853">
        <v>84</v>
      </c>
      <c r="M1853">
        <v>91</v>
      </c>
      <c r="N1853">
        <v>84</v>
      </c>
      <c r="O1853">
        <v>85</v>
      </c>
      <c r="P1853">
        <v>91</v>
      </c>
      <c r="Q1853">
        <v>92</v>
      </c>
      <c r="R1853">
        <f>SUM(student_scores[[#This Row],[math_score]:[geography_score]])</f>
        <v>610</v>
      </c>
      <c r="S1853" s="3">
        <f>student_scores[[#This Row],[Total_Score]]/7</f>
        <v>87.142857142857139</v>
      </c>
      <c r="T1853" s="3" t="str" cm="1">
        <f t="array" ref="T1853">_xlfn.IFS(student_scores[[#This Row],[weekly_self_study_hours]]&lt;=5,   "0 - 5", student_scores[[#This Row],[weekly_self_study_hours]]&lt;=10,  "6 - 10", student_scores[[#This Row],[weekly_self_study_hours]]&lt;=20,  "11 - 20",student_scores[[#This Row],[weekly_self_study_hours]]&lt;=30, "21 - 30",TRUE, "31+")</f>
        <v>31+</v>
      </c>
      <c r="U1853" t="str" cm="1">
        <f t="array" ref="U1853">_xlfn.IFS(student_scores[[#This Row],[absence_days]]=0,"0", student_scores[[#This Row],[absence_days]]&lt;=3,"1-3", student_scores[[#This Row],[absence_days]]&lt;=6,"4-6", TRUE,"7-10")</f>
        <v>0</v>
      </c>
      <c r="V1853" t="str">
        <f>IF(student_scores[[#This Row],[Total_Score]] &gt;= _xlfn.PERCENTILE.INC(student_scores[Total_Score], 0.8), "Yes", "No")</f>
        <v>Yes</v>
      </c>
    </row>
    <row r="1854" spans="1:22" x14ac:dyDescent="0.35">
      <c r="A1854">
        <v>1853</v>
      </c>
      <c r="B1854" t="s">
        <v>2606</v>
      </c>
      <c r="C1854" t="s">
        <v>1116</v>
      </c>
      <c r="D1854" t="s">
        <v>2979</v>
      </c>
      <c r="E1854" t="s">
        <v>20</v>
      </c>
      <c r="F1854" t="b">
        <v>0</v>
      </c>
      <c r="G1854">
        <v>1</v>
      </c>
      <c r="H1854" t="b">
        <v>0</v>
      </c>
      <c r="I1854">
        <v>22</v>
      </c>
      <c r="J1854" t="s">
        <v>44</v>
      </c>
      <c r="K1854">
        <v>85</v>
      </c>
      <c r="L1854">
        <v>60</v>
      </c>
      <c r="M1854">
        <v>85</v>
      </c>
      <c r="N1854">
        <v>76</v>
      </c>
      <c r="O1854">
        <v>90</v>
      </c>
      <c r="P1854">
        <v>75</v>
      </c>
      <c r="Q1854">
        <v>93</v>
      </c>
      <c r="R1854">
        <f>SUM(student_scores[[#This Row],[math_score]:[geography_score]])</f>
        <v>564</v>
      </c>
      <c r="S1854" s="3">
        <f>student_scores[[#This Row],[Total_Score]]/7</f>
        <v>80.571428571428569</v>
      </c>
      <c r="T1854" s="3" t="str" cm="1">
        <f t="array" ref="T1854">_xlfn.IFS(student_scores[[#This Row],[weekly_self_study_hours]]&lt;=5,   "0 - 5", student_scores[[#This Row],[weekly_self_study_hours]]&lt;=10,  "6 - 10", student_scores[[#This Row],[weekly_self_study_hours]]&lt;=20,  "11 - 20",student_scores[[#This Row],[weekly_self_study_hours]]&lt;=30, "21 - 30",TRUE, "31+")</f>
        <v>21 - 30</v>
      </c>
      <c r="U1854" t="str" cm="1">
        <f t="array" ref="U1854">_xlfn.IFS(student_scores[[#This Row],[absence_days]]=0,"0", student_scores[[#This Row],[absence_days]]&lt;=3,"1-3", student_scores[[#This Row],[absence_days]]&lt;=6,"4-6", TRUE,"7-10")</f>
        <v>1-3</v>
      </c>
      <c r="V1854" t="str">
        <f>IF(student_scores[[#This Row],[Total_Score]] &gt;= _xlfn.PERCENTILE.INC(student_scores[Total_Score], 0.8), "Yes", "No")</f>
        <v>No</v>
      </c>
    </row>
    <row r="1855" spans="1:22" x14ac:dyDescent="0.35">
      <c r="A1855">
        <v>1854</v>
      </c>
      <c r="B1855" t="s">
        <v>173</v>
      </c>
      <c r="C1855" t="s">
        <v>2980</v>
      </c>
      <c r="D1855" t="s">
        <v>2981</v>
      </c>
      <c r="E1855" t="s">
        <v>25</v>
      </c>
      <c r="F1855" t="b">
        <v>0</v>
      </c>
      <c r="G1855">
        <v>10</v>
      </c>
      <c r="H1855" t="b">
        <v>0</v>
      </c>
      <c r="I1855">
        <v>5</v>
      </c>
      <c r="J1855" t="s">
        <v>64</v>
      </c>
      <c r="K1855">
        <v>68</v>
      </c>
      <c r="L1855">
        <v>66</v>
      </c>
      <c r="M1855">
        <v>82</v>
      </c>
      <c r="N1855">
        <v>63</v>
      </c>
      <c r="O1855">
        <v>91</v>
      </c>
      <c r="P1855">
        <v>67</v>
      </c>
      <c r="Q1855">
        <v>89</v>
      </c>
      <c r="R1855">
        <f>SUM(student_scores[[#This Row],[math_score]:[geography_score]])</f>
        <v>526</v>
      </c>
      <c r="S1855" s="3">
        <f>student_scores[[#This Row],[Total_Score]]/7</f>
        <v>75.142857142857139</v>
      </c>
      <c r="T1855" s="3" t="str" cm="1">
        <f t="array" ref="T1855">_xlfn.IFS(student_scores[[#This Row],[weekly_self_study_hours]]&lt;=5,   "0 - 5", student_scores[[#This Row],[weekly_self_study_hours]]&lt;=10,  "6 - 10", student_scores[[#This Row],[weekly_self_study_hours]]&lt;=20,  "11 - 20",student_scores[[#This Row],[weekly_self_study_hours]]&lt;=30, "21 - 30",TRUE, "31+")</f>
        <v>0 - 5</v>
      </c>
      <c r="U1855" t="str" cm="1">
        <f t="array" ref="U1855">_xlfn.IFS(student_scores[[#This Row],[absence_days]]=0,"0", student_scores[[#This Row],[absence_days]]&lt;=3,"1-3", student_scores[[#This Row],[absence_days]]&lt;=6,"4-6", TRUE,"7-10")</f>
        <v>7-10</v>
      </c>
      <c r="V1855" t="str">
        <f>IF(student_scores[[#This Row],[Total_Score]] &gt;= _xlfn.PERCENTILE.INC(student_scores[Total_Score], 0.8), "Yes", "No")</f>
        <v>No</v>
      </c>
    </row>
    <row r="1856" spans="1:22" x14ac:dyDescent="0.35">
      <c r="A1856">
        <v>1855</v>
      </c>
      <c r="B1856" t="s">
        <v>45</v>
      </c>
      <c r="C1856" t="s">
        <v>2923</v>
      </c>
      <c r="D1856" t="s">
        <v>2982</v>
      </c>
      <c r="E1856" t="s">
        <v>20</v>
      </c>
      <c r="F1856" t="b">
        <v>0</v>
      </c>
      <c r="G1856">
        <v>1</v>
      </c>
      <c r="H1856" t="b">
        <v>0</v>
      </c>
      <c r="I1856">
        <v>11</v>
      </c>
      <c r="J1856" t="s">
        <v>30</v>
      </c>
      <c r="K1856">
        <v>86</v>
      </c>
      <c r="L1856">
        <v>82</v>
      </c>
      <c r="M1856">
        <v>60</v>
      </c>
      <c r="N1856">
        <v>65</v>
      </c>
      <c r="O1856">
        <v>83</v>
      </c>
      <c r="P1856">
        <v>69</v>
      </c>
      <c r="Q1856">
        <v>78</v>
      </c>
      <c r="R1856">
        <f>SUM(student_scores[[#This Row],[math_score]:[geography_score]])</f>
        <v>523</v>
      </c>
      <c r="S1856" s="3">
        <f>student_scores[[#This Row],[Total_Score]]/7</f>
        <v>74.714285714285708</v>
      </c>
      <c r="T1856" s="3" t="str" cm="1">
        <f t="array" ref="T1856">_xlfn.IFS(student_scores[[#This Row],[weekly_self_study_hours]]&lt;=5,   "0 - 5", student_scores[[#This Row],[weekly_self_study_hours]]&lt;=10,  "6 - 10", student_scores[[#This Row],[weekly_self_study_hours]]&lt;=20,  "11 - 20",student_scores[[#This Row],[weekly_self_study_hours]]&lt;=30, "21 - 30",TRUE, "31+")</f>
        <v>11 - 20</v>
      </c>
      <c r="U1856" t="str" cm="1">
        <f t="array" ref="U1856">_xlfn.IFS(student_scores[[#This Row],[absence_days]]=0,"0", student_scores[[#This Row],[absence_days]]&lt;=3,"1-3", student_scores[[#This Row],[absence_days]]&lt;=6,"4-6", TRUE,"7-10")</f>
        <v>1-3</v>
      </c>
      <c r="V1856" t="str">
        <f>IF(student_scores[[#This Row],[Total_Score]] &gt;= _xlfn.PERCENTILE.INC(student_scores[Total_Score], 0.8), "Yes", "No")</f>
        <v>No</v>
      </c>
    </row>
    <row r="1857" spans="1:22" x14ac:dyDescent="0.35">
      <c r="A1857">
        <v>1856</v>
      </c>
      <c r="B1857" t="s">
        <v>805</v>
      </c>
      <c r="C1857" t="s">
        <v>2983</v>
      </c>
      <c r="D1857" t="s">
        <v>2984</v>
      </c>
      <c r="E1857" t="s">
        <v>20</v>
      </c>
      <c r="F1857" t="b">
        <v>0</v>
      </c>
      <c r="G1857">
        <v>1</v>
      </c>
      <c r="H1857" t="b">
        <v>0</v>
      </c>
      <c r="I1857">
        <v>12</v>
      </c>
      <c r="J1857" t="s">
        <v>30</v>
      </c>
      <c r="K1857">
        <v>83</v>
      </c>
      <c r="L1857">
        <v>87</v>
      </c>
      <c r="M1857">
        <v>87</v>
      </c>
      <c r="N1857">
        <v>80</v>
      </c>
      <c r="O1857">
        <v>81</v>
      </c>
      <c r="P1857">
        <v>79</v>
      </c>
      <c r="Q1857">
        <v>98</v>
      </c>
      <c r="R1857">
        <f>SUM(student_scores[[#This Row],[math_score]:[geography_score]])</f>
        <v>595</v>
      </c>
      <c r="S1857" s="3">
        <f>student_scores[[#This Row],[Total_Score]]/7</f>
        <v>85</v>
      </c>
      <c r="T1857" s="3" t="str" cm="1">
        <f t="array" ref="T1857">_xlfn.IFS(student_scores[[#This Row],[weekly_self_study_hours]]&lt;=5,   "0 - 5", student_scores[[#This Row],[weekly_self_study_hours]]&lt;=10,  "6 - 10", student_scores[[#This Row],[weekly_self_study_hours]]&lt;=20,  "11 - 20",student_scores[[#This Row],[weekly_self_study_hours]]&lt;=30, "21 - 30",TRUE, "31+")</f>
        <v>11 - 20</v>
      </c>
      <c r="U1857" t="str" cm="1">
        <f t="array" ref="U1857">_xlfn.IFS(student_scores[[#This Row],[absence_days]]=0,"0", student_scores[[#This Row],[absence_days]]&lt;=3,"1-3", student_scores[[#This Row],[absence_days]]&lt;=6,"4-6", TRUE,"7-10")</f>
        <v>1-3</v>
      </c>
      <c r="V1857" t="str">
        <f>IF(student_scores[[#This Row],[Total_Score]] &gt;= _xlfn.PERCENTILE.INC(student_scores[Total_Score], 0.8), "Yes", "No")</f>
        <v>No</v>
      </c>
    </row>
    <row r="1858" spans="1:22" x14ac:dyDescent="0.35">
      <c r="A1858">
        <v>1857</v>
      </c>
      <c r="B1858" t="s">
        <v>202</v>
      </c>
      <c r="C1858" t="s">
        <v>281</v>
      </c>
      <c r="D1858" t="s">
        <v>2985</v>
      </c>
      <c r="E1858" t="s">
        <v>25</v>
      </c>
      <c r="F1858" t="b">
        <v>0</v>
      </c>
      <c r="G1858">
        <v>2</v>
      </c>
      <c r="H1858" t="b">
        <v>0</v>
      </c>
      <c r="I1858">
        <v>35</v>
      </c>
      <c r="J1858" t="s">
        <v>38</v>
      </c>
      <c r="K1858">
        <v>92</v>
      </c>
      <c r="L1858">
        <v>92</v>
      </c>
      <c r="M1858">
        <v>99</v>
      </c>
      <c r="N1858">
        <v>87</v>
      </c>
      <c r="O1858">
        <v>100</v>
      </c>
      <c r="P1858">
        <v>88</v>
      </c>
      <c r="Q1858">
        <v>97</v>
      </c>
      <c r="R1858">
        <f>SUM(student_scores[[#This Row],[math_score]:[geography_score]])</f>
        <v>655</v>
      </c>
      <c r="S1858" s="3">
        <f>student_scores[[#This Row],[Total_Score]]/7</f>
        <v>93.571428571428569</v>
      </c>
      <c r="T1858" s="3" t="str" cm="1">
        <f t="array" ref="T1858">_xlfn.IFS(student_scores[[#This Row],[weekly_self_study_hours]]&lt;=5,   "0 - 5", student_scores[[#This Row],[weekly_self_study_hours]]&lt;=10,  "6 - 10", student_scores[[#This Row],[weekly_self_study_hours]]&lt;=20,  "11 - 20",student_scores[[#This Row],[weekly_self_study_hours]]&lt;=30, "21 - 30",TRUE, "31+")</f>
        <v>31+</v>
      </c>
      <c r="U1858" t="str" cm="1">
        <f t="array" ref="U1858">_xlfn.IFS(student_scores[[#This Row],[absence_days]]=0,"0", student_scores[[#This Row],[absence_days]]&lt;=3,"1-3", student_scores[[#This Row],[absence_days]]&lt;=6,"4-6", TRUE,"7-10")</f>
        <v>1-3</v>
      </c>
      <c r="V1858" t="str">
        <f>IF(student_scores[[#This Row],[Total_Score]] &gt;= _xlfn.PERCENTILE.INC(student_scores[Total_Score], 0.8), "Yes", "No")</f>
        <v>Yes</v>
      </c>
    </row>
    <row r="1859" spans="1:22" x14ac:dyDescent="0.35">
      <c r="A1859">
        <v>1858</v>
      </c>
      <c r="B1859" t="s">
        <v>166</v>
      </c>
      <c r="C1859" t="s">
        <v>625</v>
      </c>
      <c r="D1859" t="s">
        <v>2986</v>
      </c>
      <c r="E1859" t="s">
        <v>25</v>
      </c>
      <c r="F1859" t="b">
        <v>0</v>
      </c>
      <c r="G1859">
        <v>0</v>
      </c>
      <c r="H1859" t="b">
        <v>0</v>
      </c>
      <c r="I1859">
        <v>6</v>
      </c>
      <c r="J1859" t="s">
        <v>224</v>
      </c>
      <c r="K1859">
        <v>91</v>
      </c>
      <c r="L1859">
        <v>66</v>
      </c>
      <c r="M1859">
        <v>91</v>
      </c>
      <c r="N1859">
        <v>62</v>
      </c>
      <c r="O1859">
        <v>70</v>
      </c>
      <c r="P1859">
        <v>87</v>
      </c>
      <c r="Q1859">
        <v>90</v>
      </c>
      <c r="R1859">
        <f>SUM(student_scores[[#This Row],[math_score]:[geography_score]])</f>
        <v>557</v>
      </c>
      <c r="S1859" s="3">
        <f>student_scores[[#This Row],[Total_Score]]/7</f>
        <v>79.571428571428569</v>
      </c>
      <c r="T1859" s="3" t="str" cm="1">
        <f t="array" ref="T1859">_xlfn.IFS(student_scores[[#This Row],[weekly_self_study_hours]]&lt;=5,   "0 - 5", student_scores[[#This Row],[weekly_self_study_hours]]&lt;=10,  "6 - 10", student_scores[[#This Row],[weekly_self_study_hours]]&lt;=20,  "11 - 20",student_scores[[#This Row],[weekly_self_study_hours]]&lt;=30, "21 - 30",TRUE, "31+")</f>
        <v>6 - 10</v>
      </c>
      <c r="U1859" t="str" cm="1">
        <f t="array" ref="U1859">_xlfn.IFS(student_scores[[#This Row],[absence_days]]=0,"0", student_scores[[#This Row],[absence_days]]&lt;=3,"1-3", student_scores[[#This Row],[absence_days]]&lt;=6,"4-6", TRUE,"7-10")</f>
        <v>0</v>
      </c>
      <c r="V1859" t="str">
        <f>IF(student_scores[[#This Row],[Total_Score]] &gt;= _xlfn.PERCENTILE.INC(student_scores[Total_Score], 0.8), "Yes", "No")</f>
        <v>No</v>
      </c>
    </row>
    <row r="1860" spans="1:22" x14ac:dyDescent="0.35">
      <c r="A1860">
        <v>1859</v>
      </c>
      <c r="B1860" t="s">
        <v>2987</v>
      </c>
      <c r="C1860" t="s">
        <v>62</v>
      </c>
      <c r="D1860" t="s">
        <v>2988</v>
      </c>
      <c r="E1860" t="s">
        <v>20</v>
      </c>
      <c r="F1860" t="b">
        <v>0</v>
      </c>
      <c r="G1860">
        <v>9</v>
      </c>
      <c r="H1860" t="b">
        <v>1</v>
      </c>
      <c r="I1860">
        <v>0</v>
      </c>
      <c r="J1860" t="s">
        <v>64</v>
      </c>
      <c r="K1860">
        <v>53</v>
      </c>
      <c r="L1860">
        <v>95</v>
      </c>
      <c r="M1860">
        <v>87</v>
      </c>
      <c r="N1860">
        <v>60</v>
      </c>
      <c r="O1860">
        <v>68</v>
      </c>
      <c r="P1860">
        <v>74</v>
      </c>
      <c r="Q1860">
        <v>68</v>
      </c>
      <c r="R1860">
        <f>SUM(student_scores[[#This Row],[math_score]:[geography_score]])</f>
        <v>505</v>
      </c>
      <c r="S1860" s="3">
        <f>student_scores[[#This Row],[Total_Score]]/7</f>
        <v>72.142857142857139</v>
      </c>
      <c r="T1860" s="3" t="str" cm="1">
        <f t="array" ref="T1860">_xlfn.IFS(student_scores[[#This Row],[weekly_self_study_hours]]&lt;=5,   "0 - 5", student_scores[[#This Row],[weekly_self_study_hours]]&lt;=10,  "6 - 10", student_scores[[#This Row],[weekly_self_study_hours]]&lt;=20,  "11 - 20",student_scores[[#This Row],[weekly_self_study_hours]]&lt;=30, "21 - 30",TRUE, "31+")</f>
        <v>0 - 5</v>
      </c>
      <c r="U1860" t="str" cm="1">
        <f t="array" ref="U1860">_xlfn.IFS(student_scores[[#This Row],[absence_days]]=0,"0", student_scores[[#This Row],[absence_days]]&lt;=3,"1-3", student_scores[[#This Row],[absence_days]]&lt;=6,"4-6", TRUE,"7-10")</f>
        <v>7-10</v>
      </c>
      <c r="V1860" t="str">
        <f>IF(student_scores[[#This Row],[Total_Score]] &gt;= _xlfn.PERCENTILE.INC(student_scores[Total_Score], 0.8), "Yes", "No")</f>
        <v>No</v>
      </c>
    </row>
    <row r="1861" spans="1:22" x14ac:dyDescent="0.35">
      <c r="A1861">
        <v>1860</v>
      </c>
      <c r="B1861" t="s">
        <v>145</v>
      </c>
      <c r="C1861" t="s">
        <v>2223</v>
      </c>
      <c r="D1861" t="s">
        <v>2989</v>
      </c>
      <c r="E1861" t="s">
        <v>20</v>
      </c>
      <c r="F1861" t="b">
        <v>0</v>
      </c>
      <c r="G1861">
        <v>2</v>
      </c>
      <c r="H1861" t="b">
        <v>1</v>
      </c>
      <c r="I1861">
        <v>26</v>
      </c>
      <c r="J1861" t="s">
        <v>21</v>
      </c>
      <c r="K1861">
        <v>73</v>
      </c>
      <c r="L1861">
        <v>85</v>
      </c>
      <c r="M1861">
        <v>80</v>
      </c>
      <c r="N1861">
        <v>64</v>
      </c>
      <c r="O1861">
        <v>69</v>
      </c>
      <c r="P1861">
        <v>95</v>
      </c>
      <c r="Q1861">
        <v>64</v>
      </c>
      <c r="R1861">
        <f>SUM(student_scores[[#This Row],[math_score]:[geography_score]])</f>
        <v>530</v>
      </c>
      <c r="S1861" s="3">
        <f>student_scores[[#This Row],[Total_Score]]/7</f>
        <v>75.714285714285708</v>
      </c>
      <c r="T1861" s="3" t="str" cm="1">
        <f t="array" ref="T1861">_xlfn.IFS(student_scores[[#This Row],[weekly_self_study_hours]]&lt;=5,   "0 - 5", student_scores[[#This Row],[weekly_self_study_hours]]&lt;=10,  "6 - 10", student_scores[[#This Row],[weekly_self_study_hours]]&lt;=20,  "11 - 20",student_scores[[#This Row],[weekly_self_study_hours]]&lt;=30, "21 - 30",TRUE, "31+")</f>
        <v>21 - 30</v>
      </c>
      <c r="U1861" t="str" cm="1">
        <f t="array" ref="U1861">_xlfn.IFS(student_scores[[#This Row],[absence_days]]=0,"0", student_scores[[#This Row],[absence_days]]&lt;=3,"1-3", student_scores[[#This Row],[absence_days]]&lt;=6,"4-6", TRUE,"7-10")</f>
        <v>1-3</v>
      </c>
      <c r="V1861" t="str">
        <f>IF(student_scores[[#This Row],[Total_Score]] &gt;= _xlfn.PERCENTILE.INC(student_scores[Total_Score], 0.8), "Yes", "No")</f>
        <v>No</v>
      </c>
    </row>
    <row r="1862" spans="1:22" x14ac:dyDescent="0.35">
      <c r="A1862">
        <v>1861</v>
      </c>
      <c r="B1862" t="s">
        <v>89</v>
      </c>
      <c r="C1862" t="s">
        <v>423</v>
      </c>
      <c r="D1862" t="s">
        <v>2990</v>
      </c>
      <c r="E1862" t="s">
        <v>20</v>
      </c>
      <c r="F1862" t="b">
        <v>0</v>
      </c>
      <c r="G1862">
        <v>0</v>
      </c>
      <c r="H1862" t="b">
        <v>0</v>
      </c>
      <c r="I1862">
        <v>19</v>
      </c>
      <c r="J1862" t="s">
        <v>105</v>
      </c>
      <c r="K1862">
        <v>97</v>
      </c>
      <c r="L1862">
        <v>95</v>
      </c>
      <c r="M1862">
        <v>91</v>
      </c>
      <c r="N1862">
        <v>97</v>
      </c>
      <c r="O1862">
        <v>96</v>
      </c>
      <c r="P1862">
        <v>90</v>
      </c>
      <c r="Q1862">
        <v>67</v>
      </c>
      <c r="R1862">
        <f>SUM(student_scores[[#This Row],[math_score]:[geography_score]])</f>
        <v>633</v>
      </c>
      <c r="S1862" s="3">
        <f>student_scores[[#This Row],[Total_Score]]/7</f>
        <v>90.428571428571431</v>
      </c>
      <c r="T1862" s="3" t="str" cm="1">
        <f t="array" ref="T1862">_xlfn.IFS(student_scores[[#This Row],[weekly_self_study_hours]]&lt;=5,   "0 - 5", student_scores[[#This Row],[weekly_self_study_hours]]&lt;=10,  "6 - 10", student_scores[[#This Row],[weekly_self_study_hours]]&lt;=20,  "11 - 20",student_scores[[#This Row],[weekly_self_study_hours]]&lt;=30, "21 - 30",TRUE, "31+")</f>
        <v>11 - 20</v>
      </c>
      <c r="U1862" t="str" cm="1">
        <f t="array" ref="U1862">_xlfn.IFS(student_scores[[#This Row],[absence_days]]=0,"0", student_scores[[#This Row],[absence_days]]&lt;=3,"1-3", student_scores[[#This Row],[absence_days]]&lt;=6,"4-6", TRUE,"7-10")</f>
        <v>0</v>
      </c>
      <c r="V1862" t="str">
        <f>IF(student_scores[[#This Row],[Total_Score]] &gt;= _xlfn.PERCENTILE.INC(student_scores[Total_Score], 0.8), "Yes", "No")</f>
        <v>Yes</v>
      </c>
    </row>
    <row r="1863" spans="1:22" x14ac:dyDescent="0.35">
      <c r="A1863">
        <v>1862</v>
      </c>
      <c r="B1863" t="s">
        <v>248</v>
      </c>
      <c r="C1863" t="s">
        <v>604</v>
      </c>
      <c r="D1863" t="s">
        <v>2991</v>
      </c>
      <c r="E1863" t="s">
        <v>25</v>
      </c>
      <c r="F1863" t="b">
        <v>0</v>
      </c>
      <c r="G1863">
        <v>0</v>
      </c>
      <c r="H1863" t="b">
        <v>0</v>
      </c>
      <c r="I1863">
        <v>3</v>
      </c>
      <c r="J1863" t="s">
        <v>30</v>
      </c>
      <c r="K1863">
        <v>91</v>
      </c>
      <c r="L1863">
        <v>97</v>
      </c>
      <c r="M1863">
        <v>72</v>
      </c>
      <c r="N1863">
        <v>62</v>
      </c>
      <c r="O1863">
        <v>86</v>
      </c>
      <c r="P1863">
        <v>78</v>
      </c>
      <c r="Q1863">
        <v>72</v>
      </c>
      <c r="R1863">
        <f>SUM(student_scores[[#This Row],[math_score]:[geography_score]])</f>
        <v>558</v>
      </c>
      <c r="S1863" s="3">
        <f>student_scores[[#This Row],[Total_Score]]/7</f>
        <v>79.714285714285708</v>
      </c>
      <c r="T1863" s="3" t="str" cm="1">
        <f t="array" ref="T1863">_xlfn.IFS(student_scores[[#This Row],[weekly_self_study_hours]]&lt;=5,   "0 - 5", student_scores[[#This Row],[weekly_self_study_hours]]&lt;=10,  "6 - 10", student_scores[[#This Row],[weekly_self_study_hours]]&lt;=20,  "11 - 20",student_scores[[#This Row],[weekly_self_study_hours]]&lt;=30, "21 - 30",TRUE, "31+")</f>
        <v>0 - 5</v>
      </c>
      <c r="U1863" t="str" cm="1">
        <f t="array" ref="U1863">_xlfn.IFS(student_scores[[#This Row],[absence_days]]=0,"0", student_scores[[#This Row],[absence_days]]&lt;=3,"1-3", student_scores[[#This Row],[absence_days]]&lt;=6,"4-6", TRUE,"7-10")</f>
        <v>0</v>
      </c>
      <c r="V1863" t="str">
        <f>IF(student_scores[[#This Row],[Total_Score]] &gt;= _xlfn.PERCENTILE.INC(student_scores[Total_Score], 0.8), "Yes", "No")</f>
        <v>No</v>
      </c>
    </row>
    <row r="1864" spans="1:22" x14ac:dyDescent="0.35">
      <c r="A1864">
        <v>1863</v>
      </c>
      <c r="B1864" t="s">
        <v>641</v>
      </c>
      <c r="C1864" t="s">
        <v>2322</v>
      </c>
      <c r="D1864" t="s">
        <v>2992</v>
      </c>
      <c r="E1864" t="s">
        <v>20</v>
      </c>
      <c r="F1864" t="b">
        <v>0</v>
      </c>
      <c r="G1864">
        <v>1</v>
      </c>
      <c r="H1864" t="b">
        <v>0</v>
      </c>
      <c r="I1864">
        <v>14</v>
      </c>
      <c r="J1864" t="s">
        <v>105</v>
      </c>
      <c r="K1864">
        <v>91</v>
      </c>
      <c r="L1864">
        <v>65</v>
      </c>
      <c r="M1864">
        <v>75</v>
      </c>
      <c r="N1864">
        <v>60</v>
      </c>
      <c r="O1864">
        <v>93</v>
      </c>
      <c r="P1864">
        <v>79</v>
      </c>
      <c r="Q1864">
        <v>82</v>
      </c>
      <c r="R1864">
        <f>SUM(student_scores[[#This Row],[math_score]:[geography_score]])</f>
        <v>545</v>
      </c>
      <c r="S1864" s="3">
        <f>student_scores[[#This Row],[Total_Score]]/7</f>
        <v>77.857142857142861</v>
      </c>
      <c r="T1864" s="3" t="str" cm="1">
        <f t="array" ref="T1864">_xlfn.IFS(student_scores[[#This Row],[weekly_self_study_hours]]&lt;=5,   "0 - 5", student_scores[[#This Row],[weekly_self_study_hours]]&lt;=10,  "6 - 10", student_scores[[#This Row],[weekly_self_study_hours]]&lt;=20,  "11 - 20",student_scores[[#This Row],[weekly_self_study_hours]]&lt;=30, "21 - 30",TRUE, "31+")</f>
        <v>11 - 20</v>
      </c>
      <c r="U1864" t="str" cm="1">
        <f t="array" ref="U1864">_xlfn.IFS(student_scores[[#This Row],[absence_days]]=0,"0", student_scores[[#This Row],[absence_days]]&lt;=3,"1-3", student_scores[[#This Row],[absence_days]]&lt;=6,"4-6", TRUE,"7-10")</f>
        <v>1-3</v>
      </c>
      <c r="V1864" t="str">
        <f>IF(student_scores[[#This Row],[Total_Score]] &gt;= _xlfn.PERCENTILE.INC(student_scores[Total_Score], 0.8), "Yes", "No")</f>
        <v>No</v>
      </c>
    </row>
    <row r="1865" spans="1:22" x14ac:dyDescent="0.35">
      <c r="A1865">
        <v>1864</v>
      </c>
      <c r="B1865" t="s">
        <v>473</v>
      </c>
      <c r="C1865" t="s">
        <v>403</v>
      </c>
      <c r="D1865" t="s">
        <v>2993</v>
      </c>
      <c r="E1865" t="s">
        <v>20</v>
      </c>
      <c r="F1865" t="b">
        <v>0</v>
      </c>
      <c r="G1865">
        <v>9</v>
      </c>
      <c r="H1865" t="b">
        <v>0</v>
      </c>
      <c r="I1865">
        <v>12</v>
      </c>
      <c r="J1865" t="s">
        <v>109</v>
      </c>
      <c r="K1865">
        <v>81</v>
      </c>
      <c r="L1865">
        <v>72</v>
      </c>
      <c r="M1865">
        <v>87</v>
      </c>
      <c r="N1865">
        <v>84</v>
      </c>
      <c r="O1865">
        <v>97</v>
      </c>
      <c r="P1865">
        <v>94</v>
      </c>
      <c r="Q1865">
        <v>89</v>
      </c>
      <c r="R1865">
        <f>SUM(student_scores[[#This Row],[math_score]:[geography_score]])</f>
        <v>604</v>
      </c>
      <c r="S1865" s="3">
        <f>student_scores[[#This Row],[Total_Score]]/7</f>
        <v>86.285714285714292</v>
      </c>
      <c r="T1865" s="3" t="str" cm="1">
        <f t="array" ref="T1865">_xlfn.IFS(student_scores[[#This Row],[weekly_self_study_hours]]&lt;=5,   "0 - 5", student_scores[[#This Row],[weekly_self_study_hours]]&lt;=10,  "6 - 10", student_scores[[#This Row],[weekly_self_study_hours]]&lt;=20,  "11 - 20",student_scores[[#This Row],[weekly_self_study_hours]]&lt;=30, "21 - 30",TRUE, "31+")</f>
        <v>11 - 20</v>
      </c>
      <c r="U1865" t="str" cm="1">
        <f t="array" ref="U1865">_xlfn.IFS(student_scores[[#This Row],[absence_days]]=0,"0", student_scores[[#This Row],[absence_days]]&lt;=3,"1-3", student_scores[[#This Row],[absence_days]]&lt;=6,"4-6", TRUE,"7-10")</f>
        <v>7-10</v>
      </c>
      <c r="V1865" t="str">
        <f>IF(student_scores[[#This Row],[Total_Score]] &gt;= _xlfn.PERCENTILE.INC(student_scores[Total_Score], 0.8), "Yes", "No")</f>
        <v>Yes</v>
      </c>
    </row>
    <row r="1866" spans="1:22" x14ac:dyDescent="0.35">
      <c r="A1866">
        <v>1865</v>
      </c>
      <c r="B1866" t="s">
        <v>169</v>
      </c>
      <c r="C1866" t="s">
        <v>2704</v>
      </c>
      <c r="D1866" t="s">
        <v>2994</v>
      </c>
      <c r="E1866" t="s">
        <v>20</v>
      </c>
      <c r="F1866" t="b">
        <v>0</v>
      </c>
      <c r="G1866">
        <v>1</v>
      </c>
      <c r="H1866" t="b">
        <v>0</v>
      </c>
      <c r="I1866">
        <v>18</v>
      </c>
      <c r="J1866" t="s">
        <v>44</v>
      </c>
      <c r="K1866">
        <v>92</v>
      </c>
      <c r="L1866">
        <v>99</v>
      </c>
      <c r="M1866">
        <v>100</v>
      </c>
      <c r="N1866">
        <v>64</v>
      </c>
      <c r="O1866">
        <v>100</v>
      </c>
      <c r="P1866">
        <v>65</v>
      </c>
      <c r="Q1866">
        <v>99</v>
      </c>
      <c r="R1866">
        <f>SUM(student_scores[[#This Row],[math_score]:[geography_score]])</f>
        <v>619</v>
      </c>
      <c r="S1866" s="3">
        <f>student_scores[[#This Row],[Total_Score]]/7</f>
        <v>88.428571428571431</v>
      </c>
      <c r="T1866" s="3" t="str" cm="1">
        <f t="array" ref="T1866">_xlfn.IFS(student_scores[[#This Row],[weekly_self_study_hours]]&lt;=5,   "0 - 5", student_scores[[#This Row],[weekly_self_study_hours]]&lt;=10,  "6 - 10", student_scores[[#This Row],[weekly_self_study_hours]]&lt;=20,  "11 - 20",student_scores[[#This Row],[weekly_self_study_hours]]&lt;=30, "21 - 30",TRUE, "31+")</f>
        <v>11 - 20</v>
      </c>
      <c r="U1866" t="str" cm="1">
        <f t="array" ref="U1866">_xlfn.IFS(student_scores[[#This Row],[absence_days]]=0,"0", student_scores[[#This Row],[absence_days]]&lt;=3,"1-3", student_scores[[#This Row],[absence_days]]&lt;=6,"4-6", TRUE,"7-10")</f>
        <v>1-3</v>
      </c>
      <c r="V1866" t="str">
        <f>IF(student_scores[[#This Row],[Total_Score]] &gt;= _xlfn.PERCENTILE.INC(student_scores[Total_Score], 0.8), "Yes", "No")</f>
        <v>Yes</v>
      </c>
    </row>
    <row r="1867" spans="1:22" x14ac:dyDescent="0.35">
      <c r="A1867">
        <v>1866</v>
      </c>
      <c r="B1867" t="s">
        <v>1024</v>
      </c>
      <c r="C1867" t="s">
        <v>100</v>
      </c>
      <c r="D1867" t="s">
        <v>2995</v>
      </c>
      <c r="E1867" t="s">
        <v>20</v>
      </c>
      <c r="F1867" t="b">
        <v>0</v>
      </c>
      <c r="G1867">
        <v>5</v>
      </c>
      <c r="H1867" t="b">
        <v>0</v>
      </c>
      <c r="I1867">
        <v>4</v>
      </c>
      <c r="J1867" t="s">
        <v>64</v>
      </c>
      <c r="K1867">
        <v>85</v>
      </c>
      <c r="L1867">
        <v>53</v>
      </c>
      <c r="M1867">
        <v>95</v>
      </c>
      <c r="N1867">
        <v>76</v>
      </c>
      <c r="O1867">
        <v>61</v>
      </c>
      <c r="P1867">
        <v>88</v>
      </c>
      <c r="Q1867">
        <v>82</v>
      </c>
      <c r="R1867">
        <f>SUM(student_scores[[#This Row],[math_score]:[geography_score]])</f>
        <v>540</v>
      </c>
      <c r="S1867" s="3">
        <f>student_scores[[#This Row],[Total_Score]]/7</f>
        <v>77.142857142857139</v>
      </c>
      <c r="T1867" s="3" t="str" cm="1">
        <f t="array" ref="T1867">_xlfn.IFS(student_scores[[#This Row],[weekly_self_study_hours]]&lt;=5,   "0 - 5", student_scores[[#This Row],[weekly_self_study_hours]]&lt;=10,  "6 - 10", student_scores[[#This Row],[weekly_self_study_hours]]&lt;=20,  "11 - 20",student_scores[[#This Row],[weekly_self_study_hours]]&lt;=30, "21 - 30",TRUE, "31+")</f>
        <v>0 - 5</v>
      </c>
      <c r="U1867" t="str" cm="1">
        <f t="array" ref="U1867">_xlfn.IFS(student_scores[[#This Row],[absence_days]]=0,"0", student_scores[[#This Row],[absence_days]]&lt;=3,"1-3", student_scores[[#This Row],[absence_days]]&lt;=6,"4-6", TRUE,"7-10")</f>
        <v>4-6</v>
      </c>
      <c r="V1867" t="str">
        <f>IF(student_scores[[#This Row],[Total_Score]] &gt;= _xlfn.PERCENTILE.INC(student_scores[Total_Score], 0.8), "Yes", "No")</f>
        <v>No</v>
      </c>
    </row>
    <row r="1868" spans="1:22" x14ac:dyDescent="0.35">
      <c r="A1868">
        <v>1867</v>
      </c>
      <c r="B1868" t="s">
        <v>408</v>
      </c>
      <c r="C1868" t="s">
        <v>2996</v>
      </c>
      <c r="D1868" t="s">
        <v>2997</v>
      </c>
      <c r="E1868" t="s">
        <v>20</v>
      </c>
      <c r="F1868" t="b">
        <v>0</v>
      </c>
      <c r="G1868">
        <v>1</v>
      </c>
      <c r="H1868" t="b">
        <v>0</v>
      </c>
      <c r="I1868">
        <v>34</v>
      </c>
      <c r="J1868" t="s">
        <v>138</v>
      </c>
      <c r="K1868">
        <v>83</v>
      </c>
      <c r="L1868">
        <v>60</v>
      </c>
      <c r="M1868">
        <v>80</v>
      </c>
      <c r="N1868">
        <v>92</v>
      </c>
      <c r="O1868">
        <v>84</v>
      </c>
      <c r="P1868">
        <v>60</v>
      </c>
      <c r="Q1868">
        <v>70</v>
      </c>
      <c r="R1868">
        <f>SUM(student_scores[[#This Row],[math_score]:[geography_score]])</f>
        <v>529</v>
      </c>
      <c r="S1868" s="3">
        <f>student_scores[[#This Row],[Total_Score]]/7</f>
        <v>75.571428571428569</v>
      </c>
      <c r="T1868" s="3" t="str" cm="1">
        <f t="array" ref="T1868">_xlfn.IFS(student_scores[[#This Row],[weekly_self_study_hours]]&lt;=5,   "0 - 5", student_scores[[#This Row],[weekly_self_study_hours]]&lt;=10,  "6 - 10", student_scores[[#This Row],[weekly_self_study_hours]]&lt;=20,  "11 - 20",student_scores[[#This Row],[weekly_self_study_hours]]&lt;=30, "21 - 30",TRUE, "31+")</f>
        <v>31+</v>
      </c>
      <c r="U1868" t="str" cm="1">
        <f t="array" ref="U1868">_xlfn.IFS(student_scores[[#This Row],[absence_days]]=0,"0", student_scores[[#This Row],[absence_days]]&lt;=3,"1-3", student_scores[[#This Row],[absence_days]]&lt;=6,"4-6", TRUE,"7-10")</f>
        <v>1-3</v>
      </c>
      <c r="V1868" t="str">
        <f>IF(student_scores[[#This Row],[Total_Score]] &gt;= _xlfn.PERCENTILE.INC(student_scores[Total_Score], 0.8), "Yes", "No")</f>
        <v>No</v>
      </c>
    </row>
    <row r="1869" spans="1:22" x14ac:dyDescent="0.35">
      <c r="A1869">
        <v>1868</v>
      </c>
      <c r="B1869" t="s">
        <v>1141</v>
      </c>
      <c r="C1869" t="s">
        <v>136</v>
      </c>
      <c r="D1869" t="s">
        <v>2998</v>
      </c>
      <c r="E1869" t="s">
        <v>20</v>
      </c>
      <c r="F1869" t="b">
        <v>0</v>
      </c>
      <c r="G1869">
        <v>2</v>
      </c>
      <c r="H1869" t="b">
        <v>0</v>
      </c>
      <c r="I1869">
        <v>21</v>
      </c>
      <c r="J1869" t="s">
        <v>38</v>
      </c>
      <c r="K1869">
        <v>92</v>
      </c>
      <c r="L1869">
        <v>85</v>
      </c>
      <c r="M1869">
        <v>78</v>
      </c>
      <c r="N1869">
        <v>87</v>
      </c>
      <c r="O1869">
        <v>64</v>
      </c>
      <c r="P1869">
        <v>79</v>
      </c>
      <c r="Q1869">
        <v>74</v>
      </c>
      <c r="R1869">
        <f>SUM(student_scores[[#This Row],[math_score]:[geography_score]])</f>
        <v>559</v>
      </c>
      <c r="S1869" s="3">
        <f>student_scores[[#This Row],[Total_Score]]/7</f>
        <v>79.857142857142861</v>
      </c>
      <c r="T1869" s="3" t="str" cm="1">
        <f t="array" ref="T1869">_xlfn.IFS(student_scores[[#This Row],[weekly_self_study_hours]]&lt;=5,   "0 - 5", student_scores[[#This Row],[weekly_self_study_hours]]&lt;=10,  "6 - 10", student_scores[[#This Row],[weekly_self_study_hours]]&lt;=20,  "11 - 20",student_scores[[#This Row],[weekly_self_study_hours]]&lt;=30, "21 - 30",TRUE, "31+")</f>
        <v>21 - 30</v>
      </c>
      <c r="U1869" t="str" cm="1">
        <f t="array" ref="U1869">_xlfn.IFS(student_scores[[#This Row],[absence_days]]=0,"0", student_scores[[#This Row],[absence_days]]&lt;=3,"1-3", student_scores[[#This Row],[absence_days]]&lt;=6,"4-6", TRUE,"7-10")</f>
        <v>1-3</v>
      </c>
      <c r="V1869" t="str">
        <f>IF(student_scores[[#This Row],[Total_Score]] &gt;= _xlfn.PERCENTILE.INC(student_scores[Total_Score], 0.8), "Yes", "No")</f>
        <v>No</v>
      </c>
    </row>
    <row r="1870" spans="1:22" x14ac:dyDescent="0.35">
      <c r="A1870">
        <v>1869</v>
      </c>
      <c r="B1870" t="s">
        <v>325</v>
      </c>
      <c r="C1870" t="s">
        <v>2254</v>
      </c>
      <c r="D1870" t="s">
        <v>2999</v>
      </c>
      <c r="E1870" t="s">
        <v>25</v>
      </c>
      <c r="F1870" t="b">
        <v>0</v>
      </c>
      <c r="G1870">
        <v>3</v>
      </c>
      <c r="H1870" t="b">
        <v>1</v>
      </c>
      <c r="I1870">
        <v>5</v>
      </c>
      <c r="J1870" t="s">
        <v>224</v>
      </c>
      <c r="K1870">
        <v>80</v>
      </c>
      <c r="L1870">
        <v>88</v>
      </c>
      <c r="M1870">
        <v>94</v>
      </c>
      <c r="N1870">
        <v>60</v>
      </c>
      <c r="O1870">
        <v>65</v>
      </c>
      <c r="P1870">
        <v>63</v>
      </c>
      <c r="Q1870">
        <v>91</v>
      </c>
      <c r="R1870">
        <f>SUM(student_scores[[#This Row],[math_score]:[geography_score]])</f>
        <v>541</v>
      </c>
      <c r="S1870" s="3">
        <f>student_scores[[#This Row],[Total_Score]]/7</f>
        <v>77.285714285714292</v>
      </c>
      <c r="T1870" s="3" t="str" cm="1">
        <f t="array" ref="T1870">_xlfn.IFS(student_scores[[#This Row],[weekly_self_study_hours]]&lt;=5,   "0 - 5", student_scores[[#This Row],[weekly_self_study_hours]]&lt;=10,  "6 - 10", student_scores[[#This Row],[weekly_self_study_hours]]&lt;=20,  "11 - 20",student_scores[[#This Row],[weekly_self_study_hours]]&lt;=30, "21 - 30",TRUE, "31+")</f>
        <v>0 - 5</v>
      </c>
      <c r="U1870" t="str" cm="1">
        <f t="array" ref="U1870">_xlfn.IFS(student_scores[[#This Row],[absence_days]]=0,"0", student_scores[[#This Row],[absence_days]]&lt;=3,"1-3", student_scores[[#This Row],[absence_days]]&lt;=6,"4-6", TRUE,"7-10")</f>
        <v>1-3</v>
      </c>
      <c r="V1870" t="str">
        <f>IF(student_scores[[#This Row],[Total_Score]] &gt;= _xlfn.PERCENTILE.INC(student_scores[Total_Score], 0.8), "Yes", "No")</f>
        <v>No</v>
      </c>
    </row>
    <row r="1871" spans="1:22" x14ac:dyDescent="0.35">
      <c r="A1871">
        <v>1870</v>
      </c>
      <c r="B1871" t="s">
        <v>3000</v>
      </c>
      <c r="C1871" t="s">
        <v>1159</v>
      </c>
      <c r="D1871" t="s">
        <v>3001</v>
      </c>
      <c r="E1871" t="s">
        <v>20</v>
      </c>
      <c r="F1871" t="b">
        <v>0</v>
      </c>
      <c r="G1871">
        <v>1</v>
      </c>
      <c r="H1871" t="b">
        <v>1</v>
      </c>
      <c r="I1871">
        <v>16</v>
      </c>
      <c r="J1871" t="s">
        <v>113</v>
      </c>
      <c r="K1871">
        <v>87</v>
      </c>
      <c r="L1871">
        <v>81</v>
      </c>
      <c r="M1871">
        <v>69</v>
      </c>
      <c r="N1871">
        <v>82</v>
      </c>
      <c r="O1871">
        <v>70</v>
      </c>
      <c r="P1871">
        <v>62</v>
      </c>
      <c r="Q1871">
        <v>66</v>
      </c>
      <c r="R1871">
        <f>SUM(student_scores[[#This Row],[math_score]:[geography_score]])</f>
        <v>517</v>
      </c>
      <c r="S1871" s="3">
        <f>student_scores[[#This Row],[Total_Score]]/7</f>
        <v>73.857142857142861</v>
      </c>
      <c r="T1871" s="3" t="str" cm="1">
        <f t="array" ref="T1871">_xlfn.IFS(student_scores[[#This Row],[weekly_self_study_hours]]&lt;=5,   "0 - 5", student_scores[[#This Row],[weekly_self_study_hours]]&lt;=10,  "6 - 10", student_scores[[#This Row],[weekly_self_study_hours]]&lt;=20,  "11 - 20",student_scores[[#This Row],[weekly_self_study_hours]]&lt;=30, "21 - 30",TRUE, "31+")</f>
        <v>11 - 20</v>
      </c>
      <c r="U1871" t="str" cm="1">
        <f t="array" ref="U1871">_xlfn.IFS(student_scores[[#This Row],[absence_days]]=0,"0", student_scores[[#This Row],[absence_days]]&lt;=3,"1-3", student_scores[[#This Row],[absence_days]]&lt;=6,"4-6", TRUE,"7-10")</f>
        <v>1-3</v>
      </c>
      <c r="V1871" t="str">
        <f>IF(student_scores[[#This Row],[Total_Score]] &gt;= _xlfn.PERCENTILE.INC(student_scores[Total_Score], 0.8), "Yes", "No")</f>
        <v>No</v>
      </c>
    </row>
    <row r="1872" spans="1:22" x14ac:dyDescent="0.35">
      <c r="A1872">
        <v>1871</v>
      </c>
      <c r="B1872" t="s">
        <v>734</v>
      </c>
      <c r="C1872" t="s">
        <v>2792</v>
      </c>
      <c r="D1872" t="s">
        <v>3002</v>
      </c>
      <c r="E1872" t="s">
        <v>25</v>
      </c>
      <c r="F1872" t="b">
        <v>0</v>
      </c>
      <c r="G1872">
        <v>0</v>
      </c>
      <c r="H1872" t="b">
        <v>0</v>
      </c>
      <c r="I1872">
        <v>31</v>
      </c>
      <c r="J1872" t="s">
        <v>76</v>
      </c>
      <c r="K1872">
        <v>88</v>
      </c>
      <c r="L1872">
        <v>61</v>
      </c>
      <c r="M1872">
        <v>95</v>
      </c>
      <c r="N1872">
        <v>91</v>
      </c>
      <c r="O1872">
        <v>99</v>
      </c>
      <c r="P1872">
        <v>64</v>
      </c>
      <c r="Q1872">
        <v>90</v>
      </c>
      <c r="R1872">
        <f>SUM(student_scores[[#This Row],[math_score]:[geography_score]])</f>
        <v>588</v>
      </c>
      <c r="S1872" s="3">
        <f>student_scores[[#This Row],[Total_Score]]/7</f>
        <v>84</v>
      </c>
      <c r="T1872" s="3" t="str" cm="1">
        <f t="array" ref="T1872">_xlfn.IFS(student_scores[[#This Row],[weekly_self_study_hours]]&lt;=5,   "0 - 5", student_scores[[#This Row],[weekly_self_study_hours]]&lt;=10,  "6 - 10", student_scores[[#This Row],[weekly_self_study_hours]]&lt;=20,  "11 - 20",student_scores[[#This Row],[weekly_self_study_hours]]&lt;=30, "21 - 30",TRUE, "31+")</f>
        <v>31+</v>
      </c>
      <c r="U1872" t="str" cm="1">
        <f t="array" ref="U1872">_xlfn.IFS(student_scores[[#This Row],[absence_days]]=0,"0", student_scores[[#This Row],[absence_days]]&lt;=3,"1-3", student_scores[[#This Row],[absence_days]]&lt;=6,"4-6", TRUE,"7-10")</f>
        <v>0</v>
      </c>
      <c r="V1872" t="str">
        <f>IF(student_scores[[#This Row],[Total_Score]] &gt;= _xlfn.PERCENTILE.INC(student_scores[Total_Score], 0.8), "Yes", "No")</f>
        <v>No</v>
      </c>
    </row>
    <row r="1873" spans="1:22" x14ac:dyDescent="0.35">
      <c r="A1873">
        <v>1872</v>
      </c>
      <c r="B1873" t="s">
        <v>449</v>
      </c>
      <c r="C1873" t="s">
        <v>2930</v>
      </c>
      <c r="D1873" t="s">
        <v>3003</v>
      </c>
      <c r="E1873" t="s">
        <v>25</v>
      </c>
      <c r="F1873" t="b">
        <v>1</v>
      </c>
      <c r="G1873">
        <v>6</v>
      </c>
      <c r="H1873" t="b">
        <v>0</v>
      </c>
      <c r="I1873">
        <v>1</v>
      </c>
      <c r="J1873" t="s">
        <v>64</v>
      </c>
      <c r="K1873">
        <v>41</v>
      </c>
      <c r="L1873">
        <v>83</v>
      </c>
      <c r="M1873">
        <v>54</v>
      </c>
      <c r="N1873">
        <v>87</v>
      </c>
      <c r="O1873">
        <v>97</v>
      </c>
      <c r="P1873">
        <v>65</v>
      </c>
      <c r="Q1873">
        <v>69</v>
      </c>
      <c r="R1873">
        <f>SUM(student_scores[[#This Row],[math_score]:[geography_score]])</f>
        <v>496</v>
      </c>
      <c r="S1873" s="3">
        <f>student_scores[[#This Row],[Total_Score]]/7</f>
        <v>70.857142857142861</v>
      </c>
      <c r="T1873" s="3" t="str" cm="1">
        <f t="array" ref="T1873">_xlfn.IFS(student_scores[[#This Row],[weekly_self_study_hours]]&lt;=5,   "0 - 5", student_scores[[#This Row],[weekly_self_study_hours]]&lt;=10,  "6 - 10", student_scores[[#This Row],[weekly_self_study_hours]]&lt;=20,  "11 - 20",student_scores[[#This Row],[weekly_self_study_hours]]&lt;=30, "21 - 30",TRUE, "31+")</f>
        <v>0 - 5</v>
      </c>
      <c r="U1873" t="str" cm="1">
        <f t="array" ref="U1873">_xlfn.IFS(student_scores[[#This Row],[absence_days]]=0,"0", student_scores[[#This Row],[absence_days]]&lt;=3,"1-3", student_scores[[#This Row],[absence_days]]&lt;=6,"4-6", TRUE,"7-10")</f>
        <v>4-6</v>
      </c>
      <c r="V1873" t="str">
        <f>IF(student_scores[[#This Row],[Total_Score]] &gt;= _xlfn.PERCENTILE.INC(student_scores[Total_Score], 0.8), "Yes", "No")</f>
        <v>No</v>
      </c>
    </row>
    <row r="1874" spans="1:22" x14ac:dyDescent="0.35">
      <c r="A1874">
        <v>1873</v>
      </c>
      <c r="B1874" t="s">
        <v>348</v>
      </c>
      <c r="C1874" t="s">
        <v>1232</v>
      </c>
      <c r="D1874" t="s">
        <v>3004</v>
      </c>
      <c r="E1874" t="s">
        <v>20</v>
      </c>
      <c r="F1874" t="b">
        <v>0</v>
      </c>
      <c r="G1874">
        <v>3</v>
      </c>
      <c r="H1874" t="b">
        <v>0</v>
      </c>
      <c r="I1874">
        <v>35</v>
      </c>
      <c r="J1874" t="s">
        <v>105</v>
      </c>
      <c r="K1874">
        <v>87</v>
      </c>
      <c r="L1874">
        <v>93</v>
      </c>
      <c r="M1874">
        <v>88</v>
      </c>
      <c r="N1874">
        <v>97</v>
      </c>
      <c r="O1874">
        <v>91</v>
      </c>
      <c r="P1874">
        <v>88</v>
      </c>
      <c r="Q1874">
        <v>88</v>
      </c>
      <c r="R1874">
        <f>SUM(student_scores[[#This Row],[math_score]:[geography_score]])</f>
        <v>632</v>
      </c>
      <c r="S1874" s="3">
        <f>student_scores[[#This Row],[Total_Score]]/7</f>
        <v>90.285714285714292</v>
      </c>
      <c r="T1874" s="3" t="str" cm="1">
        <f t="array" ref="T1874">_xlfn.IFS(student_scores[[#This Row],[weekly_self_study_hours]]&lt;=5,   "0 - 5", student_scores[[#This Row],[weekly_self_study_hours]]&lt;=10,  "6 - 10", student_scores[[#This Row],[weekly_self_study_hours]]&lt;=20,  "11 - 20",student_scores[[#This Row],[weekly_self_study_hours]]&lt;=30, "21 - 30",TRUE, "31+")</f>
        <v>31+</v>
      </c>
      <c r="U1874" t="str" cm="1">
        <f t="array" ref="U1874">_xlfn.IFS(student_scores[[#This Row],[absence_days]]=0,"0", student_scores[[#This Row],[absence_days]]&lt;=3,"1-3", student_scores[[#This Row],[absence_days]]&lt;=6,"4-6", TRUE,"7-10")</f>
        <v>1-3</v>
      </c>
      <c r="V1874" t="str">
        <f>IF(student_scores[[#This Row],[Total_Score]] &gt;= _xlfn.PERCENTILE.INC(student_scores[Total_Score], 0.8), "Yes", "No")</f>
        <v>Yes</v>
      </c>
    </row>
    <row r="1875" spans="1:22" x14ac:dyDescent="0.35">
      <c r="A1875">
        <v>1874</v>
      </c>
      <c r="B1875" t="s">
        <v>160</v>
      </c>
      <c r="C1875" t="s">
        <v>884</v>
      </c>
      <c r="D1875" t="s">
        <v>3005</v>
      </c>
      <c r="E1875" t="s">
        <v>20</v>
      </c>
      <c r="F1875" t="b">
        <v>0</v>
      </c>
      <c r="G1875">
        <v>1</v>
      </c>
      <c r="H1875" t="b">
        <v>1</v>
      </c>
      <c r="I1875">
        <v>41</v>
      </c>
      <c r="J1875" t="s">
        <v>26</v>
      </c>
      <c r="K1875">
        <v>89</v>
      </c>
      <c r="L1875">
        <v>95</v>
      </c>
      <c r="M1875">
        <v>97</v>
      </c>
      <c r="N1875">
        <v>99</v>
      </c>
      <c r="O1875">
        <v>87</v>
      </c>
      <c r="P1875">
        <v>90</v>
      </c>
      <c r="Q1875">
        <v>91</v>
      </c>
      <c r="R1875">
        <f>SUM(student_scores[[#This Row],[math_score]:[geography_score]])</f>
        <v>648</v>
      </c>
      <c r="S1875" s="3">
        <f>student_scores[[#This Row],[Total_Score]]/7</f>
        <v>92.571428571428569</v>
      </c>
      <c r="T1875" s="3" t="str" cm="1">
        <f t="array" ref="T1875">_xlfn.IFS(student_scores[[#This Row],[weekly_self_study_hours]]&lt;=5,   "0 - 5", student_scores[[#This Row],[weekly_self_study_hours]]&lt;=10,  "6 - 10", student_scores[[#This Row],[weekly_self_study_hours]]&lt;=20,  "11 - 20",student_scores[[#This Row],[weekly_self_study_hours]]&lt;=30, "21 - 30",TRUE, "31+")</f>
        <v>31+</v>
      </c>
      <c r="U1875" t="str" cm="1">
        <f t="array" ref="U1875">_xlfn.IFS(student_scores[[#This Row],[absence_days]]=0,"0", student_scores[[#This Row],[absence_days]]&lt;=3,"1-3", student_scores[[#This Row],[absence_days]]&lt;=6,"4-6", TRUE,"7-10")</f>
        <v>1-3</v>
      </c>
      <c r="V1875" t="str">
        <f>IF(student_scores[[#This Row],[Total_Score]] &gt;= _xlfn.PERCENTILE.INC(student_scores[Total_Score], 0.8), "Yes", "No")</f>
        <v>Yes</v>
      </c>
    </row>
    <row r="1876" spans="1:22" x14ac:dyDescent="0.35">
      <c r="A1876">
        <v>1875</v>
      </c>
      <c r="B1876" t="s">
        <v>86</v>
      </c>
      <c r="C1876" t="s">
        <v>2969</v>
      </c>
      <c r="D1876" t="s">
        <v>3006</v>
      </c>
      <c r="E1876" t="s">
        <v>20</v>
      </c>
      <c r="F1876" t="b">
        <v>1</v>
      </c>
      <c r="G1876">
        <v>5</v>
      </c>
      <c r="H1876" t="b">
        <v>1</v>
      </c>
      <c r="I1876">
        <v>1</v>
      </c>
      <c r="J1876" t="s">
        <v>64</v>
      </c>
      <c r="K1876">
        <v>89</v>
      </c>
      <c r="L1876">
        <v>53</v>
      </c>
      <c r="M1876">
        <v>77</v>
      </c>
      <c r="N1876">
        <v>96</v>
      </c>
      <c r="O1876">
        <v>76</v>
      </c>
      <c r="P1876">
        <v>63</v>
      </c>
      <c r="Q1876">
        <v>90</v>
      </c>
      <c r="R1876">
        <f>SUM(student_scores[[#This Row],[math_score]:[geography_score]])</f>
        <v>544</v>
      </c>
      <c r="S1876" s="3">
        <f>student_scores[[#This Row],[Total_Score]]/7</f>
        <v>77.714285714285708</v>
      </c>
      <c r="T1876" s="3" t="str" cm="1">
        <f t="array" ref="T1876">_xlfn.IFS(student_scores[[#This Row],[weekly_self_study_hours]]&lt;=5,   "0 - 5", student_scores[[#This Row],[weekly_self_study_hours]]&lt;=10,  "6 - 10", student_scores[[#This Row],[weekly_self_study_hours]]&lt;=20,  "11 - 20",student_scores[[#This Row],[weekly_self_study_hours]]&lt;=30, "21 - 30",TRUE, "31+")</f>
        <v>0 - 5</v>
      </c>
      <c r="U1876" t="str" cm="1">
        <f t="array" ref="U1876">_xlfn.IFS(student_scores[[#This Row],[absence_days]]=0,"0", student_scores[[#This Row],[absence_days]]&lt;=3,"1-3", student_scores[[#This Row],[absence_days]]&lt;=6,"4-6", TRUE,"7-10")</f>
        <v>4-6</v>
      </c>
      <c r="V1876" t="str">
        <f>IF(student_scores[[#This Row],[Total_Score]] &gt;= _xlfn.PERCENTILE.INC(student_scores[Total_Score], 0.8), "Yes", "No")</f>
        <v>No</v>
      </c>
    </row>
    <row r="1877" spans="1:22" x14ac:dyDescent="0.35">
      <c r="A1877">
        <v>1876</v>
      </c>
      <c r="B1877" t="s">
        <v>331</v>
      </c>
      <c r="C1877" t="s">
        <v>352</v>
      </c>
      <c r="D1877" t="s">
        <v>3007</v>
      </c>
      <c r="E1877" t="s">
        <v>20</v>
      </c>
      <c r="F1877" t="b">
        <v>0</v>
      </c>
      <c r="G1877">
        <v>2</v>
      </c>
      <c r="H1877" t="b">
        <v>0</v>
      </c>
      <c r="I1877">
        <v>6</v>
      </c>
      <c r="J1877" t="s">
        <v>224</v>
      </c>
      <c r="K1877">
        <v>53</v>
      </c>
      <c r="L1877">
        <v>97</v>
      </c>
      <c r="M1877">
        <v>81</v>
      </c>
      <c r="N1877">
        <v>86</v>
      </c>
      <c r="O1877">
        <v>71</v>
      </c>
      <c r="P1877">
        <v>87</v>
      </c>
      <c r="Q1877">
        <v>78</v>
      </c>
      <c r="R1877">
        <f>SUM(student_scores[[#This Row],[math_score]:[geography_score]])</f>
        <v>553</v>
      </c>
      <c r="S1877" s="3">
        <f>student_scores[[#This Row],[Total_Score]]/7</f>
        <v>79</v>
      </c>
      <c r="T1877" s="3" t="str" cm="1">
        <f t="array" ref="T1877">_xlfn.IFS(student_scores[[#This Row],[weekly_self_study_hours]]&lt;=5,   "0 - 5", student_scores[[#This Row],[weekly_self_study_hours]]&lt;=10,  "6 - 10", student_scores[[#This Row],[weekly_self_study_hours]]&lt;=20,  "11 - 20",student_scores[[#This Row],[weekly_self_study_hours]]&lt;=30, "21 - 30",TRUE, "31+")</f>
        <v>6 - 10</v>
      </c>
      <c r="U1877" t="str" cm="1">
        <f t="array" ref="U1877">_xlfn.IFS(student_scores[[#This Row],[absence_days]]=0,"0", student_scores[[#This Row],[absence_days]]&lt;=3,"1-3", student_scores[[#This Row],[absence_days]]&lt;=6,"4-6", TRUE,"7-10")</f>
        <v>1-3</v>
      </c>
      <c r="V1877" t="str">
        <f>IF(student_scores[[#This Row],[Total_Score]] &gt;= _xlfn.PERCENTILE.INC(student_scores[Total_Score], 0.8), "Yes", "No")</f>
        <v>No</v>
      </c>
    </row>
    <row r="1878" spans="1:22" x14ac:dyDescent="0.35">
      <c r="A1878">
        <v>1877</v>
      </c>
      <c r="B1878" t="s">
        <v>417</v>
      </c>
      <c r="C1878" t="s">
        <v>1803</v>
      </c>
      <c r="D1878" t="s">
        <v>3008</v>
      </c>
      <c r="E1878" t="s">
        <v>25</v>
      </c>
      <c r="F1878" t="b">
        <v>0</v>
      </c>
      <c r="G1878">
        <v>3</v>
      </c>
      <c r="H1878" t="b">
        <v>0</v>
      </c>
      <c r="I1878">
        <v>30</v>
      </c>
      <c r="J1878" t="s">
        <v>76</v>
      </c>
      <c r="K1878">
        <v>92</v>
      </c>
      <c r="L1878">
        <v>88</v>
      </c>
      <c r="M1878">
        <v>99</v>
      </c>
      <c r="N1878">
        <v>92</v>
      </c>
      <c r="O1878">
        <v>89</v>
      </c>
      <c r="P1878">
        <v>66</v>
      </c>
      <c r="Q1878">
        <v>76</v>
      </c>
      <c r="R1878">
        <f>SUM(student_scores[[#This Row],[math_score]:[geography_score]])</f>
        <v>602</v>
      </c>
      <c r="S1878" s="3">
        <f>student_scores[[#This Row],[Total_Score]]/7</f>
        <v>86</v>
      </c>
      <c r="T1878" s="3" t="str" cm="1">
        <f t="array" ref="T1878">_xlfn.IFS(student_scores[[#This Row],[weekly_self_study_hours]]&lt;=5,   "0 - 5", student_scores[[#This Row],[weekly_self_study_hours]]&lt;=10,  "6 - 10", student_scores[[#This Row],[weekly_self_study_hours]]&lt;=20,  "11 - 20",student_scores[[#This Row],[weekly_self_study_hours]]&lt;=30, "21 - 30",TRUE, "31+")</f>
        <v>21 - 30</v>
      </c>
      <c r="U1878" t="str" cm="1">
        <f t="array" ref="U1878">_xlfn.IFS(student_scores[[#This Row],[absence_days]]=0,"0", student_scores[[#This Row],[absence_days]]&lt;=3,"1-3", student_scores[[#This Row],[absence_days]]&lt;=6,"4-6", TRUE,"7-10")</f>
        <v>1-3</v>
      </c>
      <c r="V1878" t="str">
        <f>IF(student_scores[[#This Row],[Total_Score]] &gt;= _xlfn.PERCENTILE.INC(student_scores[Total_Score], 0.8), "Yes", "No")</f>
        <v>Yes</v>
      </c>
    </row>
    <row r="1879" spans="1:22" x14ac:dyDescent="0.35">
      <c r="A1879">
        <v>1878</v>
      </c>
      <c r="B1879" t="s">
        <v>738</v>
      </c>
      <c r="C1879" t="s">
        <v>1975</v>
      </c>
      <c r="D1879" t="s">
        <v>3009</v>
      </c>
      <c r="E1879" t="s">
        <v>25</v>
      </c>
      <c r="F1879" t="b">
        <v>0</v>
      </c>
      <c r="G1879">
        <v>3</v>
      </c>
      <c r="H1879" t="b">
        <v>0</v>
      </c>
      <c r="I1879">
        <v>32</v>
      </c>
      <c r="J1879" t="s">
        <v>105</v>
      </c>
      <c r="K1879">
        <v>85</v>
      </c>
      <c r="L1879">
        <v>84</v>
      </c>
      <c r="M1879">
        <v>66</v>
      </c>
      <c r="N1879">
        <v>66</v>
      </c>
      <c r="O1879">
        <v>78</v>
      </c>
      <c r="P1879">
        <v>98</v>
      </c>
      <c r="Q1879">
        <v>69</v>
      </c>
      <c r="R1879">
        <f>SUM(student_scores[[#This Row],[math_score]:[geography_score]])</f>
        <v>546</v>
      </c>
      <c r="S1879" s="3">
        <f>student_scores[[#This Row],[Total_Score]]/7</f>
        <v>78</v>
      </c>
      <c r="T1879" s="3" t="str" cm="1">
        <f t="array" ref="T1879">_xlfn.IFS(student_scores[[#This Row],[weekly_self_study_hours]]&lt;=5,   "0 - 5", student_scores[[#This Row],[weekly_self_study_hours]]&lt;=10,  "6 - 10", student_scores[[#This Row],[weekly_self_study_hours]]&lt;=20,  "11 - 20",student_scores[[#This Row],[weekly_self_study_hours]]&lt;=30, "21 - 30",TRUE, "31+")</f>
        <v>31+</v>
      </c>
      <c r="U1879" t="str" cm="1">
        <f t="array" ref="U1879">_xlfn.IFS(student_scores[[#This Row],[absence_days]]=0,"0", student_scores[[#This Row],[absence_days]]&lt;=3,"1-3", student_scores[[#This Row],[absence_days]]&lt;=6,"4-6", TRUE,"7-10")</f>
        <v>1-3</v>
      </c>
      <c r="V1879" t="str">
        <f>IF(student_scores[[#This Row],[Total_Score]] &gt;= _xlfn.PERCENTILE.INC(student_scores[Total_Score], 0.8), "Yes", "No")</f>
        <v>No</v>
      </c>
    </row>
    <row r="1880" spans="1:22" x14ac:dyDescent="0.35">
      <c r="A1880">
        <v>1879</v>
      </c>
      <c r="B1880" t="s">
        <v>142</v>
      </c>
      <c r="C1880" t="s">
        <v>1716</v>
      </c>
      <c r="D1880" t="s">
        <v>3010</v>
      </c>
      <c r="E1880" t="s">
        <v>20</v>
      </c>
      <c r="F1880" t="b">
        <v>0</v>
      </c>
      <c r="G1880">
        <v>2</v>
      </c>
      <c r="H1880" t="b">
        <v>0</v>
      </c>
      <c r="I1880">
        <v>18</v>
      </c>
      <c r="J1880" t="s">
        <v>44</v>
      </c>
      <c r="K1880">
        <v>89</v>
      </c>
      <c r="L1880">
        <v>67</v>
      </c>
      <c r="M1880">
        <v>93</v>
      </c>
      <c r="N1880">
        <v>83</v>
      </c>
      <c r="O1880">
        <v>65</v>
      </c>
      <c r="P1880">
        <v>94</v>
      </c>
      <c r="Q1880">
        <v>67</v>
      </c>
      <c r="R1880">
        <f>SUM(student_scores[[#This Row],[math_score]:[geography_score]])</f>
        <v>558</v>
      </c>
      <c r="S1880" s="3">
        <f>student_scores[[#This Row],[Total_Score]]/7</f>
        <v>79.714285714285708</v>
      </c>
      <c r="T1880" s="3" t="str" cm="1">
        <f t="array" ref="T1880">_xlfn.IFS(student_scores[[#This Row],[weekly_self_study_hours]]&lt;=5,   "0 - 5", student_scores[[#This Row],[weekly_self_study_hours]]&lt;=10,  "6 - 10", student_scores[[#This Row],[weekly_self_study_hours]]&lt;=20,  "11 - 20",student_scores[[#This Row],[weekly_self_study_hours]]&lt;=30, "21 - 30",TRUE, "31+")</f>
        <v>11 - 20</v>
      </c>
      <c r="U1880" t="str" cm="1">
        <f t="array" ref="U1880">_xlfn.IFS(student_scores[[#This Row],[absence_days]]=0,"0", student_scores[[#This Row],[absence_days]]&lt;=3,"1-3", student_scores[[#This Row],[absence_days]]&lt;=6,"4-6", TRUE,"7-10")</f>
        <v>1-3</v>
      </c>
      <c r="V1880" t="str">
        <f>IF(student_scores[[#This Row],[Total_Score]] &gt;= _xlfn.PERCENTILE.INC(student_scores[Total_Score], 0.8), "Yes", "No")</f>
        <v>No</v>
      </c>
    </row>
    <row r="1881" spans="1:22" x14ac:dyDescent="0.35">
      <c r="A1881">
        <v>1880</v>
      </c>
      <c r="B1881" t="s">
        <v>1007</v>
      </c>
      <c r="C1881" t="s">
        <v>1159</v>
      </c>
      <c r="D1881" t="s">
        <v>3011</v>
      </c>
      <c r="E1881" t="s">
        <v>20</v>
      </c>
      <c r="F1881" t="b">
        <v>0</v>
      </c>
      <c r="G1881">
        <v>1</v>
      </c>
      <c r="H1881" t="b">
        <v>0</v>
      </c>
      <c r="I1881">
        <v>2</v>
      </c>
      <c r="J1881" t="s">
        <v>64</v>
      </c>
      <c r="K1881">
        <v>98</v>
      </c>
      <c r="L1881">
        <v>92</v>
      </c>
      <c r="M1881">
        <v>82</v>
      </c>
      <c r="N1881">
        <v>56</v>
      </c>
      <c r="O1881">
        <v>71</v>
      </c>
      <c r="P1881">
        <v>79</v>
      </c>
      <c r="Q1881">
        <v>89</v>
      </c>
      <c r="R1881">
        <f>SUM(student_scores[[#This Row],[math_score]:[geography_score]])</f>
        <v>567</v>
      </c>
      <c r="S1881" s="3">
        <f>student_scores[[#This Row],[Total_Score]]/7</f>
        <v>81</v>
      </c>
      <c r="T1881" s="3" t="str" cm="1">
        <f t="array" ref="T1881">_xlfn.IFS(student_scores[[#This Row],[weekly_self_study_hours]]&lt;=5,   "0 - 5", student_scores[[#This Row],[weekly_self_study_hours]]&lt;=10,  "6 - 10", student_scores[[#This Row],[weekly_self_study_hours]]&lt;=20,  "11 - 20",student_scores[[#This Row],[weekly_self_study_hours]]&lt;=30, "21 - 30",TRUE, "31+")</f>
        <v>0 - 5</v>
      </c>
      <c r="U1881" t="str" cm="1">
        <f t="array" ref="U1881">_xlfn.IFS(student_scores[[#This Row],[absence_days]]=0,"0", student_scores[[#This Row],[absence_days]]&lt;=3,"1-3", student_scores[[#This Row],[absence_days]]&lt;=6,"4-6", TRUE,"7-10")</f>
        <v>1-3</v>
      </c>
      <c r="V1881" t="str">
        <f>IF(student_scores[[#This Row],[Total_Score]] &gt;= _xlfn.PERCENTILE.INC(student_scores[Total_Score], 0.8), "Yes", "No")</f>
        <v>No</v>
      </c>
    </row>
    <row r="1882" spans="1:22" x14ac:dyDescent="0.35">
      <c r="A1882">
        <v>1881</v>
      </c>
      <c r="B1882" t="s">
        <v>154</v>
      </c>
      <c r="C1882" t="s">
        <v>623</v>
      </c>
      <c r="D1882" t="s">
        <v>3012</v>
      </c>
      <c r="E1882" t="s">
        <v>25</v>
      </c>
      <c r="F1882" t="b">
        <v>0</v>
      </c>
      <c r="G1882">
        <v>5</v>
      </c>
      <c r="H1882" t="b">
        <v>0</v>
      </c>
      <c r="I1882">
        <v>5</v>
      </c>
      <c r="J1882" t="s">
        <v>64</v>
      </c>
      <c r="K1882">
        <v>66</v>
      </c>
      <c r="L1882">
        <v>52</v>
      </c>
      <c r="M1882">
        <v>71</v>
      </c>
      <c r="N1882">
        <v>76</v>
      </c>
      <c r="O1882">
        <v>67</v>
      </c>
      <c r="P1882">
        <v>72</v>
      </c>
      <c r="Q1882">
        <v>60</v>
      </c>
      <c r="R1882">
        <f>SUM(student_scores[[#This Row],[math_score]:[geography_score]])</f>
        <v>464</v>
      </c>
      <c r="S1882" s="3">
        <f>student_scores[[#This Row],[Total_Score]]/7</f>
        <v>66.285714285714292</v>
      </c>
      <c r="T1882" s="3" t="str" cm="1">
        <f t="array" ref="T1882">_xlfn.IFS(student_scores[[#This Row],[weekly_self_study_hours]]&lt;=5,   "0 - 5", student_scores[[#This Row],[weekly_self_study_hours]]&lt;=10,  "6 - 10", student_scores[[#This Row],[weekly_self_study_hours]]&lt;=20,  "11 - 20",student_scores[[#This Row],[weekly_self_study_hours]]&lt;=30, "21 - 30",TRUE, "31+")</f>
        <v>0 - 5</v>
      </c>
      <c r="U1882" t="str" cm="1">
        <f t="array" ref="U1882">_xlfn.IFS(student_scores[[#This Row],[absence_days]]=0,"0", student_scores[[#This Row],[absence_days]]&lt;=3,"1-3", student_scores[[#This Row],[absence_days]]&lt;=6,"4-6", TRUE,"7-10")</f>
        <v>4-6</v>
      </c>
      <c r="V1882" t="str">
        <f>IF(student_scores[[#This Row],[Total_Score]] &gt;= _xlfn.PERCENTILE.INC(student_scores[Total_Score], 0.8), "Yes", "No")</f>
        <v>No</v>
      </c>
    </row>
    <row r="1883" spans="1:22" x14ac:dyDescent="0.35">
      <c r="A1883">
        <v>1882</v>
      </c>
      <c r="B1883" t="s">
        <v>3013</v>
      </c>
      <c r="C1883" t="s">
        <v>167</v>
      </c>
      <c r="D1883" t="s">
        <v>3014</v>
      </c>
      <c r="E1883" t="s">
        <v>25</v>
      </c>
      <c r="F1883" t="b">
        <v>0</v>
      </c>
      <c r="G1883">
        <v>2</v>
      </c>
      <c r="H1883" t="b">
        <v>0</v>
      </c>
      <c r="I1883">
        <v>32</v>
      </c>
      <c r="J1883" t="s">
        <v>21</v>
      </c>
      <c r="K1883">
        <v>90</v>
      </c>
      <c r="L1883">
        <v>96</v>
      </c>
      <c r="M1883">
        <v>95</v>
      </c>
      <c r="N1883">
        <v>80</v>
      </c>
      <c r="O1883">
        <v>93</v>
      </c>
      <c r="P1883">
        <v>95</v>
      </c>
      <c r="Q1883">
        <v>67</v>
      </c>
      <c r="R1883">
        <f>SUM(student_scores[[#This Row],[math_score]:[geography_score]])</f>
        <v>616</v>
      </c>
      <c r="S1883" s="3">
        <f>student_scores[[#This Row],[Total_Score]]/7</f>
        <v>88</v>
      </c>
      <c r="T1883" s="3" t="str" cm="1">
        <f t="array" ref="T1883">_xlfn.IFS(student_scores[[#This Row],[weekly_self_study_hours]]&lt;=5,   "0 - 5", student_scores[[#This Row],[weekly_self_study_hours]]&lt;=10,  "6 - 10", student_scores[[#This Row],[weekly_self_study_hours]]&lt;=20,  "11 - 20",student_scores[[#This Row],[weekly_self_study_hours]]&lt;=30, "21 - 30",TRUE, "31+")</f>
        <v>31+</v>
      </c>
      <c r="U1883" t="str" cm="1">
        <f t="array" ref="U1883">_xlfn.IFS(student_scores[[#This Row],[absence_days]]=0,"0", student_scores[[#This Row],[absence_days]]&lt;=3,"1-3", student_scores[[#This Row],[absence_days]]&lt;=6,"4-6", TRUE,"7-10")</f>
        <v>1-3</v>
      </c>
      <c r="V1883" t="str">
        <f>IF(student_scores[[#This Row],[Total_Score]] &gt;= _xlfn.PERCENTILE.INC(student_scores[Total_Score], 0.8), "Yes", "No")</f>
        <v>Yes</v>
      </c>
    </row>
    <row r="1884" spans="1:22" x14ac:dyDescent="0.35">
      <c r="A1884">
        <v>1883</v>
      </c>
      <c r="B1884" t="s">
        <v>1852</v>
      </c>
      <c r="C1884" t="s">
        <v>897</v>
      </c>
      <c r="D1884" t="s">
        <v>3015</v>
      </c>
      <c r="E1884" t="s">
        <v>25</v>
      </c>
      <c r="F1884" t="b">
        <v>1</v>
      </c>
      <c r="G1884">
        <v>2</v>
      </c>
      <c r="H1884" t="b">
        <v>0</v>
      </c>
      <c r="I1884">
        <v>18</v>
      </c>
      <c r="J1884" t="s">
        <v>54</v>
      </c>
      <c r="K1884">
        <v>84</v>
      </c>
      <c r="L1884">
        <v>93</v>
      </c>
      <c r="M1884">
        <v>74</v>
      </c>
      <c r="N1884">
        <v>76</v>
      </c>
      <c r="O1884">
        <v>95</v>
      </c>
      <c r="P1884">
        <v>90</v>
      </c>
      <c r="Q1884">
        <v>64</v>
      </c>
      <c r="R1884">
        <f>SUM(student_scores[[#This Row],[math_score]:[geography_score]])</f>
        <v>576</v>
      </c>
      <c r="S1884" s="3">
        <f>student_scores[[#This Row],[Total_Score]]/7</f>
        <v>82.285714285714292</v>
      </c>
      <c r="T1884" s="3" t="str" cm="1">
        <f t="array" ref="T1884">_xlfn.IFS(student_scores[[#This Row],[weekly_self_study_hours]]&lt;=5,   "0 - 5", student_scores[[#This Row],[weekly_self_study_hours]]&lt;=10,  "6 - 10", student_scores[[#This Row],[weekly_self_study_hours]]&lt;=20,  "11 - 20",student_scores[[#This Row],[weekly_self_study_hours]]&lt;=30, "21 - 30",TRUE, "31+")</f>
        <v>11 - 20</v>
      </c>
      <c r="U1884" t="str" cm="1">
        <f t="array" ref="U1884">_xlfn.IFS(student_scores[[#This Row],[absence_days]]=0,"0", student_scores[[#This Row],[absence_days]]&lt;=3,"1-3", student_scores[[#This Row],[absence_days]]&lt;=6,"4-6", TRUE,"7-10")</f>
        <v>1-3</v>
      </c>
      <c r="V1884" t="str">
        <f>IF(student_scores[[#This Row],[Total_Score]] &gt;= _xlfn.PERCENTILE.INC(student_scores[Total_Score], 0.8), "Yes", "No")</f>
        <v>No</v>
      </c>
    </row>
    <row r="1885" spans="1:22" x14ac:dyDescent="0.35">
      <c r="A1885">
        <v>1884</v>
      </c>
      <c r="B1885" t="s">
        <v>741</v>
      </c>
      <c r="C1885" t="s">
        <v>164</v>
      </c>
      <c r="D1885" t="s">
        <v>3016</v>
      </c>
      <c r="E1885" t="s">
        <v>25</v>
      </c>
      <c r="F1885" t="b">
        <v>0</v>
      </c>
      <c r="G1885">
        <v>7</v>
      </c>
      <c r="H1885" t="b">
        <v>0</v>
      </c>
      <c r="I1885">
        <v>27</v>
      </c>
      <c r="J1885" t="s">
        <v>21</v>
      </c>
      <c r="K1885">
        <v>88</v>
      </c>
      <c r="L1885">
        <v>81</v>
      </c>
      <c r="M1885">
        <v>73</v>
      </c>
      <c r="N1885">
        <v>70</v>
      </c>
      <c r="O1885">
        <v>60</v>
      </c>
      <c r="P1885">
        <v>95</v>
      </c>
      <c r="Q1885">
        <v>68</v>
      </c>
      <c r="R1885">
        <f>SUM(student_scores[[#This Row],[math_score]:[geography_score]])</f>
        <v>535</v>
      </c>
      <c r="S1885" s="3">
        <f>student_scores[[#This Row],[Total_Score]]/7</f>
        <v>76.428571428571431</v>
      </c>
      <c r="T1885" s="3" t="str" cm="1">
        <f t="array" ref="T1885">_xlfn.IFS(student_scores[[#This Row],[weekly_self_study_hours]]&lt;=5,   "0 - 5", student_scores[[#This Row],[weekly_self_study_hours]]&lt;=10,  "6 - 10", student_scores[[#This Row],[weekly_self_study_hours]]&lt;=20,  "11 - 20",student_scores[[#This Row],[weekly_self_study_hours]]&lt;=30, "21 - 30",TRUE, "31+")</f>
        <v>21 - 30</v>
      </c>
      <c r="U1885" t="str" cm="1">
        <f t="array" ref="U1885">_xlfn.IFS(student_scores[[#This Row],[absence_days]]=0,"0", student_scores[[#This Row],[absence_days]]&lt;=3,"1-3", student_scores[[#This Row],[absence_days]]&lt;=6,"4-6", TRUE,"7-10")</f>
        <v>7-10</v>
      </c>
      <c r="V1885" t="str">
        <f>IF(student_scores[[#This Row],[Total_Score]] &gt;= _xlfn.PERCENTILE.INC(student_scores[Total_Score], 0.8), "Yes", "No")</f>
        <v>No</v>
      </c>
    </row>
    <row r="1886" spans="1:22" x14ac:dyDescent="0.35">
      <c r="A1886">
        <v>1885</v>
      </c>
      <c r="B1886" t="s">
        <v>1024</v>
      </c>
      <c r="C1886" t="s">
        <v>164</v>
      </c>
      <c r="D1886" t="s">
        <v>3017</v>
      </c>
      <c r="E1886" t="s">
        <v>20</v>
      </c>
      <c r="F1886" t="b">
        <v>0</v>
      </c>
      <c r="G1886">
        <v>3</v>
      </c>
      <c r="H1886" t="b">
        <v>0</v>
      </c>
      <c r="I1886">
        <v>9</v>
      </c>
      <c r="J1886" t="s">
        <v>38</v>
      </c>
      <c r="K1886">
        <v>66</v>
      </c>
      <c r="L1886">
        <v>61</v>
      </c>
      <c r="M1886">
        <v>97</v>
      </c>
      <c r="N1886">
        <v>61</v>
      </c>
      <c r="O1886">
        <v>60</v>
      </c>
      <c r="P1886">
        <v>61</v>
      </c>
      <c r="Q1886">
        <v>98</v>
      </c>
      <c r="R1886">
        <f>SUM(student_scores[[#This Row],[math_score]:[geography_score]])</f>
        <v>504</v>
      </c>
      <c r="S1886" s="3">
        <f>student_scores[[#This Row],[Total_Score]]/7</f>
        <v>72</v>
      </c>
      <c r="T1886" s="3" t="str" cm="1">
        <f t="array" ref="T1886">_xlfn.IFS(student_scores[[#This Row],[weekly_self_study_hours]]&lt;=5,   "0 - 5", student_scores[[#This Row],[weekly_self_study_hours]]&lt;=10,  "6 - 10", student_scores[[#This Row],[weekly_self_study_hours]]&lt;=20,  "11 - 20",student_scores[[#This Row],[weekly_self_study_hours]]&lt;=30, "21 - 30",TRUE, "31+")</f>
        <v>6 - 10</v>
      </c>
      <c r="U1886" t="str" cm="1">
        <f t="array" ref="U1886">_xlfn.IFS(student_scores[[#This Row],[absence_days]]=0,"0", student_scores[[#This Row],[absence_days]]&lt;=3,"1-3", student_scores[[#This Row],[absence_days]]&lt;=6,"4-6", TRUE,"7-10")</f>
        <v>1-3</v>
      </c>
      <c r="V1886" t="str">
        <f>IF(student_scores[[#This Row],[Total_Score]] &gt;= _xlfn.PERCENTILE.INC(student_scores[Total_Score], 0.8), "Yes", "No")</f>
        <v>No</v>
      </c>
    </row>
    <row r="1887" spans="1:22" x14ac:dyDescent="0.35">
      <c r="A1887">
        <v>1886</v>
      </c>
      <c r="B1887" t="s">
        <v>83</v>
      </c>
      <c r="C1887" t="s">
        <v>206</v>
      </c>
      <c r="D1887" t="s">
        <v>3018</v>
      </c>
      <c r="E1887" t="s">
        <v>25</v>
      </c>
      <c r="F1887" t="b">
        <v>0</v>
      </c>
      <c r="G1887">
        <v>2</v>
      </c>
      <c r="H1887" t="b">
        <v>0</v>
      </c>
      <c r="I1887">
        <v>15</v>
      </c>
      <c r="J1887" t="s">
        <v>54</v>
      </c>
      <c r="K1887">
        <v>86</v>
      </c>
      <c r="L1887">
        <v>63</v>
      </c>
      <c r="M1887">
        <v>82</v>
      </c>
      <c r="N1887">
        <v>61</v>
      </c>
      <c r="O1887">
        <v>96</v>
      </c>
      <c r="P1887">
        <v>98</v>
      </c>
      <c r="Q1887">
        <v>83</v>
      </c>
      <c r="R1887">
        <f>SUM(student_scores[[#This Row],[math_score]:[geography_score]])</f>
        <v>569</v>
      </c>
      <c r="S1887" s="3">
        <f>student_scores[[#This Row],[Total_Score]]/7</f>
        <v>81.285714285714292</v>
      </c>
      <c r="T1887" s="3" t="str" cm="1">
        <f t="array" ref="T1887">_xlfn.IFS(student_scores[[#This Row],[weekly_self_study_hours]]&lt;=5,   "0 - 5", student_scores[[#This Row],[weekly_self_study_hours]]&lt;=10,  "6 - 10", student_scores[[#This Row],[weekly_self_study_hours]]&lt;=20,  "11 - 20",student_scores[[#This Row],[weekly_self_study_hours]]&lt;=30, "21 - 30",TRUE, "31+")</f>
        <v>11 - 20</v>
      </c>
      <c r="U1887" t="str" cm="1">
        <f t="array" ref="U1887">_xlfn.IFS(student_scores[[#This Row],[absence_days]]=0,"0", student_scores[[#This Row],[absence_days]]&lt;=3,"1-3", student_scores[[#This Row],[absence_days]]&lt;=6,"4-6", TRUE,"7-10")</f>
        <v>1-3</v>
      </c>
      <c r="V1887" t="str">
        <f>IF(student_scores[[#This Row],[Total_Score]] &gt;= _xlfn.PERCENTILE.INC(student_scores[Total_Score], 0.8), "Yes", "No")</f>
        <v>No</v>
      </c>
    </row>
    <row r="1888" spans="1:22" x14ac:dyDescent="0.35">
      <c r="A1888">
        <v>1887</v>
      </c>
      <c r="B1888" t="s">
        <v>280</v>
      </c>
      <c r="C1888" t="s">
        <v>42</v>
      </c>
      <c r="D1888" t="s">
        <v>3019</v>
      </c>
      <c r="E1888" t="s">
        <v>20</v>
      </c>
      <c r="F1888" t="b">
        <v>0</v>
      </c>
      <c r="G1888">
        <v>9</v>
      </c>
      <c r="H1888" t="b">
        <v>0</v>
      </c>
      <c r="I1888">
        <v>1</v>
      </c>
      <c r="J1888" t="s">
        <v>64</v>
      </c>
      <c r="K1888">
        <v>60</v>
      </c>
      <c r="L1888">
        <v>72</v>
      </c>
      <c r="M1888">
        <v>66</v>
      </c>
      <c r="N1888">
        <v>95</v>
      </c>
      <c r="O1888">
        <v>67</v>
      </c>
      <c r="P1888">
        <v>78</v>
      </c>
      <c r="Q1888">
        <v>94</v>
      </c>
      <c r="R1888">
        <f>SUM(student_scores[[#This Row],[math_score]:[geography_score]])</f>
        <v>532</v>
      </c>
      <c r="S1888" s="3">
        <f>student_scores[[#This Row],[Total_Score]]/7</f>
        <v>76</v>
      </c>
      <c r="T1888" s="3" t="str" cm="1">
        <f t="array" ref="T1888">_xlfn.IFS(student_scores[[#This Row],[weekly_self_study_hours]]&lt;=5,   "0 - 5", student_scores[[#This Row],[weekly_self_study_hours]]&lt;=10,  "6 - 10", student_scores[[#This Row],[weekly_self_study_hours]]&lt;=20,  "11 - 20",student_scores[[#This Row],[weekly_self_study_hours]]&lt;=30, "21 - 30",TRUE, "31+")</f>
        <v>0 - 5</v>
      </c>
      <c r="U1888" t="str" cm="1">
        <f t="array" ref="U1888">_xlfn.IFS(student_scores[[#This Row],[absence_days]]=0,"0", student_scores[[#This Row],[absence_days]]&lt;=3,"1-3", student_scores[[#This Row],[absence_days]]&lt;=6,"4-6", TRUE,"7-10")</f>
        <v>7-10</v>
      </c>
      <c r="V1888" t="str">
        <f>IF(student_scores[[#This Row],[Total_Score]] &gt;= _xlfn.PERCENTILE.INC(student_scores[Total_Score], 0.8), "Yes", "No")</f>
        <v>No</v>
      </c>
    </row>
    <row r="1889" spans="1:25" x14ac:dyDescent="0.35">
      <c r="A1889">
        <v>1888</v>
      </c>
      <c r="B1889" t="s">
        <v>593</v>
      </c>
      <c r="C1889" t="s">
        <v>2160</v>
      </c>
      <c r="D1889" t="s">
        <v>3020</v>
      </c>
      <c r="E1889" t="s">
        <v>25</v>
      </c>
      <c r="F1889" t="b">
        <v>0</v>
      </c>
      <c r="G1889">
        <v>10</v>
      </c>
      <c r="H1889" t="b">
        <v>0</v>
      </c>
      <c r="I1889">
        <v>2</v>
      </c>
      <c r="J1889" t="s">
        <v>64</v>
      </c>
      <c r="K1889">
        <v>41</v>
      </c>
      <c r="L1889">
        <v>59</v>
      </c>
      <c r="M1889">
        <v>69</v>
      </c>
      <c r="N1889">
        <v>70</v>
      </c>
      <c r="O1889">
        <v>100</v>
      </c>
      <c r="P1889">
        <v>65</v>
      </c>
      <c r="Q1889">
        <v>72</v>
      </c>
      <c r="R1889">
        <f>SUM(student_scores[[#This Row],[math_score]:[geography_score]])</f>
        <v>476</v>
      </c>
      <c r="S1889" s="3">
        <f>student_scores[[#This Row],[Total_Score]]/7</f>
        <v>68</v>
      </c>
      <c r="T1889" s="3" t="str" cm="1">
        <f t="array" ref="T1889">_xlfn.IFS(student_scores[[#This Row],[weekly_self_study_hours]]&lt;=5,   "0 - 5", student_scores[[#This Row],[weekly_self_study_hours]]&lt;=10,  "6 - 10", student_scores[[#This Row],[weekly_self_study_hours]]&lt;=20,  "11 - 20",student_scores[[#This Row],[weekly_self_study_hours]]&lt;=30, "21 - 30",TRUE, "31+")</f>
        <v>0 - 5</v>
      </c>
      <c r="U1889" t="str" cm="1">
        <f t="array" ref="U1889">_xlfn.IFS(student_scores[[#This Row],[absence_days]]=0,"0", student_scores[[#This Row],[absence_days]]&lt;=3,"1-3", student_scores[[#This Row],[absence_days]]&lt;=6,"4-6", TRUE,"7-10")</f>
        <v>7-10</v>
      </c>
      <c r="V1889" t="str">
        <f>IF(student_scores[[#This Row],[Total_Score]] &gt;= _xlfn.PERCENTILE.INC(student_scores[Total_Score], 0.8), "Yes", "No")</f>
        <v>No</v>
      </c>
    </row>
    <row r="1890" spans="1:25" x14ac:dyDescent="0.35">
      <c r="A1890">
        <v>1889</v>
      </c>
      <c r="B1890" t="s">
        <v>145</v>
      </c>
      <c r="C1890" t="s">
        <v>3021</v>
      </c>
      <c r="D1890" t="s">
        <v>3022</v>
      </c>
      <c r="E1890" t="s">
        <v>20</v>
      </c>
      <c r="F1890" t="b">
        <v>0</v>
      </c>
      <c r="G1890">
        <v>2</v>
      </c>
      <c r="H1890" t="b">
        <v>0</v>
      </c>
      <c r="I1890">
        <v>31</v>
      </c>
      <c r="J1890" t="s">
        <v>44</v>
      </c>
      <c r="K1890">
        <v>94</v>
      </c>
      <c r="L1890">
        <v>62</v>
      </c>
      <c r="M1890">
        <v>66</v>
      </c>
      <c r="N1890">
        <v>95</v>
      </c>
      <c r="O1890">
        <v>66</v>
      </c>
      <c r="P1890">
        <v>64</v>
      </c>
      <c r="Q1890">
        <v>62</v>
      </c>
      <c r="R1890">
        <f>SUM(student_scores[[#This Row],[math_score]:[geography_score]])</f>
        <v>509</v>
      </c>
      <c r="S1890" s="3">
        <f>student_scores[[#This Row],[Total_Score]]/7</f>
        <v>72.714285714285708</v>
      </c>
      <c r="T1890" s="3" t="str" cm="1">
        <f t="array" ref="T1890">_xlfn.IFS(student_scores[[#This Row],[weekly_self_study_hours]]&lt;=5,   "0 - 5", student_scores[[#This Row],[weekly_self_study_hours]]&lt;=10,  "6 - 10", student_scores[[#This Row],[weekly_self_study_hours]]&lt;=20,  "11 - 20",student_scores[[#This Row],[weekly_self_study_hours]]&lt;=30, "21 - 30",TRUE, "31+")</f>
        <v>31+</v>
      </c>
      <c r="U1890" t="str" cm="1">
        <f t="array" ref="U1890">_xlfn.IFS(student_scores[[#This Row],[absence_days]]=0,"0", student_scores[[#This Row],[absence_days]]&lt;=3,"1-3", student_scores[[#This Row],[absence_days]]&lt;=6,"4-6", TRUE,"7-10")</f>
        <v>1-3</v>
      </c>
      <c r="V1890" t="str">
        <f>IF(student_scores[[#This Row],[Total_Score]] &gt;= _xlfn.PERCENTILE.INC(student_scores[Total_Score], 0.8), "Yes", "No")</f>
        <v>No</v>
      </c>
    </row>
    <row r="1891" spans="1:25" x14ac:dyDescent="0.35">
      <c r="A1891">
        <v>1890</v>
      </c>
      <c r="B1891" t="s">
        <v>493</v>
      </c>
      <c r="C1891" t="s">
        <v>990</v>
      </c>
      <c r="D1891" t="s">
        <v>3023</v>
      </c>
      <c r="E1891" t="s">
        <v>25</v>
      </c>
      <c r="F1891" t="b">
        <v>0</v>
      </c>
      <c r="G1891">
        <v>3</v>
      </c>
      <c r="H1891" t="b">
        <v>0</v>
      </c>
      <c r="I1891">
        <v>2</v>
      </c>
      <c r="J1891" t="s">
        <v>34</v>
      </c>
      <c r="K1891">
        <v>64</v>
      </c>
      <c r="L1891">
        <v>69</v>
      </c>
      <c r="M1891">
        <v>79</v>
      </c>
      <c r="N1891">
        <v>89</v>
      </c>
      <c r="O1891">
        <v>72</v>
      </c>
      <c r="P1891">
        <v>64</v>
      </c>
      <c r="Q1891">
        <v>82</v>
      </c>
      <c r="R1891">
        <f>SUM(student_scores[[#This Row],[math_score]:[geography_score]])</f>
        <v>519</v>
      </c>
      <c r="S1891" s="3">
        <f>student_scores[[#This Row],[Total_Score]]/7</f>
        <v>74.142857142857139</v>
      </c>
      <c r="T1891" s="3" t="str" cm="1">
        <f t="array" ref="T1891">_xlfn.IFS(student_scores[[#This Row],[weekly_self_study_hours]]&lt;=5,   "0 - 5", student_scores[[#This Row],[weekly_self_study_hours]]&lt;=10,  "6 - 10", student_scores[[#This Row],[weekly_self_study_hours]]&lt;=20,  "11 - 20",student_scores[[#This Row],[weekly_self_study_hours]]&lt;=30, "21 - 30",TRUE, "31+")</f>
        <v>0 - 5</v>
      </c>
      <c r="U1891" t="str" cm="1">
        <f t="array" ref="U1891">_xlfn.IFS(student_scores[[#This Row],[absence_days]]=0,"0", student_scores[[#This Row],[absence_days]]&lt;=3,"1-3", student_scores[[#This Row],[absence_days]]&lt;=6,"4-6", TRUE,"7-10")</f>
        <v>1-3</v>
      </c>
      <c r="V1891" t="str">
        <f>IF(student_scores[[#This Row],[Total_Score]] &gt;= _xlfn.PERCENTILE.INC(student_scores[Total_Score], 0.8), "Yes", "No")</f>
        <v>No</v>
      </c>
    </row>
    <row r="1892" spans="1:25" x14ac:dyDescent="0.35">
      <c r="A1892">
        <v>1891</v>
      </c>
      <c r="B1892" t="s">
        <v>2007</v>
      </c>
      <c r="C1892" t="s">
        <v>2953</v>
      </c>
      <c r="D1892" t="s">
        <v>3024</v>
      </c>
      <c r="E1892" t="s">
        <v>25</v>
      </c>
      <c r="F1892" t="b">
        <v>1</v>
      </c>
      <c r="G1892">
        <v>4</v>
      </c>
      <c r="H1892" t="b">
        <v>0</v>
      </c>
      <c r="I1892">
        <v>2</v>
      </c>
      <c r="J1892" t="s">
        <v>159</v>
      </c>
      <c r="K1892">
        <v>99</v>
      </c>
      <c r="L1892">
        <v>97</v>
      </c>
      <c r="M1892">
        <v>87</v>
      </c>
      <c r="N1892">
        <v>93</v>
      </c>
      <c r="O1892">
        <v>79</v>
      </c>
      <c r="P1892">
        <v>83</v>
      </c>
      <c r="Q1892">
        <v>94</v>
      </c>
      <c r="R1892">
        <f>SUM(student_scores[[#This Row],[math_score]:[geography_score]])</f>
        <v>632</v>
      </c>
      <c r="S1892" s="3">
        <f>student_scores[[#This Row],[Total_Score]]/7</f>
        <v>90.285714285714292</v>
      </c>
      <c r="T1892" s="3" t="str" cm="1">
        <f t="array" ref="T1892">_xlfn.IFS(student_scores[[#This Row],[weekly_self_study_hours]]&lt;=5,   "0 - 5", student_scores[[#This Row],[weekly_self_study_hours]]&lt;=10,  "6 - 10", student_scores[[#This Row],[weekly_self_study_hours]]&lt;=20,  "11 - 20",student_scores[[#This Row],[weekly_self_study_hours]]&lt;=30, "21 - 30",TRUE, "31+")</f>
        <v>0 - 5</v>
      </c>
      <c r="U1892" t="str" cm="1">
        <f t="array" ref="U1892">_xlfn.IFS(student_scores[[#This Row],[absence_days]]=0,"0", student_scores[[#This Row],[absence_days]]&lt;=3,"1-3", student_scores[[#This Row],[absence_days]]&lt;=6,"4-6", TRUE,"7-10")</f>
        <v>4-6</v>
      </c>
      <c r="V1892" t="str">
        <f>IF(student_scores[[#This Row],[Total_Score]] &gt;= _xlfn.PERCENTILE.INC(student_scores[Total_Score], 0.8), "Yes", "No")</f>
        <v>Yes</v>
      </c>
    </row>
    <row r="1893" spans="1:25" x14ac:dyDescent="0.35">
      <c r="A1893">
        <v>1892</v>
      </c>
      <c r="B1893" t="s">
        <v>61</v>
      </c>
      <c r="C1893" t="s">
        <v>612</v>
      </c>
      <c r="D1893" t="s">
        <v>3025</v>
      </c>
      <c r="E1893" t="s">
        <v>25</v>
      </c>
      <c r="F1893" t="b">
        <v>1</v>
      </c>
      <c r="G1893">
        <v>6</v>
      </c>
      <c r="H1893" t="b">
        <v>0</v>
      </c>
      <c r="I1893">
        <v>5</v>
      </c>
      <c r="J1893" t="s">
        <v>64</v>
      </c>
      <c r="K1893">
        <v>46</v>
      </c>
      <c r="L1893">
        <v>53</v>
      </c>
      <c r="M1893">
        <v>92</v>
      </c>
      <c r="N1893">
        <v>71</v>
      </c>
      <c r="O1893">
        <v>90</v>
      </c>
      <c r="P1893">
        <v>76</v>
      </c>
      <c r="Q1893">
        <v>81</v>
      </c>
      <c r="R1893">
        <f>SUM(student_scores[[#This Row],[math_score]:[geography_score]])</f>
        <v>509</v>
      </c>
      <c r="S1893" s="3">
        <f>student_scores[[#This Row],[Total_Score]]/7</f>
        <v>72.714285714285708</v>
      </c>
      <c r="T1893" s="3" t="str" cm="1">
        <f t="array" ref="T1893">_xlfn.IFS(student_scores[[#This Row],[weekly_self_study_hours]]&lt;=5,   "0 - 5", student_scores[[#This Row],[weekly_self_study_hours]]&lt;=10,  "6 - 10", student_scores[[#This Row],[weekly_self_study_hours]]&lt;=20,  "11 - 20",student_scores[[#This Row],[weekly_self_study_hours]]&lt;=30, "21 - 30",TRUE, "31+")</f>
        <v>0 - 5</v>
      </c>
      <c r="U1893" t="str" cm="1">
        <f t="array" ref="U1893">_xlfn.IFS(student_scores[[#This Row],[absence_days]]=0,"0", student_scores[[#This Row],[absence_days]]&lt;=3,"1-3", student_scores[[#This Row],[absence_days]]&lt;=6,"4-6", TRUE,"7-10")</f>
        <v>4-6</v>
      </c>
      <c r="V1893" t="str">
        <f>IF(student_scores[[#This Row],[Total_Score]] &gt;= _xlfn.PERCENTILE.INC(student_scores[Total_Score], 0.8), "Yes", "No")</f>
        <v>No</v>
      </c>
    </row>
    <row r="1894" spans="1:25" x14ac:dyDescent="0.35">
      <c r="A1894">
        <v>1893</v>
      </c>
      <c r="B1894" t="s">
        <v>792</v>
      </c>
      <c r="C1894" t="s">
        <v>264</v>
      </c>
      <c r="D1894" t="s">
        <v>3026</v>
      </c>
      <c r="E1894" t="s">
        <v>20</v>
      </c>
      <c r="F1894" t="b">
        <v>0</v>
      </c>
      <c r="G1894">
        <v>1</v>
      </c>
      <c r="H1894" t="b">
        <v>0</v>
      </c>
      <c r="I1894">
        <v>21</v>
      </c>
      <c r="J1894" t="s">
        <v>44</v>
      </c>
      <c r="K1894">
        <v>89</v>
      </c>
      <c r="L1894">
        <v>87</v>
      </c>
      <c r="M1894">
        <v>81</v>
      </c>
      <c r="N1894">
        <v>67</v>
      </c>
      <c r="O1894">
        <v>93</v>
      </c>
      <c r="P1894">
        <v>98</v>
      </c>
      <c r="Q1894">
        <v>68</v>
      </c>
      <c r="R1894">
        <f>SUM(student_scores[[#This Row],[math_score]:[geography_score]])</f>
        <v>583</v>
      </c>
      <c r="S1894" s="3">
        <f>student_scores[[#This Row],[Total_Score]]/7</f>
        <v>83.285714285714292</v>
      </c>
      <c r="T1894" s="3" t="str" cm="1">
        <f t="array" ref="T1894">_xlfn.IFS(student_scores[[#This Row],[weekly_self_study_hours]]&lt;=5,   "0 - 5", student_scores[[#This Row],[weekly_self_study_hours]]&lt;=10,  "6 - 10", student_scores[[#This Row],[weekly_self_study_hours]]&lt;=20,  "11 - 20",student_scores[[#This Row],[weekly_self_study_hours]]&lt;=30, "21 - 30",TRUE, "31+")</f>
        <v>21 - 30</v>
      </c>
      <c r="U1894" t="str" cm="1">
        <f t="array" ref="U1894">_xlfn.IFS(student_scores[[#This Row],[absence_days]]=0,"0", student_scores[[#This Row],[absence_days]]&lt;=3,"1-3", student_scores[[#This Row],[absence_days]]&lt;=6,"4-6", TRUE,"7-10")</f>
        <v>1-3</v>
      </c>
      <c r="V1894" t="str">
        <f>IF(student_scores[[#This Row],[Total_Score]] &gt;= _xlfn.PERCENTILE.INC(student_scores[Total_Score], 0.8), "Yes", "No")</f>
        <v>No</v>
      </c>
    </row>
    <row r="1895" spans="1:25" x14ac:dyDescent="0.35">
      <c r="A1895">
        <v>1894</v>
      </c>
      <c r="B1895" t="s">
        <v>468</v>
      </c>
      <c r="C1895" t="s">
        <v>635</v>
      </c>
      <c r="D1895" t="s">
        <v>3027</v>
      </c>
      <c r="E1895" t="s">
        <v>25</v>
      </c>
      <c r="F1895" t="b">
        <v>0</v>
      </c>
      <c r="G1895">
        <v>6</v>
      </c>
      <c r="H1895" t="b">
        <v>0</v>
      </c>
      <c r="I1895">
        <v>12</v>
      </c>
      <c r="J1895" t="s">
        <v>123</v>
      </c>
      <c r="K1895">
        <v>83</v>
      </c>
      <c r="L1895">
        <v>79</v>
      </c>
      <c r="M1895">
        <v>87</v>
      </c>
      <c r="N1895">
        <v>66</v>
      </c>
      <c r="O1895">
        <v>78</v>
      </c>
      <c r="P1895">
        <v>93</v>
      </c>
      <c r="Q1895">
        <v>82</v>
      </c>
      <c r="R1895">
        <f>SUM(student_scores[[#This Row],[math_score]:[geography_score]])</f>
        <v>568</v>
      </c>
      <c r="S1895" s="3">
        <f>student_scores[[#This Row],[Total_Score]]/7</f>
        <v>81.142857142857139</v>
      </c>
      <c r="T1895" s="3" t="str" cm="1">
        <f t="array" ref="T1895">_xlfn.IFS(student_scores[[#This Row],[weekly_self_study_hours]]&lt;=5,   "0 - 5", student_scores[[#This Row],[weekly_self_study_hours]]&lt;=10,  "6 - 10", student_scores[[#This Row],[weekly_self_study_hours]]&lt;=20,  "11 - 20",student_scores[[#This Row],[weekly_self_study_hours]]&lt;=30, "21 - 30",TRUE, "31+")</f>
        <v>11 - 20</v>
      </c>
      <c r="U1895" t="str" cm="1">
        <f t="array" ref="U1895">_xlfn.IFS(student_scores[[#This Row],[absence_days]]=0,"0", student_scores[[#This Row],[absence_days]]&lt;=3,"1-3", student_scores[[#This Row],[absence_days]]&lt;=6,"4-6", TRUE,"7-10")</f>
        <v>4-6</v>
      </c>
      <c r="V1895" t="str">
        <f>IF(student_scores[[#This Row],[Total_Score]] &gt;= _xlfn.PERCENTILE.INC(student_scores[Total_Score], 0.8), "Yes", "No")</f>
        <v>No</v>
      </c>
    </row>
    <row r="1896" spans="1:25" x14ac:dyDescent="0.35">
      <c r="A1896">
        <v>1895</v>
      </c>
      <c r="B1896" t="s">
        <v>1605</v>
      </c>
      <c r="C1896" t="s">
        <v>1307</v>
      </c>
      <c r="D1896" t="s">
        <v>3028</v>
      </c>
      <c r="E1896" t="s">
        <v>25</v>
      </c>
      <c r="F1896" t="b">
        <v>1</v>
      </c>
      <c r="G1896">
        <v>5</v>
      </c>
      <c r="H1896" t="b">
        <v>0</v>
      </c>
      <c r="I1896">
        <v>0</v>
      </c>
      <c r="J1896" t="s">
        <v>64</v>
      </c>
      <c r="K1896">
        <v>51</v>
      </c>
      <c r="L1896">
        <v>55</v>
      </c>
      <c r="M1896">
        <v>87</v>
      </c>
      <c r="N1896">
        <v>51</v>
      </c>
      <c r="O1896">
        <v>77</v>
      </c>
      <c r="P1896">
        <v>87</v>
      </c>
      <c r="Q1896">
        <v>65</v>
      </c>
      <c r="R1896">
        <f>SUM(student_scores[[#This Row],[math_score]:[geography_score]])</f>
        <v>473</v>
      </c>
      <c r="S1896" s="3">
        <f>student_scores[[#This Row],[Total_Score]]/7</f>
        <v>67.571428571428569</v>
      </c>
      <c r="T1896" s="3" t="str" cm="1">
        <f t="array" ref="T1896">_xlfn.IFS(student_scores[[#This Row],[weekly_self_study_hours]]&lt;=5,   "0 - 5", student_scores[[#This Row],[weekly_self_study_hours]]&lt;=10,  "6 - 10", student_scores[[#This Row],[weekly_self_study_hours]]&lt;=20,  "11 - 20",student_scores[[#This Row],[weekly_self_study_hours]]&lt;=30, "21 - 30",TRUE, "31+")</f>
        <v>0 - 5</v>
      </c>
      <c r="U1896" t="str" cm="1">
        <f t="array" ref="U1896">_xlfn.IFS(student_scores[[#This Row],[absence_days]]=0,"0", student_scores[[#This Row],[absence_days]]&lt;=3,"1-3", student_scores[[#This Row],[absence_days]]&lt;=6,"4-6", TRUE,"7-10")</f>
        <v>4-6</v>
      </c>
      <c r="V1896" t="str">
        <f>IF(student_scores[[#This Row],[Total_Score]] &gt;= _xlfn.PERCENTILE.INC(student_scores[Total_Score], 0.8), "Yes", "No")</f>
        <v>No</v>
      </c>
    </row>
    <row r="1897" spans="1:25" x14ac:dyDescent="0.35">
      <c r="A1897">
        <v>1896</v>
      </c>
      <c r="B1897" t="s">
        <v>266</v>
      </c>
      <c r="C1897" t="s">
        <v>52</v>
      </c>
      <c r="D1897" t="s">
        <v>3029</v>
      </c>
      <c r="E1897" t="s">
        <v>20</v>
      </c>
      <c r="F1897" t="b">
        <v>0</v>
      </c>
      <c r="G1897">
        <v>5</v>
      </c>
      <c r="H1897" t="b">
        <v>0</v>
      </c>
      <c r="I1897">
        <v>26</v>
      </c>
      <c r="J1897" t="s">
        <v>113</v>
      </c>
      <c r="K1897">
        <v>79</v>
      </c>
      <c r="L1897">
        <v>90</v>
      </c>
      <c r="M1897">
        <v>82</v>
      </c>
      <c r="N1897">
        <v>92</v>
      </c>
      <c r="O1897">
        <v>70</v>
      </c>
      <c r="P1897">
        <v>60</v>
      </c>
      <c r="Q1897">
        <v>80</v>
      </c>
      <c r="R1897">
        <f>SUM(student_scores[[#This Row],[math_score]:[geography_score]])</f>
        <v>553</v>
      </c>
      <c r="S1897" s="3">
        <f>student_scores[[#This Row],[Total_Score]]/7</f>
        <v>79</v>
      </c>
      <c r="T1897" s="3" t="str" cm="1">
        <f t="array" ref="T1897">_xlfn.IFS(student_scores[[#This Row],[weekly_self_study_hours]]&lt;=5,   "0 - 5", student_scores[[#This Row],[weekly_self_study_hours]]&lt;=10,  "6 - 10", student_scores[[#This Row],[weekly_self_study_hours]]&lt;=20,  "11 - 20",student_scores[[#This Row],[weekly_self_study_hours]]&lt;=30, "21 - 30",TRUE, "31+")</f>
        <v>21 - 30</v>
      </c>
      <c r="U1897" t="str" cm="1">
        <f t="array" ref="U1897">_xlfn.IFS(student_scores[[#This Row],[absence_days]]=0,"0", student_scores[[#This Row],[absence_days]]&lt;=3,"1-3", student_scores[[#This Row],[absence_days]]&lt;=6,"4-6", TRUE,"7-10")</f>
        <v>4-6</v>
      </c>
      <c r="V1897" t="str">
        <f>IF(student_scores[[#This Row],[Total_Score]] &gt;= _xlfn.PERCENTILE.INC(student_scores[Total_Score], 0.8), "Yes", "No")</f>
        <v>No</v>
      </c>
    </row>
    <row r="1898" spans="1:25" x14ac:dyDescent="0.35">
      <c r="A1898">
        <v>1897</v>
      </c>
      <c r="B1898" t="s">
        <v>277</v>
      </c>
      <c r="C1898" t="s">
        <v>756</v>
      </c>
      <c r="D1898" t="s">
        <v>3030</v>
      </c>
      <c r="E1898" t="s">
        <v>20</v>
      </c>
      <c r="F1898" t="b">
        <v>0</v>
      </c>
      <c r="G1898">
        <v>3</v>
      </c>
      <c r="H1898" t="b">
        <v>0</v>
      </c>
      <c r="I1898">
        <v>15</v>
      </c>
      <c r="J1898" t="s">
        <v>113</v>
      </c>
      <c r="K1898">
        <v>97</v>
      </c>
      <c r="L1898">
        <v>73</v>
      </c>
      <c r="M1898">
        <v>64</v>
      </c>
      <c r="N1898">
        <v>95</v>
      </c>
      <c r="O1898">
        <v>71</v>
      </c>
      <c r="P1898">
        <v>68</v>
      </c>
      <c r="Q1898">
        <v>78</v>
      </c>
      <c r="R1898">
        <f>SUM(student_scores[[#This Row],[math_score]:[geography_score]])</f>
        <v>546</v>
      </c>
      <c r="S1898" s="3">
        <f>student_scores[[#This Row],[Total_Score]]/7</f>
        <v>78</v>
      </c>
      <c r="T1898" s="3" t="str" cm="1">
        <f t="array" ref="T1898">_xlfn.IFS(student_scores[[#This Row],[weekly_self_study_hours]]&lt;=5,   "0 - 5", student_scores[[#This Row],[weekly_self_study_hours]]&lt;=10,  "6 - 10", student_scores[[#This Row],[weekly_self_study_hours]]&lt;=20,  "11 - 20",student_scores[[#This Row],[weekly_self_study_hours]]&lt;=30, "21 - 30",TRUE, "31+")</f>
        <v>11 - 20</v>
      </c>
      <c r="U1898" t="str" cm="1">
        <f t="array" ref="U1898">_xlfn.IFS(student_scores[[#This Row],[absence_days]]=0,"0", student_scores[[#This Row],[absence_days]]&lt;=3,"1-3", student_scores[[#This Row],[absence_days]]&lt;=6,"4-6", TRUE,"7-10")</f>
        <v>1-3</v>
      </c>
      <c r="V1898" t="str">
        <f>IF(student_scores[[#This Row],[Total_Score]] &gt;= _xlfn.PERCENTILE.INC(student_scores[Total_Score], 0.8), "Yes", "No")</f>
        <v>No</v>
      </c>
    </row>
    <row r="1899" spans="1:25" x14ac:dyDescent="0.35">
      <c r="A1899">
        <v>1898</v>
      </c>
      <c r="B1899" t="s">
        <v>845</v>
      </c>
      <c r="C1899" t="s">
        <v>42</v>
      </c>
      <c r="D1899" t="s">
        <v>3031</v>
      </c>
      <c r="E1899" t="s">
        <v>25</v>
      </c>
      <c r="F1899" t="b">
        <v>1</v>
      </c>
      <c r="G1899">
        <v>1</v>
      </c>
      <c r="H1899" t="b">
        <v>0</v>
      </c>
      <c r="I1899">
        <v>14</v>
      </c>
      <c r="J1899" t="s">
        <v>113</v>
      </c>
      <c r="K1899">
        <v>100</v>
      </c>
      <c r="L1899">
        <v>68</v>
      </c>
      <c r="M1899">
        <v>85</v>
      </c>
      <c r="N1899">
        <v>85</v>
      </c>
      <c r="O1899">
        <v>62</v>
      </c>
      <c r="P1899">
        <v>63</v>
      </c>
      <c r="Q1899">
        <v>92</v>
      </c>
      <c r="R1899">
        <f>SUM(student_scores[[#This Row],[math_score]:[geography_score]])</f>
        <v>555</v>
      </c>
      <c r="S1899" s="3">
        <f>student_scores[[#This Row],[Total_Score]]/7</f>
        <v>79.285714285714292</v>
      </c>
      <c r="T1899" s="3" t="str" cm="1">
        <f t="array" ref="T1899">_xlfn.IFS(student_scores[[#This Row],[weekly_self_study_hours]]&lt;=5,   "0 - 5", student_scores[[#This Row],[weekly_self_study_hours]]&lt;=10,  "6 - 10", student_scores[[#This Row],[weekly_self_study_hours]]&lt;=20,  "11 - 20",student_scores[[#This Row],[weekly_self_study_hours]]&lt;=30, "21 - 30",TRUE, "31+")</f>
        <v>11 - 20</v>
      </c>
      <c r="U1899" t="str" cm="1">
        <f t="array" ref="U1899">_xlfn.IFS(student_scores[[#This Row],[absence_days]]=0,"0", student_scores[[#This Row],[absence_days]]&lt;=3,"1-3", student_scores[[#This Row],[absence_days]]&lt;=6,"4-6", TRUE,"7-10")</f>
        <v>1-3</v>
      </c>
      <c r="V1899" t="str">
        <f>IF(student_scores[[#This Row],[Total_Score]] &gt;= _xlfn.PERCENTILE.INC(student_scores[Total_Score], 0.8), "Yes", "No")</f>
        <v>No</v>
      </c>
    </row>
    <row r="1900" spans="1:25" x14ac:dyDescent="0.35">
      <c r="A1900">
        <v>1899</v>
      </c>
      <c r="B1900" t="s">
        <v>61</v>
      </c>
      <c r="C1900" t="s">
        <v>2187</v>
      </c>
      <c r="D1900" t="s">
        <v>3032</v>
      </c>
      <c r="E1900" t="s">
        <v>25</v>
      </c>
      <c r="F1900" t="b">
        <v>0</v>
      </c>
      <c r="G1900">
        <v>6</v>
      </c>
      <c r="H1900" t="b">
        <v>0</v>
      </c>
      <c r="I1900">
        <v>9</v>
      </c>
      <c r="J1900" t="s">
        <v>54</v>
      </c>
      <c r="K1900">
        <v>70</v>
      </c>
      <c r="L1900">
        <v>99</v>
      </c>
      <c r="M1900">
        <v>60</v>
      </c>
      <c r="N1900">
        <v>79</v>
      </c>
      <c r="O1900">
        <v>71</v>
      </c>
      <c r="P1900">
        <v>79</v>
      </c>
      <c r="Q1900">
        <v>75</v>
      </c>
      <c r="R1900">
        <f>SUM(student_scores[[#This Row],[math_score]:[geography_score]])</f>
        <v>533</v>
      </c>
      <c r="S1900" s="3">
        <f>student_scores[[#This Row],[Total_Score]]/7</f>
        <v>76.142857142857139</v>
      </c>
      <c r="T1900" s="3" t="str" cm="1">
        <f t="array" ref="T1900">_xlfn.IFS(student_scores[[#This Row],[weekly_self_study_hours]]&lt;=5,   "0 - 5", student_scores[[#This Row],[weekly_self_study_hours]]&lt;=10,  "6 - 10", student_scores[[#This Row],[weekly_self_study_hours]]&lt;=20,  "11 - 20",student_scores[[#This Row],[weekly_self_study_hours]]&lt;=30, "21 - 30",TRUE, "31+")</f>
        <v>6 - 10</v>
      </c>
      <c r="U1900" t="str" cm="1">
        <f t="array" ref="U1900">_xlfn.IFS(student_scores[[#This Row],[absence_days]]=0,"0", student_scores[[#This Row],[absence_days]]&lt;=3,"1-3", student_scores[[#This Row],[absence_days]]&lt;=6,"4-6", TRUE,"7-10")</f>
        <v>4-6</v>
      </c>
      <c r="V1900" t="str">
        <f>IF(student_scores[[#This Row],[Total_Score]] &gt;= _xlfn.PERCENTILE.INC(student_scores[Total_Score], 0.8), "Yes", "No")</f>
        <v>No</v>
      </c>
    </row>
    <row r="1901" spans="1:25" x14ac:dyDescent="0.35">
      <c r="A1901">
        <v>1900</v>
      </c>
      <c r="B1901" t="s">
        <v>208</v>
      </c>
      <c r="C1901" t="s">
        <v>2750</v>
      </c>
      <c r="D1901" t="s">
        <v>3033</v>
      </c>
      <c r="E1901" t="s">
        <v>20</v>
      </c>
      <c r="F1901" t="b">
        <v>0</v>
      </c>
      <c r="G1901">
        <v>2</v>
      </c>
      <c r="H1901" t="b">
        <v>0</v>
      </c>
      <c r="I1901">
        <v>19</v>
      </c>
      <c r="J1901" t="s">
        <v>38</v>
      </c>
      <c r="K1901">
        <v>70</v>
      </c>
      <c r="L1901">
        <v>66</v>
      </c>
      <c r="M1901">
        <v>90</v>
      </c>
      <c r="N1901">
        <v>74</v>
      </c>
      <c r="O1901">
        <v>100</v>
      </c>
      <c r="P1901">
        <v>96</v>
      </c>
      <c r="Q1901">
        <v>81</v>
      </c>
      <c r="R1901">
        <f>SUM(student_scores[[#This Row],[math_score]:[geography_score]])</f>
        <v>577</v>
      </c>
      <c r="S1901" s="3">
        <f>student_scores[[#This Row],[Total_Score]]/7</f>
        <v>82.428571428571431</v>
      </c>
      <c r="T1901" s="3" t="str" cm="1">
        <f t="array" ref="T1901">_xlfn.IFS(student_scores[[#This Row],[weekly_self_study_hours]]&lt;=5,   "0 - 5", student_scores[[#This Row],[weekly_self_study_hours]]&lt;=10,  "6 - 10", student_scores[[#This Row],[weekly_self_study_hours]]&lt;=20,  "11 - 20",student_scores[[#This Row],[weekly_self_study_hours]]&lt;=30, "21 - 30",TRUE, "31+")</f>
        <v>11 - 20</v>
      </c>
      <c r="U1901" t="str" cm="1">
        <f t="array" ref="U1901">_xlfn.IFS(student_scores[[#This Row],[absence_days]]=0,"0", student_scores[[#This Row],[absence_days]]&lt;=3,"1-3", student_scores[[#This Row],[absence_days]]&lt;=6,"4-6", TRUE,"7-10")</f>
        <v>1-3</v>
      </c>
      <c r="V1901" t="str">
        <f>IF(student_scores[[#This Row],[Total_Score]] &gt;= _xlfn.PERCENTILE.INC(student_scores[Total_Score], 0.8), "Yes", "No")</f>
        <v>No</v>
      </c>
    </row>
    <row r="1902" spans="1:25" x14ac:dyDescent="0.35">
      <c r="A1902">
        <v>1901</v>
      </c>
      <c r="B1902" t="s">
        <v>1357</v>
      </c>
      <c r="C1902" t="s">
        <v>2295</v>
      </c>
      <c r="D1902" t="s">
        <v>3034</v>
      </c>
      <c r="E1902" t="s">
        <v>25</v>
      </c>
      <c r="F1902" t="b">
        <v>0</v>
      </c>
      <c r="G1902">
        <v>7</v>
      </c>
      <c r="H1902" t="b">
        <v>0</v>
      </c>
      <c r="I1902">
        <v>17</v>
      </c>
      <c r="J1902" t="s">
        <v>54</v>
      </c>
      <c r="K1902">
        <v>67</v>
      </c>
      <c r="L1902">
        <v>80</v>
      </c>
      <c r="M1902">
        <v>86</v>
      </c>
      <c r="N1902">
        <v>98</v>
      </c>
      <c r="O1902">
        <v>83</v>
      </c>
      <c r="P1902">
        <v>82</v>
      </c>
      <c r="Q1902">
        <v>76</v>
      </c>
      <c r="R1902">
        <f>SUM(student_scores[[#This Row],[math_score]:[geography_score]])</f>
        <v>572</v>
      </c>
      <c r="S1902" s="3">
        <f>student_scores[[#This Row],[Total_Score]]/7</f>
        <v>81.714285714285708</v>
      </c>
      <c r="T1902" s="3" t="str" cm="1">
        <f t="array" ref="T1902">_xlfn.IFS(student_scores[[#This Row],[weekly_self_study_hours]]&lt;=5,   "0 - 5", student_scores[[#This Row],[weekly_self_study_hours]]&lt;=10,  "6 - 10", student_scores[[#This Row],[weekly_self_study_hours]]&lt;=20,  "11 - 20",student_scores[[#This Row],[weekly_self_study_hours]]&lt;=30, "21 - 30",TRUE, "31+")</f>
        <v>11 - 20</v>
      </c>
      <c r="U1902" t="str" cm="1">
        <f t="array" ref="U1902">_xlfn.IFS(student_scores[[#This Row],[absence_days]]=0,"0", student_scores[[#This Row],[absence_days]]&lt;=3,"1-3", student_scores[[#This Row],[absence_days]]&lt;=6,"4-6", TRUE,"7-10")</f>
        <v>7-10</v>
      </c>
      <c r="V1902" t="str">
        <f>IF(student_scores[[#This Row],[Total_Score]] &gt;= _xlfn.PERCENTILE.INC(student_scores[Total_Score], 0.8), "Yes", "No")</f>
        <v>No</v>
      </c>
    </row>
    <row r="1903" spans="1:25" x14ac:dyDescent="0.35">
      <c r="A1903">
        <v>1902</v>
      </c>
      <c r="B1903" t="s">
        <v>65</v>
      </c>
      <c r="C1903" t="s">
        <v>62</v>
      </c>
      <c r="D1903" t="s">
        <v>3035</v>
      </c>
      <c r="E1903" t="s">
        <v>25</v>
      </c>
      <c r="F1903" t="b">
        <v>0</v>
      </c>
      <c r="G1903">
        <v>3</v>
      </c>
      <c r="H1903" t="b">
        <v>1</v>
      </c>
      <c r="I1903">
        <v>9</v>
      </c>
      <c r="J1903" t="s">
        <v>224</v>
      </c>
      <c r="K1903">
        <v>71</v>
      </c>
      <c r="L1903">
        <v>95</v>
      </c>
      <c r="M1903">
        <v>72</v>
      </c>
      <c r="N1903">
        <v>88</v>
      </c>
      <c r="O1903">
        <v>89</v>
      </c>
      <c r="P1903">
        <v>78</v>
      </c>
      <c r="Q1903">
        <v>67</v>
      </c>
      <c r="R1903">
        <f>SUM(student_scores[[#This Row],[math_score]:[geography_score]])</f>
        <v>560</v>
      </c>
      <c r="S1903" s="3">
        <f>student_scores[[#This Row],[Total_Score]]/7</f>
        <v>80</v>
      </c>
      <c r="T1903" s="3" t="str" cm="1">
        <f t="array" ref="T1903">_xlfn.IFS(student_scores[[#This Row],[weekly_self_study_hours]]&lt;=5,   "0 - 5", student_scores[[#This Row],[weekly_self_study_hours]]&lt;=10,  "6 - 10", student_scores[[#This Row],[weekly_self_study_hours]]&lt;=20,  "11 - 20",student_scores[[#This Row],[weekly_self_study_hours]]&lt;=30, "21 - 30",TRUE, "31+")</f>
        <v>6 - 10</v>
      </c>
      <c r="U1903" t="str" cm="1">
        <f t="array" ref="U1903">_xlfn.IFS(student_scores[[#This Row],[absence_days]]=0,"0", student_scores[[#This Row],[absence_days]]&lt;=3,"1-3", student_scores[[#This Row],[absence_days]]&lt;=6,"4-6", TRUE,"7-10")</f>
        <v>1-3</v>
      </c>
      <c r="V1903" t="str">
        <f>IF(student_scores[[#This Row],[Total_Score]] &gt;= _xlfn.PERCENTILE.INC(student_scores[Total_Score], 0.8), "Yes", "No")</f>
        <v>No</v>
      </c>
    </row>
    <row r="1904" spans="1:25" x14ac:dyDescent="0.35">
      <c r="A1904">
        <v>1903</v>
      </c>
      <c r="B1904" t="s">
        <v>456</v>
      </c>
      <c r="C1904" t="s">
        <v>1362</v>
      </c>
      <c r="D1904" t="s">
        <v>3036</v>
      </c>
      <c r="E1904" t="s">
        <v>25</v>
      </c>
      <c r="F1904" t="b">
        <v>0</v>
      </c>
      <c r="G1904">
        <v>5</v>
      </c>
      <c r="H1904" t="b">
        <v>1</v>
      </c>
      <c r="I1904">
        <v>14</v>
      </c>
      <c r="J1904" t="s">
        <v>105</v>
      </c>
      <c r="K1904">
        <v>87</v>
      </c>
      <c r="L1904">
        <v>64</v>
      </c>
      <c r="M1904">
        <v>68</v>
      </c>
      <c r="N1904">
        <v>60</v>
      </c>
      <c r="O1904">
        <v>81</v>
      </c>
      <c r="P1904">
        <v>75</v>
      </c>
      <c r="Q1904">
        <v>67</v>
      </c>
      <c r="R1904">
        <f>SUM(student_scores[[#This Row],[math_score]:[geography_score]])</f>
        <v>502</v>
      </c>
      <c r="S1904" s="3">
        <f>student_scores[[#This Row],[Total_Score]]/7</f>
        <v>71.714285714285708</v>
      </c>
      <c r="T1904" s="3" t="str" cm="1">
        <f t="array" ref="T1904">_xlfn.IFS(student_scores[[#This Row],[weekly_self_study_hours]]&lt;=5,   "0 - 5", student_scores[[#This Row],[weekly_self_study_hours]]&lt;=10,  "6 - 10", student_scores[[#This Row],[weekly_self_study_hours]]&lt;=20,  "11 - 20",student_scores[[#This Row],[weekly_self_study_hours]]&lt;=30, "21 - 30",TRUE, "31+")</f>
        <v>11 - 20</v>
      </c>
      <c r="U1904" t="str" cm="1">
        <f t="array" ref="U1904">_xlfn.IFS(student_scores[[#This Row],[absence_days]]=0,"0", student_scores[[#This Row],[absence_days]]&lt;=3,"1-3", student_scores[[#This Row],[absence_days]]&lt;=6,"4-6", TRUE,"7-10")</f>
        <v>4-6</v>
      </c>
      <c r="V1904" t="str">
        <f>IF(student_scores[[#This Row],[Total_Score]] &gt;= _xlfn.PERCENTILE.INC(student_scores[Total_Score], 0.8), "Yes", "No")</f>
        <v>No</v>
      </c>
      <c r="Y1904" s="5"/>
    </row>
    <row r="1905" spans="1:22" x14ac:dyDescent="0.35">
      <c r="A1905">
        <v>1904</v>
      </c>
      <c r="B1905" t="s">
        <v>183</v>
      </c>
      <c r="C1905" t="s">
        <v>518</v>
      </c>
      <c r="D1905" t="s">
        <v>3037</v>
      </c>
      <c r="E1905" t="s">
        <v>20</v>
      </c>
      <c r="F1905" t="b">
        <v>0</v>
      </c>
      <c r="G1905">
        <v>1</v>
      </c>
      <c r="H1905" t="b">
        <v>1</v>
      </c>
      <c r="I1905">
        <v>3</v>
      </c>
      <c r="J1905" t="s">
        <v>159</v>
      </c>
      <c r="K1905">
        <v>80</v>
      </c>
      <c r="L1905">
        <v>79</v>
      </c>
      <c r="M1905">
        <v>94</v>
      </c>
      <c r="N1905">
        <v>74</v>
      </c>
      <c r="O1905">
        <v>83</v>
      </c>
      <c r="P1905">
        <v>83</v>
      </c>
      <c r="Q1905">
        <v>61</v>
      </c>
      <c r="R1905">
        <f>SUM(student_scores[[#This Row],[math_score]:[geography_score]])</f>
        <v>554</v>
      </c>
      <c r="S1905" s="3">
        <f>student_scores[[#This Row],[Total_Score]]/7</f>
        <v>79.142857142857139</v>
      </c>
      <c r="T1905" s="3" t="str" cm="1">
        <f t="array" ref="T1905">_xlfn.IFS(student_scores[[#This Row],[weekly_self_study_hours]]&lt;=5,   "0 - 5", student_scores[[#This Row],[weekly_self_study_hours]]&lt;=10,  "6 - 10", student_scores[[#This Row],[weekly_self_study_hours]]&lt;=20,  "11 - 20",student_scores[[#This Row],[weekly_self_study_hours]]&lt;=30, "21 - 30",TRUE, "31+")</f>
        <v>0 - 5</v>
      </c>
      <c r="U1905" t="str" cm="1">
        <f t="array" ref="U1905">_xlfn.IFS(student_scores[[#This Row],[absence_days]]=0,"0", student_scores[[#This Row],[absence_days]]&lt;=3,"1-3", student_scores[[#This Row],[absence_days]]&lt;=6,"4-6", TRUE,"7-10")</f>
        <v>1-3</v>
      </c>
      <c r="V1905" t="str">
        <f>IF(student_scores[[#This Row],[Total_Score]] &gt;= _xlfn.PERCENTILE.INC(student_scores[Total_Score], 0.8), "Yes", "No")</f>
        <v>No</v>
      </c>
    </row>
    <row r="1906" spans="1:22" x14ac:dyDescent="0.35">
      <c r="A1906">
        <v>1905</v>
      </c>
      <c r="B1906" t="s">
        <v>585</v>
      </c>
      <c r="C1906" t="s">
        <v>423</v>
      </c>
      <c r="D1906" t="s">
        <v>3038</v>
      </c>
      <c r="E1906" t="s">
        <v>20</v>
      </c>
      <c r="F1906" t="b">
        <v>1</v>
      </c>
      <c r="G1906">
        <v>9</v>
      </c>
      <c r="H1906" t="b">
        <v>1</v>
      </c>
      <c r="I1906">
        <v>22</v>
      </c>
      <c r="J1906" t="s">
        <v>44</v>
      </c>
      <c r="K1906">
        <v>94</v>
      </c>
      <c r="L1906">
        <v>80</v>
      </c>
      <c r="M1906">
        <v>72</v>
      </c>
      <c r="N1906">
        <v>90</v>
      </c>
      <c r="O1906">
        <v>60</v>
      </c>
      <c r="P1906">
        <v>78</v>
      </c>
      <c r="Q1906">
        <v>94</v>
      </c>
      <c r="R1906">
        <f>SUM(student_scores[[#This Row],[math_score]:[geography_score]])</f>
        <v>568</v>
      </c>
      <c r="S1906" s="3">
        <f>student_scores[[#This Row],[Total_Score]]/7</f>
        <v>81.142857142857139</v>
      </c>
      <c r="T1906" s="3" t="str" cm="1">
        <f t="array" ref="T1906">_xlfn.IFS(student_scores[[#This Row],[weekly_self_study_hours]]&lt;=5,   "0 - 5", student_scores[[#This Row],[weekly_self_study_hours]]&lt;=10,  "6 - 10", student_scores[[#This Row],[weekly_self_study_hours]]&lt;=20,  "11 - 20",student_scores[[#This Row],[weekly_self_study_hours]]&lt;=30, "21 - 30",TRUE, "31+")</f>
        <v>21 - 30</v>
      </c>
      <c r="U1906" t="str" cm="1">
        <f t="array" ref="U1906">_xlfn.IFS(student_scores[[#This Row],[absence_days]]=0,"0", student_scores[[#This Row],[absence_days]]&lt;=3,"1-3", student_scores[[#This Row],[absence_days]]&lt;=6,"4-6", TRUE,"7-10")</f>
        <v>7-10</v>
      </c>
      <c r="V1906" t="str">
        <f>IF(student_scores[[#This Row],[Total_Score]] &gt;= _xlfn.PERCENTILE.INC(student_scores[Total_Score], 0.8), "Yes", "No")</f>
        <v>No</v>
      </c>
    </row>
    <row r="1907" spans="1:22" x14ac:dyDescent="0.35">
      <c r="A1907">
        <v>1906</v>
      </c>
      <c r="B1907" t="s">
        <v>787</v>
      </c>
      <c r="C1907" t="s">
        <v>66</v>
      </c>
      <c r="D1907" t="s">
        <v>3039</v>
      </c>
      <c r="E1907" t="s">
        <v>25</v>
      </c>
      <c r="F1907" t="b">
        <v>0</v>
      </c>
      <c r="G1907">
        <v>3</v>
      </c>
      <c r="H1907" t="b">
        <v>0</v>
      </c>
      <c r="I1907">
        <v>10</v>
      </c>
      <c r="J1907" t="s">
        <v>224</v>
      </c>
      <c r="K1907">
        <v>83</v>
      </c>
      <c r="L1907">
        <v>91</v>
      </c>
      <c r="M1907">
        <v>82</v>
      </c>
      <c r="N1907">
        <v>93</v>
      </c>
      <c r="O1907">
        <v>71</v>
      </c>
      <c r="P1907">
        <v>80</v>
      </c>
      <c r="Q1907">
        <v>85</v>
      </c>
      <c r="R1907">
        <f>SUM(student_scores[[#This Row],[math_score]:[geography_score]])</f>
        <v>585</v>
      </c>
      <c r="S1907" s="3">
        <f>student_scores[[#This Row],[Total_Score]]/7</f>
        <v>83.571428571428569</v>
      </c>
      <c r="T1907" s="3" t="str" cm="1">
        <f t="array" ref="T1907">_xlfn.IFS(student_scores[[#This Row],[weekly_self_study_hours]]&lt;=5,   "0 - 5", student_scores[[#This Row],[weekly_self_study_hours]]&lt;=10,  "6 - 10", student_scores[[#This Row],[weekly_self_study_hours]]&lt;=20,  "11 - 20",student_scores[[#This Row],[weekly_self_study_hours]]&lt;=30, "21 - 30",TRUE, "31+")</f>
        <v>6 - 10</v>
      </c>
      <c r="U1907" t="str" cm="1">
        <f t="array" ref="U1907">_xlfn.IFS(student_scores[[#This Row],[absence_days]]=0,"0", student_scores[[#This Row],[absence_days]]&lt;=3,"1-3", student_scores[[#This Row],[absence_days]]&lt;=6,"4-6", TRUE,"7-10")</f>
        <v>1-3</v>
      </c>
      <c r="V1907" t="str">
        <f>IF(student_scores[[#This Row],[Total_Score]] &gt;= _xlfn.PERCENTILE.INC(student_scores[Total_Score], 0.8), "Yes", "No")</f>
        <v>No</v>
      </c>
    </row>
    <row r="1908" spans="1:22" x14ac:dyDescent="0.35">
      <c r="A1908">
        <v>1907</v>
      </c>
      <c r="B1908" t="s">
        <v>1391</v>
      </c>
      <c r="C1908" t="s">
        <v>329</v>
      </c>
      <c r="D1908" t="s">
        <v>3040</v>
      </c>
      <c r="E1908" t="s">
        <v>20</v>
      </c>
      <c r="F1908" t="b">
        <v>1</v>
      </c>
      <c r="G1908">
        <v>1</v>
      </c>
      <c r="H1908" t="b">
        <v>0</v>
      </c>
      <c r="I1908">
        <v>1</v>
      </c>
      <c r="J1908" t="s">
        <v>64</v>
      </c>
      <c r="K1908">
        <v>63</v>
      </c>
      <c r="L1908">
        <v>69</v>
      </c>
      <c r="M1908">
        <v>57</v>
      </c>
      <c r="N1908">
        <v>60</v>
      </c>
      <c r="O1908">
        <v>80</v>
      </c>
      <c r="P1908">
        <v>92</v>
      </c>
      <c r="Q1908">
        <v>62</v>
      </c>
      <c r="R1908">
        <f>SUM(student_scores[[#This Row],[math_score]:[geography_score]])</f>
        <v>483</v>
      </c>
      <c r="S1908" s="3">
        <f>student_scores[[#This Row],[Total_Score]]/7</f>
        <v>69</v>
      </c>
      <c r="T1908" s="3" t="str" cm="1">
        <f t="array" ref="T1908">_xlfn.IFS(student_scores[[#This Row],[weekly_self_study_hours]]&lt;=5,   "0 - 5", student_scores[[#This Row],[weekly_self_study_hours]]&lt;=10,  "6 - 10", student_scores[[#This Row],[weekly_self_study_hours]]&lt;=20,  "11 - 20",student_scores[[#This Row],[weekly_self_study_hours]]&lt;=30, "21 - 30",TRUE, "31+")</f>
        <v>0 - 5</v>
      </c>
      <c r="U1908" t="str" cm="1">
        <f t="array" ref="U1908">_xlfn.IFS(student_scores[[#This Row],[absence_days]]=0,"0", student_scores[[#This Row],[absence_days]]&lt;=3,"1-3", student_scores[[#This Row],[absence_days]]&lt;=6,"4-6", TRUE,"7-10")</f>
        <v>1-3</v>
      </c>
      <c r="V1908" t="str">
        <f>IF(student_scores[[#This Row],[Total_Score]] &gt;= _xlfn.PERCENTILE.INC(student_scores[Total_Score], 0.8), "Yes", "No")</f>
        <v>No</v>
      </c>
    </row>
    <row r="1909" spans="1:22" x14ac:dyDescent="0.35">
      <c r="A1909">
        <v>1908</v>
      </c>
      <c r="B1909" t="s">
        <v>361</v>
      </c>
      <c r="C1909" t="s">
        <v>3041</v>
      </c>
      <c r="D1909" t="s">
        <v>3042</v>
      </c>
      <c r="E1909" t="s">
        <v>25</v>
      </c>
      <c r="F1909" t="b">
        <v>0</v>
      </c>
      <c r="G1909">
        <v>0</v>
      </c>
      <c r="H1909" t="b">
        <v>0</v>
      </c>
      <c r="I1909">
        <v>10</v>
      </c>
      <c r="J1909" t="s">
        <v>38</v>
      </c>
      <c r="K1909">
        <v>93</v>
      </c>
      <c r="L1909">
        <v>78</v>
      </c>
      <c r="M1909">
        <v>72</v>
      </c>
      <c r="N1909">
        <v>66</v>
      </c>
      <c r="O1909">
        <v>73</v>
      </c>
      <c r="P1909">
        <v>76</v>
      </c>
      <c r="Q1909">
        <v>68</v>
      </c>
      <c r="R1909">
        <f>SUM(student_scores[[#This Row],[math_score]:[geography_score]])</f>
        <v>526</v>
      </c>
      <c r="S1909" s="3">
        <f>student_scores[[#This Row],[Total_Score]]/7</f>
        <v>75.142857142857139</v>
      </c>
      <c r="T1909" s="3" t="str" cm="1">
        <f t="array" ref="T1909">_xlfn.IFS(student_scores[[#This Row],[weekly_self_study_hours]]&lt;=5,   "0 - 5", student_scores[[#This Row],[weekly_self_study_hours]]&lt;=10,  "6 - 10", student_scores[[#This Row],[weekly_self_study_hours]]&lt;=20,  "11 - 20",student_scores[[#This Row],[weekly_self_study_hours]]&lt;=30, "21 - 30",TRUE, "31+")</f>
        <v>6 - 10</v>
      </c>
      <c r="U1909" t="str" cm="1">
        <f t="array" ref="U1909">_xlfn.IFS(student_scores[[#This Row],[absence_days]]=0,"0", student_scores[[#This Row],[absence_days]]&lt;=3,"1-3", student_scores[[#This Row],[absence_days]]&lt;=6,"4-6", TRUE,"7-10")</f>
        <v>0</v>
      </c>
      <c r="V1909" t="str">
        <f>IF(student_scores[[#This Row],[Total_Score]] &gt;= _xlfn.PERCENTILE.INC(student_scores[Total_Score], 0.8), "Yes", "No")</f>
        <v>No</v>
      </c>
    </row>
    <row r="1910" spans="1:22" x14ac:dyDescent="0.35">
      <c r="A1910">
        <v>1909</v>
      </c>
      <c r="B1910" t="s">
        <v>655</v>
      </c>
      <c r="C1910" t="s">
        <v>298</v>
      </c>
      <c r="D1910" t="s">
        <v>3043</v>
      </c>
      <c r="E1910" t="s">
        <v>25</v>
      </c>
      <c r="F1910" t="b">
        <v>0</v>
      </c>
      <c r="G1910">
        <v>2</v>
      </c>
      <c r="H1910" t="b">
        <v>0</v>
      </c>
      <c r="I1910">
        <v>36</v>
      </c>
      <c r="J1910" t="s">
        <v>26</v>
      </c>
      <c r="K1910">
        <v>94</v>
      </c>
      <c r="L1910">
        <v>100</v>
      </c>
      <c r="M1910">
        <v>95</v>
      </c>
      <c r="N1910">
        <v>92</v>
      </c>
      <c r="O1910">
        <v>95</v>
      </c>
      <c r="P1910">
        <v>88</v>
      </c>
      <c r="Q1910">
        <v>88</v>
      </c>
      <c r="R1910">
        <f>SUM(student_scores[[#This Row],[math_score]:[geography_score]])</f>
        <v>652</v>
      </c>
      <c r="S1910" s="3">
        <f>student_scores[[#This Row],[Total_Score]]/7</f>
        <v>93.142857142857139</v>
      </c>
      <c r="T1910" s="3" t="str" cm="1">
        <f t="array" ref="T1910">_xlfn.IFS(student_scores[[#This Row],[weekly_self_study_hours]]&lt;=5,   "0 - 5", student_scores[[#This Row],[weekly_self_study_hours]]&lt;=10,  "6 - 10", student_scores[[#This Row],[weekly_self_study_hours]]&lt;=20,  "11 - 20",student_scores[[#This Row],[weekly_self_study_hours]]&lt;=30, "21 - 30",TRUE, "31+")</f>
        <v>31+</v>
      </c>
      <c r="U1910" t="str" cm="1">
        <f t="array" ref="U1910">_xlfn.IFS(student_scores[[#This Row],[absence_days]]=0,"0", student_scores[[#This Row],[absence_days]]&lt;=3,"1-3", student_scores[[#This Row],[absence_days]]&lt;=6,"4-6", TRUE,"7-10")</f>
        <v>1-3</v>
      </c>
      <c r="V1910" t="str">
        <f>IF(student_scores[[#This Row],[Total_Score]] &gt;= _xlfn.PERCENTILE.INC(student_scores[Total_Score], 0.8), "Yes", "No")</f>
        <v>Yes</v>
      </c>
    </row>
    <row r="1911" spans="1:22" x14ac:dyDescent="0.35">
      <c r="A1911">
        <v>1910</v>
      </c>
      <c r="B1911" t="s">
        <v>456</v>
      </c>
      <c r="C1911" t="s">
        <v>1360</v>
      </c>
      <c r="D1911" t="s">
        <v>3044</v>
      </c>
      <c r="E1911" t="s">
        <v>25</v>
      </c>
      <c r="F1911" t="b">
        <v>0</v>
      </c>
      <c r="G1911">
        <v>3</v>
      </c>
      <c r="H1911" t="b">
        <v>0</v>
      </c>
      <c r="I1911">
        <v>34</v>
      </c>
      <c r="J1911" t="s">
        <v>44</v>
      </c>
      <c r="K1911">
        <v>99</v>
      </c>
      <c r="L1911">
        <v>75</v>
      </c>
      <c r="M1911">
        <v>87</v>
      </c>
      <c r="N1911">
        <v>76</v>
      </c>
      <c r="O1911">
        <v>95</v>
      </c>
      <c r="P1911">
        <v>99</v>
      </c>
      <c r="Q1911">
        <v>67</v>
      </c>
      <c r="R1911">
        <f>SUM(student_scores[[#This Row],[math_score]:[geography_score]])</f>
        <v>598</v>
      </c>
      <c r="S1911" s="3">
        <f>student_scores[[#This Row],[Total_Score]]/7</f>
        <v>85.428571428571431</v>
      </c>
      <c r="T1911" s="3" t="str" cm="1">
        <f t="array" ref="T1911">_xlfn.IFS(student_scores[[#This Row],[weekly_self_study_hours]]&lt;=5,   "0 - 5", student_scores[[#This Row],[weekly_self_study_hours]]&lt;=10,  "6 - 10", student_scores[[#This Row],[weekly_self_study_hours]]&lt;=20,  "11 - 20",student_scores[[#This Row],[weekly_self_study_hours]]&lt;=30, "21 - 30",TRUE, "31+")</f>
        <v>31+</v>
      </c>
      <c r="U1911" t="str" cm="1">
        <f t="array" ref="U1911">_xlfn.IFS(student_scores[[#This Row],[absence_days]]=0,"0", student_scores[[#This Row],[absence_days]]&lt;=3,"1-3", student_scores[[#This Row],[absence_days]]&lt;=6,"4-6", TRUE,"7-10")</f>
        <v>1-3</v>
      </c>
      <c r="V1911" t="str">
        <f>IF(student_scores[[#This Row],[Total_Score]] &gt;= _xlfn.PERCENTILE.INC(student_scores[Total_Score], 0.8), "Yes", "No")</f>
        <v>No</v>
      </c>
    </row>
    <row r="1912" spans="1:22" x14ac:dyDescent="0.35">
      <c r="A1912">
        <v>1911</v>
      </c>
      <c r="B1912" t="s">
        <v>410</v>
      </c>
      <c r="C1912" t="s">
        <v>950</v>
      </c>
      <c r="D1912" t="s">
        <v>3045</v>
      </c>
      <c r="E1912" t="s">
        <v>20</v>
      </c>
      <c r="F1912" t="b">
        <v>0</v>
      </c>
      <c r="G1912">
        <v>3</v>
      </c>
      <c r="H1912" t="b">
        <v>0</v>
      </c>
      <c r="I1912">
        <v>32</v>
      </c>
      <c r="J1912" t="s">
        <v>26</v>
      </c>
      <c r="K1912">
        <v>82</v>
      </c>
      <c r="L1912">
        <v>98</v>
      </c>
      <c r="M1912">
        <v>100</v>
      </c>
      <c r="N1912">
        <v>100</v>
      </c>
      <c r="O1912">
        <v>100</v>
      </c>
      <c r="P1912">
        <v>64</v>
      </c>
      <c r="Q1912">
        <v>87</v>
      </c>
      <c r="R1912">
        <f>SUM(student_scores[[#This Row],[math_score]:[geography_score]])</f>
        <v>631</v>
      </c>
      <c r="S1912" s="3">
        <f>student_scores[[#This Row],[Total_Score]]/7</f>
        <v>90.142857142857139</v>
      </c>
      <c r="T1912" s="3" t="str" cm="1">
        <f t="array" ref="T1912">_xlfn.IFS(student_scores[[#This Row],[weekly_self_study_hours]]&lt;=5,   "0 - 5", student_scores[[#This Row],[weekly_self_study_hours]]&lt;=10,  "6 - 10", student_scores[[#This Row],[weekly_self_study_hours]]&lt;=20,  "11 - 20",student_scores[[#This Row],[weekly_self_study_hours]]&lt;=30, "21 - 30",TRUE, "31+")</f>
        <v>31+</v>
      </c>
      <c r="U1912" t="str" cm="1">
        <f t="array" ref="U1912">_xlfn.IFS(student_scores[[#This Row],[absence_days]]=0,"0", student_scores[[#This Row],[absence_days]]&lt;=3,"1-3", student_scores[[#This Row],[absence_days]]&lt;=6,"4-6", TRUE,"7-10")</f>
        <v>1-3</v>
      </c>
      <c r="V1912" t="str">
        <f>IF(student_scores[[#This Row],[Total_Score]] &gt;= _xlfn.PERCENTILE.INC(student_scores[Total_Score], 0.8), "Yes", "No")</f>
        <v>Yes</v>
      </c>
    </row>
    <row r="1913" spans="1:22" x14ac:dyDescent="0.35">
      <c r="A1913">
        <v>1912</v>
      </c>
      <c r="B1913" t="s">
        <v>193</v>
      </c>
      <c r="C1913" t="s">
        <v>997</v>
      </c>
      <c r="D1913" t="s">
        <v>3046</v>
      </c>
      <c r="E1913" t="s">
        <v>25</v>
      </c>
      <c r="F1913" t="b">
        <v>0</v>
      </c>
      <c r="G1913">
        <v>2</v>
      </c>
      <c r="H1913" t="b">
        <v>0</v>
      </c>
      <c r="I1913">
        <v>28</v>
      </c>
      <c r="J1913" t="s">
        <v>44</v>
      </c>
      <c r="K1913">
        <v>95</v>
      </c>
      <c r="L1913">
        <v>82</v>
      </c>
      <c r="M1913">
        <v>100</v>
      </c>
      <c r="N1913">
        <v>60</v>
      </c>
      <c r="O1913">
        <v>77</v>
      </c>
      <c r="P1913">
        <v>95</v>
      </c>
      <c r="Q1913">
        <v>80</v>
      </c>
      <c r="R1913">
        <f>SUM(student_scores[[#This Row],[math_score]:[geography_score]])</f>
        <v>589</v>
      </c>
      <c r="S1913" s="3">
        <f>student_scores[[#This Row],[Total_Score]]/7</f>
        <v>84.142857142857139</v>
      </c>
      <c r="T1913" s="3" t="str" cm="1">
        <f t="array" ref="T1913">_xlfn.IFS(student_scores[[#This Row],[weekly_self_study_hours]]&lt;=5,   "0 - 5", student_scores[[#This Row],[weekly_self_study_hours]]&lt;=10,  "6 - 10", student_scores[[#This Row],[weekly_self_study_hours]]&lt;=20,  "11 - 20",student_scores[[#This Row],[weekly_self_study_hours]]&lt;=30, "21 - 30",TRUE, "31+")</f>
        <v>21 - 30</v>
      </c>
      <c r="U1913" t="str" cm="1">
        <f t="array" ref="U1913">_xlfn.IFS(student_scores[[#This Row],[absence_days]]=0,"0", student_scores[[#This Row],[absence_days]]&lt;=3,"1-3", student_scores[[#This Row],[absence_days]]&lt;=6,"4-6", TRUE,"7-10")</f>
        <v>1-3</v>
      </c>
      <c r="V1913" t="str">
        <f>IF(student_scores[[#This Row],[Total_Score]] &gt;= _xlfn.PERCENTILE.INC(student_scores[Total_Score], 0.8), "Yes", "No")</f>
        <v>No</v>
      </c>
    </row>
    <row r="1914" spans="1:22" x14ac:dyDescent="0.35">
      <c r="A1914">
        <v>1913</v>
      </c>
      <c r="B1914" t="s">
        <v>1316</v>
      </c>
      <c r="C1914" t="s">
        <v>300</v>
      </c>
      <c r="D1914" t="s">
        <v>3047</v>
      </c>
      <c r="E1914" t="s">
        <v>25</v>
      </c>
      <c r="F1914" t="b">
        <v>1</v>
      </c>
      <c r="G1914">
        <v>10</v>
      </c>
      <c r="H1914" t="b">
        <v>0</v>
      </c>
      <c r="I1914">
        <v>3</v>
      </c>
      <c r="J1914" t="s">
        <v>64</v>
      </c>
      <c r="K1914">
        <v>55</v>
      </c>
      <c r="L1914">
        <v>92</v>
      </c>
      <c r="M1914">
        <v>59</v>
      </c>
      <c r="N1914">
        <v>78</v>
      </c>
      <c r="O1914">
        <v>61</v>
      </c>
      <c r="P1914">
        <v>83</v>
      </c>
      <c r="Q1914">
        <v>60</v>
      </c>
      <c r="R1914">
        <f>SUM(student_scores[[#This Row],[math_score]:[geography_score]])</f>
        <v>488</v>
      </c>
      <c r="S1914" s="3">
        <f>student_scores[[#This Row],[Total_Score]]/7</f>
        <v>69.714285714285708</v>
      </c>
      <c r="T1914" s="3" t="str" cm="1">
        <f t="array" ref="T1914">_xlfn.IFS(student_scores[[#This Row],[weekly_self_study_hours]]&lt;=5,   "0 - 5", student_scores[[#This Row],[weekly_self_study_hours]]&lt;=10,  "6 - 10", student_scores[[#This Row],[weekly_self_study_hours]]&lt;=20,  "11 - 20",student_scores[[#This Row],[weekly_self_study_hours]]&lt;=30, "21 - 30",TRUE, "31+")</f>
        <v>0 - 5</v>
      </c>
      <c r="U1914" t="str" cm="1">
        <f t="array" ref="U1914">_xlfn.IFS(student_scores[[#This Row],[absence_days]]=0,"0", student_scores[[#This Row],[absence_days]]&lt;=3,"1-3", student_scores[[#This Row],[absence_days]]&lt;=6,"4-6", TRUE,"7-10")</f>
        <v>7-10</v>
      </c>
      <c r="V1914" t="str">
        <f>IF(student_scores[[#This Row],[Total_Score]] &gt;= _xlfn.PERCENTILE.INC(student_scores[Total_Score], 0.8), "Yes", "No")</f>
        <v>No</v>
      </c>
    </row>
    <row r="1915" spans="1:22" x14ac:dyDescent="0.35">
      <c r="A1915">
        <v>1914</v>
      </c>
      <c r="B1915" t="s">
        <v>139</v>
      </c>
      <c r="C1915" t="s">
        <v>2168</v>
      </c>
      <c r="D1915" t="s">
        <v>3048</v>
      </c>
      <c r="E1915" t="s">
        <v>20</v>
      </c>
      <c r="F1915" t="b">
        <v>0</v>
      </c>
      <c r="G1915">
        <v>2</v>
      </c>
      <c r="H1915" t="b">
        <v>0</v>
      </c>
      <c r="I1915">
        <v>32</v>
      </c>
      <c r="J1915" t="s">
        <v>44</v>
      </c>
      <c r="K1915">
        <v>90</v>
      </c>
      <c r="L1915">
        <v>90</v>
      </c>
      <c r="M1915">
        <v>82</v>
      </c>
      <c r="N1915">
        <v>64</v>
      </c>
      <c r="O1915">
        <v>75</v>
      </c>
      <c r="P1915">
        <v>82</v>
      </c>
      <c r="Q1915">
        <v>93</v>
      </c>
      <c r="R1915">
        <f>SUM(student_scores[[#This Row],[math_score]:[geography_score]])</f>
        <v>576</v>
      </c>
      <c r="S1915" s="3">
        <f>student_scores[[#This Row],[Total_Score]]/7</f>
        <v>82.285714285714292</v>
      </c>
      <c r="T1915" s="3" t="str" cm="1">
        <f t="array" ref="T1915">_xlfn.IFS(student_scores[[#This Row],[weekly_self_study_hours]]&lt;=5,   "0 - 5", student_scores[[#This Row],[weekly_self_study_hours]]&lt;=10,  "6 - 10", student_scores[[#This Row],[weekly_self_study_hours]]&lt;=20,  "11 - 20",student_scores[[#This Row],[weekly_self_study_hours]]&lt;=30, "21 - 30",TRUE, "31+")</f>
        <v>31+</v>
      </c>
      <c r="U1915" t="str" cm="1">
        <f t="array" ref="U1915">_xlfn.IFS(student_scores[[#This Row],[absence_days]]=0,"0", student_scores[[#This Row],[absence_days]]&lt;=3,"1-3", student_scores[[#This Row],[absence_days]]&lt;=6,"4-6", TRUE,"7-10")</f>
        <v>1-3</v>
      </c>
      <c r="V1915" t="str">
        <f>IF(student_scores[[#This Row],[Total_Score]] &gt;= _xlfn.PERCENTILE.INC(student_scores[Total_Score], 0.8), "Yes", "No")</f>
        <v>No</v>
      </c>
    </row>
    <row r="1916" spans="1:22" x14ac:dyDescent="0.35">
      <c r="A1916">
        <v>1915</v>
      </c>
      <c r="B1916" t="s">
        <v>1141</v>
      </c>
      <c r="C1916" t="s">
        <v>157</v>
      </c>
      <c r="D1916" t="s">
        <v>3049</v>
      </c>
      <c r="E1916" t="s">
        <v>20</v>
      </c>
      <c r="F1916" t="b">
        <v>0</v>
      </c>
      <c r="G1916">
        <v>2</v>
      </c>
      <c r="H1916" t="b">
        <v>0</v>
      </c>
      <c r="I1916">
        <v>4</v>
      </c>
      <c r="J1916" t="s">
        <v>64</v>
      </c>
      <c r="K1916">
        <v>46</v>
      </c>
      <c r="L1916">
        <v>77</v>
      </c>
      <c r="M1916">
        <v>90</v>
      </c>
      <c r="N1916">
        <v>78</v>
      </c>
      <c r="O1916">
        <v>66</v>
      </c>
      <c r="P1916">
        <v>76</v>
      </c>
      <c r="Q1916">
        <v>86</v>
      </c>
      <c r="R1916">
        <f>SUM(student_scores[[#This Row],[math_score]:[geography_score]])</f>
        <v>519</v>
      </c>
      <c r="S1916" s="3">
        <f>student_scores[[#This Row],[Total_Score]]/7</f>
        <v>74.142857142857139</v>
      </c>
      <c r="T1916" s="3" t="str" cm="1">
        <f t="array" ref="T1916">_xlfn.IFS(student_scores[[#This Row],[weekly_self_study_hours]]&lt;=5,   "0 - 5", student_scores[[#This Row],[weekly_self_study_hours]]&lt;=10,  "6 - 10", student_scores[[#This Row],[weekly_self_study_hours]]&lt;=20,  "11 - 20",student_scores[[#This Row],[weekly_self_study_hours]]&lt;=30, "21 - 30",TRUE, "31+")</f>
        <v>0 - 5</v>
      </c>
      <c r="U1916" t="str" cm="1">
        <f t="array" ref="U1916">_xlfn.IFS(student_scores[[#This Row],[absence_days]]=0,"0", student_scores[[#This Row],[absence_days]]&lt;=3,"1-3", student_scores[[#This Row],[absence_days]]&lt;=6,"4-6", TRUE,"7-10")</f>
        <v>1-3</v>
      </c>
      <c r="V1916" t="str">
        <f>IF(student_scores[[#This Row],[Total_Score]] &gt;= _xlfn.PERCENTILE.INC(student_scores[Total_Score], 0.8), "Yes", "No")</f>
        <v>No</v>
      </c>
    </row>
    <row r="1917" spans="1:22" x14ac:dyDescent="0.35">
      <c r="A1917">
        <v>1916</v>
      </c>
      <c r="B1917" t="s">
        <v>110</v>
      </c>
      <c r="C1917" t="s">
        <v>118</v>
      </c>
      <c r="D1917" t="s">
        <v>3050</v>
      </c>
      <c r="E1917" t="s">
        <v>20</v>
      </c>
      <c r="F1917" t="b">
        <v>0</v>
      </c>
      <c r="G1917">
        <v>2</v>
      </c>
      <c r="H1917" t="b">
        <v>0</v>
      </c>
      <c r="I1917">
        <v>21</v>
      </c>
      <c r="J1917" t="s">
        <v>113</v>
      </c>
      <c r="K1917">
        <v>91</v>
      </c>
      <c r="L1917">
        <v>100</v>
      </c>
      <c r="M1917">
        <v>98</v>
      </c>
      <c r="N1917">
        <v>96</v>
      </c>
      <c r="O1917">
        <v>66</v>
      </c>
      <c r="P1917">
        <v>87</v>
      </c>
      <c r="Q1917">
        <v>65</v>
      </c>
      <c r="R1917">
        <f>SUM(student_scores[[#This Row],[math_score]:[geography_score]])</f>
        <v>603</v>
      </c>
      <c r="S1917" s="3">
        <f>student_scores[[#This Row],[Total_Score]]/7</f>
        <v>86.142857142857139</v>
      </c>
      <c r="T1917" s="3" t="str" cm="1">
        <f t="array" ref="T1917">_xlfn.IFS(student_scores[[#This Row],[weekly_self_study_hours]]&lt;=5,   "0 - 5", student_scores[[#This Row],[weekly_self_study_hours]]&lt;=10,  "6 - 10", student_scores[[#This Row],[weekly_self_study_hours]]&lt;=20,  "11 - 20",student_scores[[#This Row],[weekly_self_study_hours]]&lt;=30, "21 - 30",TRUE, "31+")</f>
        <v>21 - 30</v>
      </c>
      <c r="U1917" t="str" cm="1">
        <f t="array" ref="U1917">_xlfn.IFS(student_scores[[#This Row],[absence_days]]=0,"0", student_scores[[#This Row],[absence_days]]&lt;=3,"1-3", student_scores[[#This Row],[absence_days]]&lt;=6,"4-6", TRUE,"7-10")</f>
        <v>1-3</v>
      </c>
      <c r="V1917" t="str">
        <f>IF(student_scores[[#This Row],[Total_Score]] &gt;= _xlfn.PERCENTILE.INC(student_scores[Total_Score], 0.8), "Yes", "No")</f>
        <v>Yes</v>
      </c>
    </row>
    <row r="1918" spans="1:22" x14ac:dyDescent="0.35">
      <c r="A1918">
        <v>1917</v>
      </c>
      <c r="B1918" t="s">
        <v>465</v>
      </c>
      <c r="C1918" t="s">
        <v>1698</v>
      </c>
      <c r="D1918" t="s">
        <v>3051</v>
      </c>
      <c r="E1918" t="s">
        <v>25</v>
      </c>
      <c r="F1918" t="b">
        <v>0</v>
      </c>
      <c r="G1918">
        <v>1</v>
      </c>
      <c r="H1918" t="b">
        <v>1</v>
      </c>
      <c r="I1918">
        <v>22</v>
      </c>
      <c r="J1918" t="s">
        <v>109</v>
      </c>
      <c r="K1918">
        <v>72</v>
      </c>
      <c r="L1918">
        <v>100</v>
      </c>
      <c r="M1918">
        <v>78</v>
      </c>
      <c r="N1918">
        <v>100</v>
      </c>
      <c r="O1918">
        <v>98</v>
      </c>
      <c r="P1918">
        <v>92</v>
      </c>
      <c r="Q1918">
        <v>97</v>
      </c>
      <c r="R1918">
        <f>SUM(student_scores[[#This Row],[math_score]:[geography_score]])</f>
        <v>637</v>
      </c>
      <c r="S1918" s="3">
        <f>student_scores[[#This Row],[Total_Score]]/7</f>
        <v>91</v>
      </c>
      <c r="T1918" s="3" t="str" cm="1">
        <f t="array" ref="T1918">_xlfn.IFS(student_scores[[#This Row],[weekly_self_study_hours]]&lt;=5,   "0 - 5", student_scores[[#This Row],[weekly_self_study_hours]]&lt;=10,  "6 - 10", student_scores[[#This Row],[weekly_self_study_hours]]&lt;=20,  "11 - 20",student_scores[[#This Row],[weekly_self_study_hours]]&lt;=30, "21 - 30",TRUE, "31+")</f>
        <v>21 - 30</v>
      </c>
      <c r="U1918" t="str" cm="1">
        <f t="array" ref="U1918">_xlfn.IFS(student_scores[[#This Row],[absence_days]]=0,"0", student_scores[[#This Row],[absence_days]]&lt;=3,"1-3", student_scores[[#This Row],[absence_days]]&lt;=6,"4-6", TRUE,"7-10")</f>
        <v>1-3</v>
      </c>
      <c r="V1918" t="str">
        <f>IF(student_scores[[#This Row],[Total_Score]] &gt;= _xlfn.PERCENTILE.INC(student_scores[Total_Score], 0.8), "Yes", "No")</f>
        <v>Yes</v>
      </c>
    </row>
    <row r="1919" spans="1:22" x14ac:dyDescent="0.35">
      <c r="A1919">
        <v>1918</v>
      </c>
      <c r="B1919" t="s">
        <v>369</v>
      </c>
      <c r="C1919" t="s">
        <v>977</v>
      </c>
      <c r="D1919" t="s">
        <v>3052</v>
      </c>
      <c r="E1919" t="s">
        <v>25</v>
      </c>
      <c r="F1919" t="b">
        <v>0</v>
      </c>
      <c r="G1919">
        <v>4</v>
      </c>
      <c r="H1919" t="b">
        <v>0</v>
      </c>
      <c r="I1919">
        <v>28</v>
      </c>
      <c r="J1919" t="s">
        <v>105</v>
      </c>
      <c r="K1919">
        <v>79</v>
      </c>
      <c r="L1919">
        <v>87</v>
      </c>
      <c r="M1919">
        <v>98</v>
      </c>
      <c r="N1919">
        <v>87</v>
      </c>
      <c r="O1919">
        <v>99</v>
      </c>
      <c r="P1919">
        <v>94</v>
      </c>
      <c r="Q1919">
        <v>88</v>
      </c>
      <c r="R1919">
        <f>SUM(student_scores[[#This Row],[math_score]:[geography_score]])</f>
        <v>632</v>
      </c>
      <c r="S1919" s="3">
        <f>student_scores[[#This Row],[Total_Score]]/7</f>
        <v>90.285714285714292</v>
      </c>
      <c r="T1919" s="3" t="str" cm="1">
        <f t="array" ref="T1919">_xlfn.IFS(student_scores[[#This Row],[weekly_self_study_hours]]&lt;=5,   "0 - 5", student_scores[[#This Row],[weekly_self_study_hours]]&lt;=10,  "6 - 10", student_scores[[#This Row],[weekly_self_study_hours]]&lt;=20,  "11 - 20",student_scores[[#This Row],[weekly_self_study_hours]]&lt;=30, "21 - 30",TRUE, "31+")</f>
        <v>21 - 30</v>
      </c>
      <c r="U1919" t="str" cm="1">
        <f t="array" ref="U1919">_xlfn.IFS(student_scores[[#This Row],[absence_days]]=0,"0", student_scores[[#This Row],[absence_days]]&lt;=3,"1-3", student_scores[[#This Row],[absence_days]]&lt;=6,"4-6", TRUE,"7-10")</f>
        <v>4-6</v>
      </c>
      <c r="V1919" t="str">
        <f>IF(student_scores[[#This Row],[Total_Score]] &gt;= _xlfn.PERCENTILE.INC(student_scores[Total_Score], 0.8), "Yes", "No")</f>
        <v>Yes</v>
      </c>
    </row>
    <row r="1920" spans="1:22" x14ac:dyDescent="0.35">
      <c r="A1920">
        <v>1919</v>
      </c>
      <c r="B1920" t="s">
        <v>568</v>
      </c>
      <c r="C1920" t="s">
        <v>1262</v>
      </c>
      <c r="D1920" t="s">
        <v>3053</v>
      </c>
      <c r="E1920" t="s">
        <v>20</v>
      </c>
      <c r="F1920" t="b">
        <v>0</v>
      </c>
      <c r="G1920">
        <v>3</v>
      </c>
      <c r="H1920" t="b">
        <v>0</v>
      </c>
      <c r="I1920">
        <v>35</v>
      </c>
      <c r="J1920" t="s">
        <v>138</v>
      </c>
      <c r="K1920">
        <v>85</v>
      </c>
      <c r="L1920">
        <v>90</v>
      </c>
      <c r="M1920">
        <v>96</v>
      </c>
      <c r="N1920">
        <v>95</v>
      </c>
      <c r="O1920">
        <v>95</v>
      </c>
      <c r="P1920">
        <v>88</v>
      </c>
      <c r="Q1920">
        <v>90</v>
      </c>
      <c r="R1920">
        <f>SUM(student_scores[[#This Row],[math_score]:[geography_score]])</f>
        <v>639</v>
      </c>
      <c r="S1920" s="3">
        <f>student_scores[[#This Row],[Total_Score]]/7</f>
        <v>91.285714285714292</v>
      </c>
      <c r="T1920" s="3" t="str" cm="1">
        <f t="array" ref="T1920">_xlfn.IFS(student_scores[[#This Row],[weekly_self_study_hours]]&lt;=5,   "0 - 5", student_scores[[#This Row],[weekly_self_study_hours]]&lt;=10,  "6 - 10", student_scores[[#This Row],[weekly_self_study_hours]]&lt;=20,  "11 - 20",student_scores[[#This Row],[weekly_self_study_hours]]&lt;=30, "21 - 30",TRUE, "31+")</f>
        <v>31+</v>
      </c>
      <c r="U1920" t="str" cm="1">
        <f t="array" ref="U1920">_xlfn.IFS(student_scores[[#This Row],[absence_days]]=0,"0", student_scores[[#This Row],[absence_days]]&lt;=3,"1-3", student_scores[[#This Row],[absence_days]]&lt;=6,"4-6", TRUE,"7-10")</f>
        <v>1-3</v>
      </c>
      <c r="V1920" t="str">
        <f>IF(student_scores[[#This Row],[Total_Score]] &gt;= _xlfn.PERCENTILE.INC(student_scores[Total_Score], 0.8), "Yes", "No")</f>
        <v>Yes</v>
      </c>
    </row>
    <row r="1921" spans="1:22" x14ac:dyDescent="0.35">
      <c r="A1921">
        <v>1920</v>
      </c>
      <c r="B1921" t="s">
        <v>89</v>
      </c>
      <c r="C1921" t="s">
        <v>3054</v>
      </c>
      <c r="D1921" t="s">
        <v>3055</v>
      </c>
      <c r="E1921" t="s">
        <v>20</v>
      </c>
      <c r="F1921" t="b">
        <v>0</v>
      </c>
      <c r="G1921">
        <v>1</v>
      </c>
      <c r="H1921" t="b">
        <v>0</v>
      </c>
      <c r="I1921">
        <v>35</v>
      </c>
      <c r="J1921" t="s">
        <v>21</v>
      </c>
      <c r="K1921">
        <v>100</v>
      </c>
      <c r="L1921">
        <v>87</v>
      </c>
      <c r="M1921">
        <v>85</v>
      </c>
      <c r="N1921">
        <v>90</v>
      </c>
      <c r="O1921">
        <v>92</v>
      </c>
      <c r="P1921">
        <v>99</v>
      </c>
      <c r="Q1921">
        <v>94</v>
      </c>
      <c r="R1921">
        <f>SUM(student_scores[[#This Row],[math_score]:[geography_score]])</f>
        <v>647</v>
      </c>
      <c r="S1921" s="3">
        <f>student_scores[[#This Row],[Total_Score]]/7</f>
        <v>92.428571428571431</v>
      </c>
      <c r="T1921" s="3" t="str" cm="1">
        <f t="array" ref="T1921">_xlfn.IFS(student_scores[[#This Row],[weekly_self_study_hours]]&lt;=5,   "0 - 5", student_scores[[#This Row],[weekly_self_study_hours]]&lt;=10,  "6 - 10", student_scores[[#This Row],[weekly_self_study_hours]]&lt;=20,  "11 - 20",student_scores[[#This Row],[weekly_self_study_hours]]&lt;=30, "21 - 30",TRUE, "31+")</f>
        <v>31+</v>
      </c>
      <c r="U1921" t="str" cm="1">
        <f t="array" ref="U1921">_xlfn.IFS(student_scores[[#This Row],[absence_days]]=0,"0", student_scores[[#This Row],[absence_days]]&lt;=3,"1-3", student_scores[[#This Row],[absence_days]]&lt;=6,"4-6", TRUE,"7-10")</f>
        <v>1-3</v>
      </c>
      <c r="V1921" t="str">
        <f>IF(student_scores[[#This Row],[Total_Score]] &gt;= _xlfn.PERCENTILE.INC(student_scores[Total_Score], 0.8), "Yes", "No")</f>
        <v>Yes</v>
      </c>
    </row>
    <row r="1922" spans="1:22" x14ac:dyDescent="0.35">
      <c r="A1922">
        <v>1921</v>
      </c>
      <c r="B1922" t="s">
        <v>3056</v>
      </c>
      <c r="C1922" t="s">
        <v>1353</v>
      </c>
      <c r="D1922" t="s">
        <v>3057</v>
      </c>
      <c r="E1922" t="s">
        <v>25</v>
      </c>
      <c r="F1922" t="b">
        <v>0</v>
      </c>
      <c r="G1922">
        <v>4</v>
      </c>
      <c r="H1922" t="b">
        <v>1</v>
      </c>
      <c r="I1922">
        <v>16</v>
      </c>
      <c r="J1922" t="s">
        <v>105</v>
      </c>
      <c r="K1922">
        <v>96</v>
      </c>
      <c r="L1922">
        <v>70</v>
      </c>
      <c r="M1922">
        <v>65</v>
      </c>
      <c r="N1922">
        <v>63</v>
      </c>
      <c r="O1922">
        <v>97</v>
      </c>
      <c r="P1922">
        <v>97</v>
      </c>
      <c r="Q1922">
        <v>98</v>
      </c>
      <c r="R1922">
        <f>SUM(student_scores[[#This Row],[math_score]:[geography_score]])</f>
        <v>586</v>
      </c>
      <c r="S1922" s="3">
        <f>student_scores[[#This Row],[Total_Score]]/7</f>
        <v>83.714285714285708</v>
      </c>
      <c r="T1922" s="3" t="str" cm="1">
        <f t="array" ref="T1922">_xlfn.IFS(student_scores[[#This Row],[weekly_self_study_hours]]&lt;=5,   "0 - 5", student_scores[[#This Row],[weekly_self_study_hours]]&lt;=10,  "6 - 10", student_scores[[#This Row],[weekly_self_study_hours]]&lt;=20,  "11 - 20",student_scores[[#This Row],[weekly_self_study_hours]]&lt;=30, "21 - 30",TRUE, "31+")</f>
        <v>11 - 20</v>
      </c>
      <c r="U1922" t="str" cm="1">
        <f t="array" ref="U1922">_xlfn.IFS(student_scores[[#This Row],[absence_days]]=0,"0", student_scores[[#This Row],[absence_days]]&lt;=3,"1-3", student_scores[[#This Row],[absence_days]]&lt;=6,"4-6", TRUE,"7-10")</f>
        <v>4-6</v>
      </c>
      <c r="V1922" t="str">
        <f>IF(student_scores[[#This Row],[Total_Score]] &gt;= _xlfn.PERCENTILE.INC(student_scores[Total_Score], 0.8), "Yes", "No")</f>
        <v>No</v>
      </c>
    </row>
    <row r="1923" spans="1:22" x14ac:dyDescent="0.35">
      <c r="A1923">
        <v>1922</v>
      </c>
      <c r="B1923" t="s">
        <v>1007</v>
      </c>
      <c r="C1923" t="s">
        <v>167</v>
      </c>
      <c r="D1923" t="s">
        <v>3058</v>
      </c>
      <c r="E1923" t="s">
        <v>20</v>
      </c>
      <c r="F1923" t="b">
        <v>0</v>
      </c>
      <c r="G1923">
        <v>1</v>
      </c>
      <c r="H1923" t="b">
        <v>1</v>
      </c>
      <c r="I1923">
        <v>20</v>
      </c>
      <c r="J1923" t="s">
        <v>105</v>
      </c>
      <c r="K1923">
        <v>85</v>
      </c>
      <c r="L1923">
        <v>96</v>
      </c>
      <c r="M1923">
        <v>71</v>
      </c>
      <c r="N1923">
        <v>67</v>
      </c>
      <c r="O1923">
        <v>98</v>
      </c>
      <c r="P1923">
        <v>92</v>
      </c>
      <c r="Q1923">
        <v>91</v>
      </c>
      <c r="R1923">
        <f>SUM(student_scores[[#This Row],[math_score]:[geography_score]])</f>
        <v>600</v>
      </c>
      <c r="S1923" s="3">
        <f>student_scores[[#This Row],[Total_Score]]/7</f>
        <v>85.714285714285708</v>
      </c>
      <c r="T1923" s="3" t="str" cm="1">
        <f t="array" ref="T1923">_xlfn.IFS(student_scores[[#This Row],[weekly_self_study_hours]]&lt;=5,   "0 - 5", student_scores[[#This Row],[weekly_self_study_hours]]&lt;=10,  "6 - 10", student_scores[[#This Row],[weekly_self_study_hours]]&lt;=20,  "11 - 20",student_scores[[#This Row],[weekly_self_study_hours]]&lt;=30, "21 - 30",TRUE, "31+")</f>
        <v>11 - 20</v>
      </c>
      <c r="U1923" t="str" cm="1">
        <f t="array" ref="U1923">_xlfn.IFS(student_scores[[#This Row],[absence_days]]=0,"0", student_scores[[#This Row],[absence_days]]&lt;=3,"1-3", student_scores[[#This Row],[absence_days]]&lt;=6,"4-6", TRUE,"7-10")</f>
        <v>1-3</v>
      </c>
      <c r="V1923" t="str">
        <f>IF(student_scores[[#This Row],[Total_Score]] &gt;= _xlfn.PERCENTILE.INC(student_scores[Total_Score], 0.8), "Yes", "No")</f>
        <v>No</v>
      </c>
    </row>
    <row r="1924" spans="1:22" x14ac:dyDescent="0.35">
      <c r="A1924">
        <v>1923</v>
      </c>
      <c r="B1924" t="s">
        <v>243</v>
      </c>
      <c r="C1924" t="s">
        <v>3059</v>
      </c>
      <c r="D1924" t="s">
        <v>3060</v>
      </c>
      <c r="E1924" t="s">
        <v>25</v>
      </c>
      <c r="F1924" t="b">
        <v>0</v>
      </c>
      <c r="G1924">
        <v>4</v>
      </c>
      <c r="H1924" t="b">
        <v>0</v>
      </c>
      <c r="I1924">
        <v>27</v>
      </c>
      <c r="J1924" t="s">
        <v>44</v>
      </c>
      <c r="K1924">
        <v>90</v>
      </c>
      <c r="L1924">
        <v>82</v>
      </c>
      <c r="M1924">
        <v>98</v>
      </c>
      <c r="N1924">
        <v>61</v>
      </c>
      <c r="O1924">
        <v>92</v>
      </c>
      <c r="P1924">
        <v>67</v>
      </c>
      <c r="Q1924">
        <v>80</v>
      </c>
      <c r="R1924">
        <f>SUM(student_scores[[#This Row],[math_score]:[geography_score]])</f>
        <v>570</v>
      </c>
      <c r="S1924" s="3">
        <f>student_scores[[#This Row],[Total_Score]]/7</f>
        <v>81.428571428571431</v>
      </c>
      <c r="T1924" s="3" t="str" cm="1">
        <f t="array" ref="T1924">_xlfn.IFS(student_scores[[#This Row],[weekly_self_study_hours]]&lt;=5,   "0 - 5", student_scores[[#This Row],[weekly_self_study_hours]]&lt;=10,  "6 - 10", student_scores[[#This Row],[weekly_self_study_hours]]&lt;=20,  "11 - 20",student_scores[[#This Row],[weekly_self_study_hours]]&lt;=30, "21 - 30",TRUE, "31+")</f>
        <v>21 - 30</v>
      </c>
      <c r="U1924" t="str" cm="1">
        <f t="array" ref="U1924">_xlfn.IFS(student_scores[[#This Row],[absence_days]]=0,"0", student_scores[[#This Row],[absence_days]]&lt;=3,"1-3", student_scores[[#This Row],[absence_days]]&lt;=6,"4-6", TRUE,"7-10")</f>
        <v>4-6</v>
      </c>
      <c r="V1924" t="str">
        <f>IF(student_scores[[#This Row],[Total_Score]] &gt;= _xlfn.PERCENTILE.INC(student_scores[Total_Score], 0.8), "Yes", "No")</f>
        <v>No</v>
      </c>
    </row>
    <row r="1925" spans="1:22" x14ac:dyDescent="0.35">
      <c r="A1925">
        <v>1924</v>
      </c>
      <c r="B1925" t="s">
        <v>785</v>
      </c>
      <c r="C1925" t="s">
        <v>2591</v>
      </c>
      <c r="D1925" t="s">
        <v>3061</v>
      </c>
      <c r="E1925" t="s">
        <v>25</v>
      </c>
      <c r="F1925" t="b">
        <v>0</v>
      </c>
      <c r="G1925">
        <v>6</v>
      </c>
      <c r="H1925" t="b">
        <v>0</v>
      </c>
      <c r="I1925">
        <v>14</v>
      </c>
      <c r="J1925" t="s">
        <v>105</v>
      </c>
      <c r="K1925">
        <v>94</v>
      </c>
      <c r="L1925">
        <v>96</v>
      </c>
      <c r="M1925">
        <v>94</v>
      </c>
      <c r="N1925">
        <v>99</v>
      </c>
      <c r="O1925">
        <v>67</v>
      </c>
      <c r="P1925">
        <v>98</v>
      </c>
      <c r="Q1925">
        <v>67</v>
      </c>
      <c r="R1925">
        <f>SUM(student_scores[[#This Row],[math_score]:[geography_score]])</f>
        <v>615</v>
      </c>
      <c r="S1925" s="3">
        <f>student_scores[[#This Row],[Total_Score]]/7</f>
        <v>87.857142857142861</v>
      </c>
      <c r="T1925" s="3" t="str" cm="1">
        <f t="array" ref="T1925">_xlfn.IFS(student_scores[[#This Row],[weekly_self_study_hours]]&lt;=5,   "0 - 5", student_scores[[#This Row],[weekly_self_study_hours]]&lt;=10,  "6 - 10", student_scores[[#This Row],[weekly_self_study_hours]]&lt;=20,  "11 - 20",student_scores[[#This Row],[weekly_self_study_hours]]&lt;=30, "21 - 30",TRUE, "31+")</f>
        <v>11 - 20</v>
      </c>
      <c r="U1925" t="str" cm="1">
        <f t="array" ref="U1925">_xlfn.IFS(student_scores[[#This Row],[absence_days]]=0,"0", student_scores[[#This Row],[absence_days]]&lt;=3,"1-3", student_scores[[#This Row],[absence_days]]&lt;=6,"4-6", TRUE,"7-10")</f>
        <v>4-6</v>
      </c>
      <c r="V1925" t="str">
        <f>IF(student_scores[[#This Row],[Total_Score]] &gt;= _xlfn.PERCENTILE.INC(student_scores[Total_Score], 0.8), "Yes", "No")</f>
        <v>Yes</v>
      </c>
    </row>
    <row r="1926" spans="1:22" x14ac:dyDescent="0.35">
      <c r="A1926">
        <v>1925</v>
      </c>
      <c r="B1926" t="s">
        <v>476</v>
      </c>
      <c r="C1926" t="s">
        <v>2238</v>
      </c>
      <c r="D1926" t="s">
        <v>3062</v>
      </c>
      <c r="E1926" t="s">
        <v>20</v>
      </c>
      <c r="F1926" t="b">
        <v>0</v>
      </c>
      <c r="G1926">
        <v>1</v>
      </c>
      <c r="H1926" t="b">
        <v>0</v>
      </c>
      <c r="I1926">
        <v>35</v>
      </c>
      <c r="J1926" t="s">
        <v>138</v>
      </c>
      <c r="K1926">
        <v>98</v>
      </c>
      <c r="L1926">
        <v>85</v>
      </c>
      <c r="M1926">
        <v>100</v>
      </c>
      <c r="N1926">
        <v>94</v>
      </c>
      <c r="O1926">
        <v>93</v>
      </c>
      <c r="P1926">
        <v>92</v>
      </c>
      <c r="Q1926">
        <v>94</v>
      </c>
      <c r="R1926">
        <f>SUM(student_scores[[#This Row],[math_score]:[geography_score]])</f>
        <v>656</v>
      </c>
      <c r="S1926" s="3">
        <f>student_scores[[#This Row],[Total_Score]]/7</f>
        <v>93.714285714285708</v>
      </c>
      <c r="T1926" s="3" t="str" cm="1">
        <f t="array" ref="T1926">_xlfn.IFS(student_scores[[#This Row],[weekly_self_study_hours]]&lt;=5,   "0 - 5", student_scores[[#This Row],[weekly_self_study_hours]]&lt;=10,  "6 - 10", student_scores[[#This Row],[weekly_self_study_hours]]&lt;=20,  "11 - 20",student_scores[[#This Row],[weekly_self_study_hours]]&lt;=30, "21 - 30",TRUE, "31+")</f>
        <v>31+</v>
      </c>
      <c r="U1926" t="str" cm="1">
        <f t="array" ref="U1926">_xlfn.IFS(student_scores[[#This Row],[absence_days]]=0,"0", student_scores[[#This Row],[absence_days]]&lt;=3,"1-3", student_scores[[#This Row],[absence_days]]&lt;=6,"4-6", TRUE,"7-10")</f>
        <v>1-3</v>
      </c>
      <c r="V1926" t="str">
        <f>IF(student_scores[[#This Row],[Total_Score]] &gt;= _xlfn.PERCENTILE.INC(student_scores[Total_Score], 0.8), "Yes", "No")</f>
        <v>Yes</v>
      </c>
    </row>
    <row r="1927" spans="1:22" x14ac:dyDescent="0.35">
      <c r="A1927">
        <v>1926</v>
      </c>
      <c r="B1927" t="s">
        <v>139</v>
      </c>
      <c r="C1927" t="s">
        <v>3063</v>
      </c>
      <c r="D1927" t="s">
        <v>3064</v>
      </c>
      <c r="E1927" t="s">
        <v>20</v>
      </c>
      <c r="F1927" t="b">
        <v>1</v>
      </c>
      <c r="G1927">
        <v>6</v>
      </c>
      <c r="H1927" t="b">
        <v>0</v>
      </c>
      <c r="I1927">
        <v>2</v>
      </c>
      <c r="J1927" t="s">
        <v>64</v>
      </c>
      <c r="K1927">
        <v>62</v>
      </c>
      <c r="L1927">
        <v>54</v>
      </c>
      <c r="M1927">
        <v>77</v>
      </c>
      <c r="N1927">
        <v>60</v>
      </c>
      <c r="O1927">
        <v>74</v>
      </c>
      <c r="P1927">
        <v>62</v>
      </c>
      <c r="Q1927">
        <v>76</v>
      </c>
      <c r="R1927">
        <f>SUM(student_scores[[#This Row],[math_score]:[geography_score]])</f>
        <v>465</v>
      </c>
      <c r="S1927" s="3">
        <f>student_scores[[#This Row],[Total_Score]]/7</f>
        <v>66.428571428571431</v>
      </c>
      <c r="T1927" s="3" t="str" cm="1">
        <f t="array" ref="T1927">_xlfn.IFS(student_scores[[#This Row],[weekly_self_study_hours]]&lt;=5,   "0 - 5", student_scores[[#This Row],[weekly_self_study_hours]]&lt;=10,  "6 - 10", student_scores[[#This Row],[weekly_self_study_hours]]&lt;=20,  "11 - 20",student_scores[[#This Row],[weekly_self_study_hours]]&lt;=30, "21 - 30",TRUE, "31+")</f>
        <v>0 - 5</v>
      </c>
      <c r="U1927" t="str" cm="1">
        <f t="array" ref="U1927">_xlfn.IFS(student_scores[[#This Row],[absence_days]]=0,"0", student_scores[[#This Row],[absence_days]]&lt;=3,"1-3", student_scores[[#This Row],[absence_days]]&lt;=6,"4-6", TRUE,"7-10")</f>
        <v>4-6</v>
      </c>
      <c r="V1927" t="str">
        <f>IF(student_scores[[#This Row],[Total_Score]] &gt;= _xlfn.PERCENTILE.INC(student_scores[Total_Score], 0.8), "Yes", "No")</f>
        <v>No</v>
      </c>
    </row>
    <row r="1928" spans="1:22" x14ac:dyDescent="0.35">
      <c r="A1928">
        <v>1927</v>
      </c>
      <c r="B1928" t="s">
        <v>357</v>
      </c>
      <c r="C1928" t="s">
        <v>3065</v>
      </c>
      <c r="D1928" t="s">
        <v>3066</v>
      </c>
      <c r="E1928" t="s">
        <v>20</v>
      </c>
      <c r="F1928" t="b">
        <v>0</v>
      </c>
      <c r="G1928">
        <v>4</v>
      </c>
      <c r="H1928" t="b">
        <v>0</v>
      </c>
      <c r="I1928">
        <v>3</v>
      </c>
      <c r="J1928" t="s">
        <v>34</v>
      </c>
      <c r="K1928">
        <v>63</v>
      </c>
      <c r="L1928">
        <v>97</v>
      </c>
      <c r="M1928">
        <v>80</v>
      </c>
      <c r="N1928">
        <v>84</v>
      </c>
      <c r="O1928">
        <v>90</v>
      </c>
      <c r="P1928">
        <v>63</v>
      </c>
      <c r="Q1928">
        <v>64</v>
      </c>
      <c r="R1928">
        <f>SUM(student_scores[[#This Row],[math_score]:[geography_score]])</f>
        <v>541</v>
      </c>
      <c r="S1928" s="3">
        <f>student_scores[[#This Row],[Total_Score]]/7</f>
        <v>77.285714285714292</v>
      </c>
      <c r="T1928" s="3" t="str" cm="1">
        <f t="array" ref="T1928">_xlfn.IFS(student_scores[[#This Row],[weekly_self_study_hours]]&lt;=5,   "0 - 5", student_scores[[#This Row],[weekly_self_study_hours]]&lt;=10,  "6 - 10", student_scores[[#This Row],[weekly_self_study_hours]]&lt;=20,  "11 - 20",student_scores[[#This Row],[weekly_self_study_hours]]&lt;=30, "21 - 30",TRUE, "31+")</f>
        <v>0 - 5</v>
      </c>
      <c r="U1928" t="str" cm="1">
        <f t="array" ref="U1928">_xlfn.IFS(student_scores[[#This Row],[absence_days]]=0,"0", student_scores[[#This Row],[absence_days]]&lt;=3,"1-3", student_scores[[#This Row],[absence_days]]&lt;=6,"4-6", TRUE,"7-10")</f>
        <v>4-6</v>
      </c>
      <c r="V1928" t="str">
        <f>IF(student_scores[[#This Row],[Total_Score]] &gt;= _xlfn.PERCENTILE.INC(student_scores[Total_Score], 0.8), "Yes", "No")</f>
        <v>No</v>
      </c>
    </row>
    <row r="1929" spans="1:22" x14ac:dyDescent="0.35">
      <c r="A1929">
        <v>1928</v>
      </c>
      <c r="B1929" t="s">
        <v>202</v>
      </c>
      <c r="C1929" t="s">
        <v>501</v>
      </c>
      <c r="D1929" t="s">
        <v>3067</v>
      </c>
      <c r="E1929" t="s">
        <v>25</v>
      </c>
      <c r="F1929" t="b">
        <v>0</v>
      </c>
      <c r="G1929">
        <v>2</v>
      </c>
      <c r="H1929" t="b">
        <v>0</v>
      </c>
      <c r="I1929">
        <v>32</v>
      </c>
      <c r="J1929" t="s">
        <v>21</v>
      </c>
      <c r="K1929">
        <v>72</v>
      </c>
      <c r="L1929">
        <v>95</v>
      </c>
      <c r="M1929">
        <v>71</v>
      </c>
      <c r="N1929">
        <v>74</v>
      </c>
      <c r="O1929">
        <v>84</v>
      </c>
      <c r="P1929">
        <v>97</v>
      </c>
      <c r="Q1929">
        <v>66</v>
      </c>
      <c r="R1929">
        <f>SUM(student_scores[[#This Row],[math_score]:[geography_score]])</f>
        <v>559</v>
      </c>
      <c r="S1929" s="3">
        <f>student_scores[[#This Row],[Total_Score]]/7</f>
        <v>79.857142857142861</v>
      </c>
      <c r="T1929" s="3" t="str" cm="1">
        <f t="array" ref="T1929">_xlfn.IFS(student_scores[[#This Row],[weekly_self_study_hours]]&lt;=5,   "0 - 5", student_scores[[#This Row],[weekly_self_study_hours]]&lt;=10,  "6 - 10", student_scores[[#This Row],[weekly_self_study_hours]]&lt;=20,  "11 - 20",student_scores[[#This Row],[weekly_self_study_hours]]&lt;=30, "21 - 30",TRUE, "31+")</f>
        <v>31+</v>
      </c>
      <c r="U1929" t="str" cm="1">
        <f t="array" ref="U1929">_xlfn.IFS(student_scores[[#This Row],[absence_days]]=0,"0", student_scores[[#This Row],[absence_days]]&lt;=3,"1-3", student_scores[[#This Row],[absence_days]]&lt;=6,"4-6", TRUE,"7-10")</f>
        <v>1-3</v>
      </c>
      <c r="V1929" t="str">
        <f>IF(student_scores[[#This Row],[Total_Score]] &gt;= _xlfn.PERCENTILE.INC(student_scores[Total_Score], 0.8), "Yes", "No")</f>
        <v>No</v>
      </c>
    </row>
    <row r="1930" spans="1:22" x14ac:dyDescent="0.35">
      <c r="A1930">
        <v>1929</v>
      </c>
      <c r="B1930" t="s">
        <v>593</v>
      </c>
      <c r="C1930" t="s">
        <v>1522</v>
      </c>
      <c r="D1930" t="s">
        <v>3068</v>
      </c>
      <c r="E1930" t="s">
        <v>25</v>
      </c>
      <c r="F1930" t="b">
        <v>1</v>
      </c>
      <c r="G1930">
        <v>6</v>
      </c>
      <c r="H1930" t="b">
        <v>1</v>
      </c>
      <c r="I1930">
        <v>33</v>
      </c>
      <c r="J1930" t="s">
        <v>44</v>
      </c>
      <c r="K1930">
        <v>94</v>
      </c>
      <c r="L1930">
        <v>90</v>
      </c>
      <c r="M1930">
        <v>79</v>
      </c>
      <c r="N1930">
        <v>69</v>
      </c>
      <c r="O1930">
        <v>100</v>
      </c>
      <c r="P1930">
        <v>72</v>
      </c>
      <c r="Q1930">
        <v>98</v>
      </c>
      <c r="R1930">
        <f>SUM(student_scores[[#This Row],[math_score]:[geography_score]])</f>
        <v>602</v>
      </c>
      <c r="S1930" s="3">
        <f>student_scores[[#This Row],[Total_Score]]/7</f>
        <v>86</v>
      </c>
      <c r="T1930" s="3" t="str" cm="1">
        <f t="array" ref="T1930">_xlfn.IFS(student_scores[[#This Row],[weekly_self_study_hours]]&lt;=5,   "0 - 5", student_scores[[#This Row],[weekly_self_study_hours]]&lt;=10,  "6 - 10", student_scores[[#This Row],[weekly_self_study_hours]]&lt;=20,  "11 - 20",student_scores[[#This Row],[weekly_self_study_hours]]&lt;=30, "21 - 30",TRUE, "31+")</f>
        <v>31+</v>
      </c>
      <c r="U1930" t="str" cm="1">
        <f t="array" ref="U1930">_xlfn.IFS(student_scores[[#This Row],[absence_days]]=0,"0", student_scores[[#This Row],[absence_days]]&lt;=3,"1-3", student_scores[[#This Row],[absence_days]]&lt;=6,"4-6", TRUE,"7-10")</f>
        <v>4-6</v>
      </c>
      <c r="V1930" t="str">
        <f>IF(student_scores[[#This Row],[Total_Score]] &gt;= _xlfn.PERCENTILE.INC(student_scores[Total_Score], 0.8), "Yes", "No")</f>
        <v>Yes</v>
      </c>
    </row>
    <row r="1931" spans="1:22" x14ac:dyDescent="0.35">
      <c r="A1931">
        <v>1930</v>
      </c>
      <c r="B1931" t="s">
        <v>433</v>
      </c>
      <c r="C1931" t="s">
        <v>332</v>
      </c>
      <c r="D1931" t="s">
        <v>3069</v>
      </c>
      <c r="E1931" t="s">
        <v>25</v>
      </c>
      <c r="F1931" t="b">
        <v>0</v>
      </c>
      <c r="G1931">
        <v>2</v>
      </c>
      <c r="H1931" t="b">
        <v>1</v>
      </c>
      <c r="I1931">
        <v>24</v>
      </c>
      <c r="J1931" t="s">
        <v>105</v>
      </c>
      <c r="K1931">
        <v>99</v>
      </c>
      <c r="L1931">
        <v>84</v>
      </c>
      <c r="M1931">
        <v>94</v>
      </c>
      <c r="N1931">
        <v>76</v>
      </c>
      <c r="O1931">
        <v>62</v>
      </c>
      <c r="P1931">
        <v>79</v>
      </c>
      <c r="Q1931">
        <v>67</v>
      </c>
      <c r="R1931">
        <f>SUM(student_scores[[#This Row],[math_score]:[geography_score]])</f>
        <v>561</v>
      </c>
      <c r="S1931" s="3">
        <f>student_scores[[#This Row],[Total_Score]]/7</f>
        <v>80.142857142857139</v>
      </c>
      <c r="T1931" s="3" t="str" cm="1">
        <f t="array" ref="T1931">_xlfn.IFS(student_scores[[#This Row],[weekly_self_study_hours]]&lt;=5,   "0 - 5", student_scores[[#This Row],[weekly_self_study_hours]]&lt;=10,  "6 - 10", student_scores[[#This Row],[weekly_self_study_hours]]&lt;=20,  "11 - 20",student_scores[[#This Row],[weekly_self_study_hours]]&lt;=30, "21 - 30",TRUE, "31+")</f>
        <v>21 - 30</v>
      </c>
      <c r="U1931" t="str" cm="1">
        <f t="array" ref="U1931">_xlfn.IFS(student_scores[[#This Row],[absence_days]]=0,"0", student_scores[[#This Row],[absence_days]]&lt;=3,"1-3", student_scores[[#This Row],[absence_days]]&lt;=6,"4-6", TRUE,"7-10")</f>
        <v>1-3</v>
      </c>
      <c r="V1931" t="str">
        <f>IF(student_scores[[#This Row],[Total_Score]] &gt;= _xlfn.PERCENTILE.INC(student_scores[Total_Score], 0.8), "Yes", "No")</f>
        <v>No</v>
      </c>
    </row>
    <row r="1932" spans="1:22" x14ac:dyDescent="0.35">
      <c r="A1932">
        <v>1931</v>
      </c>
      <c r="B1932" t="s">
        <v>266</v>
      </c>
      <c r="C1932" t="s">
        <v>879</v>
      </c>
      <c r="D1932" t="s">
        <v>3070</v>
      </c>
      <c r="E1932" t="s">
        <v>20</v>
      </c>
      <c r="F1932" t="b">
        <v>0</v>
      </c>
      <c r="G1932">
        <v>2</v>
      </c>
      <c r="H1932" t="b">
        <v>0</v>
      </c>
      <c r="I1932">
        <v>5</v>
      </c>
      <c r="J1932" t="s">
        <v>38</v>
      </c>
      <c r="K1932">
        <v>81</v>
      </c>
      <c r="L1932">
        <v>91</v>
      </c>
      <c r="M1932">
        <v>85</v>
      </c>
      <c r="N1932">
        <v>64</v>
      </c>
      <c r="O1932">
        <v>82</v>
      </c>
      <c r="P1932">
        <v>90</v>
      </c>
      <c r="Q1932">
        <v>94</v>
      </c>
      <c r="R1932">
        <f>SUM(student_scores[[#This Row],[math_score]:[geography_score]])</f>
        <v>587</v>
      </c>
      <c r="S1932" s="3">
        <f>student_scores[[#This Row],[Total_Score]]/7</f>
        <v>83.857142857142861</v>
      </c>
      <c r="T1932" s="3" t="str" cm="1">
        <f t="array" ref="T1932">_xlfn.IFS(student_scores[[#This Row],[weekly_self_study_hours]]&lt;=5,   "0 - 5", student_scores[[#This Row],[weekly_self_study_hours]]&lt;=10,  "6 - 10", student_scores[[#This Row],[weekly_self_study_hours]]&lt;=20,  "11 - 20",student_scores[[#This Row],[weekly_self_study_hours]]&lt;=30, "21 - 30",TRUE, "31+")</f>
        <v>0 - 5</v>
      </c>
      <c r="U1932" t="str" cm="1">
        <f t="array" ref="U1932">_xlfn.IFS(student_scores[[#This Row],[absence_days]]=0,"0", student_scores[[#This Row],[absence_days]]&lt;=3,"1-3", student_scores[[#This Row],[absence_days]]&lt;=6,"4-6", TRUE,"7-10")</f>
        <v>1-3</v>
      </c>
      <c r="V1932" t="str">
        <f>IF(student_scores[[#This Row],[Total_Score]] &gt;= _xlfn.PERCENTILE.INC(student_scores[Total_Score], 0.8), "Yes", "No")</f>
        <v>No</v>
      </c>
    </row>
    <row r="1933" spans="1:22" x14ac:dyDescent="0.35">
      <c r="A1933">
        <v>1932</v>
      </c>
      <c r="B1933" t="s">
        <v>1108</v>
      </c>
      <c r="C1933" t="s">
        <v>423</v>
      </c>
      <c r="D1933" t="s">
        <v>3071</v>
      </c>
      <c r="E1933" t="s">
        <v>25</v>
      </c>
      <c r="F1933" t="b">
        <v>0</v>
      </c>
      <c r="G1933">
        <v>5</v>
      </c>
      <c r="H1933" t="b">
        <v>0</v>
      </c>
      <c r="I1933">
        <v>8</v>
      </c>
      <c r="J1933" t="s">
        <v>54</v>
      </c>
      <c r="K1933">
        <v>61</v>
      </c>
      <c r="L1933">
        <v>100</v>
      </c>
      <c r="M1933">
        <v>85</v>
      </c>
      <c r="N1933">
        <v>99</v>
      </c>
      <c r="O1933">
        <v>65</v>
      </c>
      <c r="P1933">
        <v>79</v>
      </c>
      <c r="Q1933">
        <v>86</v>
      </c>
      <c r="R1933">
        <f>SUM(student_scores[[#This Row],[math_score]:[geography_score]])</f>
        <v>575</v>
      </c>
      <c r="S1933" s="3">
        <f>student_scores[[#This Row],[Total_Score]]/7</f>
        <v>82.142857142857139</v>
      </c>
      <c r="T1933" s="3" t="str" cm="1">
        <f t="array" ref="T1933">_xlfn.IFS(student_scores[[#This Row],[weekly_self_study_hours]]&lt;=5,   "0 - 5", student_scores[[#This Row],[weekly_self_study_hours]]&lt;=10,  "6 - 10", student_scores[[#This Row],[weekly_self_study_hours]]&lt;=20,  "11 - 20",student_scores[[#This Row],[weekly_self_study_hours]]&lt;=30, "21 - 30",TRUE, "31+")</f>
        <v>6 - 10</v>
      </c>
      <c r="U1933" t="str" cm="1">
        <f t="array" ref="U1933">_xlfn.IFS(student_scores[[#This Row],[absence_days]]=0,"0", student_scores[[#This Row],[absence_days]]&lt;=3,"1-3", student_scores[[#This Row],[absence_days]]&lt;=6,"4-6", TRUE,"7-10")</f>
        <v>4-6</v>
      </c>
      <c r="V1933" t="str">
        <f>IF(student_scores[[#This Row],[Total_Score]] &gt;= _xlfn.PERCENTILE.INC(student_scores[Total_Score], 0.8), "Yes", "No")</f>
        <v>No</v>
      </c>
    </row>
    <row r="1934" spans="1:22" x14ac:dyDescent="0.35">
      <c r="A1934">
        <v>1933</v>
      </c>
      <c r="B1934" t="s">
        <v>722</v>
      </c>
      <c r="C1934" t="s">
        <v>143</v>
      </c>
      <c r="D1934" t="s">
        <v>3072</v>
      </c>
      <c r="E1934" t="s">
        <v>25</v>
      </c>
      <c r="F1934" t="b">
        <v>0</v>
      </c>
      <c r="G1934">
        <v>2</v>
      </c>
      <c r="H1934" t="b">
        <v>1</v>
      </c>
      <c r="I1934">
        <v>8</v>
      </c>
      <c r="J1934" t="s">
        <v>54</v>
      </c>
      <c r="K1934">
        <v>68</v>
      </c>
      <c r="L1934">
        <v>95</v>
      </c>
      <c r="M1934">
        <v>76</v>
      </c>
      <c r="N1934">
        <v>97</v>
      </c>
      <c r="O1934">
        <v>91</v>
      </c>
      <c r="P1934">
        <v>78</v>
      </c>
      <c r="Q1934">
        <v>71</v>
      </c>
      <c r="R1934">
        <f>SUM(student_scores[[#This Row],[math_score]:[geography_score]])</f>
        <v>576</v>
      </c>
      <c r="S1934" s="3">
        <f>student_scores[[#This Row],[Total_Score]]/7</f>
        <v>82.285714285714292</v>
      </c>
      <c r="T1934" s="3" t="str" cm="1">
        <f t="array" ref="T1934">_xlfn.IFS(student_scores[[#This Row],[weekly_self_study_hours]]&lt;=5,   "0 - 5", student_scores[[#This Row],[weekly_self_study_hours]]&lt;=10,  "6 - 10", student_scores[[#This Row],[weekly_self_study_hours]]&lt;=20,  "11 - 20",student_scores[[#This Row],[weekly_self_study_hours]]&lt;=30, "21 - 30",TRUE, "31+")</f>
        <v>6 - 10</v>
      </c>
      <c r="U1934" t="str" cm="1">
        <f t="array" ref="U1934">_xlfn.IFS(student_scores[[#This Row],[absence_days]]=0,"0", student_scores[[#This Row],[absence_days]]&lt;=3,"1-3", student_scores[[#This Row],[absence_days]]&lt;=6,"4-6", TRUE,"7-10")</f>
        <v>1-3</v>
      </c>
      <c r="V1934" t="str">
        <f>IF(student_scores[[#This Row],[Total_Score]] &gt;= _xlfn.PERCENTILE.INC(student_scores[Total_Score], 0.8), "Yes", "No")</f>
        <v>No</v>
      </c>
    </row>
    <row r="1935" spans="1:22" x14ac:dyDescent="0.35">
      <c r="A1935">
        <v>1934</v>
      </c>
      <c r="B1935" t="s">
        <v>145</v>
      </c>
      <c r="C1935" t="s">
        <v>2071</v>
      </c>
      <c r="D1935" t="s">
        <v>3073</v>
      </c>
      <c r="E1935" t="s">
        <v>20</v>
      </c>
      <c r="F1935" t="b">
        <v>0</v>
      </c>
      <c r="G1935">
        <v>0</v>
      </c>
      <c r="H1935" t="b">
        <v>0</v>
      </c>
      <c r="I1935">
        <v>21</v>
      </c>
      <c r="J1935" t="s">
        <v>38</v>
      </c>
      <c r="K1935">
        <v>64</v>
      </c>
      <c r="L1935">
        <v>74</v>
      </c>
      <c r="M1935">
        <v>79</v>
      </c>
      <c r="N1935">
        <v>72</v>
      </c>
      <c r="O1935">
        <v>74</v>
      </c>
      <c r="P1935">
        <v>65</v>
      </c>
      <c r="Q1935">
        <v>95</v>
      </c>
      <c r="R1935">
        <f>SUM(student_scores[[#This Row],[math_score]:[geography_score]])</f>
        <v>523</v>
      </c>
      <c r="S1935" s="3">
        <f>student_scores[[#This Row],[Total_Score]]/7</f>
        <v>74.714285714285708</v>
      </c>
      <c r="T1935" s="3" t="str" cm="1">
        <f t="array" ref="T1935">_xlfn.IFS(student_scores[[#This Row],[weekly_self_study_hours]]&lt;=5,   "0 - 5", student_scores[[#This Row],[weekly_self_study_hours]]&lt;=10,  "6 - 10", student_scores[[#This Row],[weekly_self_study_hours]]&lt;=20,  "11 - 20",student_scores[[#This Row],[weekly_self_study_hours]]&lt;=30, "21 - 30",TRUE, "31+")</f>
        <v>21 - 30</v>
      </c>
      <c r="U1935" t="str" cm="1">
        <f t="array" ref="U1935">_xlfn.IFS(student_scores[[#This Row],[absence_days]]=0,"0", student_scores[[#This Row],[absence_days]]&lt;=3,"1-3", student_scores[[#This Row],[absence_days]]&lt;=6,"4-6", TRUE,"7-10")</f>
        <v>0</v>
      </c>
      <c r="V1935" t="str">
        <f>IF(student_scores[[#This Row],[Total_Score]] &gt;= _xlfn.PERCENTILE.INC(student_scores[Total_Score], 0.8), "Yes", "No")</f>
        <v>No</v>
      </c>
    </row>
    <row r="1936" spans="1:22" x14ac:dyDescent="0.35">
      <c r="A1936">
        <v>1935</v>
      </c>
      <c r="B1936" t="s">
        <v>3074</v>
      </c>
      <c r="C1936" t="s">
        <v>551</v>
      </c>
      <c r="D1936" t="s">
        <v>3075</v>
      </c>
      <c r="E1936" t="s">
        <v>25</v>
      </c>
      <c r="F1936" t="b">
        <v>0</v>
      </c>
      <c r="G1936">
        <v>1</v>
      </c>
      <c r="H1936" t="b">
        <v>1</v>
      </c>
      <c r="I1936">
        <v>6</v>
      </c>
      <c r="J1936" t="s">
        <v>30</v>
      </c>
      <c r="K1936">
        <v>66</v>
      </c>
      <c r="L1936">
        <v>94</v>
      </c>
      <c r="M1936">
        <v>67</v>
      </c>
      <c r="N1936">
        <v>79</v>
      </c>
      <c r="O1936">
        <v>64</v>
      </c>
      <c r="P1936">
        <v>89</v>
      </c>
      <c r="Q1936">
        <v>75</v>
      </c>
      <c r="R1936">
        <f>SUM(student_scores[[#This Row],[math_score]:[geography_score]])</f>
        <v>534</v>
      </c>
      <c r="S1936" s="3">
        <f>student_scores[[#This Row],[Total_Score]]/7</f>
        <v>76.285714285714292</v>
      </c>
      <c r="T1936" s="3" t="str" cm="1">
        <f t="array" ref="T1936">_xlfn.IFS(student_scores[[#This Row],[weekly_self_study_hours]]&lt;=5,   "0 - 5", student_scores[[#This Row],[weekly_self_study_hours]]&lt;=10,  "6 - 10", student_scores[[#This Row],[weekly_self_study_hours]]&lt;=20,  "11 - 20",student_scores[[#This Row],[weekly_self_study_hours]]&lt;=30, "21 - 30",TRUE, "31+")</f>
        <v>6 - 10</v>
      </c>
      <c r="U1936" t="str" cm="1">
        <f t="array" ref="U1936">_xlfn.IFS(student_scores[[#This Row],[absence_days]]=0,"0", student_scores[[#This Row],[absence_days]]&lt;=3,"1-3", student_scores[[#This Row],[absence_days]]&lt;=6,"4-6", TRUE,"7-10")</f>
        <v>1-3</v>
      </c>
      <c r="V1936" t="str">
        <f>IF(student_scores[[#This Row],[Total_Score]] &gt;= _xlfn.PERCENTILE.INC(student_scores[Total_Score], 0.8), "Yes", "No")</f>
        <v>No</v>
      </c>
    </row>
    <row r="1937" spans="1:22" x14ac:dyDescent="0.35">
      <c r="A1937">
        <v>1936</v>
      </c>
      <c r="B1937" t="s">
        <v>166</v>
      </c>
      <c r="C1937" t="s">
        <v>600</v>
      </c>
      <c r="D1937" t="s">
        <v>3076</v>
      </c>
      <c r="E1937" t="s">
        <v>25</v>
      </c>
      <c r="F1937" t="b">
        <v>1</v>
      </c>
      <c r="G1937">
        <v>0</v>
      </c>
      <c r="H1937" t="b">
        <v>0</v>
      </c>
      <c r="I1937">
        <v>15</v>
      </c>
      <c r="J1937" t="s">
        <v>44</v>
      </c>
      <c r="K1937">
        <v>100</v>
      </c>
      <c r="L1937">
        <v>95</v>
      </c>
      <c r="M1937">
        <v>72</v>
      </c>
      <c r="N1937">
        <v>77</v>
      </c>
      <c r="O1937">
        <v>66</v>
      </c>
      <c r="P1937">
        <v>68</v>
      </c>
      <c r="Q1937">
        <v>76</v>
      </c>
      <c r="R1937">
        <f>SUM(student_scores[[#This Row],[math_score]:[geography_score]])</f>
        <v>554</v>
      </c>
      <c r="S1937" s="3">
        <f>student_scores[[#This Row],[Total_Score]]/7</f>
        <v>79.142857142857139</v>
      </c>
      <c r="T1937" s="3" t="str" cm="1">
        <f t="array" ref="T1937">_xlfn.IFS(student_scores[[#This Row],[weekly_self_study_hours]]&lt;=5,   "0 - 5", student_scores[[#This Row],[weekly_self_study_hours]]&lt;=10,  "6 - 10", student_scores[[#This Row],[weekly_self_study_hours]]&lt;=20,  "11 - 20",student_scores[[#This Row],[weekly_self_study_hours]]&lt;=30, "21 - 30",TRUE, "31+")</f>
        <v>11 - 20</v>
      </c>
      <c r="U1937" t="str" cm="1">
        <f t="array" ref="U1937">_xlfn.IFS(student_scores[[#This Row],[absence_days]]=0,"0", student_scores[[#This Row],[absence_days]]&lt;=3,"1-3", student_scores[[#This Row],[absence_days]]&lt;=6,"4-6", TRUE,"7-10")</f>
        <v>0</v>
      </c>
      <c r="V1937" t="str">
        <f>IF(student_scores[[#This Row],[Total_Score]] &gt;= _xlfn.PERCENTILE.INC(student_scores[Total_Score], 0.8), "Yes", "No")</f>
        <v>No</v>
      </c>
    </row>
    <row r="1938" spans="1:22" x14ac:dyDescent="0.35">
      <c r="A1938">
        <v>1937</v>
      </c>
      <c r="B1938" t="s">
        <v>193</v>
      </c>
      <c r="C1938" t="s">
        <v>2025</v>
      </c>
      <c r="D1938" t="s">
        <v>3077</v>
      </c>
      <c r="E1938" t="s">
        <v>25</v>
      </c>
      <c r="F1938" t="b">
        <v>1</v>
      </c>
      <c r="G1938">
        <v>1</v>
      </c>
      <c r="H1938" t="b">
        <v>0</v>
      </c>
      <c r="I1938">
        <v>12</v>
      </c>
      <c r="J1938" t="s">
        <v>30</v>
      </c>
      <c r="K1938">
        <v>74</v>
      </c>
      <c r="L1938">
        <v>86</v>
      </c>
      <c r="M1938">
        <v>70</v>
      </c>
      <c r="N1938">
        <v>94</v>
      </c>
      <c r="O1938">
        <v>71</v>
      </c>
      <c r="P1938">
        <v>70</v>
      </c>
      <c r="Q1938">
        <v>63</v>
      </c>
      <c r="R1938">
        <f>SUM(student_scores[[#This Row],[math_score]:[geography_score]])</f>
        <v>528</v>
      </c>
      <c r="S1938" s="3">
        <f>student_scores[[#This Row],[Total_Score]]/7</f>
        <v>75.428571428571431</v>
      </c>
      <c r="T1938" s="3" t="str" cm="1">
        <f t="array" ref="T1938">_xlfn.IFS(student_scores[[#This Row],[weekly_self_study_hours]]&lt;=5,   "0 - 5", student_scores[[#This Row],[weekly_self_study_hours]]&lt;=10,  "6 - 10", student_scores[[#This Row],[weekly_self_study_hours]]&lt;=20,  "11 - 20",student_scores[[#This Row],[weekly_self_study_hours]]&lt;=30, "21 - 30",TRUE, "31+")</f>
        <v>11 - 20</v>
      </c>
      <c r="U1938" t="str" cm="1">
        <f t="array" ref="U1938">_xlfn.IFS(student_scores[[#This Row],[absence_days]]=0,"0", student_scores[[#This Row],[absence_days]]&lt;=3,"1-3", student_scores[[#This Row],[absence_days]]&lt;=6,"4-6", TRUE,"7-10")</f>
        <v>1-3</v>
      </c>
      <c r="V1938" t="str">
        <f>IF(student_scores[[#This Row],[Total_Score]] &gt;= _xlfn.PERCENTILE.INC(student_scores[Total_Score], 0.8), "Yes", "No")</f>
        <v>No</v>
      </c>
    </row>
    <row r="1939" spans="1:22" x14ac:dyDescent="0.35">
      <c r="A1939">
        <v>1938</v>
      </c>
      <c r="B1939" t="s">
        <v>114</v>
      </c>
      <c r="C1939" t="s">
        <v>3078</v>
      </c>
      <c r="D1939" t="s">
        <v>3079</v>
      </c>
      <c r="E1939" t="s">
        <v>25</v>
      </c>
      <c r="F1939" t="b">
        <v>0</v>
      </c>
      <c r="G1939">
        <v>6</v>
      </c>
      <c r="H1939" t="b">
        <v>0</v>
      </c>
      <c r="I1939">
        <v>1</v>
      </c>
      <c r="J1939" t="s">
        <v>34</v>
      </c>
      <c r="K1939">
        <v>96</v>
      </c>
      <c r="L1939">
        <v>66</v>
      </c>
      <c r="M1939">
        <v>76</v>
      </c>
      <c r="N1939">
        <v>71</v>
      </c>
      <c r="O1939">
        <v>94</v>
      </c>
      <c r="P1939">
        <v>72</v>
      </c>
      <c r="Q1939">
        <v>86</v>
      </c>
      <c r="R1939">
        <f>SUM(student_scores[[#This Row],[math_score]:[geography_score]])</f>
        <v>561</v>
      </c>
      <c r="S1939" s="3">
        <f>student_scores[[#This Row],[Total_Score]]/7</f>
        <v>80.142857142857139</v>
      </c>
      <c r="T1939" s="3" t="str" cm="1">
        <f t="array" ref="T1939">_xlfn.IFS(student_scores[[#This Row],[weekly_self_study_hours]]&lt;=5,   "0 - 5", student_scores[[#This Row],[weekly_self_study_hours]]&lt;=10,  "6 - 10", student_scores[[#This Row],[weekly_self_study_hours]]&lt;=20,  "11 - 20",student_scores[[#This Row],[weekly_self_study_hours]]&lt;=30, "21 - 30",TRUE, "31+")</f>
        <v>0 - 5</v>
      </c>
      <c r="U1939" t="str" cm="1">
        <f t="array" ref="U1939">_xlfn.IFS(student_scores[[#This Row],[absence_days]]=0,"0", student_scores[[#This Row],[absence_days]]&lt;=3,"1-3", student_scores[[#This Row],[absence_days]]&lt;=6,"4-6", TRUE,"7-10")</f>
        <v>4-6</v>
      </c>
      <c r="V1939" t="str">
        <f>IF(student_scores[[#This Row],[Total_Score]] &gt;= _xlfn.PERCENTILE.INC(student_scores[Total_Score], 0.8), "Yes", "No")</f>
        <v>No</v>
      </c>
    </row>
    <row r="1940" spans="1:22" x14ac:dyDescent="0.35">
      <c r="A1940">
        <v>1939</v>
      </c>
      <c r="B1940" t="s">
        <v>139</v>
      </c>
      <c r="C1940" t="s">
        <v>600</v>
      </c>
      <c r="D1940" t="s">
        <v>3080</v>
      </c>
      <c r="E1940" t="s">
        <v>20</v>
      </c>
      <c r="F1940" t="b">
        <v>0</v>
      </c>
      <c r="G1940">
        <v>2</v>
      </c>
      <c r="H1940" t="b">
        <v>0</v>
      </c>
      <c r="I1940">
        <v>14</v>
      </c>
      <c r="J1940" t="s">
        <v>44</v>
      </c>
      <c r="K1940">
        <v>90</v>
      </c>
      <c r="L1940">
        <v>92</v>
      </c>
      <c r="M1940">
        <v>95</v>
      </c>
      <c r="N1940">
        <v>88</v>
      </c>
      <c r="O1940">
        <v>88</v>
      </c>
      <c r="P1940">
        <v>85</v>
      </c>
      <c r="Q1940">
        <v>92</v>
      </c>
      <c r="R1940">
        <f>SUM(student_scores[[#This Row],[math_score]:[geography_score]])</f>
        <v>630</v>
      </c>
      <c r="S1940" s="3">
        <f>student_scores[[#This Row],[Total_Score]]/7</f>
        <v>90</v>
      </c>
      <c r="T1940" s="3" t="str" cm="1">
        <f t="array" ref="T1940">_xlfn.IFS(student_scores[[#This Row],[weekly_self_study_hours]]&lt;=5,   "0 - 5", student_scores[[#This Row],[weekly_self_study_hours]]&lt;=10,  "6 - 10", student_scores[[#This Row],[weekly_self_study_hours]]&lt;=20,  "11 - 20",student_scores[[#This Row],[weekly_self_study_hours]]&lt;=30, "21 - 30",TRUE, "31+")</f>
        <v>11 - 20</v>
      </c>
      <c r="U1940" t="str" cm="1">
        <f t="array" ref="U1940">_xlfn.IFS(student_scores[[#This Row],[absence_days]]=0,"0", student_scores[[#This Row],[absence_days]]&lt;=3,"1-3", student_scores[[#This Row],[absence_days]]&lt;=6,"4-6", TRUE,"7-10")</f>
        <v>1-3</v>
      </c>
      <c r="V1940" t="str">
        <f>IF(student_scores[[#This Row],[Total_Score]] &gt;= _xlfn.PERCENTILE.INC(student_scores[Total_Score], 0.8), "Yes", "No")</f>
        <v>Yes</v>
      </c>
    </row>
    <row r="1941" spans="1:22" x14ac:dyDescent="0.35">
      <c r="A1941">
        <v>1940</v>
      </c>
      <c r="B1941" t="s">
        <v>139</v>
      </c>
      <c r="C1941" t="s">
        <v>400</v>
      </c>
      <c r="D1941" t="s">
        <v>3081</v>
      </c>
      <c r="E1941" t="s">
        <v>20</v>
      </c>
      <c r="F1941" t="b">
        <v>0</v>
      </c>
      <c r="G1941">
        <v>3</v>
      </c>
      <c r="H1941" t="b">
        <v>0</v>
      </c>
      <c r="I1941">
        <v>26</v>
      </c>
      <c r="J1941" t="s">
        <v>113</v>
      </c>
      <c r="K1941">
        <v>92</v>
      </c>
      <c r="L1941">
        <v>86</v>
      </c>
      <c r="M1941">
        <v>61</v>
      </c>
      <c r="N1941">
        <v>78</v>
      </c>
      <c r="O1941">
        <v>56</v>
      </c>
      <c r="P1941">
        <v>68</v>
      </c>
      <c r="Q1941">
        <v>85</v>
      </c>
      <c r="R1941">
        <f>SUM(student_scores[[#This Row],[math_score]:[geography_score]])</f>
        <v>526</v>
      </c>
      <c r="S1941" s="3">
        <f>student_scores[[#This Row],[Total_Score]]/7</f>
        <v>75.142857142857139</v>
      </c>
      <c r="T1941" s="3" t="str" cm="1">
        <f t="array" ref="T1941">_xlfn.IFS(student_scores[[#This Row],[weekly_self_study_hours]]&lt;=5,   "0 - 5", student_scores[[#This Row],[weekly_self_study_hours]]&lt;=10,  "6 - 10", student_scores[[#This Row],[weekly_self_study_hours]]&lt;=20,  "11 - 20",student_scores[[#This Row],[weekly_self_study_hours]]&lt;=30, "21 - 30",TRUE, "31+")</f>
        <v>21 - 30</v>
      </c>
      <c r="U1941" t="str" cm="1">
        <f t="array" ref="U1941">_xlfn.IFS(student_scores[[#This Row],[absence_days]]=0,"0", student_scores[[#This Row],[absence_days]]&lt;=3,"1-3", student_scores[[#This Row],[absence_days]]&lt;=6,"4-6", TRUE,"7-10")</f>
        <v>1-3</v>
      </c>
      <c r="V1941" t="str">
        <f>IF(student_scores[[#This Row],[Total_Score]] &gt;= _xlfn.PERCENTILE.INC(student_scores[Total_Score], 0.8), "Yes", "No")</f>
        <v>No</v>
      </c>
    </row>
    <row r="1942" spans="1:22" x14ac:dyDescent="0.35">
      <c r="A1942">
        <v>1941</v>
      </c>
      <c r="B1942" t="s">
        <v>413</v>
      </c>
      <c r="C1942" t="s">
        <v>332</v>
      </c>
      <c r="D1942" t="s">
        <v>3082</v>
      </c>
      <c r="E1942" t="s">
        <v>20</v>
      </c>
      <c r="F1942" t="b">
        <v>1</v>
      </c>
      <c r="G1942">
        <v>1</v>
      </c>
      <c r="H1942" t="b">
        <v>0</v>
      </c>
      <c r="I1942">
        <v>31</v>
      </c>
      <c r="J1942" t="s">
        <v>26</v>
      </c>
      <c r="K1942">
        <v>99</v>
      </c>
      <c r="L1942">
        <v>78</v>
      </c>
      <c r="M1942">
        <v>99</v>
      </c>
      <c r="N1942">
        <v>88</v>
      </c>
      <c r="O1942">
        <v>96</v>
      </c>
      <c r="P1942">
        <v>96</v>
      </c>
      <c r="Q1942">
        <v>90</v>
      </c>
      <c r="R1942">
        <f>SUM(student_scores[[#This Row],[math_score]:[geography_score]])</f>
        <v>646</v>
      </c>
      <c r="S1942" s="3">
        <f>student_scores[[#This Row],[Total_Score]]/7</f>
        <v>92.285714285714292</v>
      </c>
      <c r="T1942" s="3" t="str" cm="1">
        <f t="array" ref="T1942">_xlfn.IFS(student_scores[[#This Row],[weekly_self_study_hours]]&lt;=5,   "0 - 5", student_scores[[#This Row],[weekly_self_study_hours]]&lt;=10,  "6 - 10", student_scores[[#This Row],[weekly_self_study_hours]]&lt;=20,  "11 - 20",student_scores[[#This Row],[weekly_self_study_hours]]&lt;=30, "21 - 30",TRUE, "31+")</f>
        <v>31+</v>
      </c>
      <c r="U1942" t="str" cm="1">
        <f t="array" ref="U1942">_xlfn.IFS(student_scores[[#This Row],[absence_days]]=0,"0", student_scores[[#This Row],[absence_days]]&lt;=3,"1-3", student_scores[[#This Row],[absence_days]]&lt;=6,"4-6", TRUE,"7-10")</f>
        <v>1-3</v>
      </c>
      <c r="V1942" t="str">
        <f>IF(student_scores[[#This Row],[Total_Score]] &gt;= _xlfn.PERCENTILE.INC(student_scores[Total_Score], 0.8), "Yes", "No")</f>
        <v>Yes</v>
      </c>
    </row>
    <row r="1943" spans="1:22" x14ac:dyDescent="0.35">
      <c r="A1943">
        <v>1942</v>
      </c>
      <c r="B1943" t="s">
        <v>130</v>
      </c>
      <c r="C1943" t="s">
        <v>2776</v>
      </c>
      <c r="D1943" t="s">
        <v>3083</v>
      </c>
      <c r="E1943" t="s">
        <v>25</v>
      </c>
      <c r="F1943" t="b">
        <v>0</v>
      </c>
      <c r="G1943">
        <v>4</v>
      </c>
      <c r="H1943" t="b">
        <v>0</v>
      </c>
      <c r="I1943">
        <v>5</v>
      </c>
      <c r="J1943" t="s">
        <v>38</v>
      </c>
      <c r="K1943">
        <v>63</v>
      </c>
      <c r="L1943">
        <v>68</v>
      </c>
      <c r="M1943">
        <v>91</v>
      </c>
      <c r="N1943">
        <v>82</v>
      </c>
      <c r="O1943">
        <v>90</v>
      </c>
      <c r="P1943">
        <v>86</v>
      </c>
      <c r="Q1943">
        <v>75</v>
      </c>
      <c r="R1943">
        <f>SUM(student_scores[[#This Row],[math_score]:[geography_score]])</f>
        <v>555</v>
      </c>
      <c r="S1943" s="3">
        <f>student_scores[[#This Row],[Total_Score]]/7</f>
        <v>79.285714285714292</v>
      </c>
      <c r="T1943" s="3" t="str" cm="1">
        <f t="array" ref="T1943">_xlfn.IFS(student_scores[[#This Row],[weekly_self_study_hours]]&lt;=5,   "0 - 5", student_scores[[#This Row],[weekly_self_study_hours]]&lt;=10,  "6 - 10", student_scores[[#This Row],[weekly_self_study_hours]]&lt;=20,  "11 - 20",student_scores[[#This Row],[weekly_self_study_hours]]&lt;=30, "21 - 30",TRUE, "31+")</f>
        <v>0 - 5</v>
      </c>
      <c r="U1943" t="str" cm="1">
        <f t="array" ref="U1943">_xlfn.IFS(student_scores[[#This Row],[absence_days]]=0,"0", student_scores[[#This Row],[absence_days]]&lt;=3,"1-3", student_scores[[#This Row],[absence_days]]&lt;=6,"4-6", TRUE,"7-10")</f>
        <v>4-6</v>
      </c>
      <c r="V1943" t="str">
        <f>IF(student_scores[[#This Row],[Total_Score]] &gt;= _xlfn.PERCENTILE.INC(student_scores[Total_Score], 0.8), "Yes", "No")</f>
        <v>No</v>
      </c>
    </row>
    <row r="1944" spans="1:22" x14ac:dyDescent="0.35">
      <c r="A1944">
        <v>1943</v>
      </c>
      <c r="B1944" t="s">
        <v>348</v>
      </c>
      <c r="C1944" t="s">
        <v>1089</v>
      </c>
      <c r="D1944" t="s">
        <v>3084</v>
      </c>
      <c r="E1944" t="s">
        <v>20</v>
      </c>
      <c r="F1944" t="b">
        <v>0</v>
      </c>
      <c r="G1944">
        <v>2</v>
      </c>
      <c r="H1944" t="b">
        <v>0</v>
      </c>
      <c r="I1944">
        <v>28</v>
      </c>
      <c r="J1944" t="s">
        <v>113</v>
      </c>
      <c r="K1944">
        <v>98</v>
      </c>
      <c r="L1944">
        <v>88</v>
      </c>
      <c r="M1944">
        <v>81</v>
      </c>
      <c r="N1944">
        <v>65</v>
      </c>
      <c r="O1944">
        <v>59</v>
      </c>
      <c r="P1944">
        <v>84</v>
      </c>
      <c r="Q1944">
        <v>87</v>
      </c>
      <c r="R1944">
        <f>SUM(student_scores[[#This Row],[math_score]:[geography_score]])</f>
        <v>562</v>
      </c>
      <c r="S1944" s="3">
        <f>student_scores[[#This Row],[Total_Score]]/7</f>
        <v>80.285714285714292</v>
      </c>
      <c r="T1944" s="3" t="str" cm="1">
        <f t="array" ref="T1944">_xlfn.IFS(student_scores[[#This Row],[weekly_self_study_hours]]&lt;=5,   "0 - 5", student_scores[[#This Row],[weekly_self_study_hours]]&lt;=10,  "6 - 10", student_scores[[#This Row],[weekly_self_study_hours]]&lt;=20,  "11 - 20",student_scores[[#This Row],[weekly_self_study_hours]]&lt;=30, "21 - 30",TRUE, "31+")</f>
        <v>21 - 30</v>
      </c>
      <c r="U1944" t="str" cm="1">
        <f t="array" ref="U1944">_xlfn.IFS(student_scores[[#This Row],[absence_days]]=0,"0", student_scores[[#This Row],[absence_days]]&lt;=3,"1-3", student_scores[[#This Row],[absence_days]]&lt;=6,"4-6", TRUE,"7-10")</f>
        <v>1-3</v>
      </c>
      <c r="V1944" t="str">
        <f>IF(student_scores[[#This Row],[Total_Score]] &gt;= _xlfn.PERCENTILE.INC(student_scores[Total_Score], 0.8), "Yes", "No")</f>
        <v>No</v>
      </c>
    </row>
    <row r="1945" spans="1:22" x14ac:dyDescent="0.35">
      <c r="A1945">
        <v>1944</v>
      </c>
      <c r="B1945" t="s">
        <v>190</v>
      </c>
      <c r="C1945" t="s">
        <v>515</v>
      </c>
      <c r="D1945" t="s">
        <v>3085</v>
      </c>
      <c r="E1945" t="s">
        <v>25</v>
      </c>
      <c r="F1945" t="b">
        <v>0</v>
      </c>
      <c r="G1945">
        <v>1</v>
      </c>
      <c r="H1945" t="b">
        <v>1</v>
      </c>
      <c r="I1945">
        <v>11</v>
      </c>
      <c r="J1945" t="s">
        <v>38</v>
      </c>
      <c r="K1945">
        <v>87</v>
      </c>
      <c r="L1945">
        <v>61</v>
      </c>
      <c r="M1945">
        <v>62</v>
      </c>
      <c r="N1945">
        <v>66</v>
      </c>
      <c r="O1945">
        <v>67</v>
      </c>
      <c r="P1945">
        <v>81</v>
      </c>
      <c r="Q1945">
        <v>65</v>
      </c>
      <c r="R1945">
        <f>SUM(student_scores[[#This Row],[math_score]:[geography_score]])</f>
        <v>489</v>
      </c>
      <c r="S1945" s="3">
        <f>student_scores[[#This Row],[Total_Score]]/7</f>
        <v>69.857142857142861</v>
      </c>
      <c r="T1945" s="3" t="str" cm="1">
        <f t="array" ref="T1945">_xlfn.IFS(student_scores[[#This Row],[weekly_self_study_hours]]&lt;=5,   "0 - 5", student_scores[[#This Row],[weekly_self_study_hours]]&lt;=10,  "6 - 10", student_scores[[#This Row],[weekly_self_study_hours]]&lt;=20,  "11 - 20",student_scores[[#This Row],[weekly_self_study_hours]]&lt;=30, "21 - 30",TRUE, "31+")</f>
        <v>11 - 20</v>
      </c>
      <c r="U1945" t="str" cm="1">
        <f t="array" ref="U1945">_xlfn.IFS(student_scores[[#This Row],[absence_days]]=0,"0", student_scores[[#This Row],[absence_days]]&lt;=3,"1-3", student_scores[[#This Row],[absence_days]]&lt;=6,"4-6", TRUE,"7-10")</f>
        <v>1-3</v>
      </c>
      <c r="V1945" t="str">
        <f>IF(student_scores[[#This Row],[Total_Score]] &gt;= _xlfn.PERCENTILE.INC(student_scores[Total_Score], 0.8), "Yes", "No")</f>
        <v>No</v>
      </c>
    </row>
    <row r="1946" spans="1:22" x14ac:dyDescent="0.35">
      <c r="A1946">
        <v>1945</v>
      </c>
      <c r="B1946" t="s">
        <v>322</v>
      </c>
      <c r="C1946" t="s">
        <v>469</v>
      </c>
      <c r="D1946" t="s">
        <v>3086</v>
      </c>
      <c r="E1946" t="s">
        <v>20</v>
      </c>
      <c r="F1946" t="b">
        <v>0</v>
      </c>
      <c r="G1946">
        <v>1</v>
      </c>
      <c r="H1946" t="b">
        <v>1</v>
      </c>
      <c r="I1946">
        <v>19</v>
      </c>
      <c r="J1946" t="s">
        <v>44</v>
      </c>
      <c r="K1946">
        <v>96</v>
      </c>
      <c r="L1946">
        <v>96</v>
      </c>
      <c r="M1946">
        <v>80</v>
      </c>
      <c r="N1946">
        <v>93</v>
      </c>
      <c r="O1946">
        <v>82</v>
      </c>
      <c r="P1946">
        <v>65</v>
      </c>
      <c r="Q1946">
        <v>70</v>
      </c>
      <c r="R1946">
        <f>SUM(student_scores[[#This Row],[math_score]:[geography_score]])</f>
        <v>582</v>
      </c>
      <c r="S1946" s="3">
        <f>student_scores[[#This Row],[Total_Score]]/7</f>
        <v>83.142857142857139</v>
      </c>
      <c r="T1946" s="3" t="str" cm="1">
        <f t="array" ref="T1946">_xlfn.IFS(student_scores[[#This Row],[weekly_self_study_hours]]&lt;=5,   "0 - 5", student_scores[[#This Row],[weekly_self_study_hours]]&lt;=10,  "6 - 10", student_scores[[#This Row],[weekly_self_study_hours]]&lt;=20,  "11 - 20",student_scores[[#This Row],[weekly_self_study_hours]]&lt;=30, "21 - 30",TRUE, "31+")</f>
        <v>11 - 20</v>
      </c>
      <c r="U1946" t="str" cm="1">
        <f t="array" ref="U1946">_xlfn.IFS(student_scores[[#This Row],[absence_days]]=0,"0", student_scores[[#This Row],[absence_days]]&lt;=3,"1-3", student_scores[[#This Row],[absence_days]]&lt;=6,"4-6", TRUE,"7-10")</f>
        <v>1-3</v>
      </c>
      <c r="V1946" t="str">
        <f>IF(student_scores[[#This Row],[Total_Score]] &gt;= _xlfn.PERCENTILE.INC(student_scores[Total_Score], 0.8), "Yes", "No")</f>
        <v>No</v>
      </c>
    </row>
    <row r="1947" spans="1:22" x14ac:dyDescent="0.35">
      <c r="A1947">
        <v>1946</v>
      </c>
      <c r="B1947" t="s">
        <v>145</v>
      </c>
      <c r="C1947" t="s">
        <v>1193</v>
      </c>
      <c r="D1947" t="s">
        <v>3087</v>
      </c>
      <c r="E1947" t="s">
        <v>20</v>
      </c>
      <c r="F1947" t="b">
        <v>0</v>
      </c>
      <c r="G1947">
        <v>3</v>
      </c>
      <c r="H1947" t="b">
        <v>0</v>
      </c>
      <c r="I1947">
        <v>17</v>
      </c>
      <c r="J1947" t="s">
        <v>172</v>
      </c>
      <c r="K1947">
        <v>80</v>
      </c>
      <c r="L1947">
        <v>98</v>
      </c>
      <c r="M1947">
        <v>99</v>
      </c>
      <c r="N1947">
        <v>90</v>
      </c>
      <c r="O1947">
        <v>64</v>
      </c>
      <c r="P1947">
        <v>86</v>
      </c>
      <c r="Q1947">
        <v>93</v>
      </c>
      <c r="R1947">
        <f>SUM(student_scores[[#This Row],[math_score]:[geography_score]])</f>
        <v>610</v>
      </c>
      <c r="S1947" s="3">
        <f>student_scores[[#This Row],[Total_Score]]/7</f>
        <v>87.142857142857139</v>
      </c>
      <c r="T1947" s="3" t="str" cm="1">
        <f t="array" ref="T1947">_xlfn.IFS(student_scores[[#This Row],[weekly_self_study_hours]]&lt;=5,   "0 - 5", student_scores[[#This Row],[weekly_self_study_hours]]&lt;=10,  "6 - 10", student_scores[[#This Row],[weekly_self_study_hours]]&lt;=20,  "11 - 20",student_scores[[#This Row],[weekly_self_study_hours]]&lt;=30, "21 - 30",TRUE, "31+")</f>
        <v>11 - 20</v>
      </c>
      <c r="U1947" t="str" cm="1">
        <f t="array" ref="U1947">_xlfn.IFS(student_scores[[#This Row],[absence_days]]=0,"0", student_scores[[#This Row],[absence_days]]&lt;=3,"1-3", student_scores[[#This Row],[absence_days]]&lt;=6,"4-6", TRUE,"7-10")</f>
        <v>1-3</v>
      </c>
      <c r="V1947" t="str">
        <f>IF(student_scores[[#This Row],[Total_Score]] &gt;= _xlfn.PERCENTILE.INC(student_scores[Total_Score], 0.8), "Yes", "No")</f>
        <v>Yes</v>
      </c>
    </row>
    <row r="1948" spans="1:22" x14ac:dyDescent="0.35">
      <c r="A1948">
        <v>1947</v>
      </c>
      <c r="B1948" t="s">
        <v>193</v>
      </c>
      <c r="C1948" t="s">
        <v>2000</v>
      </c>
      <c r="D1948" t="s">
        <v>3088</v>
      </c>
      <c r="E1948" t="s">
        <v>25</v>
      </c>
      <c r="F1948" t="b">
        <v>0</v>
      </c>
      <c r="G1948">
        <v>0</v>
      </c>
      <c r="H1948" t="b">
        <v>1</v>
      </c>
      <c r="I1948">
        <v>30</v>
      </c>
      <c r="J1948" t="s">
        <v>38</v>
      </c>
      <c r="K1948">
        <v>80</v>
      </c>
      <c r="L1948">
        <v>77</v>
      </c>
      <c r="M1948">
        <v>96</v>
      </c>
      <c r="N1948">
        <v>64</v>
      </c>
      <c r="O1948">
        <v>93</v>
      </c>
      <c r="P1948">
        <v>62</v>
      </c>
      <c r="Q1948">
        <v>86</v>
      </c>
      <c r="R1948">
        <f>SUM(student_scores[[#This Row],[math_score]:[geography_score]])</f>
        <v>558</v>
      </c>
      <c r="S1948" s="3">
        <f>student_scores[[#This Row],[Total_Score]]/7</f>
        <v>79.714285714285708</v>
      </c>
      <c r="T1948" s="3" t="str" cm="1">
        <f t="array" ref="T1948">_xlfn.IFS(student_scores[[#This Row],[weekly_self_study_hours]]&lt;=5,   "0 - 5", student_scores[[#This Row],[weekly_self_study_hours]]&lt;=10,  "6 - 10", student_scores[[#This Row],[weekly_self_study_hours]]&lt;=20,  "11 - 20",student_scores[[#This Row],[weekly_self_study_hours]]&lt;=30, "21 - 30",TRUE, "31+")</f>
        <v>21 - 30</v>
      </c>
      <c r="U1948" t="str" cm="1">
        <f t="array" ref="U1948">_xlfn.IFS(student_scores[[#This Row],[absence_days]]=0,"0", student_scores[[#This Row],[absence_days]]&lt;=3,"1-3", student_scores[[#This Row],[absence_days]]&lt;=6,"4-6", TRUE,"7-10")</f>
        <v>0</v>
      </c>
      <c r="V1948" t="str">
        <f>IF(student_scores[[#This Row],[Total_Score]] &gt;= _xlfn.PERCENTILE.INC(student_scores[Total_Score], 0.8), "Yes", "No")</f>
        <v>No</v>
      </c>
    </row>
    <row r="1949" spans="1:22" x14ac:dyDescent="0.35">
      <c r="A1949">
        <v>1948</v>
      </c>
      <c r="B1949" t="s">
        <v>722</v>
      </c>
      <c r="C1949" t="s">
        <v>2480</v>
      </c>
      <c r="D1949" t="s">
        <v>3089</v>
      </c>
      <c r="E1949" t="s">
        <v>20</v>
      </c>
      <c r="F1949" t="b">
        <v>0</v>
      </c>
      <c r="G1949">
        <v>2</v>
      </c>
      <c r="H1949" t="b">
        <v>0</v>
      </c>
      <c r="I1949">
        <v>23</v>
      </c>
      <c r="J1949" t="s">
        <v>44</v>
      </c>
      <c r="K1949">
        <v>91</v>
      </c>
      <c r="L1949">
        <v>79</v>
      </c>
      <c r="M1949">
        <v>70</v>
      </c>
      <c r="N1949">
        <v>94</v>
      </c>
      <c r="O1949">
        <v>77</v>
      </c>
      <c r="P1949">
        <v>83</v>
      </c>
      <c r="Q1949">
        <v>81</v>
      </c>
      <c r="R1949">
        <f>SUM(student_scores[[#This Row],[math_score]:[geography_score]])</f>
        <v>575</v>
      </c>
      <c r="S1949" s="3">
        <f>student_scores[[#This Row],[Total_Score]]/7</f>
        <v>82.142857142857139</v>
      </c>
      <c r="T1949" s="3" t="str" cm="1">
        <f t="array" ref="T1949">_xlfn.IFS(student_scores[[#This Row],[weekly_self_study_hours]]&lt;=5,   "0 - 5", student_scores[[#This Row],[weekly_self_study_hours]]&lt;=10,  "6 - 10", student_scores[[#This Row],[weekly_self_study_hours]]&lt;=20,  "11 - 20",student_scores[[#This Row],[weekly_self_study_hours]]&lt;=30, "21 - 30",TRUE, "31+")</f>
        <v>21 - 30</v>
      </c>
      <c r="U1949" t="str" cm="1">
        <f t="array" ref="U1949">_xlfn.IFS(student_scores[[#This Row],[absence_days]]=0,"0", student_scores[[#This Row],[absence_days]]&lt;=3,"1-3", student_scores[[#This Row],[absence_days]]&lt;=6,"4-6", TRUE,"7-10")</f>
        <v>1-3</v>
      </c>
      <c r="V1949" t="str">
        <f>IF(student_scores[[#This Row],[Total_Score]] &gt;= _xlfn.PERCENTILE.INC(student_scores[Total_Score], 0.8), "Yes", "No")</f>
        <v>No</v>
      </c>
    </row>
    <row r="1950" spans="1:22" x14ac:dyDescent="0.35">
      <c r="A1950">
        <v>1949</v>
      </c>
      <c r="B1950" t="s">
        <v>221</v>
      </c>
      <c r="C1950" t="s">
        <v>2689</v>
      </c>
      <c r="D1950" t="s">
        <v>3090</v>
      </c>
      <c r="E1950" t="s">
        <v>20</v>
      </c>
      <c r="F1950" t="b">
        <v>0</v>
      </c>
      <c r="G1950">
        <v>6</v>
      </c>
      <c r="H1950" t="b">
        <v>0</v>
      </c>
      <c r="I1950">
        <v>0</v>
      </c>
      <c r="J1950" t="s">
        <v>64</v>
      </c>
      <c r="K1950">
        <v>91</v>
      </c>
      <c r="L1950">
        <v>96</v>
      </c>
      <c r="M1950">
        <v>78</v>
      </c>
      <c r="N1950">
        <v>70</v>
      </c>
      <c r="O1950">
        <v>50</v>
      </c>
      <c r="P1950">
        <v>50</v>
      </c>
      <c r="Q1950">
        <v>69</v>
      </c>
      <c r="R1950">
        <f>SUM(student_scores[[#This Row],[math_score]:[geography_score]])</f>
        <v>504</v>
      </c>
      <c r="S1950" s="3">
        <f>student_scores[[#This Row],[Total_Score]]/7</f>
        <v>72</v>
      </c>
      <c r="T1950" s="3" t="str" cm="1">
        <f t="array" ref="T1950">_xlfn.IFS(student_scores[[#This Row],[weekly_self_study_hours]]&lt;=5,   "0 - 5", student_scores[[#This Row],[weekly_self_study_hours]]&lt;=10,  "6 - 10", student_scores[[#This Row],[weekly_self_study_hours]]&lt;=20,  "11 - 20",student_scores[[#This Row],[weekly_self_study_hours]]&lt;=30, "21 - 30",TRUE, "31+")</f>
        <v>0 - 5</v>
      </c>
      <c r="U1950" t="str" cm="1">
        <f t="array" ref="U1950">_xlfn.IFS(student_scores[[#This Row],[absence_days]]=0,"0", student_scores[[#This Row],[absence_days]]&lt;=3,"1-3", student_scores[[#This Row],[absence_days]]&lt;=6,"4-6", TRUE,"7-10")</f>
        <v>4-6</v>
      </c>
      <c r="V1950" t="str">
        <f>IF(student_scores[[#This Row],[Total_Score]] &gt;= _xlfn.PERCENTILE.INC(student_scores[Total_Score], 0.8), "Yes", "No")</f>
        <v>No</v>
      </c>
    </row>
    <row r="1951" spans="1:22" x14ac:dyDescent="0.35">
      <c r="A1951">
        <v>1950</v>
      </c>
      <c r="B1951" t="s">
        <v>65</v>
      </c>
      <c r="C1951" t="s">
        <v>42</v>
      </c>
      <c r="D1951" t="s">
        <v>3091</v>
      </c>
      <c r="E1951" t="s">
        <v>25</v>
      </c>
      <c r="F1951" t="b">
        <v>0</v>
      </c>
      <c r="G1951">
        <v>0</v>
      </c>
      <c r="H1951" t="b">
        <v>1</v>
      </c>
      <c r="I1951">
        <v>19</v>
      </c>
      <c r="J1951" t="s">
        <v>105</v>
      </c>
      <c r="K1951">
        <v>83</v>
      </c>
      <c r="L1951">
        <v>70</v>
      </c>
      <c r="M1951">
        <v>72</v>
      </c>
      <c r="N1951">
        <v>65</v>
      </c>
      <c r="O1951">
        <v>63</v>
      </c>
      <c r="P1951">
        <v>88</v>
      </c>
      <c r="Q1951">
        <v>94</v>
      </c>
      <c r="R1951">
        <f>SUM(student_scores[[#This Row],[math_score]:[geography_score]])</f>
        <v>535</v>
      </c>
      <c r="S1951" s="3">
        <f>student_scores[[#This Row],[Total_Score]]/7</f>
        <v>76.428571428571431</v>
      </c>
      <c r="T1951" s="3" t="str" cm="1">
        <f t="array" ref="T1951">_xlfn.IFS(student_scores[[#This Row],[weekly_self_study_hours]]&lt;=5,   "0 - 5", student_scores[[#This Row],[weekly_self_study_hours]]&lt;=10,  "6 - 10", student_scores[[#This Row],[weekly_self_study_hours]]&lt;=20,  "11 - 20",student_scores[[#This Row],[weekly_self_study_hours]]&lt;=30, "21 - 30",TRUE, "31+")</f>
        <v>11 - 20</v>
      </c>
      <c r="U1951" t="str" cm="1">
        <f t="array" ref="U1951">_xlfn.IFS(student_scores[[#This Row],[absence_days]]=0,"0", student_scores[[#This Row],[absence_days]]&lt;=3,"1-3", student_scores[[#This Row],[absence_days]]&lt;=6,"4-6", TRUE,"7-10")</f>
        <v>0</v>
      </c>
      <c r="V1951" t="str">
        <f>IF(student_scores[[#This Row],[Total_Score]] &gt;= _xlfn.PERCENTILE.INC(student_scores[Total_Score], 0.8), "Yes", "No")</f>
        <v>No</v>
      </c>
    </row>
    <row r="1952" spans="1:22" x14ac:dyDescent="0.35">
      <c r="A1952">
        <v>1951</v>
      </c>
      <c r="B1952" t="s">
        <v>73</v>
      </c>
      <c r="C1952" t="s">
        <v>66</v>
      </c>
      <c r="D1952" t="s">
        <v>3092</v>
      </c>
      <c r="E1952" t="s">
        <v>25</v>
      </c>
      <c r="F1952" t="b">
        <v>0</v>
      </c>
      <c r="G1952">
        <v>2</v>
      </c>
      <c r="H1952" t="b">
        <v>1</v>
      </c>
      <c r="I1952">
        <v>33</v>
      </c>
      <c r="J1952" t="s">
        <v>21</v>
      </c>
      <c r="K1952">
        <v>89</v>
      </c>
      <c r="L1952">
        <v>89</v>
      </c>
      <c r="M1952">
        <v>69</v>
      </c>
      <c r="N1952">
        <v>87</v>
      </c>
      <c r="O1952">
        <v>69</v>
      </c>
      <c r="P1952">
        <v>97</v>
      </c>
      <c r="Q1952">
        <v>79</v>
      </c>
      <c r="R1952">
        <f>SUM(student_scores[[#This Row],[math_score]:[geography_score]])</f>
        <v>579</v>
      </c>
      <c r="S1952" s="3">
        <f>student_scores[[#This Row],[Total_Score]]/7</f>
        <v>82.714285714285708</v>
      </c>
      <c r="T1952" s="3" t="str" cm="1">
        <f t="array" ref="T1952">_xlfn.IFS(student_scores[[#This Row],[weekly_self_study_hours]]&lt;=5,   "0 - 5", student_scores[[#This Row],[weekly_self_study_hours]]&lt;=10,  "6 - 10", student_scores[[#This Row],[weekly_self_study_hours]]&lt;=20,  "11 - 20",student_scores[[#This Row],[weekly_self_study_hours]]&lt;=30, "21 - 30",TRUE, "31+")</f>
        <v>31+</v>
      </c>
      <c r="U1952" t="str" cm="1">
        <f t="array" ref="U1952">_xlfn.IFS(student_scores[[#This Row],[absence_days]]=0,"0", student_scores[[#This Row],[absence_days]]&lt;=3,"1-3", student_scores[[#This Row],[absence_days]]&lt;=6,"4-6", TRUE,"7-10")</f>
        <v>1-3</v>
      </c>
      <c r="V1952" t="str">
        <f>IF(student_scores[[#This Row],[Total_Score]] &gt;= _xlfn.PERCENTILE.INC(student_scores[Total_Score], 0.8), "Yes", "No")</f>
        <v>No</v>
      </c>
    </row>
    <row r="1953" spans="1:22" x14ac:dyDescent="0.35">
      <c r="A1953">
        <v>1952</v>
      </c>
      <c r="B1953" t="s">
        <v>1919</v>
      </c>
      <c r="C1953" t="s">
        <v>1771</v>
      </c>
      <c r="D1953" t="s">
        <v>3093</v>
      </c>
      <c r="E1953" t="s">
        <v>25</v>
      </c>
      <c r="F1953" t="b">
        <v>1</v>
      </c>
      <c r="G1953">
        <v>2</v>
      </c>
      <c r="H1953" t="b">
        <v>1</v>
      </c>
      <c r="I1953">
        <v>1</v>
      </c>
      <c r="J1953" t="s">
        <v>159</v>
      </c>
      <c r="K1953">
        <v>81</v>
      </c>
      <c r="L1953">
        <v>73</v>
      </c>
      <c r="M1953">
        <v>99</v>
      </c>
      <c r="N1953">
        <v>72</v>
      </c>
      <c r="O1953">
        <v>100</v>
      </c>
      <c r="P1953">
        <v>90</v>
      </c>
      <c r="Q1953">
        <v>64</v>
      </c>
      <c r="R1953">
        <f>SUM(student_scores[[#This Row],[math_score]:[geography_score]])</f>
        <v>579</v>
      </c>
      <c r="S1953" s="3">
        <f>student_scores[[#This Row],[Total_Score]]/7</f>
        <v>82.714285714285708</v>
      </c>
      <c r="T1953" s="3" t="str" cm="1">
        <f t="array" ref="T1953">_xlfn.IFS(student_scores[[#This Row],[weekly_self_study_hours]]&lt;=5,   "0 - 5", student_scores[[#This Row],[weekly_self_study_hours]]&lt;=10,  "6 - 10", student_scores[[#This Row],[weekly_self_study_hours]]&lt;=20,  "11 - 20",student_scores[[#This Row],[weekly_self_study_hours]]&lt;=30, "21 - 30",TRUE, "31+")</f>
        <v>0 - 5</v>
      </c>
      <c r="U1953" t="str" cm="1">
        <f t="array" ref="U1953">_xlfn.IFS(student_scores[[#This Row],[absence_days]]=0,"0", student_scores[[#This Row],[absence_days]]&lt;=3,"1-3", student_scores[[#This Row],[absence_days]]&lt;=6,"4-6", TRUE,"7-10")</f>
        <v>1-3</v>
      </c>
      <c r="V1953" t="str">
        <f>IF(student_scores[[#This Row],[Total_Score]] &gt;= _xlfn.PERCENTILE.INC(student_scores[Total_Score], 0.8), "Yes", "No")</f>
        <v>No</v>
      </c>
    </row>
    <row r="1954" spans="1:22" x14ac:dyDescent="0.35">
      <c r="A1954">
        <v>1953</v>
      </c>
      <c r="B1954" t="s">
        <v>22</v>
      </c>
      <c r="C1954" t="s">
        <v>515</v>
      </c>
      <c r="D1954" t="s">
        <v>3094</v>
      </c>
      <c r="E1954" t="s">
        <v>25</v>
      </c>
      <c r="F1954" t="b">
        <v>0</v>
      </c>
      <c r="G1954">
        <v>2</v>
      </c>
      <c r="H1954" t="b">
        <v>0</v>
      </c>
      <c r="I1954">
        <v>35</v>
      </c>
      <c r="J1954" t="s">
        <v>109</v>
      </c>
      <c r="K1954">
        <v>97</v>
      </c>
      <c r="L1954">
        <v>85</v>
      </c>
      <c r="M1954">
        <v>86</v>
      </c>
      <c r="N1954">
        <v>99</v>
      </c>
      <c r="O1954">
        <v>96</v>
      </c>
      <c r="P1954">
        <v>90</v>
      </c>
      <c r="Q1954">
        <v>88</v>
      </c>
      <c r="R1954">
        <f>SUM(student_scores[[#This Row],[math_score]:[geography_score]])</f>
        <v>641</v>
      </c>
      <c r="S1954" s="3">
        <f>student_scores[[#This Row],[Total_Score]]/7</f>
        <v>91.571428571428569</v>
      </c>
      <c r="T1954" s="3" t="str" cm="1">
        <f t="array" ref="T1954">_xlfn.IFS(student_scores[[#This Row],[weekly_self_study_hours]]&lt;=5,   "0 - 5", student_scores[[#This Row],[weekly_self_study_hours]]&lt;=10,  "6 - 10", student_scores[[#This Row],[weekly_self_study_hours]]&lt;=20,  "11 - 20",student_scores[[#This Row],[weekly_self_study_hours]]&lt;=30, "21 - 30",TRUE, "31+")</f>
        <v>31+</v>
      </c>
      <c r="U1954" t="str" cm="1">
        <f t="array" ref="U1954">_xlfn.IFS(student_scores[[#This Row],[absence_days]]=0,"0", student_scores[[#This Row],[absence_days]]&lt;=3,"1-3", student_scores[[#This Row],[absence_days]]&lt;=6,"4-6", TRUE,"7-10")</f>
        <v>1-3</v>
      </c>
      <c r="V1954" t="str">
        <f>IF(student_scores[[#This Row],[Total_Score]] &gt;= _xlfn.PERCENTILE.INC(student_scores[Total_Score], 0.8), "Yes", "No")</f>
        <v>Yes</v>
      </c>
    </row>
    <row r="1955" spans="1:22" x14ac:dyDescent="0.35">
      <c r="A1955">
        <v>1954</v>
      </c>
      <c r="B1955" t="s">
        <v>622</v>
      </c>
      <c r="C1955" t="s">
        <v>118</v>
      </c>
      <c r="D1955" t="s">
        <v>3095</v>
      </c>
      <c r="E1955" t="s">
        <v>20</v>
      </c>
      <c r="F1955" t="b">
        <v>0</v>
      </c>
      <c r="G1955">
        <v>1</v>
      </c>
      <c r="H1955" t="b">
        <v>0</v>
      </c>
      <c r="I1955">
        <v>3</v>
      </c>
      <c r="J1955" t="s">
        <v>224</v>
      </c>
      <c r="K1955">
        <v>93</v>
      </c>
      <c r="L1955">
        <v>91</v>
      </c>
      <c r="M1955">
        <v>61</v>
      </c>
      <c r="N1955">
        <v>68</v>
      </c>
      <c r="O1955">
        <v>83</v>
      </c>
      <c r="P1955">
        <v>82</v>
      </c>
      <c r="Q1955">
        <v>63</v>
      </c>
      <c r="R1955">
        <f>SUM(student_scores[[#This Row],[math_score]:[geography_score]])</f>
        <v>541</v>
      </c>
      <c r="S1955" s="3">
        <f>student_scores[[#This Row],[Total_Score]]/7</f>
        <v>77.285714285714292</v>
      </c>
      <c r="T1955" s="3" t="str" cm="1">
        <f t="array" ref="T1955">_xlfn.IFS(student_scores[[#This Row],[weekly_self_study_hours]]&lt;=5,   "0 - 5", student_scores[[#This Row],[weekly_self_study_hours]]&lt;=10,  "6 - 10", student_scores[[#This Row],[weekly_self_study_hours]]&lt;=20,  "11 - 20",student_scores[[#This Row],[weekly_self_study_hours]]&lt;=30, "21 - 30",TRUE, "31+")</f>
        <v>0 - 5</v>
      </c>
      <c r="U1955" t="str" cm="1">
        <f t="array" ref="U1955">_xlfn.IFS(student_scores[[#This Row],[absence_days]]=0,"0", student_scores[[#This Row],[absence_days]]&lt;=3,"1-3", student_scores[[#This Row],[absence_days]]&lt;=6,"4-6", TRUE,"7-10")</f>
        <v>1-3</v>
      </c>
      <c r="V1955" t="str">
        <f>IF(student_scores[[#This Row],[Total_Score]] &gt;= _xlfn.PERCENTILE.INC(student_scores[Total_Score], 0.8), "Yes", "No")</f>
        <v>No</v>
      </c>
    </row>
    <row r="1956" spans="1:22" x14ac:dyDescent="0.35">
      <c r="A1956">
        <v>1955</v>
      </c>
      <c r="B1956" t="s">
        <v>243</v>
      </c>
      <c r="C1956" t="s">
        <v>1510</v>
      </c>
      <c r="D1956" t="s">
        <v>3096</v>
      </c>
      <c r="E1956" t="s">
        <v>25</v>
      </c>
      <c r="F1956" t="b">
        <v>0</v>
      </c>
      <c r="G1956">
        <v>2</v>
      </c>
      <c r="H1956" t="b">
        <v>0</v>
      </c>
      <c r="I1956">
        <v>2</v>
      </c>
      <c r="J1956" t="s">
        <v>159</v>
      </c>
      <c r="K1956">
        <v>99</v>
      </c>
      <c r="L1956">
        <v>86</v>
      </c>
      <c r="M1956">
        <v>83</v>
      </c>
      <c r="N1956">
        <v>80</v>
      </c>
      <c r="O1956">
        <v>69</v>
      </c>
      <c r="P1956">
        <v>96</v>
      </c>
      <c r="Q1956">
        <v>88</v>
      </c>
      <c r="R1956">
        <f>SUM(student_scores[[#This Row],[math_score]:[geography_score]])</f>
        <v>601</v>
      </c>
      <c r="S1956" s="3">
        <f>student_scores[[#This Row],[Total_Score]]/7</f>
        <v>85.857142857142861</v>
      </c>
      <c r="T1956" s="3" t="str" cm="1">
        <f t="array" ref="T1956">_xlfn.IFS(student_scores[[#This Row],[weekly_self_study_hours]]&lt;=5,   "0 - 5", student_scores[[#This Row],[weekly_self_study_hours]]&lt;=10,  "6 - 10", student_scores[[#This Row],[weekly_self_study_hours]]&lt;=20,  "11 - 20",student_scores[[#This Row],[weekly_self_study_hours]]&lt;=30, "21 - 30",TRUE, "31+")</f>
        <v>0 - 5</v>
      </c>
      <c r="U1956" t="str" cm="1">
        <f t="array" ref="U1956">_xlfn.IFS(student_scores[[#This Row],[absence_days]]=0,"0", student_scores[[#This Row],[absence_days]]&lt;=3,"1-3", student_scores[[#This Row],[absence_days]]&lt;=6,"4-6", TRUE,"7-10")</f>
        <v>1-3</v>
      </c>
      <c r="V1956" t="str">
        <f>IF(student_scores[[#This Row],[Total_Score]] &gt;= _xlfn.PERCENTILE.INC(student_scores[Total_Score], 0.8), "Yes", "No")</f>
        <v>Yes</v>
      </c>
    </row>
    <row r="1957" spans="1:22" x14ac:dyDescent="0.35">
      <c r="A1957">
        <v>1956</v>
      </c>
      <c r="B1957" t="s">
        <v>1229</v>
      </c>
      <c r="C1957" t="s">
        <v>32</v>
      </c>
      <c r="D1957" t="s">
        <v>3097</v>
      </c>
      <c r="E1957" t="s">
        <v>25</v>
      </c>
      <c r="F1957" t="b">
        <v>0</v>
      </c>
      <c r="G1957">
        <v>5</v>
      </c>
      <c r="H1957" t="b">
        <v>1</v>
      </c>
      <c r="I1957">
        <v>16</v>
      </c>
      <c r="J1957" t="s">
        <v>44</v>
      </c>
      <c r="K1957">
        <v>95</v>
      </c>
      <c r="L1957">
        <v>97</v>
      </c>
      <c r="M1957">
        <v>68</v>
      </c>
      <c r="N1957">
        <v>79</v>
      </c>
      <c r="O1957">
        <v>63</v>
      </c>
      <c r="P1957">
        <v>88</v>
      </c>
      <c r="Q1957">
        <v>63</v>
      </c>
      <c r="R1957">
        <f>SUM(student_scores[[#This Row],[math_score]:[geography_score]])</f>
        <v>553</v>
      </c>
      <c r="S1957" s="3">
        <f>student_scores[[#This Row],[Total_Score]]/7</f>
        <v>79</v>
      </c>
      <c r="T1957" s="3" t="str" cm="1">
        <f t="array" ref="T1957">_xlfn.IFS(student_scores[[#This Row],[weekly_self_study_hours]]&lt;=5,   "0 - 5", student_scores[[#This Row],[weekly_self_study_hours]]&lt;=10,  "6 - 10", student_scores[[#This Row],[weekly_self_study_hours]]&lt;=20,  "11 - 20",student_scores[[#This Row],[weekly_self_study_hours]]&lt;=30, "21 - 30",TRUE, "31+")</f>
        <v>11 - 20</v>
      </c>
      <c r="U1957" t="str" cm="1">
        <f t="array" ref="U1957">_xlfn.IFS(student_scores[[#This Row],[absence_days]]=0,"0", student_scores[[#This Row],[absence_days]]&lt;=3,"1-3", student_scores[[#This Row],[absence_days]]&lt;=6,"4-6", TRUE,"7-10")</f>
        <v>4-6</v>
      </c>
      <c r="V1957" t="str">
        <f>IF(student_scores[[#This Row],[Total_Score]] &gt;= _xlfn.PERCENTILE.INC(student_scores[Total_Score], 0.8), "Yes", "No")</f>
        <v>No</v>
      </c>
    </row>
    <row r="1958" spans="1:22" x14ac:dyDescent="0.35">
      <c r="A1958">
        <v>1957</v>
      </c>
      <c r="B1958" t="s">
        <v>388</v>
      </c>
      <c r="C1958" t="s">
        <v>3065</v>
      </c>
      <c r="D1958" t="s">
        <v>3098</v>
      </c>
      <c r="E1958" t="s">
        <v>25</v>
      </c>
      <c r="F1958" t="b">
        <v>0</v>
      </c>
      <c r="G1958">
        <v>3</v>
      </c>
      <c r="H1958" t="b">
        <v>0</v>
      </c>
      <c r="I1958">
        <v>38</v>
      </c>
      <c r="J1958" t="s">
        <v>26</v>
      </c>
      <c r="K1958">
        <v>100</v>
      </c>
      <c r="L1958">
        <v>92</v>
      </c>
      <c r="M1958">
        <v>87</v>
      </c>
      <c r="N1958">
        <v>94</v>
      </c>
      <c r="O1958">
        <v>85</v>
      </c>
      <c r="P1958">
        <v>97</v>
      </c>
      <c r="Q1958">
        <v>100</v>
      </c>
      <c r="R1958">
        <f>SUM(student_scores[[#This Row],[math_score]:[geography_score]])</f>
        <v>655</v>
      </c>
      <c r="S1958" s="3">
        <f>student_scores[[#This Row],[Total_Score]]/7</f>
        <v>93.571428571428569</v>
      </c>
      <c r="T1958" s="3" t="str" cm="1">
        <f t="array" ref="T1958">_xlfn.IFS(student_scores[[#This Row],[weekly_self_study_hours]]&lt;=5,   "0 - 5", student_scores[[#This Row],[weekly_self_study_hours]]&lt;=10,  "6 - 10", student_scores[[#This Row],[weekly_self_study_hours]]&lt;=20,  "11 - 20",student_scores[[#This Row],[weekly_self_study_hours]]&lt;=30, "21 - 30",TRUE, "31+")</f>
        <v>31+</v>
      </c>
      <c r="U1958" t="str" cm="1">
        <f t="array" ref="U1958">_xlfn.IFS(student_scores[[#This Row],[absence_days]]=0,"0", student_scores[[#This Row],[absence_days]]&lt;=3,"1-3", student_scores[[#This Row],[absence_days]]&lt;=6,"4-6", TRUE,"7-10")</f>
        <v>1-3</v>
      </c>
      <c r="V1958" t="str">
        <f>IF(student_scores[[#This Row],[Total_Score]] &gt;= _xlfn.PERCENTILE.INC(student_scores[Total_Score], 0.8), "Yes", "No")</f>
        <v>Yes</v>
      </c>
    </row>
    <row r="1959" spans="1:22" x14ac:dyDescent="0.35">
      <c r="A1959">
        <v>1958</v>
      </c>
      <c r="B1959" t="s">
        <v>1943</v>
      </c>
      <c r="C1959" t="s">
        <v>939</v>
      </c>
      <c r="D1959" t="s">
        <v>3099</v>
      </c>
      <c r="E1959" t="s">
        <v>25</v>
      </c>
      <c r="F1959" t="b">
        <v>0</v>
      </c>
      <c r="G1959">
        <v>2</v>
      </c>
      <c r="H1959" t="b">
        <v>0</v>
      </c>
      <c r="I1959">
        <v>3</v>
      </c>
      <c r="J1959" t="s">
        <v>34</v>
      </c>
      <c r="K1959">
        <v>62</v>
      </c>
      <c r="L1959">
        <v>67</v>
      </c>
      <c r="M1959">
        <v>85</v>
      </c>
      <c r="N1959">
        <v>97</v>
      </c>
      <c r="O1959">
        <v>98</v>
      </c>
      <c r="P1959">
        <v>62</v>
      </c>
      <c r="Q1959">
        <v>73</v>
      </c>
      <c r="R1959">
        <f>SUM(student_scores[[#This Row],[math_score]:[geography_score]])</f>
        <v>544</v>
      </c>
      <c r="S1959" s="3">
        <f>student_scores[[#This Row],[Total_Score]]/7</f>
        <v>77.714285714285708</v>
      </c>
      <c r="T1959" s="3" t="str" cm="1">
        <f t="array" ref="T1959">_xlfn.IFS(student_scores[[#This Row],[weekly_self_study_hours]]&lt;=5,   "0 - 5", student_scores[[#This Row],[weekly_self_study_hours]]&lt;=10,  "6 - 10", student_scores[[#This Row],[weekly_self_study_hours]]&lt;=20,  "11 - 20",student_scores[[#This Row],[weekly_self_study_hours]]&lt;=30, "21 - 30",TRUE, "31+")</f>
        <v>0 - 5</v>
      </c>
      <c r="U1959" t="str" cm="1">
        <f t="array" ref="U1959">_xlfn.IFS(student_scores[[#This Row],[absence_days]]=0,"0", student_scores[[#This Row],[absence_days]]&lt;=3,"1-3", student_scores[[#This Row],[absence_days]]&lt;=6,"4-6", TRUE,"7-10")</f>
        <v>1-3</v>
      </c>
      <c r="V1959" t="str">
        <f>IF(student_scores[[#This Row],[Total_Score]] &gt;= _xlfn.PERCENTILE.INC(student_scores[Total_Score], 0.8), "Yes", "No")</f>
        <v>No</v>
      </c>
    </row>
    <row r="1960" spans="1:22" x14ac:dyDescent="0.35">
      <c r="A1960">
        <v>1959</v>
      </c>
      <c r="B1960" t="s">
        <v>269</v>
      </c>
      <c r="C1960" t="s">
        <v>1711</v>
      </c>
      <c r="D1960" t="s">
        <v>3100</v>
      </c>
      <c r="E1960" t="s">
        <v>20</v>
      </c>
      <c r="F1960" t="b">
        <v>1</v>
      </c>
      <c r="G1960">
        <v>10</v>
      </c>
      <c r="H1960" t="b">
        <v>1</v>
      </c>
      <c r="I1960">
        <v>3</v>
      </c>
      <c r="J1960" t="s">
        <v>159</v>
      </c>
      <c r="K1960">
        <v>88</v>
      </c>
      <c r="L1960">
        <v>71</v>
      </c>
      <c r="M1960">
        <v>99</v>
      </c>
      <c r="N1960">
        <v>74</v>
      </c>
      <c r="O1960">
        <v>76</v>
      </c>
      <c r="P1960">
        <v>97</v>
      </c>
      <c r="Q1960">
        <v>87</v>
      </c>
      <c r="R1960">
        <f>SUM(student_scores[[#This Row],[math_score]:[geography_score]])</f>
        <v>592</v>
      </c>
      <c r="S1960" s="3">
        <f>student_scores[[#This Row],[Total_Score]]/7</f>
        <v>84.571428571428569</v>
      </c>
      <c r="T1960" s="3" t="str" cm="1">
        <f t="array" ref="T1960">_xlfn.IFS(student_scores[[#This Row],[weekly_self_study_hours]]&lt;=5,   "0 - 5", student_scores[[#This Row],[weekly_self_study_hours]]&lt;=10,  "6 - 10", student_scores[[#This Row],[weekly_self_study_hours]]&lt;=20,  "11 - 20",student_scores[[#This Row],[weekly_self_study_hours]]&lt;=30, "21 - 30",TRUE, "31+")</f>
        <v>0 - 5</v>
      </c>
      <c r="U1960" t="str" cm="1">
        <f t="array" ref="U1960">_xlfn.IFS(student_scores[[#This Row],[absence_days]]=0,"0", student_scores[[#This Row],[absence_days]]&lt;=3,"1-3", student_scores[[#This Row],[absence_days]]&lt;=6,"4-6", TRUE,"7-10")</f>
        <v>7-10</v>
      </c>
      <c r="V1960" t="str">
        <f>IF(student_scores[[#This Row],[Total_Score]] &gt;= _xlfn.PERCENTILE.INC(student_scores[Total_Score], 0.8), "Yes", "No")</f>
        <v>No</v>
      </c>
    </row>
    <row r="1961" spans="1:22" x14ac:dyDescent="0.35">
      <c r="A1961">
        <v>1960</v>
      </c>
      <c r="B1961" t="s">
        <v>3101</v>
      </c>
      <c r="C1961" t="s">
        <v>3102</v>
      </c>
      <c r="D1961" t="s">
        <v>3103</v>
      </c>
      <c r="E1961" t="s">
        <v>25</v>
      </c>
      <c r="F1961" t="b">
        <v>1</v>
      </c>
      <c r="G1961">
        <v>5</v>
      </c>
      <c r="H1961" t="b">
        <v>0</v>
      </c>
      <c r="I1961">
        <v>11</v>
      </c>
      <c r="J1961" t="s">
        <v>54</v>
      </c>
      <c r="K1961">
        <v>75</v>
      </c>
      <c r="L1961">
        <v>100</v>
      </c>
      <c r="M1961">
        <v>100</v>
      </c>
      <c r="N1961">
        <v>82</v>
      </c>
      <c r="O1961">
        <v>63</v>
      </c>
      <c r="P1961">
        <v>84</v>
      </c>
      <c r="Q1961">
        <v>82</v>
      </c>
      <c r="R1961">
        <f>SUM(student_scores[[#This Row],[math_score]:[geography_score]])</f>
        <v>586</v>
      </c>
      <c r="S1961" s="3">
        <f>student_scores[[#This Row],[Total_Score]]/7</f>
        <v>83.714285714285708</v>
      </c>
      <c r="T1961" s="3" t="str" cm="1">
        <f t="array" ref="T1961">_xlfn.IFS(student_scores[[#This Row],[weekly_self_study_hours]]&lt;=5,   "0 - 5", student_scores[[#This Row],[weekly_self_study_hours]]&lt;=10,  "6 - 10", student_scores[[#This Row],[weekly_self_study_hours]]&lt;=20,  "11 - 20",student_scores[[#This Row],[weekly_self_study_hours]]&lt;=30, "21 - 30",TRUE, "31+")</f>
        <v>11 - 20</v>
      </c>
      <c r="U1961" t="str" cm="1">
        <f t="array" ref="U1961">_xlfn.IFS(student_scores[[#This Row],[absence_days]]=0,"0", student_scores[[#This Row],[absence_days]]&lt;=3,"1-3", student_scores[[#This Row],[absence_days]]&lt;=6,"4-6", TRUE,"7-10")</f>
        <v>4-6</v>
      </c>
      <c r="V1961" t="str">
        <f>IF(student_scores[[#This Row],[Total_Score]] &gt;= _xlfn.PERCENTILE.INC(student_scores[Total_Score], 0.8), "Yes", "No")</f>
        <v>No</v>
      </c>
    </row>
    <row r="1962" spans="1:22" x14ac:dyDescent="0.35">
      <c r="A1962">
        <v>1961</v>
      </c>
      <c r="B1962" t="s">
        <v>106</v>
      </c>
      <c r="C1962" t="s">
        <v>814</v>
      </c>
      <c r="D1962" t="s">
        <v>3104</v>
      </c>
      <c r="E1962" t="s">
        <v>20</v>
      </c>
      <c r="F1962" t="b">
        <v>0</v>
      </c>
      <c r="G1962">
        <v>1</v>
      </c>
      <c r="H1962" t="b">
        <v>0</v>
      </c>
      <c r="I1962">
        <v>1</v>
      </c>
      <c r="J1962" t="s">
        <v>159</v>
      </c>
      <c r="K1962">
        <v>87</v>
      </c>
      <c r="L1962">
        <v>91</v>
      </c>
      <c r="M1962">
        <v>97</v>
      </c>
      <c r="N1962">
        <v>82</v>
      </c>
      <c r="O1962">
        <v>79</v>
      </c>
      <c r="P1962">
        <v>69</v>
      </c>
      <c r="Q1962">
        <v>62</v>
      </c>
      <c r="R1962">
        <f>SUM(student_scores[[#This Row],[math_score]:[geography_score]])</f>
        <v>567</v>
      </c>
      <c r="S1962" s="3">
        <f>student_scores[[#This Row],[Total_Score]]/7</f>
        <v>81</v>
      </c>
      <c r="T1962" s="3" t="str" cm="1">
        <f t="array" ref="T1962">_xlfn.IFS(student_scores[[#This Row],[weekly_self_study_hours]]&lt;=5,   "0 - 5", student_scores[[#This Row],[weekly_self_study_hours]]&lt;=10,  "6 - 10", student_scores[[#This Row],[weekly_self_study_hours]]&lt;=20,  "11 - 20",student_scores[[#This Row],[weekly_self_study_hours]]&lt;=30, "21 - 30",TRUE, "31+")</f>
        <v>0 - 5</v>
      </c>
      <c r="U1962" t="str" cm="1">
        <f t="array" ref="U1962">_xlfn.IFS(student_scores[[#This Row],[absence_days]]=0,"0", student_scores[[#This Row],[absence_days]]&lt;=3,"1-3", student_scores[[#This Row],[absence_days]]&lt;=6,"4-6", TRUE,"7-10")</f>
        <v>1-3</v>
      </c>
      <c r="V1962" t="str">
        <f>IF(student_scores[[#This Row],[Total_Score]] &gt;= _xlfn.PERCENTILE.INC(student_scores[Total_Score], 0.8), "Yes", "No")</f>
        <v>No</v>
      </c>
    </row>
    <row r="1963" spans="1:22" x14ac:dyDescent="0.35">
      <c r="A1963">
        <v>1962</v>
      </c>
      <c r="B1963" t="s">
        <v>741</v>
      </c>
      <c r="C1963" t="s">
        <v>231</v>
      </c>
      <c r="D1963" t="s">
        <v>3105</v>
      </c>
      <c r="E1963" t="s">
        <v>25</v>
      </c>
      <c r="F1963" t="b">
        <v>0</v>
      </c>
      <c r="G1963">
        <v>4</v>
      </c>
      <c r="H1963" t="b">
        <v>0</v>
      </c>
      <c r="I1963">
        <v>4</v>
      </c>
      <c r="J1963" t="s">
        <v>38</v>
      </c>
      <c r="K1963">
        <v>85</v>
      </c>
      <c r="L1963">
        <v>60</v>
      </c>
      <c r="M1963">
        <v>61</v>
      </c>
      <c r="N1963">
        <v>75</v>
      </c>
      <c r="O1963">
        <v>83</v>
      </c>
      <c r="P1963">
        <v>87</v>
      </c>
      <c r="Q1963">
        <v>65</v>
      </c>
      <c r="R1963">
        <f>SUM(student_scores[[#This Row],[math_score]:[geography_score]])</f>
        <v>516</v>
      </c>
      <c r="S1963" s="3">
        <f>student_scores[[#This Row],[Total_Score]]/7</f>
        <v>73.714285714285708</v>
      </c>
      <c r="T1963" s="3" t="str" cm="1">
        <f t="array" ref="T1963">_xlfn.IFS(student_scores[[#This Row],[weekly_self_study_hours]]&lt;=5,   "0 - 5", student_scores[[#This Row],[weekly_self_study_hours]]&lt;=10,  "6 - 10", student_scores[[#This Row],[weekly_self_study_hours]]&lt;=20,  "11 - 20",student_scores[[#This Row],[weekly_self_study_hours]]&lt;=30, "21 - 30",TRUE, "31+")</f>
        <v>0 - 5</v>
      </c>
      <c r="U1963" t="str" cm="1">
        <f t="array" ref="U1963">_xlfn.IFS(student_scores[[#This Row],[absence_days]]=0,"0", student_scores[[#This Row],[absence_days]]&lt;=3,"1-3", student_scores[[#This Row],[absence_days]]&lt;=6,"4-6", TRUE,"7-10")</f>
        <v>4-6</v>
      </c>
      <c r="V1963" t="str">
        <f>IF(student_scores[[#This Row],[Total_Score]] &gt;= _xlfn.PERCENTILE.INC(student_scores[Total_Score], 0.8), "Yes", "No")</f>
        <v>No</v>
      </c>
    </row>
    <row r="1964" spans="1:22" x14ac:dyDescent="0.35">
      <c r="A1964">
        <v>1963</v>
      </c>
      <c r="B1964" t="s">
        <v>139</v>
      </c>
      <c r="C1964" t="s">
        <v>284</v>
      </c>
      <c r="D1964" t="s">
        <v>3106</v>
      </c>
      <c r="E1964" t="s">
        <v>20</v>
      </c>
      <c r="F1964" t="b">
        <v>0</v>
      </c>
      <c r="G1964">
        <v>3</v>
      </c>
      <c r="H1964" t="b">
        <v>0</v>
      </c>
      <c r="I1964">
        <v>43</v>
      </c>
      <c r="J1964" t="s">
        <v>26</v>
      </c>
      <c r="K1964">
        <v>88</v>
      </c>
      <c r="L1964">
        <v>98</v>
      </c>
      <c r="M1964">
        <v>94</v>
      </c>
      <c r="N1964">
        <v>96</v>
      </c>
      <c r="O1964">
        <v>96</v>
      </c>
      <c r="P1964">
        <v>89</v>
      </c>
      <c r="Q1964">
        <v>92</v>
      </c>
      <c r="R1964">
        <f>SUM(student_scores[[#This Row],[math_score]:[geography_score]])</f>
        <v>653</v>
      </c>
      <c r="S1964" s="3">
        <f>student_scores[[#This Row],[Total_Score]]/7</f>
        <v>93.285714285714292</v>
      </c>
      <c r="T1964" s="3" t="str" cm="1">
        <f t="array" ref="T1964">_xlfn.IFS(student_scores[[#This Row],[weekly_self_study_hours]]&lt;=5,   "0 - 5", student_scores[[#This Row],[weekly_self_study_hours]]&lt;=10,  "6 - 10", student_scores[[#This Row],[weekly_self_study_hours]]&lt;=20,  "11 - 20",student_scores[[#This Row],[weekly_self_study_hours]]&lt;=30, "21 - 30",TRUE, "31+")</f>
        <v>31+</v>
      </c>
      <c r="U1964" t="str" cm="1">
        <f t="array" ref="U1964">_xlfn.IFS(student_scores[[#This Row],[absence_days]]=0,"0", student_scores[[#This Row],[absence_days]]&lt;=3,"1-3", student_scores[[#This Row],[absence_days]]&lt;=6,"4-6", TRUE,"7-10")</f>
        <v>1-3</v>
      </c>
      <c r="V1964" t="str">
        <f>IF(student_scores[[#This Row],[Total_Score]] &gt;= _xlfn.PERCENTILE.INC(student_scores[Total_Score], 0.8), "Yes", "No")</f>
        <v>Yes</v>
      </c>
    </row>
    <row r="1965" spans="1:22" x14ac:dyDescent="0.35">
      <c r="A1965">
        <v>1964</v>
      </c>
      <c r="B1965" t="s">
        <v>160</v>
      </c>
      <c r="C1965" t="s">
        <v>1547</v>
      </c>
      <c r="D1965" t="s">
        <v>3107</v>
      </c>
      <c r="E1965" t="s">
        <v>20</v>
      </c>
      <c r="F1965" t="b">
        <v>0</v>
      </c>
      <c r="G1965">
        <v>1</v>
      </c>
      <c r="H1965" t="b">
        <v>0</v>
      </c>
      <c r="I1965">
        <v>47</v>
      </c>
      <c r="J1965" t="s">
        <v>26</v>
      </c>
      <c r="K1965">
        <v>86</v>
      </c>
      <c r="L1965">
        <v>93</v>
      </c>
      <c r="M1965">
        <v>91</v>
      </c>
      <c r="N1965">
        <v>94</v>
      </c>
      <c r="O1965">
        <v>93</v>
      </c>
      <c r="P1965">
        <v>88</v>
      </c>
      <c r="Q1965">
        <v>86</v>
      </c>
      <c r="R1965">
        <f>SUM(student_scores[[#This Row],[math_score]:[geography_score]])</f>
        <v>631</v>
      </c>
      <c r="S1965" s="3">
        <f>student_scores[[#This Row],[Total_Score]]/7</f>
        <v>90.142857142857139</v>
      </c>
      <c r="T1965" s="3" t="str" cm="1">
        <f t="array" ref="T1965">_xlfn.IFS(student_scores[[#This Row],[weekly_self_study_hours]]&lt;=5,   "0 - 5", student_scores[[#This Row],[weekly_self_study_hours]]&lt;=10,  "6 - 10", student_scores[[#This Row],[weekly_self_study_hours]]&lt;=20,  "11 - 20",student_scores[[#This Row],[weekly_self_study_hours]]&lt;=30, "21 - 30",TRUE, "31+")</f>
        <v>31+</v>
      </c>
      <c r="U1965" t="str" cm="1">
        <f t="array" ref="U1965">_xlfn.IFS(student_scores[[#This Row],[absence_days]]=0,"0", student_scores[[#This Row],[absence_days]]&lt;=3,"1-3", student_scores[[#This Row],[absence_days]]&lt;=6,"4-6", TRUE,"7-10")</f>
        <v>1-3</v>
      </c>
      <c r="V1965" t="str">
        <f>IF(student_scores[[#This Row],[Total_Score]] &gt;= _xlfn.PERCENTILE.INC(student_scores[Total_Score], 0.8), "Yes", "No")</f>
        <v>Yes</v>
      </c>
    </row>
    <row r="1966" spans="1:22" x14ac:dyDescent="0.35">
      <c r="A1966">
        <v>1965</v>
      </c>
      <c r="B1966" t="s">
        <v>266</v>
      </c>
      <c r="C1966" t="s">
        <v>2946</v>
      </c>
      <c r="D1966" t="s">
        <v>3108</v>
      </c>
      <c r="E1966" t="s">
        <v>20</v>
      </c>
      <c r="F1966" t="b">
        <v>0</v>
      </c>
      <c r="G1966">
        <v>1</v>
      </c>
      <c r="H1966" t="b">
        <v>0</v>
      </c>
      <c r="I1966">
        <v>9</v>
      </c>
      <c r="J1966" t="s">
        <v>30</v>
      </c>
      <c r="K1966">
        <v>68</v>
      </c>
      <c r="L1966">
        <v>65</v>
      </c>
      <c r="M1966">
        <v>95</v>
      </c>
      <c r="N1966">
        <v>88</v>
      </c>
      <c r="O1966">
        <v>62</v>
      </c>
      <c r="P1966">
        <v>87</v>
      </c>
      <c r="Q1966">
        <v>62</v>
      </c>
      <c r="R1966">
        <f>SUM(student_scores[[#This Row],[math_score]:[geography_score]])</f>
        <v>527</v>
      </c>
      <c r="S1966" s="3">
        <f>student_scores[[#This Row],[Total_Score]]/7</f>
        <v>75.285714285714292</v>
      </c>
      <c r="T1966" s="3" t="str" cm="1">
        <f t="array" ref="T1966">_xlfn.IFS(student_scores[[#This Row],[weekly_self_study_hours]]&lt;=5,   "0 - 5", student_scores[[#This Row],[weekly_self_study_hours]]&lt;=10,  "6 - 10", student_scores[[#This Row],[weekly_self_study_hours]]&lt;=20,  "11 - 20",student_scores[[#This Row],[weekly_self_study_hours]]&lt;=30, "21 - 30",TRUE, "31+")</f>
        <v>6 - 10</v>
      </c>
      <c r="U1966" t="str" cm="1">
        <f t="array" ref="U1966">_xlfn.IFS(student_scores[[#This Row],[absence_days]]=0,"0", student_scores[[#This Row],[absence_days]]&lt;=3,"1-3", student_scores[[#This Row],[absence_days]]&lt;=6,"4-6", TRUE,"7-10")</f>
        <v>1-3</v>
      </c>
      <c r="V1966" t="str">
        <f>IF(student_scores[[#This Row],[Total_Score]] &gt;= _xlfn.PERCENTILE.INC(student_scores[Total_Score], 0.8), "Yes", "No")</f>
        <v>No</v>
      </c>
    </row>
    <row r="1967" spans="1:22" x14ac:dyDescent="0.35">
      <c r="A1967">
        <v>1966</v>
      </c>
      <c r="B1967" t="s">
        <v>190</v>
      </c>
      <c r="C1967" t="s">
        <v>3109</v>
      </c>
      <c r="D1967" t="s">
        <v>3110</v>
      </c>
      <c r="E1967" t="s">
        <v>25</v>
      </c>
      <c r="F1967" t="b">
        <v>0</v>
      </c>
      <c r="G1967">
        <v>6</v>
      </c>
      <c r="H1967" t="b">
        <v>0</v>
      </c>
      <c r="I1967">
        <v>2</v>
      </c>
      <c r="J1967" t="s">
        <v>64</v>
      </c>
      <c r="K1967">
        <v>67</v>
      </c>
      <c r="L1967">
        <v>54</v>
      </c>
      <c r="M1967">
        <v>71</v>
      </c>
      <c r="N1967">
        <v>50</v>
      </c>
      <c r="O1967">
        <v>55</v>
      </c>
      <c r="P1967">
        <v>51</v>
      </c>
      <c r="Q1967">
        <v>66</v>
      </c>
      <c r="R1967">
        <f>SUM(student_scores[[#This Row],[math_score]:[geography_score]])</f>
        <v>414</v>
      </c>
      <c r="S1967" s="3">
        <f>student_scores[[#This Row],[Total_Score]]/7</f>
        <v>59.142857142857146</v>
      </c>
      <c r="T1967" s="3" t="str" cm="1">
        <f t="array" ref="T1967">_xlfn.IFS(student_scores[[#This Row],[weekly_self_study_hours]]&lt;=5,   "0 - 5", student_scores[[#This Row],[weekly_self_study_hours]]&lt;=10,  "6 - 10", student_scores[[#This Row],[weekly_self_study_hours]]&lt;=20,  "11 - 20",student_scores[[#This Row],[weekly_self_study_hours]]&lt;=30, "21 - 30",TRUE, "31+")</f>
        <v>0 - 5</v>
      </c>
      <c r="U1967" t="str" cm="1">
        <f t="array" ref="U1967">_xlfn.IFS(student_scores[[#This Row],[absence_days]]=0,"0", student_scores[[#This Row],[absence_days]]&lt;=3,"1-3", student_scores[[#This Row],[absence_days]]&lt;=6,"4-6", TRUE,"7-10")</f>
        <v>4-6</v>
      </c>
      <c r="V1967" t="str">
        <f>IF(student_scores[[#This Row],[Total_Score]] &gt;= _xlfn.PERCENTILE.INC(student_scores[Total_Score], 0.8), "Yes", "No")</f>
        <v>No</v>
      </c>
    </row>
    <row r="1968" spans="1:22" x14ac:dyDescent="0.35">
      <c r="A1968">
        <v>1967</v>
      </c>
      <c r="B1968" t="s">
        <v>17</v>
      </c>
      <c r="C1968" t="s">
        <v>2102</v>
      </c>
      <c r="D1968" t="s">
        <v>3111</v>
      </c>
      <c r="E1968" t="s">
        <v>20</v>
      </c>
      <c r="F1968" t="b">
        <v>1</v>
      </c>
      <c r="G1968">
        <v>4</v>
      </c>
      <c r="H1968" t="b">
        <v>0</v>
      </c>
      <c r="I1968">
        <v>5</v>
      </c>
      <c r="J1968" t="s">
        <v>64</v>
      </c>
      <c r="K1968">
        <v>82</v>
      </c>
      <c r="L1968">
        <v>69</v>
      </c>
      <c r="M1968">
        <v>92</v>
      </c>
      <c r="N1968">
        <v>85</v>
      </c>
      <c r="O1968">
        <v>59</v>
      </c>
      <c r="P1968">
        <v>87</v>
      </c>
      <c r="Q1968">
        <v>83</v>
      </c>
      <c r="R1968">
        <f>SUM(student_scores[[#This Row],[math_score]:[geography_score]])</f>
        <v>557</v>
      </c>
      <c r="S1968" s="3">
        <f>student_scores[[#This Row],[Total_Score]]/7</f>
        <v>79.571428571428569</v>
      </c>
      <c r="T1968" s="3" t="str" cm="1">
        <f t="array" ref="T1968">_xlfn.IFS(student_scores[[#This Row],[weekly_self_study_hours]]&lt;=5,   "0 - 5", student_scores[[#This Row],[weekly_self_study_hours]]&lt;=10,  "6 - 10", student_scores[[#This Row],[weekly_self_study_hours]]&lt;=20,  "11 - 20",student_scores[[#This Row],[weekly_self_study_hours]]&lt;=30, "21 - 30",TRUE, "31+")</f>
        <v>0 - 5</v>
      </c>
      <c r="U1968" t="str" cm="1">
        <f t="array" ref="U1968">_xlfn.IFS(student_scores[[#This Row],[absence_days]]=0,"0", student_scores[[#This Row],[absence_days]]&lt;=3,"1-3", student_scores[[#This Row],[absence_days]]&lt;=6,"4-6", TRUE,"7-10")</f>
        <v>4-6</v>
      </c>
      <c r="V1968" t="str">
        <f>IF(student_scores[[#This Row],[Total_Score]] &gt;= _xlfn.PERCENTILE.INC(student_scores[Total_Score], 0.8), "Yes", "No")</f>
        <v>No</v>
      </c>
    </row>
    <row r="1969" spans="1:22" x14ac:dyDescent="0.35">
      <c r="A1969">
        <v>1968</v>
      </c>
      <c r="B1969" t="s">
        <v>517</v>
      </c>
      <c r="C1969" t="s">
        <v>42</v>
      </c>
      <c r="D1969" t="s">
        <v>3112</v>
      </c>
      <c r="E1969" t="s">
        <v>25</v>
      </c>
      <c r="F1969" t="b">
        <v>0</v>
      </c>
      <c r="G1969">
        <v>2</v>
      </c>
      <c r="H1969" t="b">
        <v>0</v>
      </c>
      <c r="I1969">
        <v>26</v>
      </c>
      <c r="J1969" t="s">
        <v>38</v>
      </c>
      <c r="K1969">
        <v>86</v>
      </c>
      <c r="L1969">
        <v>88</v>
      </c>
      <c r="M1969">
        <v>71</v>
      </c>
      <c r="N1969">
        <v>65</v>
      </c>
      <c r="O1969">
        <v>86</v>
      </c>
      <c r="P1969">
        <v>69</v>
      </c>
      <c r="Q1969">
        <v>84</v>
      </c>
      <c r="R1969">
        <f>SUM(student_scores[[#This Row],[math_score]:[geography_score]])</f>
        <v>549</v>
      </c>
      <c r="S1969" s="3">
        <f>student_scores[[#This Row],[Total_Score]]/7</f>
        <v>78.428571428571431</v>
      </c>
      <c r="T1969" s="3" t="str" cm="1">
        <f t="array" ref="T1969">_xlfn.IFS(student_scores[[#This Row],[weekly_self_study_hours]]&lt;=5,   "0 - 5", student_scores[[#This Row],[weekly_self_study_hours]]&lt;=10,  "6 - 10", student_scores[[#This Row],[weekly_self_study_hours]]&lt;=20,  "11 - 20",student_scores[[#This Row],[weekly_self_study_hours]]&lt;=30, "21 - 30",TRUE, "31+")</f>
        <v>21 - 30</v>
      </c>
      <c r="U1969" t="str" cm="1">
        <f t="array" ref="U1969">_xlfn.IFS(student_scores[[#This Row],[absence_days]]=0,"0", student_scores[[#This Row],[absence_days]]&lt;=3,"1-3", student_scores[[#This Row],[absence_days]]&lt;=6,"4-6", TRUE,"7-10")</f>
        <v>1-3</v>
      </c>
      <c r="V1969" t="str">
        <f>IF(student_scores[[#This Row],[Total_Score]] &gt;= _xlfn.PERCENTILE.INC(student_scores[Total_Score], 0.8), "Yes", "No")</f>
        <v>No</v>
      </c>
    </row>
    <row r="1970" spans="1:22" x14ac:dyDescent="0.35">
      <c r="A1970">
        <v>1969</v>
      </c>
      <c r="B1970" t="s">
        <v>294</v>
      </c>
      <c r="C1970" t="s">
        <v>572</v>
      </c>
      <c r="D1970" t="s">
        <v>3113</v>
      </c>
      <c r="E1970" t="s">
        <v>25</v>
      </c>
      <c r="F1970" t="b">
        <v>1</v>
      </c>
      <c r="G1970">
        <v>3</v>
      </c>
      <c r="H1970" t="b">
        <v>0</v>
      </c>
      <c r="I1970">
        <v>25</v>
      </c>
      <c r="J1970" t="s">
        <v>44</v>
      </c>
      <c r="K1970">
        <v>95</v>
      </c>
      <c r="L1970">
        <v>91</v>
      </c>
      <c r="M1970">
        <v>64</v>
      </c>
      <c r="N1970">
        <v>65</v>
      </c>
      <c r="O1970">
        <v>60</v>
      </c>
      <c r="P1970">
        <v>84</v>
      </c>
      <c r="Q1970">
        <v>99</v>
      </c>
      <c r="R1970">
        <f>SUM(student_scores[[#This Row],[math_score]:[geography_score]])</f>
        <v>558</v>
      </c>
      <c r="S1970" s="3">
        <f>student_scores[[#This Row],[Total_Score]]/7</f>
        <v>79.714285714285708</v>
      </c>
      <c r="T1970" s="3" t="str" cm="1">
        <f t="array" ref="T1970">_xlfn.IFS(student_scores[[#This Row],[weekly_self_study_hours]]&lt;=5,   "0 - 5", student_scores[[#This Row],[weekly_self_study_hours]]&lt;=10,  "6 - 10", student_scores[[#This Row],[weekly_self_study_hours]]&lt;=20,  "11 - 20",student_scores[[#This Row],[weekly_self_study_hours]]&lt;=30, "21 - 30",TRUE, "31+")</f>
        <v>21 - 30</v>
      </c>
      <c r="U1970" t="str" cm="1">
        <f t="array" ref="U1970">_xlfn.IFS(student_scores[[#This Row],[absence_days]]=0,"0", student_scores[[#This Row],[absence_days]]&lt;=3,"1-3", student_scores[[#This Row],[absence_days]]&lt;=6,"4-6", TRUE,"7-10")</f>
        <v>1-3</v>
      </c>
      <c r="V1970" t="str">
        <f>IF(student_scores[[#This Row],[Total_Score]] &gt;= _xlfn.PERCENTILE.INC(student_scores[Total_Score], 0.8), "Yes", "No")</f>
        <v>No</v>
      </c>
    </row>
    <row r="1971" spans="1:22" x14ac:dyDescent="0.35">
      <c r="A1971">
        <v>1970</v>
      </c>
      <c r="B1971" t="s">
        <v>622</v>
      </c>
      <c r="C1971" t="s">
        <v>2440</v>
      </c>
      <c r="D1971" t="s">
        <v>3114</v>
      </c>
      <c r="E1971" t="s">
        <v>20</v>
      </c>
      <c r="F1971" t="b">
        <v>0</v>
      </c>
      <c r="G1971">
        <v>5</v>
      </c>
      <c r="H1971" t="b">
        <v>0</v>
      </c>
      <c r="I1971">
        <v>9</v>
      </c>
      <c r="J1971" t="s">
        <v>224</v>
      </c>
      <c r="K1971">
        <v>72</v>
      </c>
      <c r="L1971">
        <v>82</v>
      </c>
      <c r="M1971">
        <v>76</v>
      </c>
      <c r="N1971">
        <v>69</v>
      </c>
      <c r="O1971">
        <v>67</v>
      </c>
      <c r="P1971">
        <v>92</v>
      </c>
      <c r="Q1971">
        <v>87</v>
      </c>
      <c r="R1971">
        <f>SUM(student_scores[[#This Row],[math_score]:[geography_score]])</f>
        <v>545</v>
      </c>
      <c r="S1971" s="3">
        <f>student_scores[[#This Row],[Total_Score]]/7</f>
        <v>77.857142857142861</v>
      </c>
      <c r="T1971" s="3" t="str" cm="1">
        <f t="array" ref="T1971">_xlfn.IFS(student_scores[[#This Row],[weekly_self_study_hours]]&lt;=5,   "0 - 5", student_scores[[#This Row],[weekly_self_study_hours]]&lt;=10,  "6 - 10", student_scores[[#This Row],[weekly_self_study_hours]]&lt;=20,  "11 - 20",student_scores[[#This Row],[weekly_self_study_hours]]&lt;=30, "21 - 30",TRUE, "31+")</f>
        <v>6 - 10</v>
      </c>
      <c r="U1971" t="str" cm="1">
        <f t="array" ref="U1971">_xlfn.IFS(student_scores[[#This Row],[absence_days]]=0,"0", student_scores[[#This Row],[absence_days]]&lt;=3,"1-3", student_scores[[#This Row],[absence_days]]&lt;=6,"4-6", TRUE,"7-10")</f>
        <v>4-6</v>
      </c>
      <c r="V1971" t="str">
        <f>IF(student_scores[[#This Row],[Total_Score]] &gt;= _xlfn.PERCENTILE.INC(student_scores[Total_Score], 0.8), "Yes", "No")</f>
        <v>No</v>
      </c>
    </row>
    <row r="1972" spans="1:22" x14ac:dyDescent="0.35">
      <c r="A1972">
        <v>1971</v>
      </c>
      <c r="B1972" t="s">
        <v>266</v>
      </c>
      <c r="C1972" t="s">
        <v>125</v>
      </c>
      <c r="D1972" t="s">
        <v>3115</v>
      </c>
      <c r="E1972" t="s">
        <v>20</v>
      </c>
      <c r="F1972" t="b">
        <v>0</v>
      </c>
      <c r="G1972">
        <v>1</v>
      </c>
      <c r="H1972" t="b">
        <v>0</v>
      </c>
      <c r="I1972">
        <v>27</v>
      </c>
      <c r="J1972" t="s">
        <v>113</v>
      </c>
      <c r="K1972">
        <v>99</v>
      </c>
      <c r="L1972">
        <v>87</v>
      </c>
      <c r="M1972">
        <v>67</v>
      </c>
      <c r="N1972">
        <v>91</v>
      </c>
      <c r="O1972">
        <v>36</v>
      </c>
      <c r="P1972">
        <v>76</v>
      </c>
      <c r="Q1972">
        <v>64</v>
      </c>
      <c r="R1972">
        <f>SUM(student_scores[[#This Row],[math_score]:[geography_score]])</f>
        <v>520</v>
      </c>
      <c r="S1972" s="3">
        <f>student_scores[[#This Row],[Total_Score]]/7</f>
        <v>74.285714285714292</v>
      </c>
      <c r="T1972" s="3" t="str" cm="1">
        <f t="array" ref="T1972">_xlfn.IFS(student_scores[[#This Row],[weekly_self_study_hours]]&lt;=5,   "0 - 5", student_scores[[#This Row],[weekly_self_study_hours]]&lt;=10,  "6 - 10", student_scores[[#This Row],[weekly_self_study_hours]]&lt;=20,  "11 - 20",student_scores[[#This Row],[weekly_self_study_hours]]&lt;=30, "21 - 30",TRUE, "31+")</f>
        <v>21 - 30</v>
      </c>
      <c r="U1972" t="str" cm="1">
        <f t="array" ref="U1972">_xlfn.IFS(student_scores[[#This Row],[absence_days]]=0,"0", student_scores[[#This Row],[absence_days]]&lt;=3,"1-3", student_scores[[#This Row],[absence_days]]&lt;=6,"4-6", TRUE,"7-10")</f>
        <v>1-3</v>
      </c>
      <c r="V1972" t="str">
        <f>IF(student_scores[[#This Row],[Total_Score]] &gt;= _xlfn.PERCENTILE.INC(student_scores[Total_Score], 0.8), "Yes", "No")</f>
        <v>No</v>
      </c>
    </row>
    <row r="1973" spans="1:22" x14ac:dyDescent="0.35">
      <c r="A1973">
        <v>1972</v>
      </c>
      <c r="B1973" t="s">
        <v>173</v>
      </c>
      <c r="C1973" t="s">
        <v>629</v>
      </c>
      <c r="D1973" t="s">
        <v>3116</v>
      </c>
      <c r="E1973" t="s">
        <v>25</v>
      </c>
      <c r="F1973" t="b">
        <v>0</v>
      </c>
      <c r="G1973">
        <v>2</v>
      </c>
      <c r="H1973" t="b">
        <v>1</v>
      </c>
      <c r="I1973">
        <v>19</v>
      </c>
      <c r="J1973" t="s">
        <v>105</v>
      </c>
      <c r="K1973">
        <v>75</v>
      </c>
      <c r="L1973">
        <v>88</v>
      </c>
      <c r="M1973">
        <v>71</v>
      </c>
      <c r="N1973">
        <v>80</v>
      </c>
      <c r="O1973">
        <v>65</v>
      </c>
      <c r="P1973">
        <v>85</v>
      </c>
      <c r="Q1973">
        <v>60</v>
      </c>
      <c r="R1973">
        <f>SUM(student_scores[[#This Row],[math_score]:[geography_score]])</f>
        <v>524</v>
      </c>
      <c r="S1973" s="3">
        <f>student_scores[[#This Row],[Total_Score]]/7</f>
        <v>74.857142857142861</v>
      </c>
      <c r="T1973" s="3" t="str" cm="1">
        <f t="array" ref="T1973">_xlfn.IFS(student_scores[[#This Row],[weekly_self_study_hours]]&lt;=5,   "0 - 5", student_scores[[#This Row],[weekly_self_study_hours]]&lt;=10,  "6 - 10", student_scores[[#This Row],[weekly_self_study_hours]]&lt;=20,  "11 - 20",student_scores[[#This Row],[weekly_self_study_hours]]&lt;=30, "21 - 30",TRUE, "31+")</f>
        <v>11 - 20</v>
      </c>
      <c r="U1973" t="str" cm="1">
        <f t="array" ref="U1973">_xlfn.IFS(student_scores[[#This Row],[absence_days]]=0,"0", student_scores[[#This Row],[absence_days]]&lt;=3,"1-3", student_scores[[#This Row],[absence_days]]&lt;=6,"4-6", TRUE,"7-10")</f>
        <v>1-3</v>
      </c>
      <c r="V1973" t="str">
        <f>IF(student_scores[[#This Row],[Total_Score]] &gt;= _xlfn.PERCENTILE.INC(student_scores[Total_Score], 0.8), "Yes", "No")</f>
        <v>No</v>
      </c>
    </row>
    <row r="1974" spans="1:22" x14ac:dyDescent="0.35">
      <c r="A1974">
        <v>1973</v>
      </c>
      <c r="B1974" t="s">
        <v>2722</v>
      </c>
      <c r="C1974" t="s">
        <v>267</v>
      </c>
      <c r="D1974" t="s">
        <v>3117</v>
      </c>
      <c r="E1974" t="s">
        <v>25</v>
      </c>
      <c r="F1974" t="b">
        <v>1</v>
      </c>
      <c r="G1974">
        <v>1</v>
      </c>
      <c r="H1974" t="b">
        <v>0</v>
      </c>
      <c r="I1974">
        <v>31</v>
      </c>
      <c r="J1974" t="s">
        <v>76</v>
      </c>
      <c r="K1974">
        <v>77</v>
      </c>
      <c r="L1974">
        <v>80</v>
      </c>
      <c r="M1974">
        <v>86</v>
      </c>
      <c r="N1974">
        <v>87</v>
      </c>
      <c r="O1974">
        <v>98</v>
      </c>
      <c r="P1974">
        <v>98</v>
      </c>
      <c r="Q1974">
        <v>88</v>
      </c>
      <c r="R1974">
        <f>SUM(student_scores[[#This Row],[math_score]:[geography_score]])</f>
        <v>614</v>
      </c>
      <c r="S1974" s="3">
        <f>student_scores[[#This Row],[Total_Score]]/7</f>
        <v>87.714285714285708</v>
      </c>
      <c r="T1974" s="3" t="str" cm="1">
        <f t="array" ref="T1974">_xlfn.IFS(student_scores[[#This Row],[weekly_self_study_hours]]&lt;=5,   "0 - 5", student_scores[[#This Row],[weekly_self_study_hours]]&lt;=10,  "6 - 10", student_scores[[#This Row],[weekly_self_study_hours]]&lt;=20,  "11 - 20",student_scores[[#This Row],[weekly_self_study_hours]]&lt;=30, "21 - 30",TRUE, "31+")</f>
        <v>31+</v>
      </c>
      <c r="U1974" t="str" cm="1">
        <f t="array" ref="U1974">_xlfn.IFS(student_scores[[#This Row],[absence_days]]=0,"0", student_scores[[#This Row],[absence_days]]&lt;=3,"1-3", student_scores[[#This Row],[absence_days]]&lt;=6,"4-6", TRUE,"7-10")</f>
        <v>1-3</v>
      </c>
      <c r="V1974" t="str">
        <f>IF(student_scores[[#This Row],[Total_Score]] &gt;= _xlfn.PERCENTILE.INC(student_scores[Total_Score], 0.8), "Yes", "No")</f>
        <v>Yes</v>
      </c>
    </row>
    <row r="1975" spans="1:22" x14ac:dyDescent="0.35">
      <c r="A1975">
        <v>1974</v>
      </c>
      <c r="B1975" t="s">
        <v>130</v>
      </c>
      <c r="C1975" t="s">
        <v>178</v>
      </c>
      <c r="D1975" t="s">
        <v>3118</v>
      </c>
      <c r="E1975" t="s">
        <v>25</v>
      </c>
      <c r="F1975" t="b">
        <v>0</v>
      </c>
      <c r="G1975">
        <v>4</v>
      </c>
      <c r="H1975" t="b">
        <v>1</v>
      </c>
      <c r="I1975">
        <v>26</v>
      </c>
      <c r="J1975" t="s">
        <v>44</v>
      </c>
      <c r="K1975">
        <v>95</v>
      </c>
      <c r="L1975">
        <v>97</v>
      </c>
      <c r="M1975">
        <v>84</v>
      </c>
      <c r="N1975">
        <v>97</v>
      </c>
      <c r="O1975">
        <v>75</v>
      </c>
      <c r="P1975">
        <v>92</v>
      </c>
      <c r="Q1975">
        <v>92</v>
      </c>
      <c r="R1975">
        <f>SUM(student_scores[[#This Row],[math_score]:[geography_score]])</f>
        <v>632</v>
      </c>
      <c r="S1975" s="3">
        <f>student_scores[[#This Row],[Total_Score]]/7</f>
        <v>90.285714285714292</v>
      </c>
      <c r="T1975" s="3" t="str" cm="1">
        <f t="array" ref="T1975">_xlfn.IFS(student_scores[[#This Row],[weekly_self_study_hours]]&lt;=5,   "0 - 5", student_scores[[#This Row],[weekly_self_study_hours]]&lt;=10,  "6 - 10", student_scores[[#This Row],[weekly_self_study_hours]]&lt;=20,  "11 - 20",student_scores[[#This Row],[weekly_self_study_hours]]&lt;=30, "21 - 30",TRUE, "31+")</f>
        <v>21 - 30</v>
      </c>
      <c r="U1975" t="str" cm="1">
        <f t="array" ref="U1975">_xlfn.IFS(student_scores[[#This Row],[absence_days]]=0,"0", student_scores[[#This Row],[absence_days]]&lt;=3,"1-3", student_scores[[#This Row],[absence_days]]&lt;=6,"4-6", TRUE,"7-10")</f>
        <v>4-6</v>
      </c>
      <c r="V1975" t="str">
        <f>IF(student_scores[[#This Row],[Total_Score]] &gt;= _xlfn.PERCENTILE.INC(student_scores[Total_Score], 0.8), "Yes", "No")</f>
        <v>Yes</v>
      </c>
    </row>
    <row r="1976" spans="1:22" x14ac:dyDescent="0.35">
      <c r="A1976">
        <v>1975</v>
      </c>
      <c r="B1976" t="s">
        <v>3119</v>
      </c>
      <c r="C1976" t="s">
        <v>1955</v>
      </c>
      <c r="D1976" t="s">
        <v>3120</v>
      </c>
      <c r="E1976" t="s">
        <v>20</v>
      </c>
      <c r="F1976" t="b">
        <v>0</v>
      </c>
      <c r="G1976">
        <v>6</v>
      </c>
      <c r="H1976" t="b">
        <v>1</v>
      </c>
      <c r="I1976">
        <v>11</v>
      </c>
      <c r="J1976" t="s">
        <v>105</v>
      </c>
      <c r="K1976">
        <v>77</v>
      </c>
      <c r="L1976">
        <v>97</v>
      </c>
      <c r="M1976">
        <v>88</v>
      </c>
      <c r="N1976">
        <v>89</v>
      </c>
      <c r="O1976">
        <v>74</v>
      </c>
      <c r="P1976">
        <v>95</v>
      </c>
      <c r="Q1976">
        <v>64</v>
      </c>
      <c r="R1976">
        <f>SUM(student_scores[[#This Row],[math_score]:[geography_score]])</f>
        <v>584</v>
      </c>
      <c r="S1976" s="3">
        <f>student_scores[[#This Row],[Total_Score]]/7</f>
        <v>83.428571428571431</v>
      </c>
      <c r="T1976" s="3" t="str" cm="1">
        <f t="array" ref="T1976">_xlfn.IFS(student_scores[[#This Row],[weekly_self_study_hours]]&lt;=5,   "0 - 5", student_scores[[#This Row],[weekly_self_study_hours]]&lt;=10,  "6 - 10", student_scores[[#This Row],[weekly_self_study_hours]]&lt;=20,  "11 - 20",student_scores[[#This Row],[weekly_self_study_hours]]&lt;=30, "21 - 30",TRUE, "31+")</f>
        <v>11 - 20</v>
      </c>
      <c r="U1976" t="str" cm="1">
        <f t="array" ref="U1976">_xlfn.IFS(student_scores[[#This Row],[absence_days]]=0,"0", student_scores[[#This Row],[absence_days]]&lt;=3,"1-3", student_scores[[#This Row],[absence_days]]&lt;=6,"4-6", TRUE,"7-10")</f>
        <v>4-6</v>
      </c>
      <c r="V1976" t="str">
        <f>IF(student_scores[[#This Row],[Total_Score]] &gt;= _xlfn.PERCENTILE.INC(student_scores[Total_Score], 0.8), "Yes", "No")</f>
        <v>No</v>
      </c>
    </row>
    <row r="1977" spans="1:22" x14ac:dyDescent="0.35">
      <c r="A1977">
        <v>1976</v>
      </c>
      <c r="B1977" t="s">
        <v>746</v>
      </c>
      <c r="C1977" t="s">
        <v>1970</v>
      </c>
      <c r="D1977" t="s">
        <v>3121</v>
      </c>
      <c r="E1977" t="s">
        <v>25</v>
      </c>
      <c r="F1977" t="b">
        <v>1</v>
      </c>
      <c r="G1977">
        <v>6</v>
      </c>
      <c r="H1977" t="b">
        <v>0</v>
      </c>
      <c r="I1977">
        <v>6</v>
      </c>
      <c r="J1977" t="s">
        <v>123</v>
      </c>
      <c r="K1977">
        <v>90</v>
      </c>
      <c r="L1977">
        <v>74</v>
      </c>
      <c r="M1977">
        <v>92</v>
      </c>
      <c r="N1977">
        <v>67</v>
      </c>
      <c r="O1977">
        <v>83</v>
      </c>
      <c r="P1977">
        <v>73</v>
      </c>
      <c r="Q1977">
        <v>89</v>
      </c>
      <c r="R1977">
        <f>SUM(student_scores[[#This Row],[math_score]:[geography_score]])</f>
        <v>568</v>
      </c>
      <c r="S1977" s="3">
        <f>student_scores[[#This Row],[Total_Score]]/7</f>
        <v>81.142857142857139</v>
      </c>
      <c r="T1977" s="3" t="str" cm="1">
        <f t="array" ref="T1977">_xlfn.IFS(student_scores[[#This Row],[weekly_self_study_hours]]&lt;=5,   "0 - 5", student_scores[[#This Row],[weekly_self_study_hours]]&lt;=10,  "6 - 10", student_scores[[#This Row],[weekly_self_study_hours]]&lt;=20,  "11 - 20",student_scores[[#This Row],[weekly_self_study_hours]]&lt;=30, "21 - 30",TRUE, "31+")</f>
        <v>6 - 10</v>
      </c>
      <c r="U1977" t="str" cm="1">
        <f t="array" ref="U1977">_xlfn.IFS(student_scores[[#This Row],[absence_days]]=0,"0", student_scores[[#This Row],[absence_days]]&lt;=3,"1-3", student_scores[[#This Row],[absence_days]]&lt;=6,"4-6", TRUE,"7-10")</f>
        <v>4-6</v>
      </c>
      <c r="V1977" t="str">
        <f>IF(student_scores[[#This Row],[Total_Score]] &gt;= _xlfn.PERCENTILE.INC(student_scores[Total_Score], 0.8), "Yes", "No")</f>
        <v>No</v>
      </c>
    </row>
    <row r="1978" spans="1:22" x14ac:dyDescent="0.35">
      <c r="A1978">
        <v>1977</v>
      </c>
      <c r="B1978" t="s">
        <v>130</v>
      </c>
      <c r="C1978" t="s">
        <v>914</v>
      </c>
      <c r="D1978" t="s">
        <v>3122</v>
      </c>
      <c r="E1978" t="s">
        <v>25</v>
      </c>
      <c r="F1978" t="b">
        <v>0</v>
      </c>
      <c r="G1978">
        <v>8</v>
      </c>
      <c r="H1978" t="b">
        <v>0</v>
      </c>
      <c r="I1978">
        <v>2</v>
      </c>
      <c r="J1978" t="s">
        <v>64</v>
      </c>
      <c r="K1978">
        <v>74</v>
      </c>
      <c r="L1978">
        <v>59</v>
      </c>
      <c r="M1978">
        <v>82</v>
      </c>
      <c r="N1978">
        <v>51</v>
      </c>
      <c r="O1978">
        <v>91</v>
      </c>
      <c r="P1978">
        <v>96</v>
      </c>
      <c r="Q1978">
        <v>94</v>
      </c>
      <c r="R1978">
        <f>SUM(student_scores[[#This Row],[math_score]:[geography_score]])</f>
        <v>547</v>
      </c>
      <c r="S1978" s="3">
        <f>student_scores[[#This Row],[Total_Score]]/7</f>
        <v>78.142857142857139</v>
      </c>
      <c r="T1978" s="3" t="str" cm="1">
        <f t="array" ref="T1978">_xlfn.IFS(student_scores[[#This Row],[weekly_self_study_hours]]&lt;=5,   "0 - 5", student_scores[[#This Row],[weekly_self_study_hours]]&lt;=10,  "6 - 10", student_scores[[#This Row],[weekly_self_study_hours]]&lt;=20,  "11 - 20",student_scores[[#This Row],[weekly_self_study_hours]]&lt;=30, "21 - 30",TRUE, "31+")</f>
        <v>0 - 5</v>
      </c>
      <c r="U1978" t="str" cm="1">
        <f t="array" ref="U1978">_xlfn.IFS(student_scores[[#This Row],[absence_days]]=0,"0", student_scores[[#This Row],[absence_days]]&lt;=3,"1-3", student_scores[[#This Row],[absence_days]]&lt;=6,"4-6", TRUE,"7-10")</f>
        <v>7-10</v>
      </c>
      <c r="V1978" t="str">
        <f>IF(student_scores[[#This Row],[Total_Score]] &gt;= _xlfn.PERCENTILE.INC(student_scores[Total_Score], 0.8), "Yes", "No")</f>
        <v>No</v>
      </c>
    </row>
    <row r="1979" spans="1:22" x14ac:dyDescent="0.35">
      <c r="A1979">
        <v>1978</v>
      </c>
      <c r="B1979" t="s">
        <v>848</v>
      </c>
      <c r="C1979" t="s">
        <v>246</v>
      </c>
      <c r="D1979" t="s">
        <v>3123</v>
      </c>
      <c r="E1979" t="s">
        <v>25</v>
      </c>
      <c r="F1979" t="b">
        <v>0</v>
      </c>
      <c r="G1979">
        <v>10</v>
      </c>
      <c r="H1979" t="b">
        <v>1</v>
      </c>
      <c r="I1979">
        <v>5</v>
      </c>
      <c r="J1979" t="s">
        <v>64</v>
      </c>
      <c r="K1979">
        <v>56</v>
      </c>
      <c r="L1979">
        <v>66</v>
      </c>
      <c r="M1979">
        <v>87</v>
      </c>
      <c r="N1979">
        <v>64</v>
      </c>
      <c r="O1979">
        <v>95</v>
      </c>
      <c r="P1979">
        <v>89</v>
      </c>
      <c r="Q1979">
        <v>76</v>
      </c>
      <c r="R1979">
        <f>SUM(student_scores[[#This Row],[math_score]:[geography_score]])</f>
        <v>533</v>
      </c>
      <c r="S1979" s="3">
        <f>student_scores[[#This Row],[Total_Score]]/7</f>
        <v>76.142857142857139</v>
      </c>
      <c r="T1979" s="3" t="str" cm="1">
        <f t="array" ref="T1979">_xlfn.IFS(student_scores[[#This Row],[weekly_self_study_hours]]&lt;=5,   "0 - 5", student_scores[[#This Row],[weekly_self_study_hours]]&lt;=10,  "6 - 10", student_scores[[#This Row],[weekly_self_study_hours]]&lt;=20,  "11 - 20",student_scores[[#This Row],[weekly_self_study_hours]]&lt;=30, "21 - 30",TRUE, "31+")</f>
        <v>0 - 5</v>
      </c>
      <c r="U1979" t="str" cm="1">
        <f t="array" ref="U1979">_xlfn.IFS(student_scores[[#This Row],[absence_days]]=0,"0", student_scores[[#This Row],[absence_days]]&lt;=3,"1-3", student_scores[[#This Row],[absence_days]]&lt;=6,"4-6", TRUE,"7-10")</f>
        <v>7-10</v>
      </c>
      <c r="V1979" t="str">
        <f>IF(student_scores[[#This Row],[Total_Score]] &gt;= _xlfn.PERCENTILE.INC(student_scores[Total_Score], 0.8), "Yes", "No")</f>
        <v>No</v>
      </c>
    </row>
    <row r="1980" spans="1:22" x14ac:dyDescent="0.35">
      <c r="A1980">
        <v>1979</v>
      </c>
      <c r="B1980" t="s">
        <v>214</v>
      </c>
      <c r="C1980" t="s">
        <v>2641</v>
      </c>
      <c r="D1980" t="s">
        <v>3124</v>
      </c>
      <c r="E1980" t="s">
        <v>20</v>
      </c>
      <c r="F1980" t="b">
        <v>0</v>
      </c>
      <c r="G1980">
        <v>7</v>
      </c>
      <c r="H1980" t="b">
        <v>0</v>
      </c>
      <c r="I1980">
        <v>5</v>
      </c>
      <c r="J1980" t="s">
        <v>64</v>
      </c>
      <c r="K1980">
        <v>72</v>
      </c>
      <c r="L1980">
        <v>69</v>
      </c>
      <c r="M1980">
        <v>91</v>
      </c>
      <c r="N1980">
        <v>69</v>
      </c>
      <c r="O1980">
        <v>53</v>
      </c>
      <c r="P1980">
        <v>73</v>
      </c>
      <c r="Q1980">
        <v>95</v>
      </c>
      <c r="R1980">
        <f>SUM(student_scores[[#This Row],[math_score]:[geography_score]])</f>
        <v>522</v>
      </c>
      <c r="S1980" s="3">
        <f>student_scores[[#This Row],[Total_Score]]/7</f>
        <v>74.571428571428569</v>
      </c>
      <c r="T1980" s="3" t="str" cm="1">
        <f t="array" ref="T1980">_xlfn.IFS(student_scores[[#This Row],[weekly_self_study_hours]]&lt;=5,   "0 - 5", student_scores[[#This Row],[weekly_self_study_hours]]&lt;=10,  "6 - 10", student_scores[[#This Row],[weekly_self_study_hours]]&lt;=20,  "11 - 20",student_scores[[#This Row],[weekly_self_study_hours]]&lt;=30, "21 - 30",TRUE, "31+")</f>
        <v>0 - 5</v>
      </c>
      <c r="U1980" t="str" cm="1">
        <f t="array" ref="U1980">_xlfn.IFS(student_scores[[#This Row],[absence_days]]=0,"0", student_scores[[#This Row],[absence_days]]&lt;=3,"1-3", student_scores[[#This Row],[absence_days]]&lt;=6,"4-6", TRUE,"7-10")</f>
        <v>7-10</v>
      </c>
      <c r="V1980" t="str">
        <f>IF(student_scores[[#This Row],[Total_Score]] &gt;= _xlfn.PERCENTILE.INC(student_scores[Total_Score], 0.8), "Yes", "No")</f>
        <v>No</v>
      </c>
    </row>
    <row r="1981" spans="1:22" x14ac:dyDescent="0.35">
      <c r="A1981">
        <v>1980</v>
      </c>
      <c r="B1981" t="s">
        <v>1383</v>
      </c>
      <c r="C1981" t="s">
        <v>632</v>
      </c>
      <c r="D1981" t="s">
        <v>3125</v>
      </c>
      <c r="E1981" t="s">
        <v>25</v>
      </c>
      <c r="F1981" t="b">
        <v>0</v>
      </c>
      <c r="G1981">
        <v>3</v>
      </c>
      <c r="H1981" t="b">
        <v>0</v>
      </c>
      <c r="I1981">
        <v>27</v>
      </c>
      <c r="J1981" t="s">
        <v>21</v>
      </c>
      <c r="K1981">
        <v>87</v>
      </c>
      <c r="L1981">
        <v>86</v>
      </c>
      <c r="M1981">
        <v>83</v>
      </c>
      <c r="N1981">
        <v>80</v>
      </c>
      <c r="O1981">
        <v>90</v>
      </c>
      <c r="P1981">
        <v>90</v>
      </c>
      <c r="Q1981">
        <v>61</v>
      </c>
      <c r="R1981">
        <f>SUM(student_scores[[#This Row],[math_score]:[geography_score]])</f>
        <v>577</v>
      </c>
      <c r="S1981" s="3">
        <f>student_scores[[#This Row],[Total_Score]]/7</f>
        <v>82.428571428571431</v>
      </c>
      <c r="T1981" s="3" t="str" cm="1">
        <f t="array" ref="T1981">_xlfn.IFS(student_scores[[#This Row],[weekly_self_study_hours]]&lt;=5,   "0 - 5", student_scores[[#This Row],[weekly_self_study_hours]]&lt;=10,  "6 - 10", student_scores[[#This Row],[weekly_self_study_hours]]&lt;=20,  "11 - 20",student_scores[[#This Row],[weekly_self_study_hours]]&lt;=30, "21 - 30",TRUE, "31+")</f>
        <v>21 - 30</v>
      </c>
      <c r="U1981" t="str" cm="1">
        <f t="array" ref="U1981">_xlfn.IFS(student_scores[[#This Row],[absence_days]]=0,"0", student_scores[[#This Row],[absence_days]]&lt;=3,"1-3", student_scores[[#This Row],[absence_days]]&lt;=6,"4-6", TRUE,"7-10")</f>
        <v>1-3</v>
      </c>
      <c r="V1981" t="str">
        <f>IF(student_scores[[#This Row],[Total_Score]] &gt;= _xlfn.PERCENTILE.INC(student_scores[Total_Score], 0.8), "Yes", "No")</f>
        <v>No</v>
      </c>
    </row>
    <row r="1982" spans="1:22" x14ac:dyDescent="0.35">
      <c r="A1982">
        <v>1981</v>
      </c>
      <c r="B1982" t="s">
        <v>1687</v>
      </c>
      <c r="C1982" t="s">
        <v>2776</v>
      </c>
      <c r="D1982" t="s">
        <v>3126</v>
      </c>
      <c r="E1982" t="s">
        <v>25</v>
      </c>
      <c r="F1982" t="b">
        <v>0</v>
      </c>
      <c r="G1982">
        <v>2</v>
      </c>
      <c r="H1982" t="b">
        <v>0</v>
      </c>
      <c r="I1982">
        <v>30</v>
      </c>
      <c r="J1982" t="s">
        <v>21</v>
      </c>
      <c r="K1982">
        <v>80</v>
      </c>
      <c r="L1982">
        <v>81</v>
      </c>
      <c r="M1982">
        <v>96</v>
      </c>
      <c r="N1982">
        <v>92</v>
      </c>
      <c r="O1982">
        <v>100</v>
      </c>
      <c r="P1982">
        <v>91</v>
      </c>
      <c r="Q1982">
        <v>87</v>
      </c>
      <c r="R1982">
        <f>SUM(student_scores[[#This Row],[math_score]:[geography_score]])</f>
        <v>627</v>
      </c>
      <c r="S1982" s="3">
        <f>student_scores[[#This Row],[Total_Score]]/7</f>
        <v>89.571428571428569</v>
      </c>
      <c r="T1982" s="3" t="str" cm="1">
        <f t="array" ref="T1982">_xlfn.IFS(student_scores[[#This Row],[weekly_self_study_hours]]&lt;=5,   "0 - 5", student_scores[[#This Row],[weekly_self_study_hours]]&lt;=10,  "6 - 10", student_scores[[#This Row],[weekly_self_study_hours]]&lt;=20,  "11 - 20",student_scores[[#This Row],[weekly_self_study_hours]]&lt;=30, "21 - 30",TRUE, "31+")</f>
        <v>21 - 30</v>
      </c>
      <c r="U1982" t="str" cm="1">
        <f t="array" ref="U1982">_xlfn.IFS(student_scores[[#This Row],[absence_days]]=0,"0", student_scores[[#This Row],[absence_days]]&lt;=3,"1-3", student_scores[[#This Row],[absence_days]]&lt;=6,"4-6", TRUE,"7-10")</f>
        <v>1-3</v>
      </c>
      <c r="V1982" t="str">
        <f>IF(student_scores[[#This Row],[Total_Score]] &gt;= _xlfn.PERCENTILE.INC(student_scores[Total_Score], 0.8), "Yes", "No")</f>
        <v>Yes</v>
      </c>
    </row>
    <row r="1983" spans="1:22" x14ac:dyDescent="0.35">
      <c r="A1983">
        <v>1982</v>
      </c>
      <c r="B1983" t="s">
        <v>2606</v>
      </c>
      <c r="C1983" t="s">
        <v>284</v>
      </c>
      <c r="D1983" t="s">
        <v>3127</v>
      </c>
      <c r="E1983" t="s">
        <v>20</v>
      </c>
      <c r="F1983" t="b">
        <v>0</v>
      </c>
      <c r="G1983">
        <v>5</v>
      </c>
      <c r="H1983" t="b">
        <v>0</v>
      </c>
      <c r="I1983">
        <v>21</v>
      </c>
      <c r="J1983" t="s">
        <v>44</v>
      </c>
      <c r="K1983">
        <v>98</v>
      </c>
      <c r="L1983">
        <v>72</v>
      </c>
      <c r="M1983">
        <v>64</v>
      </c>
      <c r="N1983">
        <v>68</v>
      </c>
      <c r="O1983">
        <v>76</v>
      </c>
      <c r="P1983">
        <v>84</v>
      </c>
      <c r="Q1983">
        <v>72</v>
      </c>
      <c r="R1983">
        <f>SUM(student_scores[[#This Row],[math_score]:[geography_score]])</f>
        <v>534</v>
      </c>
      <c r="S1983" s="3">
        <f>student_scores[[#This Row],[Total_Score]]/7</f>
        <v>76.285714285714292</v>
      </c>
      <c r="T1983" s="3" t="str" cm="1">
        <f t="array" ref="T1983">_xlfn.IFS(student_scores[[#This Row],[weekly_self_study_hours]]&lt;=5,   "0 - 5", student_scores[[#This Row],[weekly_self_study_hours]]&lt;=10,  "6 - 10", student_scores[[#This Row],[weekly_self_study_hours]]&lt;=20,  "11 - 20",student_scores[[#This Row],[weekly_self_study_hours]]&lt;=30, "21 - 30",TRUE, "31+")</f>
        <v>21 - 30</v>
      </c>
      <c r="U1983" t="str" cm="1">
        <f t="array" ref="U1983">_xlfn.IFS(student_scores[[#This Row],[absence_days]]=0,"0", student_scores[[#This Row],[absence_days]]&lt;=3,"1-3", student_scores[[#This Row],[absence_days]]&lt;=6,"4-6", TRUE,"7-10")</f>
        <v>4-6</v>
      </c>
      <c r="V1983" t="str">
        <f>IF(student_scores[[#This Row],[Total_Score]] &gt;= _xlfn.PERCENTILE.INC(student_scores[Total_Score], 0.8), "Yes", "No")</f>
        <v>No</v>
      </c>
    </row>
    <row r="1984" spans="1:22" x14ac:dyDescent="0.35">
      <c r="A1984">
        <v>1983</v>
      </c>
      <c r="B1984" t="s">
        <v>634</v>
      </c>
      <c r="C1984" t="s">
        <v>1975</v>
      </c>
      <c r="D1984" t="s">
        <v>3128</v>
      </c>
      <c r="E1984" t="s">
        <v>25</v>
      </c>
      <c r="F1984" t="b">
        <v>0</v>
      </c>
      <c r="G1984">
        <v>0</v>
      </c>
      <c r="H1984" t="b">
        <v>0</v>
      </c>
      <c r="I1984">
        <v>8</v>
      </c>
      <c r="J1984" t="s">
        <v>54</v>
      </c>
      <c r="K1984">
        <v>83</v>
      </c>
      <c r="L1984">
        <v>91</v>
      </c>
      <c r="M1984">
        <v>69</v>
      </c>
      <c r="N1984">
        <v>74</v>
      </c>
      <c r="O1984">
        <v>98</v>
      </c>
      <c r="P1984">
        <v>86</v>
      </c>
      <c r="Q1984">
        <v>76</v>
      </c>
      <c r="R1984">
        <f>SUM(student_scores[[#This Row],[math_score]:[geography_score]])</f>
        <v>577</v>
      </c>
      <c r="S1984" s="3">
        <f>student_scores[[#This Row],[Total_Score]]/7</f>
        <v>82.428571428571431</v>
      </c>
      <c r="T1984" s="3" t="str" cm="1">
        <f t="array" ref="T1984">_xlfn.IFS(student_scores[[#This Row],[weekly_self_study_hours]]&lt;=5,   "0 - 5", student_scores[[#This Row],[weekly_self_study_hours]]&lt;=10,  "6 - 10", student_scores[[#This Row],[weekly_self_study_hours]]&lt;=20,  "11 - 20",student_scores[[#This Row],[weekly_self_study_hours]]&lt;=30, "21 - 30",TRUE, "31+")</f>
        <v>6 - 10</v>
      </c>
      <c r="U1984" t="str" cm="1">
        <f t="array" ref="U1984">_xlfn.IFS(student_scores[[#This Row],[absence_days]]=0,"0", student_scores[[#This Row],[absence_days]]&lt;=3,"1-3", student_scores[[#This Row],[absence_days]]&lt;=6,"4-6", TRUE,"7-10")</f>
        <v>0</v>
      </c>
      <c r="V1984" t="str">
        <f>IF(student_scores[[#This Row],[Total_Score]] &gt;= _xlfn.PERCENTILE.INC(student_scores[Total_Score], 0.8), "Yes", "No")</f>
        <v>No</v>
      </c>
    </row>
    <row r="1985" spans="1:22" x14ac:dyDescent="0.35">
      <c r="A1985">
        <v>1984</v>
      </c>
      <c r="B1985" t="s">
        <v>1267</v>
      </c>
      <c r="C1985" t="s">
        <v>66</v>
      </c>
      <c r="D1985" t="s">
        <v>3129</v>
      </c>
      <c r="E1985" t="s">
        <v>25</v>
      </c>
      <c r="F1985" t="b">
        <v>0</v>
      </c>
      <c r="G1985">
        <v>2</v>
      </c>
      <c r="H1985" t="b">
        <v>0</v>
      </c>
      <c r="I1985">
        <v>21</v>
      </c>
      <c r="J1985" t="s">
        <v>105</v>
      </c>
      <c r="K1985">
        <v>92</v>
      </c>
      <c r="L1985">
        <v>77</v>
      </c>
      <c r="M1985">
        <v>91</v>
      </c>
      <c r="N1985">
        <v>79</v>
      </c>
      <c r="O1985">
        <v>98</v>
      </c>
      <c r="P1985">
        <v>77</v>
      </c>
      <c r="Q1985">
        <v>87</v>
      </c>
      <c r="R1985">
        <f>SUM(student_scores[[#This Row],[math_score]:[geography_score]])</f>
        <v>601</v>
      </c>
      <c r="S1985" s="3">
        <f>student_scores[[#This Row],[Total_Score]]/7</f>
        <v>85.857142857142861</v>
      </c>
      <c r="T1985" s="3" t="str" cm="1">
        <f t="array" ref="T1985">_xlfn.IFS(student_scores[[#This Row],[weekly_self_study_hours]]&lt;=5,   "0 - 5", student_scores[[#This Row],[weekly_self_study_hours]]&lt;=10,  "6 - 10", student_scores[[#This Row],[weekly_self_study_hours]]&lt;=20,  "11 - 20",student_scores[[#This Row],[weekly_self_study_hours]]&lt;=30, "21 - 30",TRUE, "31+")</f>
        <v>21 - 30</v>
      </c>
      <c r="U1985" t="str" cm="1">
        <f t="array" ref="U1985">_xlfn.IFS(student_scores[[#This Row],[absence_days]]=0,"0", student_scores[[#This Row],[absence_days]]&lt;=3,"1-3", student_scores[[#This Row],[absence_days]]&lt;=6,"4-6", TRUE,"7-10")</f>
        <v>1-3</v>
      </c>
      <c r="V1985" t="str">
        <f>IF(student_scores[[#This Row],[Total_Score]] &gt;= _xlfn.PERCENTILE.INC(student_scores[Total_Score], 0.8), "Yes", "No")</f>
        <v>Yes</v>
      </c>
    </row>
    <row r="1986" spans="1:22" x14ac:dyDescent="0.35">
      <c r="A1986">
        <v>1985</v>
      </c>
      <c r="B1986" t="s">
        <v>331</v>
      </c>
      <c r="C1986" t="s">
        <v>2875</v>
      </c>
      <c r="D1986" t="s">
        <v>3130</v>
      </c>
      <c r="E1986" t="s">
        <v>20</v>
      </c>
      <c r="F1986" t="b">
        <v>1</v>
      </c>
      <c r="G1986">
        <v>3</v>
      </c>
      <c r="H1986" t="b">
        <v>0</v>
      </c>
      <c r="I1986">
        <v>18</v>
      </c>
      <c r="J1986" t="s">
        <v>105</v>
      </c>
      <c r="K1986">
        <v>79</v>
      </c>
      <c r="L1986">
        <v>68</v>
      </c>
      <c r="M1986">
        <v>64</v>
      </c>
      <c r="N1986">
        <v>68</v>
      </c>
      <c r="O1986">
        <v>97</v>
      </c>
      <c r="P1986">
        <v>78</v>
      </c>
      <c r="Q1986">
        <v>84</v>
      </c>
      <c r="R1986">
        <f>SUM(student_scores[[#This Row],[math_score]:[geography_score]])</f>
        <v>538</v>
      </c>
      <c r="S1986" s="3">
        <f>student_scores[[#This Row],[Total_Score]]/7</f>
        <v>76.857142857142861</v>
      </c>
      <c r="T1986" s="3" t="str" cm="1">
        <f t="array" ref="T1986">_xlfn.IFS(student_scores[[#This Row],[weekly_self_study_hours]]&lt;=5,   "0 - 5", student_scores[[#This Row],[weekly_self_study_hours]]&lt;=10,  "6 - 10", student_scores[[#This Row],[weekly_self_study_hours]]&lt;=20,  "11 - 20",student_scores[[#This Row],[weekly_self_study_hours]]&lt;=30, "21 - 30",TRUE, "31+")</f>
        <v>11 - 20</v>
      </c>
      <c r="U1986" t="str" cm="1">
        <f t="array" ref="U1986">_xlfn.IFS(student_scores[[#This Row],[absence_days]]=0,"0", student_scores[[#This Row],[absence_days]]&lt;=3,"1-3", student_scores[[#This Row],[absence_days]]&lt;=6,"4-6", TRUE,"7-10")</f>
        <v>1-3</v>
      </c>
      <c r="V1986" t="str">
        <f>IF(student_scores[[#This Row],[Total_Score]] &gt;= _xlfn.PERCENTILE.INC(student_scores[Total_Score], 0.8), "Yes", "No")</f>
        <v>No</v>
      </c>
    </row>
    <row r="1987" spans="1:22" x14ac:dyDescent="0.35">
      <c r="A1987">
        <v>1986</v>
      </c>
      <c r="B1987" t="s">
        <v>322</v>
      </c>
      <c r="C1987" t="s">
        <v>103</v>
      </c>
      <c r="D1987" t="s">
        <v>3131</v>
      </c>
      <c r="E1987" t="s">
        <v>20</v>
      </c>
      <c r="F1987" t="b">
        <v>0</v>
      </c>
      <c r="G1987">
        <v>4</v>
      </c>
      <c r="H1987" t="b">
        <v>0</v>
      </c>
      <c r="I1987">
        <v>3</v>
      </c>
      <c r="J1987" t="s">
        <v>30</v>
      </c>
      <c r="K1987">
        <v>72</v>
      </c>
      <c r="L1987">
        <v>81</v>
      </c>
      <c r="M1987">
        <v>89</v>
      </c>
      <c r="N1987">
        <v>92</v>
      </c>
      <c r="O1987">
        <v>88</v>
      </c>
      <c r="P1987">
        <v>87</v>
      </c>
      <c r="Q1987">
        <v>82</v>
      </c>
      <c r="R1987">
        <f>SUM(student_scores[[#This Row],[math_score]:[geography_score]])</f>
        <v>591</v>
      </c>
      <c r="S1987" s="3">
        <f>student_scores[[#This Row],[Total_Score]]/7</f>
        <v>84.428571428571431</v>
      </c>
      <c r="T1987" s="3" t="str" cm="1">
        <f t="array" ref="T1987">_xlfn.IFS(student_scores[[#This Row],[weekly_self_study_hours]]&lt;=5,   "0 - 5", student_scores[[#This Row],[weekly_self_study_hours]]&lt;=10,  "6 - 10", student_scores[[#This Row],[weekly_self_study_hours]]&lt;=20,  "11 - 20",student_scores[[#This Row],[weekly_self_study_hours]]&lt;=30, "21 - 30",TRUE, "31+")</f>
        <v>0 - 5</v>
      </c>
      <c r="U1987" t="str" cm="1">
        <f t="array" ref="U1987">_xlfn.IFS(student_scores[[#This Row],[absence_days]]=0,"0", student_scores[[#This Row],[absence_days]]&lt;=3,"1-3", student_scores[[#This Row],[absence_days]]&lt;=6,"4-6", TRUE,"7-10")</f>
        <v>4-6</v>
      </c>
      <c r="V1987" t="str">
        <f>IF(student_scores[[#This Row],[Total_Score]] &gt;= _xlfn.PERCENTILE.INC(student_scores[Total_Score], 0.8), "Yes", "No")</f>
        <v>No</v>
      </c>
    </row>
    <row r="1988" spans="1:22" x14ac:dyDescent="0.35">
      <c r="A1988">
        <v>1987</v>
      </c>
      <c r="B1988" t="s">
        <v>160</v>
      </c>
      <c r="C1988" t="s">
        <v>1755</v>
      </c>
      <c r="D1988" t="s">
        <v>3132</v>
      </c>
      <c r="E1988" t="s">
        <v>20</v>
      </c>
      <c r="F1988" t="b">
        <v>0</v>
      </c>
      <c r="G1988">
        <v>1</v>
      </c>
      <c r="H1988" t="b">
        <v>0</v>
      </c>
      <c r="I1988">
        <v>32</v>
      </c>
      <c r="J1988" t="s">
        <v>26</v>
      </c>
      <c r="K1988">
        <v>89</v>
      </c>
      <c r="L1988">
        <v>74</v>
      </c>
      <c r="M1988">
        <v>94</v>
      </c>
      <c r="N1988">
        <v>87</v>
      </c>
      <c r="O1988">
        <v>92</v>
      </c>
      <c r="P1988">
        <v>82</v>
      </c>
      <c r="Q1988">
        <v>79</v>
      </c>
      <c r="R1988">
        <f>SUM(student_scores[[#This Row],[math_score]:[geography_score]])</f>
        <v>597</v>
      </c>
      <c r="S1988" s="3">
        <f>student_scores[[#This Row],[Total_Score]]/7</f>
        <v>85.285714285714292</v>
      </c>
      <c r="T1988" s="3" t="str" cm="1">
        <f t="array" ref="T1988">_xlfn.IFS(student_scores[[#This Row],[weekly_self_study_hours]]&lt;=5,   "0 - 5", student_scores[[#This Row],[weekly_self_study_hours]]&lt;=10,  "6 - 10", student_scores[[#This Row],[weekly_self_study_hours]]&lt;=20,  "11 - 20",student_scores[[#This Row],[weekly_self_study_hours]]&lt;=30, "21 - 30",TRUE, "31+")</f>
        <v>31+</v>
      </c>
      <c r="U1988" t="str" cm="1">
        <f t="array" ref="U1988">_xlfn.IFS(student_scores[[#This Row],[absence_days]]=0,"0", student_scores[[#This Row],[absence_days]]&lt;=3,"1-3", student_scores[[#This Row],[absence_days]]&lt;=6,"4-6", TRUE,"7-10")</f>
        <v>1-3</v>
      </c>
      <c r="V1988" t="str">
        <f>IF(student_scores[[#This Row],[Total_Score]] &gt;= _xlfn.PERCENTILE.INC(student_scores[Total_Score], 0.8), "Yes", "No")</f>
        <v>No</v>
      </c>
    </row>
    <row r="1989" spans="1:22" x14ac:dyDescent="0.35">
      <c r="A1989">
        <v>1988</v>
      </c>
      <c r="B1989" t="s">
        <v>631</v>
      </c>
      <c r="C1989" t="s">
        <v>2136</v>
      </c>
      <c r="D1989" t="s">
        <v>3133</v>
      </c>
      <c r="E1989" t="s">
        <v>25</v>
      </c>
      <c r="F1989" t="b">
        <v>0</v>
      </c>
      <c r="G1989">
        <v>6</v>
      </c>
      <c r="H1989" t="b">
        <v>0</v>
      </c>
      <c r="I1989">
        <v>8</v>
      </c>
      <c r="J1989" t="s">
        <v>123</v>
      </c>
      <c r="K1989">
        <v>97</v>
      </c>
      <c r="L1989">
        <v>91</v>
      </c>
      <c r="M1989">
        <v>61</v>
      </c>
      <c r="N1989">
        <v>75</v>
      </c>
      <c r="O1989">
        <v>95</v>
      </c>
      <c r="P1989">
        <v>61</v>
      </c>
      <c r="Q1989">
        <v>89</v>
      </c>
      <c r="R1989">
        <f>SUM(student_scores[[#This Row],[math_score]:[geography_score]])</f>
        <v>569</v>
      </c>
      <c r="S1989" s="3">
        <f>student_scores[[#This Row],[Total_Score]]/7</f>
        <v>81.285714285714292</v>
      </c>
      <c r="T1989" s="3" t="str" cm="1">
        <f t="array" ref="T1989">_xlfn.IFS(student_scores[[#This Row],[weekly_self_study_hours]]&lt;=5,   "0 - 5", student_scores[[#This Row],[weekly_self_study_hours]]&lt;=10,  "6 - 10", student_scores[[#This Row],[weekly_self_study_hours]]&lt;=20,  "11 - 20",student_scores[[#This Row],[weekly_self_study_hours]]&lt;=30, "21 - 30",TRUE, "31+")</f>
        <v>6 - 10</v>
      </c>
      <c r="U1989" t="str" cm="1">
        <f t="array" ref="U1989">_xlfn.IFS(student_scores[[#This Row],[absence_days]]=0,"0", student_scores[[#This Row],[absence_days]]&lt;=3,"1-3", student_scores[[#This Row],[absence_days]]&lt;=6,"4-6", TRUE,"7-10")</f>
        <v>4-6</v>
      </c>
      <c r="V1989" t="str">
        <f>IF(student_scores[[#This Row],[Total_Score]] &gt;= _xlfn.PERCENTILE.INC(student_scores[Total_Score], 0.8), "Yes", "No")</f>
        <v>No</v>
      </c>
    </row>
    <row r="1990" spans="1:22" x14ac:dyDescent="0.35">
      <c r="A1990">
        <v>1989</v>
      </c>
      <c r="B1990" t="s">
        <v>263</v>
      </c>
      <c r="C1990" t="s">
        <v>118</v>
      </c>
      <c r="D1990" t="s">
        <v>3134</v>
      </c>
      <c r="E1990" t="s">
        <v>20</v>
      </c>
      <c r="F1990" t="b">
        <v>0</v>
      </c>
      <c r="G1990">
        <v>2</v>
      </c>
      <c r="H1990" t="b">
        <v>0</v>
      </c>
      <c r="I1990">
        <v>3</v>
      </c>
      <c r="J1990" t="s">
        <v>38</v>
      </c>
      <c r="K1990">
        <v>66</v>
      </c>
      <c r="L1990">
        <v>63</v>
      </c>
      <c r="M1990">
        <v>95</v>
      </c>
      <c r="N1990">
        <v>76</v>
      </c>
      <c r="O1990">
        <v>71</v>
      </c>
      <c r="P1990">
        <v>99</v>
      </c>
      <c r="Q1990">
        <v>73</v>
      </c>
      <c r="R1990">
        <f>SUM(student_scores[[#This Row],[math_score]:[geography_score]])</f>
        <v>543</v>
      </c>
      <c r="S1990" s="3">
        <f>student_scores[[#This Row],[Total_Score]]/7</f>
        <v>77.571428571428569</v>
      </c>
      <c r="T1990" s="3" t="str" cm="1">
        <f t="array" ref="T1990">_xlfn.IFS(student_scores[[#This Row],[weekly_self_study_hours]]&lt;=5,   "0 - 5", student_scores[[#This Row],[weekly_self_study_hours]]&lt;=10,  "6 - 10", student_scores[[#This Row],[weekly_self_study_hours]]&lt;=20,  "11 - 20",student_scores[[#This Row],[weekly_self_study_hours]]&lt;=30, "21 - 30",TRUE, "31+")</f>
        <v>0 - 5</v>
      </c>
      <c r="U1990" t="str" cm="1">
        <f t="array" ref="U1990">_xlfn.IFS(student_scores[[#This Row],[absence_days]]=0,"0", student_scores[[#This Row],[absence_days]]&lt;=3,"1-3", student_scores[[#This Row],[absence_days]]&lt;=6,"4-6", TRUE,"7-10")</f>
        <v>1-3</v>
      </c>
      <c r="V1990" t="str">
        <f>IF(student_scores[[#This Row],[Total_Score]] &gt;= _xlfn.PERCENTILE.INC(student_scores[Total_Score], 0.8), "Yes", "No")</f>
        <v>No</v>
      </c>
    </row>
    <row r="1991" spans="1:22" x14ac:dyDescent="0.35">
      <c r="A1991">
        <v>1990</v>
      </c>
      <c r="B1991" t="s">
        <v>830</v>
      </c>
      <c r="C1991" t="s">
        <v>927</v>
      </c>
      <c r="D1991" t="s">
        <v>3135</v>
      </c>
      <c r="E1991" t="s">
        <v>20</v>
      </c>
      <c r="F1991" t="b">
        <v>0</v>
      </c>
      <c r="G1991">
        <v>2</v>
      </c>
      <c r="H1991" t="b">
        <v>0</v>
      </c>
      <c r="I1991">
        <v>17</v>
      </c>
      <c r="J1991" t="s">
        <v>172</v>
      </c>
      <c r="K1991">
        <v>77</v>
      </c>
      <c r="L1991">
        <v>86</v>
      </c>
      <c r="M1991">
        <v>97</v>
      </c>
      <c r="N1991">
        <v>85</v>
      </c>
      <c r="O1991">
        <v>77</v>
      </c>
      <c r="P1991">
        <v>88</v>
      </c>
      <c r="Q1991">
        <v>93</v>
      </c>
      <c r="R1991">
        <f>SUM(student_scores[[#This Row],[math_score]:[geography_score]])</f>
        <v>603</v>
      </c>
      <c r="S1991" s="3">
        <f>student_scores[[#This Row],[Total_Score]]/7</f>
        <v>86.142857142857139</v>
      </c>
      <c r="T1991" s="3" t="str" cm="1">
        <f t="array" ref="T1991">_xlfn.IFS(student_scores[[#This Row],[weekly_self_study_hours]]&lt;=5,   "0 - 5", student_scores[[#This Row],[weekly_self_study_hours]]&lt;=10,  "6 - 10", student_scores[[#This Row],[weekly_self_study_hours]]&lt;=20,  "11 - 20",student_scores[[#This Row],[weekly_self_study_hours]]&lt;=30, "21 - 30",TRUE, "31+")</f>
        <v>11 - 20</v>
      </c>
      <c r="U1991" t="str" cm="1">
        <f t="array" ref="U1991">_xlfn.IFS(student_scores[[#This Row],[absence_days]]=0,"0", student_scores[[#This Row],[absence_days]]&lt;=3,"1-3", student_scores[[#This Row],[absence_days]]&lt;=6,"4-6", TRUE,"7-10")</f>
        <v>1-3</v>
      </c>
      <c r="V1991" t="str">
        <f>IF(student_scores[[#This Row],[Total_Score]] &gt;= _xlfn.PERCENTILE.INC(student_scores[Total_Score], 0.8), "Yes", "No")</f>
        <v>Yes</v>
      </c>
    </row>
    <row r="1992" spans="1:22" x14ac:dyDescent="0.35">
      <c r="A1992">
        <v>1991</v>
      </c>
      <c r="B1992" t="s">
        <v>35</v>
      </c>
      <c r="C1992" t="s">
        <v>429</v>
      </c>
      <c r="D1992" t="s">
        <v>3136</v>
      </c>
      <c r="E1992" t="s">
        <v>20</v>
      </c>
      <c r="F1992" t="b">
        <v>0</v>
      </c>
      <c r="G1992">
        <v>0</v>
      </c>
      <c r="H1992" t="b">
        <v>0</v>
      </c>
      <c r="I1992">
        <v>17</v>
      </c>
      <c r="J1992" t="s">
        <v>44</v>
      </c>
      <c r="K1992">
        <v>98</v>
      </c>
      <c r="L1992">
        <v>63</v>
      </c>
      <c r="M1992">
        <v>64</v>
      </c>
      <c r="N1992">
        <v>82</v>
      </c>
      <c r="O1992">
        <v>64</v>
      </c>
      <c r="P1992">
        <v>96</v>
      </c>
      <c r="Q1992">
        <v>79</v>
      </c>
      <c r="R1992">
        <f>SUM(student_scores[[#This Row],[math_score]:[geography_score]])</f>
        <v>546</v>
      </c>
      <c r="S1992" s="3">
        <f>student_scores[[#This Row],[Total_Score]]/7</f>
        <v>78</v>
      </c>
      <c r="T1992" s="3" t="str" cm="1">
        <f t="array" ref="T1992">_xlfn.IFS(student_scores[[#This Row],[weekly_self_study_hours]]&lt;=5,   "0 - 5", student_scores[[#This Row],[weekly_self_study_hours]]&lt;=10,  "6 - 10", student_scores[[#This Row],[weekly_self_study_hours]]&lt;=20,  "11 - 20",student_scores[[#This Row],[weekly_self_study_hours]]&lt;=30, "21 - 30",TRUE, "31+")</f>
        <v>11 - 20</v>
      </c>
      <c r="U1992" t="str" cm="1">
        <f t="array" ref="U1992">_xlfn.IFS(student_scores[[#This Row],[absence_days]]=0,"0", student_scores[[#This Row],[absence_days]]&lt;=3,"1-3", student_scores[[#This Row],[absence_days]]&lt;=6,"4-6", TRUE,"7-10")</f>
        <v>0</v>
      </c>
      <c r="V1992" t="str">
        <f>IF(student_scores[[#This Row],[Total_Score]] &gt;= _xlfn.PERCENTILE.INC(student_scores[Total_Score], 0.8), "Yes", "No")</f>
        <v>No</v>
      </c>
    </row>
    <row r="1993" spans="1:22" x14ac:dyDescent="0.35">
      <c r="A1993">
        <v>1992</v>
      </c>
      <c r="B1993" t="s">
        <v>2746</v>
      </c>
      <c r="C1993" t="s">
        <v>3137</v>
      </c>
      <c r="D1993" t="s">
        <v>3138</v>
      </c>
      <c r="E1993" t="s">
        <v>25</v>
      </c>
      <c r="F1993" t="b">
        <v>0</v>
      </c>
      <c r="G1993">
        <v>4</v>
      </c>
      <c r="H1993" t="b">
        <v>0</v>
      </c>
      <c r="I1993">
        <v>27</v>
      </c>
      <c r="J1993" t="s">
        <v>21</v>
      </c>
      <c r="K1993">
        <v>88</v>
      </c>
      <c r="L1993">
        <v>96</v>
      </c>
      <c r="M1993">
        <v>79</v>
      </c>
      <c r="N1993">
        <v>70</v>
      </c>
      <c r="O1993">
        <v>95</v>
      </c>
      <c r="P1993">
        <v>90</v>
      </c>
      <c r="Q1993">
        <v>99</v>
      </c>
      <c r="R1993">
        <f>SUM(student_scores[[#This Row],[math_score]:[geography_score]])</f>
        <v>617</v>
      </c>
      <c r="S1993" s="3">
        <f>student_scores[[#This Row],[Total_Score]]/7</f>
        <v>88.142857142857139</v>
      </c>
      <c r="T1993" s="3" t="str" cm="1">
        <f t="array" ref="T1993">_xlfn.IFS(student_scores[[#This Row],[weekly_self_study_hours]]&lt;=5,   "0 - 5", student_scores[[#This Row],[weekly_self_study_hours]]&lt;=10,  "6 - 10", student_scores[[#This Row],[weekly_self_study_hours]]&lt;=20,  "11 - 20",student_scores[[#This Row],[weekly_self_study_hours]]&lt;=30, "21 - 30",TRUE, "31+")</f>
        <v>21 - 30</v>
      </c>
      <c r="U1993" t="str" cm="1">
        <f t="array" ref="U1993">_xlfn.IFS(student_scores[[#This Row],[absence_days]]=0,"0", student_scores[[#This Row],[absence_days]]&lt;=3,"1-3", student_scores[[#This Row],[absence_days]]&lt;=6,"4-6", TRUE,"7-10")</f>
        <v>4-6</v>
      </c>
      <c r="V1993" t="str">
        <f>IF(student_scores[[#This Row],[Total_Score]] &gt;= _xlfn.PERCENTILE.INC(student_scores[Total_Score], 0.8), "Yes", "No")</f>
        <v>Yes</v>
      </c>
    </row>
    <row r="1994" spans="1:22" x14ac:dyDescent="0.35">
      <c r="A1994">
        <v>1993</v>
      </c>
      <c r="B1994" t="s">
        <v>473</v>
      </c>
      <c r="C1994" t="s">
        <v>457</v>
      </c>
      <c r="D1994" t="s">
        <v>3139</v>
      </c>
      <c r="E1994" t="s">
        <v>20</v>
      </c>
      <c r="F1994" t="b">
        <v>0</v>
      </c>
      <c r="G1994">
        <v>2</v>
      </c>
      <c r="H1994" t="b">
        <v>1</v>
      </c>
      <c r="I1994">
        <v>12</v>
      </c>
      <c r="J1994" t="s">
        <v>105</v>
      </c>
      <c r="K1994">
        <v>79</v>
      </c>
      <c r="L1994">
        <v>83</v>
      </c>
      <c r="M1994">
        <v>76</v>
      </c>
      <c r="N1994">
        <v>99</v>
      </c>
      <c r="O1994">
        <v>100</v>
      </c>
      <c r="P1994">
        <v>84</v>
      </c>
      <c r="Q1994">
        <v>71</v>
      </c>
      <c r="R1994">
        <f>SUM(student_scores[[#This Row],[math_score]:[geography_score]])</f>
        <v>592</v>
      </c>
      <c r="S1994" s="3">
        <f>student_scores[[#This Row],[Total_Score]]/7</f>
        <v>84.571428571428569</v>
      </c>
      <c r="T1994" s="3" t="str" cm="1">
        <f t="array" ref="T1994">_xlfn.IFS(student_scores[[#This Row],[weekly_self_study_hours]]&lt;=5,   "0 - 5", student_scores[[#This Row],[weekly_self_study_hours]]&lt;=10,  "6 - 10", student_scores[[#This Row],[weekly_self_study_hours]]&lt;=20,  "11 - 20",student_scores[[#This Row],[weekly_self_study_hours]]&lt;=30, "21 - 30",TRUE, "31+")</f>
        <v>11 - 20</v>
      </c>
      <c r="U1994" t="str" cm="1">
        <f t="array" ref="U1994">_xlfn.IFS(student_scores[[#This Row],[absence_days]]=0,"0", student_scores[[#This Row],[absence_days]]&lt;=3,"1-3", student_scores[[#This Row],[absence_days]]&lt;=6,"4-6", TRUE,"7-10")</f>
        <v>1-3</v>
      </c>
      <c r="V1994" t="str">
        <f>IF(student_scores[[#This Row],[Total_Score]] &gt;= _xlfn.PERCENTILE.INC(student_scores[Total_Score], 0.8), "Yes", "No")</f>
        <v>No</v>
      </c>
    </row>
    <row r="1995" spans="1:22" x14ac:dyDescent="0.35">
      <c r="A1995">
        <v>1994</v>
      </c>
      <c r="B1995" t="s">
        <v>254</v>
      </c>
      <c r="C1995" t="s">
        <v>2843</v>
      </c>
      <c r="D1995" t="s">
        <v>3140</v>
      </c>
      <c r="E1995" t="s">
        <v>20</v>
      </c>
      <c r="F1995" t="b">
        <v>0</v>
      </c>
      <c r="G1995">
        <v>3</v>
      </c>
      <c r="H1995" t="b">
        <v>0</v>
      </c>
      <c r="I1995">
        <v>46</v>
      </c>
      <c r="J1995" t="s">
        <v>26</v>
      </c>
      <c r="K1995">
        <v>92</v>
      </c>
      <c r="L1995">
        <v>92</v>
      </c>
      <c r="M1995">
        <v>91</v>
      </c>
      <c r="N1995">
        <v>95</v>
      </c>
      <c r="O1995">
        <v>88</v>
      </c>
      <c r="P1995">
        <v>94</v>
      </c>
      <c r="Q1995">
        <v>93</v>
      </c>
      <c r="R1995">
        <f>SUM(student_scores[[#This Row],[math_score]:[geography_score]])</f>
        <v>645</v>
      </c>
      <c r="S1995" s="3">
        <f>student_scores[[#This Row],[Total_Score]]/7</f>
        <v>92.142857142857139</v>
      </c>
      <c r="T1995" s="3" t="str" cm="1">
        <f t="array" ref="T1995">_xlfn.IFS(student_scores[[#This Row],[weekly_self_study_hours]]&lt;=5,   "0 - 5", student_scores[[#This Row],[weekly_self_study_hours]]&lt;=10,  "6 - 10", student_scores[[#This Row],[weekly_self_study_hours]]&lt;=20,  "11 - 20",student_scores[[#This Row],[weekly_self_study_hours]]&lt;=30, "21 - 30",TRUE, "31+")</f>
        <v>31+</v>
      </c>
      <c r="U1995" t="str" cm="1">
        <f t="array" ref="U1995">_xlfn.IFS(student_scores[[#This Row],[absence_days]]=0,"0", student_scores[[#This Row],[absence_days]]&lt;=3,"1-3", student_scores[[#This Row],[absence_days]]&lt;=6,"4-6", TRUE,"7-10")</f>
        <v>1-3</v>
      </c>
      <c r="V1995" t="str">
        <f>IF(student_scores[[#This Row],[Total_Score]] &gt;= _xlfn.PERCENTILE.INC(student_scores[Total_Score], 0.8), "Yes", "No")</f>
        <v>Yes</v>
      </c>
    </row>
    <row r="1996" spans="1:22" x14ac:dyDescent="0.35">
      <c r="A1996">
        <v>1995</v>
      </c>
      <c r="B1996" t="s">
        <v>221</v>
      </c>
      <c r="C1996" t="s">
        <v>209</v>
      </c>
      <c r="D1996" t="s">
        <v>3141</v>
      </c>
      <c r="E1996" t="s">
        <v>20</v>
      </c>
      <c r="F1996" t="b">
        <v>0</v>
      </c>
      <c r="G1996">
        <v>1</v>
      </c>
      <c r="H1996" t="b">
        <v>0</v>
      </c>
      <c r="I1996">
        <v>19</v>
      </c>
      <c r="J1996" t="s">
        <v>113</v>
      </c>
      <c r="K1996">
        <v>76</v>
      </c>
      <c r="L1996">
        <v>62</v>
      </c>
      <c r="M1996">
        <v>90</v>
      </c>
      <c r="N1996">
        <v>82</v>
      </c>
      <c r="O1996">
        <v>93</v>
      </c>
      <c r="P1996">
        <v>71</v>
      </c>
      <c r="Q1996">
        <v>61</v>
      </c>
      <c r="R1996">
        <f>SUM(student_scores[[#This Row],[math_score]:[geography_score]])</f>
        <v>535</v>
      </c>
      <c r="S1996" s="3">
        <f>student_scores[[#This Row],[Total_Score]]/7</f>
        <v>76.428571428571431</v>
      </c>
      <c r="T1996" s="3" t="str" cm="1">
        <f t="array" ref="T1996">_xlfn.IFS(student_scores[[#This Row],[weekly_self_study_hours]]&lt;=5,   "0 - 5", student_scores[[#This Row],[weekly_self_study_hours]]&lt;=10,  "6 - 10", student_scores[[#This Row],[weekly_self_study_hours]]&lt;=20,  "11 - 20",student_scores[[#This Row],[weekly_self_study_hours]]&lt;=30, "21 - 30",TRUE, "31+")</f>
        <v>11 - 20</v>
      </c>
      <c r="U1996" t="str" cm="1">
        <f t="array" ref="U1996">_xlfn.IFS(student_scores[[#This Row],[absence_days]]=0,"0", student_scores[[#This Row],[absence_days]]&lt;=3,"1-3", student_scores[[#This Row],[absence_days]]&lt;=6,"4-6", TRUE,"7-10")</f>
        <v>1-3</v>
      </c>
      <c r="V1996" t="str">
        <f>IF(student_scores[[#This Row],[Total_Score]] &gt;= _xlfn.PERCENTILE.INC(student_scores[Total_Score], 0.8), "Yes", "No")</f>
        <v>No</v>
      </c>
    </row>
    <row r="1997" spans="1:22" x14ac:dyDescent="0.35">
      <c r="A1997">
        <v>1996</v>
      </c>
      <c r="B1997" t="s">
        <v>2122</v>
      </c>
      <c r="C1997" t="s">
        <v>1601</v>
      </c>
      <c r="D1997" t="s">
        <v>3142</v>
      </c>
      <c r="E1997" t="s">
        <v>20</v>
      </c>
      <c r="F1997" t="b">
        <v>0</v>
      </c>
      <c r="G1997">
        <v>2</v>
      </c>
      <c r="H1997" t="b">
        <v>0</v>
      </c>
      <c r="I1997">
        <v>30</v>
      </c>
      <c r="J1997" t="s">
        <v>138</v>
      </c>
      <c r="K1997">
        <v>83</v>
      </c>
      <c r="L1997">
        <v>77</v>
      </c>
      <c r="M1997">
        <v>84</v>
      </c>
      <c r="N1997">
        <v>73</v>
      </c>
      <c r="O1997">
        <v>75</v>
      </c>
      <c r="P1997">
        <v>84</v>
      </c>
      <c r="Q1997">
        <v>82</v>
      </c>
      <c r="R1997">
        <f>SUM(student_scores[[#This Row],[math_score]:[geography_score]])</f>
        <v>558</v>
      </c>
      <c r="S1997" s="3">
        <f>student_scores[[#This Row],[Total_Score]]/7</f>
        <v>79.714285714285708</v>
      </c>
      <c r="T1997" s="3" t="str" cm="1">
        <f t="array" ref="T1997">_xlfn.IFS(student_scores[[#This Row],[weekly_self_study_hours]]&lt;=5,   "0 - 5", student_scores[[#This Row],[weekly_self_study_hours]]&lt;=10,  "6 - 10", student_scores[[#This Row],[weekly_self_study_hours]]&lt;=20,  "11 - 20",student_scores[[#This Row],[weekly_self_study_hours]]&lt;=30, "21 - 30",TRUE, "31+")</f>
        <v>21 - 30</v>
      </c>
      <c r="U1997" t="str" cm="1">
        <f t="array" ref="U1997">_xlfn.IFS(student_scores[[#This Row],[absence_days]]=0,"0", student_scores[[#This Row],[absence_days]]&lt;=3,"1-3", student_scores[[#This Row],[absence_days]]&lt;=6,"4-6", TRUE,"7-10")</f>
        <v>1-3</v>
      </c>
      <c r="V1997" t="str">
        <f>IF(student_scores[[#This Row],[Total_Score]] &gt;= _xlfn.PERCENTILE.INC(student_scores[Total_Score], 0.8), "Yes", "No")</f>
        <v>No</v>
      </c>
    </row>
    <row r="1998" spans="1:22" x14ac:dyDescent="0.35">
      <c r="A1998">
        <v>1997</v>
      </c>
      <c r="B1998" t="s">
        <v>300</v>
      </c>
      <c r="C1998" t="s">
        <v>1975</v>
      </c>
      <c r="D1998" t="s">
        <v>3143</v>
      </c>
      <c r="E1998" t="s">
        <v>20</v>
      </c>
      <c r="F1998" t="b">
        <v>0</v>
      </c>
      <c r="G1998">
        <v>2</v>
      </c>
      <c r="H1998" t="b">
        <v>0</v>
      </c>
      <c r="I1998">
        <v>20</v>
      </c>
      <c r="J1998" t="s">
        <v>44</v>
      </c>
      <c r="K1998">
        <v>89</v>
      </c>
      <c r="L1998">
        <v>65</v>
      </c>
      <c r="M1998">
        <v>73</v>
      </c>
      <c r="N1998">
        <v>80</v>
      </c>
      <c r="O1998">
        <v>87</v>
      </c>
      <c r="P1998">
        <v>67</v>
      </c>
      <c r="Q1998">
        <v>73</v>
      </c>
      <c r="R1998">
        <f>SUM(student_scores[[#This Row],[math_score]:[geography_score]])</f>
        <v>534</v>
      </c>
      <c r="S1998" s="3">
        <f>student_scores[[#This Row],[Total_Score]]/7</f>
        <v>76.285714285714292</v>
      </c>
      <c r="T1998" s="3" t="str" cm="1">
        <f t="array" ref="T1998">_xlfn.IFS(student_scores[[#This Row],[weekly_self_study_hours]]&lt;=5,   "0 - 5", student_scores[[#This Row],[weekly_self_study_hours]]&lt;=10,  "6 - 10", student_scores[[#This Row],[weekly_self_study_hours]]&lt;=20,  "11 - 20",student_scores[[#This Row],[weekly_self_study_hours]]&lt;=30, "21 - 30",TRUE, "31+")</f>
        <v>11 - 20</v>
      </c>
      <c r="U1998" t="str" cm="1">
        <f t="array" ref="U1998">_xlfn.IFS(student_scores[[#This Row],[absence_days]]=0,"0", student_scores[[#This Row],[absence_days]]&lt;=3,"1-3", student_scores[[#This Row],[absence_days]]&lt;=6,"4-6", TRUE,"7-10")</f>
        <v>1-3</v>
      </c>
      <c r="V1998" t="str">
        <f>IF(student_scores[[#This Row],[Total_Score]] &gt;= _xlfn.PERCENTILE.INC(student_scores[Total_Score], 0.8), "Yes", "No")</f>
        <v>No</v>
      </c>
    </row>
    <row r="1999" spans="1:22" x14ac:dyDescent="0.35">
      <c r="A1999">
        <v>1998</v>
      </c>
      <c r="B1999" t="s">
        <v>1046</v>
      </c>
      <c r="C1999" t="s">
        <v>3144</v>
      </c>
      <c r="D1999" t="s">
        <v>3145</v>
      </c>
      <c r="E1999" t="s">
        <v>25</v>
      </c>
      <c r="F1999" t="b">
        <v>0</v>
      </c>
      <c r="G1999">
        <v>5</v>
      </c>
      <c r="H1999" t="b">
        <v>0</v>
      </c>
      <c r="I1999">
        <v>14</v>
      </c>
      <c r="J1999" t="s">
        <v>44</v>
      </c>
      <c r="K1999">
        <v>97</v>
      </c>
      <c r="L1999">
        <v>85</v>
      </c>
      <c r="M1999">
        <v>63</v>
      </c>
      <c r="N1999">
        <v>93</v>
      </c>
      <c r="O1999">
        <v>68</v>
      </c>
      <c r="P1999">
        <v>94</v>
      </c>
      <c r="Q1999">
        <v>78</v>
      </c>
      <c r="R1999">
        <f>SUM(student_scores[[#This Row],[math_score]:[geography_score]])</f>
        <v>578</v>
      </c>
      <c r="S1999" s="3">
        <f>student_scores[[#This Row],[Total_Score]]/7</f>
        <v>82.571428571428569</v>
      </c>
      <c r="T1999" s="3" t="str" cm="1">
        <f t="array" ref="T1999">_xlfn.IFS(student_scores[[#This Row],[weekly_self_study_hours]]&lt;=5,   "0 - 5", student_scores[[#This Row],[weekly_self_study_hours]]&lt;=10,  "6 - 10", student_scores[[#This Row],[weekly_self_study_hours]]&lt;=20,  "11 - 20",student_scores[[#This Row],[weekly_self_study_hours]]&lt;=30, "21 - 30",TRUE, "31+")</f>
        <v>11 - 20</v>
      </c>
      <c r="U1999" t="str" cm="1">
        <f t="array" ref="U1999">_xlfn.IFS(student_scores[[#This Row],[absence_days]]=0,"0", student_scores[[#This Row],[absence_days]]&lt;=3,"1-3", student_scores[[#This Row],[absence_days]]&lt;=6,"4-6", TRUE,"7-10")</f>
        <v>4-6</v>
      </c>
      <c r="V1999" t="str">
        <f>IF(student_scores[[#This Row],[Total_Score]] &gt;= _xlfn.PERCENTILE.INC(student_scores[Total_Score], 0.8), "Yes", "No")</f>
        <v>No</v>
      </c>
    </row>
    <row r="2000" spans="1:22" x14ac:dyDescent="0.35">
      <c r="A2000">
        <v>1999</v>
      </c>
      <c r="B2000" t="s">
        <v>205</v>
      </c>
      <c r="C2000" t="s">
        <v>2704</v>
      </c>
      <c r="D2000" t="s">
        <v>3146</v>
      </c>
      <c r="E2000" t="s">
        <v>25</v>
      </c>
      <c r="F2000" t="b">
        <v>1</v>
      </c>
      <c r="G2000">
        <v>10</v>
      </c>
      <c r="H2000" t="b">
        <v>1</v>
      </c>
      <c r="I2000">
        <v>5</v>
      </c>
      <c r="J2000" t="s">
        <v>64</v>
      </c>
      <c r="K2000">
        <v>51</v>
      </c>
      <c r="L2000">
        <v>96</v>
      </c>
      <c r="M2000">
        <v>72</v>
      </c>
      <c r="N2000">
        <v>89</v>
      </c>
      <c r="O2000">
        <v>95</v>
      </c>
      <c r="P2000">
        <v>88</v>
      </c>
      <c r="Q2000">
        <v>75</v>
      </c>
      <c r="R2000">
        <f>SUM(student_scores[[#This Row],[math_score]:[geography_score]])</f>
        <v>566</v>
      </c>
      <c r="S2000" s="3">
        <f>student_scores[[#This Row],[Total_Score]]/7</f>
        <v>80.857142857142861</v>
      </c>
      <c r="T2000" s="3" t="str" cm="1">
        <f t="array" ref="T2000">_xlfn.IFS(student_scores[[#This Row],[weekly_self_study_hours]]&lt;=5,   "0 - 5", student_scores[[#This Row],[weekly_self_study_hours]]&lt;=10,  "6 - 10", student_scores[[#This Row],[weekly_self_study_hours]]&lt;=20,  "11 - 20",student_scores[[#This Row],[weekly_self_study_hours]]&lt;=30, "21 - 30",TRUE, "31+")</f>
        <v>0 - 5</v>
      </c>
      <c r="U2000" t="str" cm="1">
        <f t="array" ref="U2000">_xlfn.IFS(student_scores[[#This Row],[absence_days]]=0,"0", student_scores[[#This Row],[absence_days]]&lt;=3,"1-3", student_scores[[#This Row],[absence_days]]&lt;=6,"4-6", TRUE,"7-10")</f>
        <v>7-10</v>
      </c>
      <c r="V2000" t="str">
        <f>IF(student_scores[[#This Row],[Total_Score]] &gt;= _xlfn.PERCENTILE.INC(student_scores[Total_Score], 0.8), "Yes", "No")</f>
        <v>No</v>
      </c>
    </row>
    <row r="2001" spans="1:22" x14ac:dyDescent="0.35">
      <c r="A2001">
        <v>2000</v>
      </c>
      <c r="B2001" t="s">
        <v>291</v>
      </c>
      <c r="C2001" t="s">
        <v>42</v>
      </c>
      <c r="D2001" t="s">
        <v>3147</v>
      </c>
      <c r="E2001" t="s">
        <v>25</v>
      </c>
      <c r="F2001" t="b">
        <v>0</v>
      </c>
      <c r="G2001">
        <v>5</v>
      </c>
      <c r="H2001" t="b">
        <v>0</v>
      </c>
      <c r="I2001">
        <v>27</v>
      </c>
      <c r="J2001" t="s">
        <v>113</v>
      </c>
      <c r="K2001">
        <v>82</v>
      </c>
      <c r="L2001">
        <v>99</v>
      </c>
      <c r="M2001">
        <v>91</v>
      </c>
      <c r="N2001">
        <v>69</v>
      </c>
      <c r="O2001">
        <v>83</v>
      </c>
      <c r="P2001">
        <v>93</v>
      </c>
      <c r="Q2001">
        <v>100</v>
      </c>
      <c r="R2001">
        <f>SUM(student_scores[[#This Row],[math_score]:[geography_score]])</f>
        <v>617</v>
      </c>
      <c r="S2001" s="3">
        <f>student_scores[[#This Row],[Total_Score]]/7</f>
        <v>88.142857142857139</v>
      </c>
      <c r="T2001" s="3" t="str" cm="1">
        <f t="array" ref="T2001">_xlfn.IFS(student_scores[[#This Row],[weekly_self_study_hours]]&lt;=5,   "0 - 5", student_scores[[#This Row],[weekly_self_study_hours]]&lt;=10,  "6 - 10", student_scores[[#This Row],[weekly_self_study_hours]]&lt;=20,  "11 - 20",student_scores[[#This Row],[weekly_self_study_hours]]&lt;=30, "21 - 30",TRUE, "31+")</f>
        <v>21 - 30</v>
      </c>
      <c r="U2001" t="str" cm="1">
        <f t="array" ref="U2001">_xlfn.IFS(student_scores[[#This Row],[absence_days]]=0,"0", student_scores[[#This Row],[absence_days]]&lt;=3,"1-3", student_scores[[#This Row],[absence_days]]&lt;=6,"4-6", TRUE,"7-10")</f>
        <v>4-6</v>
      </c>
      <c r="V2001" t="str">
        <f>IF(student_scores[[#This Row],[Total_Score]] &gt;= _xlfn.PERCENTILE.INC(student_scores[Total_Score], 0.8), "Yes", "No")</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D9EFE-CF2C-4F33-8019-1F9DADB8A825}">
  <dimension ref="A1:U56"/>
  <sheetViews>
    <sheetView topLeftCell="A202" zoomScale="61" zoomScaleNormal="100" workbookViewId="0">
      <selection activeCell="O86" sqref="O86"/>
    </sheetView>
  </sheetViews>
  <sheetFormatPr defaultRowHeight="14.5" x14ac:dyDescent="0.35"/>
  <cols>
    <col min="1" max="1" width="19.36328125" bestFit="1" customWidth="1"/>
    <col min="2" max="2" width="18.90625" bestFit="1" customWidth="1"/>
    <col min="3" max="3" width="10.08984375" bestFit="1" customWidth="1"/>
    <col min="4" max="4" width="25.1796875" bestFit="1" customWidth="1"/>
    <col min="5" max="5" width="19.36328125" bestFit="1" customWidth="1"/>
    <col min="6" max="6" width="18" bestFit="1" customWidth="1"/>
    <col min="7" max="7" width="19.90625" bestFit="1" customWidth="1"/>
    <col min="8" max="9" width="13.81640625" bestFit="1" customWidth="1"/>
    <col min="10" max="10" width="18" bestFit="1" customWidth="1"/>
    <col min="11" max="11" width="18.90625" bestFit="1" customWidth="1"/>
    <col min="12" max="12" width="21.7265625" bestFit="1" customWidth="1"/>
    <col min="13" max="13" width="13.81640625" bestFit="1" customWidth="1"/>
    <col min="14" max="14" width="18.90625" bestFit="1" customWidth="1"/>
    <col min="15" max="15" width="20.26953125" bestFit="1" customWidth="1"/>
    <col min="16" max="16" width="21.7265625" bestFit="1" customWidth="1"/>
    <col min="17" max="17" width="21.90625" bestFit="1" customWidth="1"/>
    <col min="18" max="18" width="24.08984375" bestFit="1" customWidth="1"/>
    <col min="19" max="19" width="21.90625" bestFit="1" customWidth="1"/>
    <col min="20" max="20" width="21.7265625" bestFit="1" customWidth="1"/>
    <col min="21" max="21" width="24.6328125" bestFit="1" customWidth="1"/>
  </cols>
  <sheetData>
    <row r="1" spans="1:21" x14ac:dyDescent="0.35">
      <c r="A1" s="12" t="s">
        <v>3150</v>
      </c>
      <c r="B1" s="12"/>
      <c r="C1" s="12"/>
      <c r="D1" s="12"/>
      <c r="F1" s="12" t="s">
        <v>3159</v>
      </c>
      <c r="G1" s="12"/>
      <c r="H1" s="12"/>
      <c r="I1" s="12"/>
      <c r="J1" s="12"/>
      <c r="K1" s="12"/>
      <c r="L1" s="12"/>
      <c r="M1" s="12"/>
    </row>
    <row r="2" spans="1:21" s="5" customFormat="1" ht="43.5" x14ac:dyDescent="0.35">
      <c r="A2" s="4" t="s">
        <v>3148</v>
      </c>
      <c r="B2" s="5" t="s">
        <v>3157</v>
      </c>
      <c r="C2" s="5" t="s">
        <v>3156</v>
      </c>
      <c r="D2" s="5" t="s">
        <v>3158</v>
      </c>
      <c r="F2" s="4" t="s">
        <v>3148</v>
      </c>
      <c r="G2" s="5" t="s">
        <v>3160</v>
      </c>
      <c r="H2" s="5" t="s">
        <v>3161</v>
      </c>
      <c r="I2" s="5" t="s">
        <v>3162</v>
      </c>
      <c r="J2" s="5" t="s">
        <v>3163</v>
      </c>
      <c r="K2" s="5" t="s">
        <v>3164</v>
      </c>
      <c r="L2" s="5" t="s">
        <v>3165</v>
      </c>
      <c r="M2" s="5" t="s">
        <v>3166</v>
      </c>
    </row>
    <row r="3" spans="1:21" x14ac:dyDescent="0.35">
      <c r="A3" s="2" t="s">
        <v>25</v>
      </c>
      <c r="B3" s="3">
        <v>80.894069004847424</v>
      </c>
      <c r="C3" s="14">
        <v>1002</v>
      </c>
      <c r="D3" s="14">
        <v>566.25848303393218</v>
      </c>
      <c r="F3" s="2" t="s">
        <v>25</v>
      </c>
      <c r="G3" s="14">
        <v>82.792415169660686</v>
      </c>
      <c r="H3" s="14">
        <v>80.495009980039924</v>
      </c>
      <c r="I3" s="14">
        <v>80.678642714570856</v>
      </c>
      <c r="J3" s="14">
        <v>80.382235528942118</v>
      </c>
      <c r="K3" s="14">
        <v>79.21656686626747</v>
      </c>
      <c r="L3" s="14">
        <v>81.740518962075853</v>
      </c>
      <c r="M3" s="14">
        <v>80.953093812375243</v>
      </c>
    </row>
    <row r="4" spans="1:21" x14ac:dyDescent="0.35">
      <c r="A4" s="2" t="s">
        <v>20</v>
      </c>
      <c r="B4" s="3">
        <v>81.066991125107236</v>
      </c>
      <c r="C4" s="14">
        <v>998</v>
      </c>
      <c r="D4" s="14">
        <v>567.46893787575152</v>
      </c>
      <c r="F4" s="2" t="s">
        <v>20</v>
      </c>
      <c r="G4" s="14">
        <v>84.114228456913821</v>
      </c>
      <c r="H4" s="14">
        <v>80.168336673346687</v>
      </c>
      <c r="I4" s="14">
        <v>81.996993987975955</v>
      </c>
      <c r="J4" s="14">
        <v>79.606212424849701</v>
      </c>
      <c r="K4" s="14">
        <v>79.947895791583164</v>
      </c>
      <c r="L4" s="14">
        <v>80.812625250501</v>
      </c>
      <c r="M4" s="14">
        <v>80.822645290581164</v>
      </c>
    </row>
    <row r="5" spans="1:21" x14ac:dyDescent="0.35">
      <c r="A5" s="2" t="s">
        <v>3149</v>
      </c>
      <c r="B5" s="3">
        <v>80.980357142857301</v>
      </c>
      <c r="C5" s="14">
        <v>2000</v>
      </c>
      <c r="D5" s="14">
        <v>566.86249999999995</v>
      </c>
      <c r="F5" s="2" t="s">
        <v>3149</v>
      </c>
      <c r="G5" s="14">
        <v>83.451999999999998</v>
      </c>
      <c r="H5" s="14">
        <v>80.331999999999994</v>
      </c>
      <c r="I5" s="14">
        <v>81.336500000000001</v>
      </c>
      <c r="J5" s="14">
        <v>79.995000000000005</v>
      </c>
      <c r="K5" s="14">
        <v>79.581500000000005</v>
      </c>
      <c r="L5" s="14">
        <v>81.277500000000003</v>
      </c>
      <c r="M5" s="14">
        <v>80.888000000000005</v>
      </c>
    </row>
    <row r="7" spans="1:21" x14ac:dyDescent="0.35">
      <c r="A7" s="12" t="s">
        <v>3167</v>
      </c>
      <c r="B7" s="12"/>
      <c r="C7" s="12"/>
      <c r="E7" s="13" t="s">
        <v>3168</v>
      </c>
      <c r="F7" s="13"/>
      <c r="G7" s="13"/>
      <c r="I7" s="13" t="s">
        <v>3169</v>
      </c>
      <c r="J7" s="13"/>
      <c r="K7" s="13"/>
      <c r="M7" s="13" t="s">
        <v>3173</v>
      </c>
      <c r="N7" s="13"/>
      <c r="O7" s="13"/>
      <c r="P7" s="13"/>
      <c r="Q7" s="13"/>
      <c r="R7" s="13"/>
      <c r="S7" s="13"/>
      <c r="T7" s="13"/>
      <c r="U7" s="13"/>
    </row>
    <row r="8" spans="1:21" s="5" customFormat="1" ht="29" x14ac:dyDescent="0.35">
      <c r="A8" s="4" t="s">
        <v>3148</v>
      </c>
      <c r="B8" s="5" t="s">
        <v>3157</v>
      </c>
      <c r="C8" s="5" t="s">
        <v>3156</v>
      </c>
      <c r="E8" s="4" t="s">
        <v>3148</v>
      </c>
      <c r="F8" s="5" t="s">
        <v>3156</v>
      </c>
      <c r="G8" s="5" t="s">
        <v>3158</v>
      </c>
      <c r="I8" s="4" t="s">
        <v>3148</v>
      </c>
      <c r="J8" s="5" t="s">
        <v>3156</v>
      </c>
      <c r="K8" s="5" t="s">
        <v>3157</v>
      </c>
      <c r="M8" s="1" t="s">
        <v>3148</v>
      </c>
      <c r="N8" s="5" t="s">
        <v>3157</v>
      </c>
      <c r="O8" s="5" t="s">
        <v>3160</v>
      </c>
      <c r="P8" s="5" t="s">
        <v>3161</v>
      </c>
      <c r="Q8" s="5" t="s">
        <v>3162</v>
      </c>
      <c r="R8" s="5" t="s">
        <v>3163</v>
      </c>
      <c r="S8" s="5" t="s">
        <v>3164</v>
      </c>
      <c r="T8" s="5" t="s">
        <v>3165</v>
      </c>
      <c r="U8" s="5" t="s">
        <v>3166</v>
      </c>
    </row>
    <row r="9" spans="1:21" x14ac:dyDescent="0.35">
      <c r="A9" s="2" t="s">
        <v>113</v>
      </c>
      <c r="B9" s="3">
        <v>79.204081632653001</v>
      </c>
      <c r="C9" s="14">
        <v>126</v>
      </c>
      <c r="E9" s="2" t="s">
        <v>109</v>
      </c>
      <c r="F9" s="14">
        <v>32</v>
      </c>
      <c r="G9" s="14">
        <v>588.375</v>
      </c>
      <c r="I9" s="2" t="s">
        <v>3195</v>
      </c>
      <c r="J9" s="14">
        <v>546</v>
      </c>
      <c r="K9" s="3">
        <v>77.09576138147564</v>
      </c>
      <c r="M9" s="2" t="s">
        <v>3174</v>
      </c>
      <c r="N9" s="3">
        <v>81.616724738675956</v>
      </c>
      <c r="O9" s="14">
        <v>85.934959349593498</v>
      </c>
      <c r="P9" s="14">
        <v>81.463414634146346</v>
      </c>
      <c r="Q9" s="14">
        <v>82.162601626016254</v>
      </c>
      <c r="R9" s="14">
        <v>80.203252032520325</v>
      </c>
      <c r="S9" s="14">
        <v>78.869918699186996</v>
      </c>
      <c r="T9" s="14">
        <v>80.292682926829272</v>
      </c>
      <c r="U9" s="14">
        <v>82.390243902439025</v>
      </c>
    </row>
    <row r="10" spans="1:21" x14ac:dyDescent="0.35">
      <c r="A10" s="2" t="s">
        <v>34</v>
      </c>
      <c r="B10" s="3">
        <v>80.665245202558623</v>
      </c>
      <c r="C10" s="14">
        <v>67</v>
      </c>
      <c r="E10" s="2" t="s">
        <v>38</v>
      </c>
      <c r="F10" s="14">
        <v>223</v>
      </c>
      <c r="G10" s="14">
        <v>559.15246636771303</v>
      </c>
      <c r="I10" s="2" t="s">
        <v>3170</v>
      </c>
      <c r="J10" s="14">
        <v>426</v>
      </c>
      <c r="K10" s="3">
        <v>80.980885311871219</v>
      </c>
      <c r="M10" s="2" t="s">
        <v>3175</v>
      </c>
      <c r="N10" s="3">
        <v>82.032321253672833</v>
      </c>
      <c r="O10" s="14">
        <v>85.373163565132216</v>
      </c>
      <c r="P10" s="14">
        <v>81.407443682664052</v>
      </c>
      <c r="Q10" s="14">
        <v>82.694417238001961</v>
      </c>
      <c r="R10" s="14">
        <v>80.846229187071501</v>
      </c>
      <c r="S10" s="14">
        <v>80.889324191968655</v>
      </c>
      <c r="T10" s="14">
        <v>82.339862879529875</v>
      </c>
      <c r="U10" s="14">
        <v>80.675808031341816</v>
      </c>
    </row>
    <row r="11" spans="1:21" x14ac:dyDescent="0.35">
      <c r="A11" s="2" t="s">
        <v>105</v>
      </c>
      <c r="B11" s="3">
        <v>81.868977176669532</v>
      </c>
      <c r="C11" s="14">
        <v>169</v>
      </c>
      <c r="E11" s="2" t="s">
        <v>54</v>
      </c>
      <c r="F11" s="14">
        <v>59</v>
      </c>
      <c r="G11" s="14">
        <v>564.23728813559319</v>
      </c>
      <c r="I11" s="2" t="s">
        <v>3171</v>
      </c>
      <c r="J11" s="14">
        <v>527</v>
      </c>
      <c r="K11" s="3">
        <v>81.795879642179386</v>
      </c>
      <c r="M11" s="2" t="s">
        <v>3176</v>
      </c>
      <c r="N11" s="3">
        <v>80.630616088243215</v>
      </c>
      <c r="O11" s="14">
        <v>83.37099811676083</v>
      </c>
      <c r="P11" s="14">
        <v>80.225988700564969</v>
      </c>
      <c r="Q11" s="14">
        <v>80.225988700564969</v>
      </c>
      <c r="R11" s="14">
        <v>79.920903954802256</v>
      </c>
      <c r="S11" s="14">
        <v>78.531073446327682</v>
      </c>
      <c r="T11" s="14">
        <v>80.990583804143128</v>
      </c>
      <c r="U11" s="14">
        <v>81.148775894538602</v>
      </c>
    </row>
    <row r="12" spans="1:21" x14ac:dyDescent="0.35">
      <c r="A12" s="2" t="s">
        <v>64</v>
      </c>
      <c r="B12" s="3">
        <v>74.483587609801191</v>
      </c>
      <c r="C12" s="14">
        <v>309</v>
      </c>
      <c r="E12" s="2" t="s">
        <v>172</v>
      </c>
      <c r="F12" s="14">
        <v>73</v>
      </c>
      <c r="G12" s="14">
        <v>570.2602739726027</v>
      </c>
      <c r="I12" s="2" t="s">
        <v>3172</v>
      </c>
      <c r="J12" s="14">
        <v>372</v>
      </c>
      <c r="K12" s="3">
        <v>85.872887864823326</v>
      </c>
      <c r="M12" s="2" t="s">
        <v>3177</v>
      </c>
      <c r="N12" s="3">
        <v>78.00615384615385</v>
      </c>
      <c r="O12" s="14">
        <v>76.609230769230763</v>
      </c>
      <c r="P12" s="14">
        <v>76.698461538461544</v>
      </c>
      <c r="Q12" s="14">
        <v>78.572307692307689</v>
      </c>
      <c r="R12" s="14">
        <v>77.363076923076918</v>
      </c>
      <c r="S12" s="14">
        <v>77.458461538461535</v>
      </c>
      <c r="T12" s="14">
        <v>78.78153846153846</v>
      </c>
      <c r="U12" s="14">
        <v>80.56</v>
      </c>
    </row>
    <row r="13" spans="1:21" x14ac:dyDescent="0.35">
      <c r="A13" s="2" t="s">
        <v>138</v>
      </c>
      <c r="B13" s="3">
        <v>83.470588235294088</v>
      </c>
      <c r="C13" s="14">
        <v>68</v>
      </c>
      <c r="E13" s="2" t="s">
        <v>44</v>
      </c>
      <c r="F13" s="14">
        <v>315</v>
      </c>
      <c r="G13" s="14">
        <v>575.50476190476195</v>
      </c>
      <c r="I13" s="2" t="s">
        <v>3196</v>
      </c>
      <c r="J13" s="14">
        <v>129</v>
      </c>
      <c r="K13" s="3">
        <v>79.980066445182715</v>
      </c>
      <c r="M13" s="2" t="s">
        <v>3149</v>
      </c>
      <c r="N13" s="3">
        <v>80.980357142857159</v>
      </c>
      <c r="O13" s="14">
        <v>83.451999999999998</v>
      </c>
      <c r="P13" s="14">
        <v>80.331999999999994</v>
      </c>
      <c r="Q13" s="14">
        <v>81.336500000000001</v>
      </c>
      <c r="R13" s="14">
        <v>79.995000000000005</v>
      </c>
      <c r="S13" s="14">
        <v>79.581500000000005</v>
      </c>
      <c r="T13" s="14">
        <v>81.277500000000003</v>
      </c>
      <c r="U13" s="14">
        <v>80.888000000000005</v>
      </c>
    </row>
    <row r="14" spans="1:21" x14ac:dyDescent="0.35">
      <c r="A14" s="2" t="s">
        <v>123</v>
      </c>
      <c r="B14" s="3">
        <v>82.405612244897981</v>
      </c>
      <c r="C14" s="14">
        <v>56</v>
      </c>
      <c r="E14" s="2" t="s">
        <v>76</v>
      </c>
      <c r="F14" s="14">
        <v>39</v>
      </c>
      <c r="G14" s="14">
        <v>605.0512820512821</v>
      </c>
      <c r="I14" s="2" t="s">
        <v>3149</v>
      </c>
      <c r="J14" s="14">
        <v>2000</v>
      </c>
      <c r="K14" s="3">
        <v>80.980357142857144</v>
      </c>
    </row>
    <row r="15" spans="1:21" x14ac:dyDescent="0.35">
      <c r="A15" s="2" t="s">
        <v>26</v>
      </c>
      <c r="B15" s="3">
        <v>89.678271308523392</v>
      </c>
      <c r="C15" s="14">
        <v>119</v>
      </c>
      <c r="E15" s="2" t="s">
        <v>224</v>
      </c>
      <c r="F15" s="14">
        <v>83</v>
      </c>
      <c r="G15" s="14">
        <v>555.4457831325301</v>
      </c>
    </row>
    <row r="16" spans="1:21" x14ac:dyDescent="0.35">
      <c r="A16" s="2" t="s">
        <v>159</v>
      </c>
      <c r="B16" s="3">
        <v>81.784580498866205</v>
      </c>
      <c r="C16" s="14">
        <v>63</v>
      </c>
      <c r="E16" s="2" t="s">
        <v>21</v>
      </c>
      <c r="F16" s="14">
        <v>138</v>
      </c>
      <c r="G16" s="14">
        <v>589.10144927536237</v>
      </c>
    </row>
    <row r="17" spans="1:12" x14ac:dyDescent="0.35">
      <c r="A17" s="2" t="s">
        <v>30</v>
      </c>
      <c r="B17" s="3">
        <v>80.925058548009389</v>
      </c>
      <c r="C17" s="14">
        <v>61</v>
      </c>
      <c r="E17" s="2" t="s">
        <v>30</v>
      </c>
      <c r="F17" s="14">
        <v>61</v>
      </c>
      <c r="G17" s="14">
        <v>566.47540983606552</v>
      </c>
      <c r="I17" s="11" t="s">
        <v>3194</v>
      </c>
      <c r="J17" s="11"/>
      <c r="K17" s="10"/>
    </row>
    <row r="18" spans="1:12" x14ac:dyDescent="0.35">
      <c r="A18" s="2" t="s">
        <v>21</v>
      </c>
      <c r="B18" s="3">
        <v>84.157349896480312</v>
      </c>
      <c r="C18" s="14">
        <v>138</v>
      </c>
      <c r="E18" s="2" t="s">
        <v>159</v>
      </c>
      <c r="F18" s="14">
        <v>63</v>
      </c>
      <c r="G18" s="14">
        <v>572.49206349206349</v>
      </c>
      <c r="I18" s="1" t="s">
        <v>3148</v>
      </c>
      <c r="J18" t="s">
        <v>3185</v>
      </c>
    </row>
    <row r="19" spans="1:12" x14ac:dyDescent="0.35">
      <c r="A19" s="2" t="s">
        <v>224</v>
      </c>
      <c r="B19" s="3">
        <v>79.349397590361448</v>
      </c>
      <c r="C19" s="14">
        <v>83</v>
      </c>
      <c r="E19" s="2" t="s">
        <v>26</v>
      </c>
      <c r="F19" s="14">
        <v>119</v>
      </c>
      <c r="G19" s="14">
        <v>627.74789915966392</v>
      </c>
      <c r="I19" s="2" t="s">
        <v>25</v>
      </c>
      <c r="J19" s="14">
        <v>1002</v>
      </c>
    </row>
    <row r="20" spans="1:12" x14ac:dyDescent="0.35">
      <c r="A20" s="2" t="s">
        <v>76</v>
      </c>
      <c r="B20" s="3">
        <v>86.435897435897445</v>
      </c>
      <c r="C20" s="14">
        <v>39</v>
      </c>
      <c r="E20" s="2" t="s">
        <v>123</v>
      </c>
      <c r="F20" s="14">
        <v>56</v>
      </c>
      <c r="G20" s="14">
        <v>576.83928571428567</v>
      </c>
      <c r="I20" s="2" t="s">
        <v>20</v>
      </c>
      <c r="J20" s="14">
        <v>998</v>
      </c>
    </row>
    <row r="21" spans="1:12" x14ac:dyDescent="0.35">
      <c r="A21" s="2" t="s">
        <v>44</v>
      </c>
      <c r="B21" s="3">
        <v>82.214965986394532</v>
      </c>
      <c r="C21" s="14">
        <v>315</v>
      </c>
      <c r="E21" s="2" t="s">
        <v>138</v>
      </c>
      <c r="F21" s="14">
        <v>68</v>
      </c>
      <c r="G21" s="14">
        <v>584.29411764705878</v>
      </c>
      <c r="I21" s="2" t="s">
        <v>3149</v>
      </c>
      <c r="J21" s="14">
        <v>2000</v>
      </c>
    </row>
    <row r="22" spans="1:12" x14ac:dyDescent="0.35">
      <c r="A22" s="2" t="s">
        <v>172</v>
      </c>
      <c r="B22" s="3">
        <v>81.465753424657521</v>
      </c>
      <c r="C22" s="14">
        <v>73</v>
      </c>
      <c r="E22" s="2" t="s">
        <v>64</v>
      </c>
      <c r="F22" s="14">
        <v>309</v>
      </c>
      <c r="G22" s="14">
        <v>521.38511326860839</v>
      </c>
    </row>
    <row r="23" spans="1:12" x14ac:dyDescent="0.35">
      <c r="A23" s="2" t="s">
        <v>54</v>
      </c>
      <c r="B23" s="3">
        <v>80.605326876513288</v>
      </c>
      <c r="C23" s="14">
        <v>59</v>
      </c>
      <c r="E23" s="2" t="s">
        <v>105</v>
      </c>
      <c r="F23" s="14">
        <v>169</v>
      </c>
      <c r="G23" s="14">
        <v>573.08284023668637</v>
      </c>
    </row>
    <row r="24" spans="1:12" x14ac:dyDescent="0.35">
      <c r="A24" s="2" t="s">
        <v>38</v>
      </c>
      <c r="B24" s="3">
        <v>79.878923766816129</v>
      </c>
      <c r="C24" s="14">
        <v>223</v>
      </c>
      <c r="E24" s="2" t="s">
        <v>34</v>
      </c>
      <c r="F24" s="14">
        <v>67</v>
      </c>
      <c r="G24" s="14">
        <v>564.6567164179105</v>
      </c>
    </row>
    <row r="25" spans="1:12" x14ac:dyDescent="0.35">
      <c r="A25" s="2" t="s">
        <v>109</v>
      </c>
      <c r="B25" s="3">
        <v>84.053571428571431</v>
      </c>
      <c r="C25" s="14">
        <v>32</v>
      </c>
      <c r="E25" s="2" t="s">
        <v>113</v>
      </c>
      <c r="F25" s="14">
        <v>126</v>
      </c>
      <c r="G25" s="14">
        <v>554.42857142857144</v>
      </c>
    </row>
    <row r="26" spans="1:12" x14ac:dyDescent="0.35">
      <c r="A26" s="2" t="s">
        <v>3149</v>
      </c>
      <c r="B26" s="3">
        <v>80.98035714285713</v>
      </c>
      <c r="C26" s="14">
        <v>2000</v>
      </c>
      <c r="E26" s="2" t="s">
        <v>3149</v>
      </c>
      <c r="F26" s="14">
        <v>2000</v>
      </c>
      <c r="G26" s="14">
        <v>566.86249999999995</v>
      </c>
    </row>
    <row r="28" spans="1:12" x14ac:dyDescent="0.35">
      <c r="H28" s="1" t="s">
        <v>3155</v>
      </c>
      <c r="I28" t="s">
        <v>3184</v>
      </c>
    </row>
    <row r="29" spans="1:12" s="5" customFormat="1" ht="14.5" customHeight="1" x14ac:dyDescent="0.35">
      <c r="A29" s="11" t="s">
        <v>3178</v>
      </c>
      <c r="B29" s="11"/>
      <c r="C29" s="11"/>
      <c r="E29" s="11" t="s">
        <v>3180</v>
      </c>
      <c r="F29" s="11"/>
      <c r="H29" s="11" t="s">
        <v>3181</v>
      </c>
      <c r="I29" s="11"/>
      <c r="J29" s="11"/>
    </row>
    <row r="30" spans="1:12" x14ac:dyDescent="0.35">
      <c r="A30" s="1" t="s">
        <v>3148</v>
      </c>
      <c r="B30" s="5" t="s">
        <v>3185</v>
      </c>
      <c r="C30" t="s">
        <v>3193</v>
      </c>
      <c r="E30" s="4" t="s">
        <v>3148</v>
      </c>
      <c r="F30" t="s">
        <v>3185</v>
      </c>
      <c r="H30" s="1" t="s">
        <v>3148</v>
      </c>
      <c r="I30" s="5" t="s">
        <v>3182</v>
      </c>
      <c r="J30" t="s">
        <v>3183</v>
      </c>
    </row>
    <row r="31" spans="1:12" x14ac:dyDescent="0.35">
      <c r="A31" s="2" t="s">
        <v>3179</v>
      </c>
      <c r="B31" s="14">
        <v>1684</v>
      </c>
      <c r="C31" s="3">
        <v>81.48498473023426</v>
      </c>
      <c r="E31" s="2" t="s">
        <v>44</v>
      </c>
      <c r="F31" s="14">
        <v>315</v>
      </c>
      <c r="H31" s="2" t="s">
        <v>25</v>
      </c>
      <c r="I31" s="14">
        <v>212</v>
      </c>
      <c r="J31" s="14">
        <v>25</v>
      </c>
      <c r="K31" s="6"/>
      <c r="L31" s="6"/>
    </row>
    <row r="32" spans="1:12" x14ac:dyDescent="0.35">
      <c r="A32" s="7" t="s">
        <v>3179</v>
      </c>
      <c r="B32" s="14">
        <v>1338</v>
      </c>
      <c r="C32" s="3">
        <v>81.584454409566533</v>
      </c>
      <c r="E32" s="2" t="s">
        <v>64</v>
      </c>
      <c r="F32" s="14">
        <v>309</v>
      </c>
      <c r="H32" s="2" t="s">
        <v>20</v>
      </c>
      <c r="I32" s="14">
        <v>193</v>
      </c>
      <c r="J32" s="14">
        <v>28.051813471502591</v>
      </c>
    </row>
    <row r="33" spans="1:10" x14ac:dyDescent="0.35">
      <c r="A33" s="7" t="s">
        <v>3192</v>
      </c>
      <c r="B33" s="14">
        <v>346</v>
      </c>
      <c r="C33" s="3">
        <v>81.100330305532665</v>
      </c>
      <c r="E33" s="2" t="s">
        <v>38</v>
      </c>
      <c r="F33" s="14">
        <v>223</v>
      </c>
      <c r="H33" s="2" t="s">
        <v>3149</v>
      </c>
      <c r="I33" s="14">
        <v>405</v>
      </c>
      <c r="J33" s="14">
        <v>26.45432098765432</v>
      </c>
    </row>
    <row r="34" spans="1:10" x14ac:dyDescent="0.35">
      <c r="A34" s="2" t="s">
        <v>3192</v>
      </c>
      <c r="B34" s="14">
        <v>316</v>
      </c>
      <c r="C34" s="3">
        <v>78.291139240506297</v>
      </c>
      <c r="E34" s="2" t="s">
        <v>105</v>
      </c>
      <c r="F34" s="14">
        <v>169</v>
      </c>
    </row>
    <row r="35" spans="1:10" x14ac:dyDescent="0.35">
      <c r="A35" s="7" t="s">
        <v>3179</v>
      </c>
      <c r="B35" s="14">
        <v>254</v>
      </c>
      <c r="C35" s="3">
        <v>78.410573678290149</v>
      </c>
      <c r="E35" s="2" t="s">
        <v>21</v>
      </c>
      <c r="F35" s="14">
        <v>138</v>
      </c>
    </row>
    <row r="36" spans="1:10" x14ac:dyDescent="0.35">
      <c r="A36" s="7" t="s">
        <v>3192</v>
      </c>
      <c r="B36" s="14">
        <v>62</v>
      </c>
      <c r="C36" s="3">
        <v>77.801843317972356</v>
      </c>
      <c r="E36" s="2" t="s">
        <v>113</v>
      </c>
      <c r="F36" s="14">
        <v>126</v>
      </c>
    </row>
    <row r="37" spans="1:10" x14ac:dyDescent="0.35">
      <c r="A37" s="2" t="s">
        <v>3149</v>
      </c>
      <c r="B37" s="14">
        <v>2000</v>
      </c>
      <c r="C37" s="3">
        <v>80.980357142857343</v>
      </c>
      <c r="E37" s="2" t="s">
        <v>26</v>
      </c>
      <c r="F37" s="14">
        <v>119</v>
      </c>
    </row>
    <row r="38" spans="1:10" x14ac:dyDescent="0.35">
      <c r="E38" s="2" t="s">
        <v>224</v>
      </c>
      <c r="F38" s="14">
        <v>83</v>
      </c>
    </row>
    <row r="39" spans="1:10" x14ac:dyDescent="0.35">
      <c r="E39" s="2" t="s">
        <v>172</v>
      </c>
      <c r="F39" s="14">
        <v>73</v>
      </c>
    </row>
    <row r="40" spans="1:10" x14ac:dyDescent="0.35">
      <c r="E40" s="2" t="s">
        <v>138</v>
      </c>
      <c r="F40" s="14">
        <v>68</v>
      </c>
    </row>
    <row r="41" spans="1:10" x14ac:dyDescent="0.35">
      <c r="E41" s="2" t="s">
        <v>34</v>
      </c>
      <c r="F41" s="14">
        <v>67</v>
      </c>
    </row>
    <row r="42" spans="1:10" x14ac:dyDescent="0.35">
      <c r="E42" s="2" t="s">
        <v>159</v>
      </c>
      <c r="F42" s="14">
        <v>63</v>
      </c>
    </row>
    <row r="43" spans="1:10" x14ac:dyDescent="0.35">
      <c r="E43" s="2" t="s">
        <v>30</v>
      </c>
      <c r="F43" s="14">
        <v>61</v>
      </c>
    </row>
    <row r="44" spans="1:10" x14ac:dyDescent="0.35">
      <c r="E44" s="2" t="s">
        <v>54</v>
      </c>
      <c r="F44" s="14">
        <v>59</v>
      </c>
    </row>
    <row r="45" spans="1:10" x14ac:dyDescent="0.35">
      <c r="E45" s="2" t="s">
        <v>123</v>
      </c>
      <c r="F45" s="14">
        <v>56</v>
      </c>
    </row>
    <row r="46" spans="1:10" x14ac:dyDescent="0.35">
      <c r="E46" s="2" t="s">
        <v>76</v>
      </c>
      <c r="F46" s="14">
        <v>39</v>
      </c>
    </row>
    <row r="47" spans="1:10" x14ac:dyDescent="0.35">
      <c r="E47" s="2" t="s">
        <v>109</v>
      </c>
      <c r="F47" s="14">
        <v>32</v>
      </c>
    </row>
    <row r="48" spans="1:10" x14ac:dyDescent="0.35">
      <c r="E48" s="2" t="s">
        <v>3149</v>
      </c>
      <c r="F48" s="14">
        <v>2000</v>
      </c>
    </row>
    <row r="51" spans="1:8" x14ac:dyDescent="0.35">
      <c r="B51" s="5"/>
      <c r="D51" s="5"/>
      <c r="F51" s="5"/>
      <c r="G51" s="5"/>
      <c r="H51" s="5"/>
    </row>
    <row r="52" spans="1:8" ht="29" x14ac:dyDescent="0.35">
      <c r="A52" t="s">
        <v>3186</v>
      </c>
      <c r="B52" s="5" t="s">
        <v>3187</v>
      </c>
      <c r="C52" t="s">
        <v>3188</v>
      </c>
      <c r="D52" t="s">
        <v>3189</v>
      </c>
      <c r="E52" t="s">
        <v>3190</v>
      </c>
      <c r="F52" s="8" t="s">
        <v>3191</v>
      </c>
    </row>
    <row r="53" spans="1:8" x14ac:dyDescent="0.35">
      <c r="B53" s="14">
        <v>2000</v>
      </c>
      <c r="C53" s="3">
        <v>80.980357142857329</v>
      </c>
      <c r="D53" s="14">
        <v>17.755500000000001</v>
      </c>
      <c r="E53" s="14">
        <v>3.6655000000000002</v>
      </c>
      <c r="F53" s="9">
        <f>COUNTIFS(student_scores[Top_Performer], "Yes") / COUNTA(student_scores[id])</f>
        <v>0.20250000000000001</v>
      </c>
    </row>
    <row r="55" spans="1:8" x14ac:dyDescent="0.35">
      <c r="A55" t="s">
        <v>3186</v>
      </c>
      <c r="B55" t="s">
        <v>3187</v>
      </c>
      <c r="C55" t="s">
        <v>3188</v>
      </c>
      <c r="D55" t="s">
        <v>3189</v>
      </c>
      <c r="E55" t="s">
        <v>3190</v>
      </c>
      <c r="F55" s="8" t="s">
        <v>3191</v>
      </c>
    </row>
    <row r="56" spans="1:8" x14ac:dyDescent="0.35">
      <c r="B56">
        <v>2000</v>
      </c>
      <c r="C56">
        <v>80.980357142857301</v>
      </c>
      <c r="D56">
        <v>17.755500000000001</v>
      </c>
      <c r="E56">
        <v>3.6655000000000002</v>
      </c>
      <c r="F56" s="9">
        <v>0.20250000000000001</v>
      </c>
    </row>
  </sheetData>
  <mergeCells count="10">
    <mergeCell ref="A29:C29"/>
    <mergeCell ref="E29:F29"/>
    <mergeCell ref="H29:J29"/>
    <mergeCell ref="A1:D1"/>
    <mergeCell ref="F1:M1"/>
    <mergeCell ref="A7:C7"/>
    <mergeCell ref="E7:G7"/>
    <mergeCell ref="I7:K7"/>
    <mergeCell ref="M7:U7"/>
    <mergeCell ref="I17:J17"/>
  </mergeCells>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5192D-93D7-407B-828F-DCA439A0770C}">
  <dimension ref="A1"/>
  <sheetViews>
    <sheetView tabSelected="1" topLeftCell="A3" zoomScale="57" zoomScaleNormal="99" workbookViewId="0">
      <selection activeCell="AD69" sqref="AD69"/>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1308F6-4F13-4ACF-AAB5-89B129CE43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student-scores</vt:lpstr>
      <vt:lpstr>Record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anjalibarge2511@outlook.com</dc:creator>
  <cp:lastModifiedBy>anjalibarge2511@outlook.com</cp:lastModifiedBy>
  <dcterms:created xsi:type="dcterms:W3CDTF">2026-01-16T10:40:58Z</dcterms:created>
  <dcterms:modified xsi:type="dcterms:W3CDTF">2026-01-22T05:23:46Z</dcterms:modified>
</cp:coreProperties>
</file>